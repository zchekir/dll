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pivotTables/pivotTable1.xml" ContentType="application/vnd.openxmlformats-officedocument.spreadsheetml.pivotTable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gstate-qc\PrecisionRecruitment\PrecisionRecruitment\csv\"/>
    </mc:Choice>
  </mc:AlternateContent>
  <xr:revisionPtr revIDLastSave="0" documentId="8_{04E30DD9-F529-48DE-ACFB-189E3370B7EA}" xr6:coauthVersionLast="36" xr6:coauthVersionMax="36" xr10:uidLastSave="{00000000-0000-0000-0000-000000000000}"/>
  <bookViews>
    <workbookView xWindow="0" yWindow="0" windowWidth="17250" windowHeight="6285" tabRatio="791" activeTab="3" xr2:uid="{00000000-000D-0000-FFFF-FFFF00000000}"/>
  </bookViews>
  <sheets>
    <sheet name="Detection" sheetId="1" r:id="rId1"/>
    <sheet name="Identification" sheetId="2" r:id="rId2"/>
    <sheet name="OCL2" sheetId="3" r:id="rId3"/>
    <sheet name="One Back" sheetId="4" r:id="rId4"/>
    <sheet name="ISLT- Immediate" sheetId="9" r:id="rId5"/>
    <sheet name="ISLT- Delayed" sheetId="18" r:id="rId6"/>
    <sheet name="ISLT- Recognition" sheetId="19" r:id="rId7"/>
    <sheet name="GMLT" sheetId="20" r:id="rId8"/>
    <sheet name="GMLT - Delayed" sheetId="21" r:id="rId9"/>
    <sheet name="Chase" sheetId="23" r:id="rId10"/>
    <sheet name="GMLT - Reverse" sheetId="22" r:id="rId11"/>
    <sheet name="SECT" sheetId="7" r:id="rId12"/>
    <sheet name="Two Back" sheetId="8" r:id="rId13"/>
    <sheet name="ISLT Analysis" sheetId="17" state="hidden" r:id="rId14"/>
    <sheet name="CPAL" sheetId="24" r:id="rId15"/>
    <sheet name="CPAL - Delayed" sheetId="25" r:id="rId16"/>
    <sheet name="Finger Tapping" sheetId="26" r:id="rId17"/>
    <sheet name="Norms" sheetId="5" r:id="rId18"/>
    <sheet name="Usage" sheetId="6" r:id="rId19"/>
  </sheets>
  <definedNames>
    <definedName name="_xlnm._FilterDatabase" localSheetId="9" hidden="1">Chase!$A$12:$AV$60</definedName>
    <definedName name="_xlnm._FilterDatabase" localSheetId="14" hidden="1">CPAL!$A$29:$W$483</definedName>
    <definedName name="_xlnm._FilterDatabase" localSheetId="15" hidden="1">'CPAL - Delayed'!$A$20:$W$198</definedName>
    <definedName name="_xlnm._FilterDatabase" localSheetId="7" hidden="1">GMLT!$G$88:$G$99</definedName>
    <definedName name="_xlnm._FilterDatabase" localSheetId="8" hidden="1">'GMLT - Delayed'!$G$88:$G$99</definedName>
    <definedName name="_xlnm._FilterDatabase" localSheetId="10" hidden="1">'GMLT - Reverse'!$G$88:$G$99</definedName>
    <definedName name="_xlnm._FilterDatabase" localSheetId="5" hidden="1">'ISLT- Delayed'!$F$88:$F$99</definedName>
    <definedName name="_xlnm._FilterDatabase" localSheetId="4" hidden="1">'ISLT- Immediate'!$G$88:$G$99</definedName>
    <definedName name="_xlnm._FilterDatabase" localSheetId="6" hidden="1">'ISLT- Recognition'!$F$88:$F$99</definedName>
    <definedName name="_Toc393896927" localSheetId="17">Norms!$A$2</definedName>
    <definedName name="_Toc393896928" localSheetId="17">Norms!$A$13</definedName>
    <definedName name="_Toc393896929" localSheetId="17">Norms!$A$24</definedName>
    <definedName name="_Toc393896930" localSheetId="17">Norms!$A$35</definedName>
    <definedName name="_Toc393896931" localSheetId="17">Norms!$A$58</definedName>
    <definedName name="_Toc393896932" localSheetId="17">Norms!$A$69</definedName>
    <definedName name="_xlnm.Extract" localSheetId="9">Chase!$U$60</definedName>
    <definedName name="_xlnm.Extract" localSheetId="7">GMLT!$U$87</definedName>
    <definedName name="_xlnm.Extract" localSheetId="8">'GMLT - Delayed'!$U$87</definedName>
    <definedName name="_xlnm.Extract" localSheetId="10">'GMLT - Reverse'!$U$87</definedName>
    <definedName name="_xlnm.Extract" localSheetId="5">'ISLT- Delayed'!$T$87</definedName>
    <definedName name="_xlnm.Extract" localSheetId="4">'ISLT- Immediate'!$U$87</definedName>
    <definedName name="_xlnm.Extract" localSheetId="6">'ISLT- Recognition'!$T$87</definedName>
  </definedNames>
  <calcPr calcId="191029"/>
  <pivotCaches>
    <pivotCache cacheId="0" r:id="rId20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1" i="26" l="1"/>
  <c r="G24" i="26"/>
  <c r="G8" i="26"/>
  <c r="G21" i="26"/>
  <c r="G5" i="26"/>
  <c r="G18" i="26"/>
  <c r="H24" i="26" l="1"/>
  <c r="H21" i="26"/>
  <c r="H11" i="26"/>
  <c r="H8" i="26"/>
  <c r="H5" i="26"/>
  <c r="H18" i="26"/>
  <c r="I24" i="26" l="1"/>
  <c r="I21" i="26"/>
  <c r="I18" i="26"/>
  <c r="I11" i="26"/>
  <c r="I8" i="26"/>
  <c r="I5" i="26"/>
  <c r="G27" i="26"/>
  <c r="G14" i="26"/>
  <c r="M24" i="26"/>
  <c r="M21" i="26"/>
  <c r="M18" i="26"/>
  <c r="M11" i="26"/>
  <c r="M8" i="26"/>
  <c r="M5" i="26"/>
  <c r="L24" i="26"/>
  <c r="L21" i="26"/>
  <c r="L18" i="26"/>
  <c r="L11" i="26"/>
  <c r="L8" i="26"/>
  <c r="L5" i="26"/>
  <c r="K24" i="26"/>
  <c r="K21" i="26"/>
  <c r="K18" i="26"/>
  <c r="K11" i="26"/>
  <c r="K8" i="26"/>
  <c r="K5" i="26"/>
  <c r="E24" i="26"/>
  <c r="E21" i="26"/>
  <c r="E18" i="26"/>
  <c r="E11" i="26"/>
  <c r="E8" i="26"/>
  <c r="E5" i="26"/>
  <c r="D24" i="26"/>
  <c r="D21" i="26"/>
  <c r="D18" i="26"/>
  <c r="D11" i="26"/>
  <c r="D8" i="26"/>
  <c r="D5" i="26"/>
  <c r="V34" i="26"/>
  <c r="V35" i="26"/>
  <c r="V36" i="26"/>
  <c r="V37" i="26"/>
  <c r="V38" i="26"/>
  <c r="V39" i="26"/>
  <c r="V40" i="26"/>
  <c r="V41" i="26"/>
  <c r="V42" i="26"/>
  <c r="V43" i="26"/>
  <c r="V44" i="26"/>
  <c r="V45" i="26"/>
  <c r="V46" i="26"/>
  <c r="V47" i="26"/>
  <c r="V48" i="26"/>
  <c r="V49" i="26"/>
  <c r="V50" i="26"/>
  <c r="V51" i="26"/>
  <c r="V52" i="26"/>
  <c r="V53" i="26"/>
  <c r="V54" i="26"/>
  <c r="V55" i="26"/>
  <c r="V56" i="26"/>
  <c r="V57" i="26"/>
  <c r="V58" i="26"/>
  <c r="V59" i="26"/>
  <c r="V60" i="26"/>
  <c r="V61" i="26"/>
  <c r="V62" i="26"/>
  <c r="V63" i="26"/>
  <c r="V64" i="26"/>
  <c r="V65" i="26"/>
  <c r="V66" i="26"/>
  <c r="V67" i="26"/>
  <c r="V68" i="26"/>
  <c r="V69" i="26"/>
  <c r="V70" i="26"/>
  <c r="V71" i="26"/>
  <c r="V72" i="26"/>
  <c r="V73" i="26"/>
  <c r="V74" i="26"/>
  <c r="V75" i="26"/>
  <c r="V76" i="26"/>
  <c r="V77" i="26"/>
  <c r="V78" i="26"/>
  <c r="V79" i="26"/>
  <c r="V80" i="26"/>
  <c r="V81" i="26"/>
  <c r="V82" i="26"/>
  <c r="V83" i="26"/>
  <c r="V84" i="26"/>
  <c r="V85" i="26"/>
  <c r="V86" i="26"/>
  <c r="V87" i="26"/>
  <c r="V88" i="26"/>
  <c r="V89" i="26"/>
  <c r="V90" i="26"/>
  <c r="V91" i="26"/>
  <c r="V92" i="26"/>
  <c r="V93" i="26"/>
  <c r="V94" i="26"/>
  <c r="V95" i="26"/>
  <c r="V96" i="26"/>
  <c r="V97" i="26"/>
  <c r="V98" i="26"/>
  <c r="V99" i="26"/>
  <c r="V100" i="26"/>
  <c r="V101" i="26"/>
  <c r="V102" i="26"/>
  <c r="V103" i="26"/>
  <c r="V104" i="26"/>
  <c r="V105" i="26"/>
  <c r="V106" i="26"/>
  <c r="V107" i="26"/>
  <c r="V108" i="26"/>
  <c r="V109" i="26"/>
  <c r="V110" i="26"/>
  <c r="V111" i="26"/>
  <c r="V112" i="26"/>
  <c r="V113" i="26"/>
  <c r="V114" i="26"/>
  <c r="V115" i="26"/>
  <c r="V116" i="26"/>
  <c r="V117" i="26"/>
  <c r="V118" i="26"/>
  <c r="V119" i="26"/>
  <c r="V120" i="26"/>
  <c r="V121" i="26"/>
  <c r="V122" i="26"/>
  <c r="V123" i="26"/>
  <c r="V124" i="26"/>
  <c r="V125" i="26"/>
  <c r="V126" i="26"/>
  <c r="V127" i="26"/>
  <c r="V128" i="26"/>
  <c r="V129" i="26"/>
  <c r="V130" i="26"/>
  <c r="V131" i="26"/>
  <c r="V132" i="26"/>
  <c r="V133" i="26"/>
  <c r="V134" i="26"/>
  <c r="V135" i="26"/>
  <c r="V136" i="26"/>
  <c r="V137" i="26"/>
  <c r="V138" i="26"/>
  <c r="V139" i="26"/>
  <c r="V140" i="26"/>
  <c r="V141" i="26"/>
  <c r="V142" i="26"/>
  <c r="V143" i="26"/>
  <c r="V144" i="26"/>
  <c r="V145" i="26"/>
  <c r="V146" i="26"/>
  <c r="V147" i="26"/>
  <c r="V148" i="26"/>
  <c r="V149" i="26"/>
  <c r="V150" i="26"/>
  <c r="V151" i="26"/>
  <c r="V152" i="26"/>
  <c r="V153" i="26"/>
  <c r="V154" i="26"/>
  <c r="V155" i="26"/>
  <c r="V156" i="26"/>
  <c r="V157" i="26"/>
  <c r="V158" i="26"/>
  <c r="V159" i="26"/>
  <c r="V160" i="26"/>
  <c r="V161" i="26"/>
  <c r="V162" i="26"/>
  <c r="V163" i="26"/>
  <c r="V164" i="26"/>
  <c r="V165" i="26"/>
  <c r="V166" i="26"/>
  <c r="V167" i="26"/>
  <c r="V168" i="26"/>
  <c r="V169" i="26"/>
  <c r="V170" i="26"/>
  <c r="V171" i="26"/>
  <c r="V172" i="26"/>
  <c r="V173" i="26"/>
  <c r="V174" i="26"/>
  <c r="V175" i="26"/>
  <c r="V176" i="26"/>
  <c r="V177" i="26"/>
  <c r="V178" i="26"/>
  <c r="V179" i="26"/>
  <c r="V180" i="26"/>
  <c r="V181" i="26"/>
  <c r="V182" i="26"/>
  <c r="V183" i="26"/>
  <c r="V184" i="26"/>
  <c r="V185" i="26"/>
  <c r="V186" i="26"/>
  <c r="V187" i="26"/>
  <c r="V188" i="26"/>
  <c r="V189" i="26"/>
  <c r="V190" i="26"/>
  <c r="V191" i="26"/>
  <c r="V192" i="26"/>
  <c r="V193" i="26"/>
  <c r="V194" i="26"/>
  <c r="V195" i="26"/>
  <c r="V196" i="26"/>
  <c r="V197" i="26"/>
  <c r="V198" i="26"/>
  <c r="V199" i="26"/>
  <c r="V200" i="26"/>
  <c r="V201" i="26"/>
  <c r="V202" i="26"/>
  <c r="V203" i="26"/>
  <c r="V204" i="26"/>
  <c r="V205" i="26"/>
  <c r="V206" i="26"/>
  <c r="V207" i="26"/>
  <c r="V208" i="26"/>
  <c r="V209" i="26"/>
  <c r="V210" i="26"/>
  <c r="V211" i="26"/>
  <c r="V212" i="26"/>
  <c r="V213" i="26"/>
  <c r="V214" i="26"/>
  <c r="V215" i="26"/>
  <c r="V216" i="26"/>
  <c r="V217" i="26"/>
  <c r="V218" i="26"/>
  <c r="V219" i="26"/>
  <c r="V220" i="26"/>
  <c r="V221" i="26"/>
  <c r="V222" i="26"/>
  <c r="V223" i="26"/>
  <c r="V224" i="26"/>
  <c r="V225" i="26"/>
  <c r="V226" i="26"/>
  <c r="V227" i="26"/>
  <c r="V228" i="26"/>
  <c r="V229" i="26"/>
  <c r="V230" i="26"/>
  <c r="V231" i="26"/>
  <c r="V232" i="26"/>
  <c r="V233" i="26"/>
  <c r="V234" i="26"/>
  <c r="V235" i="26"/>
  <c r="V236" i="26"/>
  <c r="V237" i="26"/>
  <c r="V238" i="26"/>
  <c r="V239" i="26"/>
  <c r="V240" i="26"/>
  <c r="V241" i="26"/>
  <c r="V242" i="26"/>
  <c r="V243" i="26"/>
  <c r="V244" i="26"/>
  <c r="V245" i="26"/>
  <c r="V246" i="26"/>
  <c r="V247" i="26"/>
  <c r="V248" i="26"/>
  <c r="V249" i="26"/>
  <c r="V250" i="26"/>
  <c r="V251" i="26"/>
  <c r="V252" i="26"/>
  <c r="V253" i="26"/>
  <c r="V254" i="26"/>
  <c r="V255" i="26"/>
  <c r="V256" i="26"/>
  <c r="V257" i="26"/>
  <c r="V258" i="26"/>
  <c r="V259" i="26"/>
  <c r="V260" i="26"/>
  <c r="V261" i="26"/>
  <c r="V262" i="26"/>
  <c r="V263" i="26"/>
  <c r="V264" i="26"/>
  <c r="V265" i="26"/>
  <c r="V266" i="26"/>
  <c r="V267" i="26"/>
  <c r="V268" i="26"/>
  <c r="V269" i="26"/>
  <c r="V270" i="26"/>
  <c r="V271" i="26"/>
  <c r="V272" i="26"/>
  <c r="V273" i="26"/>
  <c r="V274" i="26"/>
  <c r="V275" i="26"/>
  <c r="V276" i="26"/>
  <c r="V277" i="26"/>
  <c r="V278" i="26"/>
  <c r="V279" i="26"/>
  <c r="V280" i="26"/>
  <c r="V281" i="26"/>
  <c r="V282" i="26"/>
  <c r="V283" i="26"/>
  <c r="V284" i="26"/>
  <c r="V285" i="26"/>
  <c r="V286" i="26"/>
  <c r="V287" i="26"/>
  <c r="V288" i="26"/>
  <c r="V289" i="26"/>
  <c r="V290" i="26"/>
  <c r="V291" i="26"/>
  <c r="V292" i="26"/>
  <c r="V293" i="26"/>
  <c r="V294" i="26"/>
  <c r="V295" i="26"/>
  <c r="V296" i="26"/>
  <c r="V297" i="26"/>
  <c r="V298" i="26"/>
  <c r="V299" i="26"/>
  <c r="V300" i="26"/>
  <c r="V301" i="26"/>
  <c r="V302" i="26"/>
  <c r="V303" i="26"/>
  <c r="V304" i="26"/>
  <c r="V305" i="26"/>
  <c r="V306" i="26"/>
  <c r="V307" i="26"/>
  <c r="V308" i="26"/>
  <c r="V309" i="26"/>
  <c r="V310" i="26"/>
  <c r="V311" i="26"/>
  <c r="V312" i="26"/>
  <c r="V313" i="26"/>
  <c r="V314" i="26"/>
  <c r="V315" i="26"/>
  <c r="V316" i="26"/>
  <c r="V317" i="26"/>
  <c r="V318" i="26"/>
  <c r="V319" i="26"/>
  <c r="V320" i="26"/>
  <c r="V321" i="26"/>
  <c r="V322" i="26"/>
  <c r="V323" i="26"/>
  <c r="V324" i="26"/>
  <c r="V325" i="26"/>
  <c r="V326" i="26"/>
  <c r="V327" i="26"/>
  <c r="V328" i="26"/>
  <c r="V329" i="26"/>
  <c r="V330" i="26"/>
  <c r="V331" i="26"/>
  <c r="V332" i="26"/>
  <c r="V333" i="26"/>
  <c r="V334" i="26"/>
  <c r="V335" i="26"/>
  <c r="V336" i="26"/>
  <c r="V337" i="26"/>
  <c r="V338" i="26"/>
  <c r="V339" i="26"/>
  <c r="V340" i="26"/>
  <c r="V341" i="26"/>
  <c r="V342" i="26"/>
  <c r="V343" i="26"/>
  <c r="V344" i="26"/>
  <c r="V345" i="26"/>
  <c r="V346" i="26"/>
  <c r="V347" i="26"/>
  <c r="V348" i="26"/>
  <c r="V349" i="26"/>
  <c r="V350" i="26"/>
  <c r="V351" i="26"/>
  <c r="V352" i="26"/>
  <c r="V353" i="26"/>
  <c r="V354" i="26"/>
  <c r="V355" i="26"/>
  <c r="V356" i="26"/>
  <c r="V357" i="26"/>
  <c r="V358" i="26"/>
  <c r="V359" i="26"/>
  <c r="V360" i="26"/>
  <c r="V361" i="26"/>
  <c r="V362" i="26"/>
  <c r="V363" i="26"/>
  <c r="V364" i="26"/>
  <c r="V365" i="26"/>
  <c r="V366" i="26"/>
  <c r="V367" i="26"/>
  <c r="V368" i="26"/>
  <c r="V369" i="26"/>
  <c r="V370" i="26"/>
  <c r="V371" i="26"/>
  <c r="V372" i="26"/>
  <c r="V373" i="26"/>
  <c r="V374" i="26"/>
  <c r="V375" i="26"/>
  <c r="V376" i="26"/>
  <c r="V377" i="26"/>
  <c r="V378" i="26"/>
  <c r="V379" i="26"/>
  <c r="V380" i="26"/>
  <c r="V381" i="26"/>
  <c r="V382" i="26"/>
  <c r="V383" i="26"/>
  <c r="V384" i="26"/>
  <c r="V385" i="26"/>
  <c r="V386" i="26"/>
  <c r="V387" i="26"/>
  <c r="V388" i="26"/>
  <c r="V389" i="26"/>
  <c r="V390" i="26"/>
  <c r="V391" i="26"/>
  <c r="V392" i="26"/>
  <c r="V393" i="26"/>
  <c r="V394" i="26"/>
  <c r="V395" i="26"/>
  <c r="V396" i="26"/>
  <c r="V397" i="26"/>
  <c r="V398" i="26"/>
  <c r="V399" i="26"/>
  <c r="V400" i="26"/>
  <c r="V401" i="26"/>
  <c r="V402" i="26"/>
  <c r="V403" i="26"/>
  <c r="V404" i="26"/>
  <c r="V405" i="26"/>
  <c r="V406" i="26"/>
  <c r="V407" i="26"/>
  <c r="V408" i="26"/>
  <c r="V409" i="26"/>
  <c r="V410" i="26"/>
  <c r="V411" i="26"/>
  <c r="V412" i="26"/>
  <c r="V413" i="26"/>
  <c r="V414" i="26"/>
  <c r="V415" i="26"/>
  <c r="V416" i="26"/>
  <c r="V417" i="26"/>
  <c r="V418" i="26"/>
  <c r="V419" i="26"/>
  <c r="V420" i="26"/>
  <c r="V421" i="26"/>
  <c r="V422" i="26"/>
  <c r="V423" i="26"/>
  <c r="V424" i="26"/>
  <c r="V425" i="26"/>
  <c r="V426" i="26"/>
  <c r="V427" i="26"/>
  <c r="V428" i="26"/>
  <c r="V429" i="26"/>
  <c r="V430" i="26"/>
  <c r="V431" i="26"/>
  <c r="V432" i="26"/>
  <c r="V433" i="26"/>
  <c r="V434" i="26"/>
  <c r="V435" i="26"/>
  <c r="V436" i="26"/>
  <c r="V437" i="26"/>
  <c r="V438" i="26"/>
  <c r="V439" i="26"/>
  <c r="V440" i="26"/>
  <c r="V441" i="26"/>
  <c r="V442" i="26"/>
  <c r="V443" i="26"/>
  <c r="V444" i="26"/>
  <c r="V445" i="26"/>
  <c r="V446" i="26"/>
  <c r="V447" i="26"/>
  <c r="V448" i="26"/>
  <c r="V449" i="26"/>
  <c r="V450" i="26"/>
  <c r="V451" i="26"/>
  <c r="V452" i="26"/>
  <c r="V453" i="26"/>
  <c r="V454" i="26"/>
  <c r="V455" i="26"/>
  <c r="V456" i="26"/>
  <c r="V457" i="26"/>
  <c r="V458" i="26"/>
  <c r="V459" i="26"/>
  <c r="V460" i="26"/>
  <c r="V461" i="26"/>
  <c r="V462" i="26"/>
  <c r="V463" i="26"/>
  <c r="V464" i="26"/>
  <c r="V465" i="26"/>
  <c r="V466" i="26"/>
  <c r="V467" i="26"/>
  <c r="V468" i="26"/>
  <c r="V469" i="26"/>
  <c r="V470" i="26"/>
  <c r="V471" i="26"/>
  <c r="V472" i="26"/>
  <c r="V473" i="26"/>
  <c r="V474" i="26"/>
  <c r="V475" i="26"/>
  <c r="V476" i="26"/>
  <c r="V477" i="26"/>
  <c r="V478" i="26"/>
  <c r="V479" i="26"/>
  <c r="V480" i="26"/>
  <c r="V481" i="26"/>
  <c r="V482" i="26"/>
  <c r="V483" i="26"/>
  <c r="V484" i="26"/>
  <c r="V485" i="26"/>
  <c r="V486" i="26"/>
  <c r="V487" i="26"/>
  <c r="V488" i="26"/>
  <c r="V489" i="26"/>
  <c r="V490" i="26"/>
  <c r="V491" i="26"/>
  <c r="V492" i="26"/>
  <c r="V493" i="26"/>
  <c r="V494" i="26"/>
  <c r="V495" i="26"/>
  <c r="V496" i="26"/>
  <c r="V497" i="26"/>
  <c r="V498" i="26"/>
  <c r="V499" i="26"/>
  <c r="V500" i="26"/>
  <c r="V501" i="26"/>
  <c r="V502" i="26"/>
  <c r="V503" i="26"/>
  <c r="V504" i="26"/>
  <c r="V505" i="26"/>
  <c r="V506" i="26"/>
  <c r="V507" i="26"/>
  <c r="V508" i="26"/>
  <c r="V509" i="26"/>
  <c r="V510" i="26"/>
  <c r="V511" i="26"/>
  <c r="V512" i="26"/>
  <c r="V513" i="26"/>
  <c r="V514" i="26"/>
  <c r="V515" i="26"/>
  <c r="V516" i="26"/>
  <c r="V517" i="26"/>
  <c r="V518" i="26"/>
  <c r="V519" i="26"/>
  <c r="V520" i="26"/>
  <c r="V521" i="26"/>
  <c r="V522" i="26"/>
  <c r="V523" i="26"/>
  <c r="V524" i="26"/>
  <c r="V525" i="26"/>
  <c r="V526" i="26"/>
  <c r="V527" i="26"/>
  <c r="V528" i="26"/>
  <c r="V529" i="26"/>
  <c r="V530" i="26"/>
  <c r="V531" i="26"/>
  <c r="V532" i="26"/>
  <c r="V533" i="26"/>
  <c r="V534" i="26"/>
  <c r="V535" i="26"/>
  <c r="V536" i="26"/>
  <c r="V537" i="26"/>
  <c r="V538" i="26"/>
  <c r="V539" i="26"/>
  <c r="V540" i="26"/>
  <c r="V541" i="26"/>
  <c r="V542" i="26"/>
  <c r="V543" i="26"/>
  <c r="V544" i="26"/>
  <c r="V545" i="26"/>
  <c r="V546" i="26"/>
  <c r="V547" i="26"/>
  <c r="V548" i="26"/>
  <c r="V549" i="26"/>
  <c r="V550" i="26"/>
  <c r="V551" i="26"/>
  <c r="V552" i="26"/>
  <c r="V553" i="26"/>
  <c r="V554" i="26"/>
  <c r="V555" i="26"/>
  <c r="V556" i="26"/>
  <c r="V557" i="26"/>
  <c r="V558" i="26"/>
  <c r="V559" i="26"/>
  <c r="V560" i="26"/>
  <c r="V561" i="26"/>
  <c r="V562" i="26"/>
  <c r="V563" i="26"/>
  <c r="V564" i="26"/>
  <c r="V565" i="26"/>
  <c r="V566" i="26"/>
  <c r="V567" i="26"/>
  <c r="V568" i="26"/>
  <c r="V569" i="26"/>
  <c r="V570" i="26"/>
  <c r="V571" i="26"/>
  <c r="V572" i="26"/>
  <c r="V573" i="26"/>
  <c r="V574" i="26"/>
  <c r="V575" i="26"/>
  <c r="V576" i="26"/>
  <c r="V577" i="26"/>
  <c r="V578" i="26"/>
  <c r="V579" i="26"/>
  <c r="V580" i="26"/>
  <c r="V581" i="26"/>
  <c r="V582" i="26"/>
  <c r="V583" i="26"/>
  <c r="V584" i="26"/>
  <c r="V585" i="26"/>
  <c r="V586" i="26"/>
  <c r="V587" i="26"/>
  <c r="V588" i="26"/>
  <c r="V589" i="26"/>
  <c r="V590" i="26"/>
  <c r="V591" i="26"/>
  <c r="V592" i="26"/>
  <c r="V593" i="26"/>
  <c r="V594" i="26"/>
  <c r="V595" i="26"/>
  <c r="V596" i="26"/>
  <c r="V597" i="26"/>
  <c r="V598" i="26"/>
  <c r="V599" i="26"/>
  <c r="V600" i="26"/>
  <c r="V601" i="26"/>
  <c r="V602" i="26"/>
  <c r="V603" i="26"/>
  <c r="V604" i="26"/>
  <c r="V605" i="26"/>
  <c r="V606" i="26"/>
  <c r="V607" i="26"/>
  <c r="V608" i="26"/>
  <c r="V609" i="26"/>
  <c r="V610" i="26"/>
  <c r="V611" i="26"/>
  <c r="V612" i="26"/>
  <c r="V613" i="26"/>
  <c r="V614" i="26"/>
  <c r="V615" i="26"/>
  <c r="V616" i="26"/>
  <c r="V617" i="26"/>
  <c r="V618" i="26"/>
  <c r="V619" i="26"/>
  <c r="V620" i="26"/>
  <c r="V621" i="26"/>
  <c r="V622" i="26"/>
  <c r="V623" i="26"/>
  <c r="V624" i="26"/>
  <c r="V625" i="26"/>
  <c r="V626" i="26"/>
  <c r="V627" i="26"/>
  <c r="V628" i="26"/>
  <c r="V629" i="26"/>
  <c r="V630" i="26"/>
  <c r="V631" i="26"/>
  <c r="V632" i="26"/>
  <c r="V633" i="26"/>
  <c r="V634" i="26"/>
  <c r="V635" i="26"/>
  <c r="V636" i="26"/>
  <c r="V637" i="26"/>
  <c r="V638" i="26"/>
  <c r="V639" i="26"/>
  <c r="V640" i="26"/>
  <c r="V641" i="26"/>
  <c r="V642" i="26"/>
  <c r="V643" i="26"/>
  <c r="V644" i="26"/>
  <c r="V645" i="26"/>
  <c r="V646" i="26"/>
  <c r="V647" i="26"/>
  <c r="V648" i="26"/>
  <c r="V33" i="26"/>
  <c r="T34" i="26"/>
  <c r="T35" i="26"/>
  <c r="T36" i="26"/>
  <c r="T37" i="26"/>
  <c r="T38" i="26"/>
  <c r="T39" i="26"/>
  <c r="T40" i="26"/>
  <c r="T41" i="26"/>
  <c r="T42" i="26"/>
  <c r="T43" i="26"/>
  <c r="T44" i="26"/>
  <c r="T45" i="26"/>
  <c r="T46" i="26"/>
  <c r="T47" i="26"/>
  <c r="T48" i="26"/>
  <c r="T49" i="26"/>
  <c r="T50" i="26"/>
  <c r="T51" i="26"/>
  <c r="T52" i="26"/>
  <c r="T53" i="26"/>
  <c r="T54" i="26"/>
  <c r="T55" i="26"/>
  <c r="T56" i="26"/>
  <c r="T57" i="26"/>
  <c r="T58" i="26"/>
  <c r="T59" i="26"/>
  <c r="T60" i="26"/>
  <c r="T61" i="26"/>
  <c r="T62" i="26"/>
  <c r="T63" i="26"/>
  <c r="T64" i="26"/>
  <c r="T65" i="26"/>
  <c r="T66" i="26"/>
  <c r="T67" i="26"/>
  <c r="T68" i="26"/>
  <c r="T69" i="26"/>
  <c r="T70" i="26"/>
  <c r="T71" i="26"/>
  <c r="T72" i="26"/>
  <c r="T73" i="26"/>
  <c r="T74" i="26"/>
  <c r="T75" i="26"/>
  <c r="T76" i="26"/>
  <c r="T77" i="26"/>
  <c r="T78" i="26"/>
  <c r="T79" i="26"/>
  <c r="T80" i="26"/>
  <c r="T81" i="26"/>
  <c r="T82" i="26"/>
  <c r="T83" i="26"/>
  <c r="T84" i="26"/>
  <c r="T85" i="26"/>
  <c r="T86" i="26"/>
  <c r="T87" i="26"/>
  <c r="T88" i="26"/>
  <c r="T89" i="26"/>
  <c r="T90" i="26"/>
  <c r="T91" i="26"/>
  <c r="T92" i="26"/>
  <c r="T93" i="26"/>
  <c r="T94" i="26"/>
  <c r="T95" i="26"/>
  <c r="T96" i="26"/>
  <c r="T97" i="26"/>
  <c r="T98" i="26"/>
  <c r="T99" i="26"/>
  <c r="T100" i="26"/>
  <c r="T101" i="26"/>
  <c r="T102" i="26"/>
  <c r="T103" i="26"/>
  <c r="T104" i="26"/>
  <c r="T105" i="26"/>
  <c r="T106" i="26"/>
  <c r="T107" i="26"/>
  <c r="T108" i="26"/>
  <c r="T109" i="26"/>
  <c r="T110" i="26"/>
  <c r="T111" i="26"/>
  <c r="T112" i="26"/>
  <c r="T113" i="26"/>
  <c r="T114" i="26"/>
  <c r="T115" i="26"/>
  <c r="T116" i="26"/>
  <c r="T117" i="26"/>
  <c r="T118" i="26"/>
  <c r="T119" i="26"/>
  <c r="T120" i="26"/>
  <c r="T121" i="26"/>
  <c r="T122" i="26"/>
  <c r="T123" i="26"/>
  <c r="T124" i="26"/>
  <c r="T125" i="26"/>
  <c r="T126" i="26"/>
  <c r="T127" i="26"/>
  <c r="T128" i="26"/>
  <c r="T129" i="26"/>
  <c r="T130" i="26"/>
  <c r="T131" i="26"/>
  <c r="T132" i="26"/>
  <c r="T133" i="26"/>
  <c r="T134" i="26"/>
  <c r="T135" i="26"/>
  <c r="T136" i="26"/>
  <c r="T137" i="26"/>
  <c r="T138" i="26"/>
  <c r="T139" i="26"/>
  <c r="T140" i="26"/>
  <c r="T141" i="26"/>
  <c r="T142" i="26"/>
  <c r="T143" i="26"/>
  <c r="T144" i="26"/>
  <c r="T145" i="26"/>
  <c r="T146" i="26"/>
  <c r="T147" i="26"/>
  <c r="T148" i="26"/>
  <c r="T149" i="26"/>
  <c r="T150" i="26"/>
  <c r="T151" i="26"/>
  <c r="T152" i="26"/>
  <c r="T153" i="26"/>
  <c r="T154" i="26"/>
  <c r="T155" i="26"/>
  <c r="T156" i="26"/>
  <c r="T157" i="26"/>
  <c r="T158" i="26"/>
  <c r="T159" i="26"/>
  <c r="T160" i="26"/>
  <c r="T161" i="26"/>
  <c r="T162" i="26"/>
  <c r="T163" i="26"/>
  <c r="T164" i="26"/>
  <c r="T165" i="26"/>
  <c r="T166" i="26"/>
  <c r="T167" i="26"/>
  <c r="T168" i="26"/>
  <c r="T169" i="26"/>
  <c r="T170" i="26"/>
  <c r="T171" i="26"/>
  <c r="T172" i="26"/>
  <c r="T173" i="26"/>
  <c r="T174" i="26"/>
  <c r="T175" i="26"/>
  <c r="T176" i="26"/>
  <c r="T177" i="26"/>
  <c r="T178" i="26"/>
  <c r="T179" i="26"/>
  <c r="T180" i="26"/>
  <c r="T181" i="26"/>
  <c r="T182" i="26"/>
  <c r="T183" i="26"/>
  <c r="T184" i="26"/>
  <c r="T185" i="26"/>
  <c r="T186" i="26"/>
  <c r="T187" i="26"/>
  <c r="T188" i="26"/>
  <c r="T189" i="26"/>
  <c r="T190" i="26"/>
  <c r="T191" i="26"/>
  <c r="T192" i="26"/>
  <c r="T193" i="26"/>
  <c r="T194" i="26"/>
  <c r="T195" i="26"/>
  <c r="T196" i="26"/>
  <c r="T197" i="26"/>
  <c r="T198" i="26"/>
  <c r="T199" i="26"/>
  <c r="T200" i="26"/>
  <c r="T201" i="26"/>
  <c r="T202" i="26"/>
  <c r="T203" i="26"/>
  <c r="T204" i="26"/>
  <c r="T205" i="26"/>
  <c r="T206" i="26"/>
  <c r="T207" i="26"/>
  <c r="T208" i="26"/>
  <c r="T209" i="26"/>
  <c r="T210" i="26"/>
  <c r="T211" i="26"/>
  <c r="T212" i="26"/>
  <c r="T213" i="26"/>
  <c r="T214" i="26"/>
  <c r="T215" i="26"/>
  <c r="T216" i="26"/>
  <c r="T217" i="26"/>
  <c r="T218" i="26"/>
  <c r="T219" i="26"/>
  <c r="T220" i="26"/>
  <c r="T221" i="26"/>
  <c r="T222" i="26"/>
  <c r="T223" i="26"/>
  <c r="T224" i="26"/>
  <c r="T225" i="26"/>
  <c r="T226" i="26"/>
  <c r="T227" i="26"/>
  <c r="T228" i="26"/>
  <c r="T229" i="26"/>
  <c r="T230" i="26"/>
  <c r="T231" i="26"/>
  <c r="T232" i="26"/>
  <c r="T233" i="26"/>
  <c r="T234" i="26"/>
  <c r="T235" i="26"/>
  <c r="T236" i="26"/>
  <c r="T237" i="26"/>
  <c r="T238" i="26"/>
  <c r="T239" i="26"/>
  <c r="T240" i="26"/>
  <c r="T241" i="26"/>
  <c r="T242" i="26"/>
  <c r="T243" i="26"/>
  <c r="T244" i="26"/>
  <c r="T245" i="26"/>
  <c r="T246" i="26"/>
  <c r="T247" i="26"/>
  <c r="T248" i="26"/>
  <c r="T249" i="26"/>
  <c r="T250" i="26"/>
  <c r="T251" i="26"/>
  <c r="T252" i="26"/>
  <c r="T253" i="26"/>
  <c r="T254" i="26"/>
  <c r="T255" i="26"/>
  <c r="T256" i="26"/>
  <c r="T257" i="26"/>
  <c r="T258" i="26"/>
  <c r="T259" i="26"/>
  <c r="T260" i="26"/>
  <c r="T261" i="26"/>
  <c r="T262" i="26"/>
  <c r="T263" i="26"/>
  <c r="T264" i="26"/>
  <c r="T265" i="26"/>
  <c r="T266" i="26"/>
  <c r="T267" i="26"/>
  <c r="T268" i="26"/>
  <c r="T269" i="26"/>
  <c r="T270" i="26"/>
  <c r="T271" i="26"/>
  <c r="T272" i="26"/>
  <c r="T273" i="26"/>
  <c r="T274" i="26"/>
  <c r="T275" i="26"/>
  <c r="T276" i="26"/>
  <c r="T277" i="26"/>
  <c r="T278" i="26"/>
  <c r="T279" i="26"/>
  <c r="T280" i="26"/>
  <c r="T281" i="26"/>
  <c r="T282" i="26"/>
  <c r="T283" i="26"/>
  <c r="T284" i="26"/>
  <c r="T285" i="26"/>
  <c r="T286" i="26"/>
  <c r="T287" i="26"/>
  <c r="T288" i="26"/>
  <c r="T289" i="26"/>
  <c r="T290" i="26"/>
  <c r="T291" i="26"/>
  <c r="T292" i="26"/>
  <c r="T293" i="26"/>
  <c r="T294" i="26"/>
  <c r="T295" i="26"/>
  <c r="T296" i="26"/>
  <c r="T297" i="26"/>
  <c r="T298" i="26"/>
  <c r="T299" i="26"/>
  <c r="T300" i="26"/>
  <c r="T301" i="26"/>
  <c r="T302" i="26"/>
  <c r="T303" i="26"/>
  <c r="T304" i="26"/>
  <c r="T305" i="26"/>
  <c r="T306" i="26"/>
  <c r="T307" i="26"/>
  <c r="T308" i="26"/>
  <c r="T309" i="26"/>
  <c r="T310" i="26"/>
  <c r="T311" i="26"/>
  <c r="T312" i="26"/>
  <c r="T313" i="26"/>
  <c r="T314" i="26"/>
  <c r="T315" i="26"/>
  <c r="T316" i="26"/>
  <c r="T317" i="26"/>
  <c r="T318" i="26"/>
  <c r="T319" i="26"/>
  <c r="T320" i="26"/>
  <c r="T321" i="26"/>
  <c r="T322" i="26"/>
  <c r="T323" i="26"/>
  <c r="T324" i="26"/>
  <c r="T325" i="26"/>
  <c r="T326" i="26"/>
  <c r="T327" i="26"/>
  <c r="T328" i="26"/>
  <c r="T329" i="26"/>
  <c r="T330" i="26"/>
  <c r="T331" i="26"/>
  <c r="T332" i="26"/>
  <c r="T333" i="26"/>
  <c r="T334" i="26"/>
  <c r="T335" i="26"/>
  <c r="T336" i="26"/>
  <c r="T337" i="26"/>
  <c r="T338" i="26"/>
  <c r="T339" i="26"/>
  <c r="T340" i="26"/>
  <c r="T341" i="26"/>
  <c r="T342" i="26"/>
  <c r="T343" i="26"/>
  <c r="T344" i="26"/>
  <c r="T345" i="26"/>
  <c r="T346" i="26"/>
  <c r="T347" i="26"/>
  <c r="T348" i="26"/>
  <c r="T349" i="26"/>
  <c r="T350" i="26"/>
  <c r="T351" i="26"/>
  <c r="T352" i="26"/>
  <c r="T353" i="26"/>
  <c r="T354" i="26"/>
  <c r="T355" i="26"/>
  <c r="T356" i="26"/>
  <c r="T357" i="26"/>
  <c r="T358" i="26"/>
  <c r="T359" i="26"/>
  <c r="T360" i="26"/>
  <c r="T361" i="26"/>
  <c r="T362" i="26"/>
  <c r="T363" i="26"/>
  <c r="T364" i="26"/>
  <c r="T365" i="26"/>
  <c r="T366" i="26"/>
  <c r="T367" i="26"/>
  <c r="T368" i="26"/>
  <c r="T369" i="26"/>
  <c r="T370" i="26"/>
  <c r="T371" i="26"/>
  <c r="T372" i="26"/>
  <c r="T373" i="26"/>
  <c r="T374" i="26"/>
  <c r="T375" i="26"/>
  <c r="T376" i="26"/>
  <c r="T377" i="26"/>
  <c r="T378" i="26"/>
  <c r="T379" i="26"/>
  <c r="T380" i="26"/>
  <c r="T381" i="26"/>
  <c r="T382" i="26"/>
  <c r="T383" i="26"/>
  <c r="T384" i="26"/>
  <c r="T385" i="26"/>
  <c r="T386" i="26"/>
  <c r="T387" i="26"/>
  <c r="T388" i="26"/>
  <c r="T389" i="26"/>
  <c r="T390" i="26"/>
  <c r="T391" i="26"/>
  <c r="T392" i="26"/>
  <c r="T393" i="26"/>
  <c r="T394" i="26"/>
  <c r="T395" i="26"/>
  <c r="T396" i="26"/>
  <c r="T397" i="26"/>
  <c r="T398" i="26"/>
  <c r="T399" i="26"/>
  <c r="T400" i="26"/>
  <c r="T401" i="26"/>
  <c r="T402" i="26"/>
  <c r="T403" i="26"/>
  <c r="T404" i="26"/>
  <c r="T405" i="26"/>
  <c r="T406" i="26"/>
  <c r="T407" i="26"/>
  <c r="T408" i="26"/>
  <c r="T409" i="26"/>
  <c r="T410" i="26"/>
  <c r="T411" i="26"/>
  <c r="T412" i="26"/>
  <c r="T413" i="26"/>
  <c r="T414" i="26"/>
  <c r="T415" i="26"/>
  <c r="T416" i="26"/>
  <c r="T417" i="26"/>
  <c r="T418" i="26"/>
  <c r="T419" i="26"/>
  <c r="T420" i="26"/>
  <c r="T421" i="26"/>
  <c r="T422" i="26"/>
  <c r="T423" i="26"/>
  <c r="T424" i="26"/>
  <c r="T425" i="26"/>
  <c r="T426" i="26"/>
  <c r="T427" i="26"/>
  <c r="T428" i="26"/>
  <c r="T429" i="26"/>
  <c r="T430" i="26"/>
  <c r="T431" i="26"/>
  <c r="T432" i="26"/>
  <c r="T433" i="26"/>
  <c r="T434" i="26"/>
  <c r="T435" i="26"/>
  <c r="T436" i="26"/>
  <c r="T437" i="26"/>
  <c r="T438" i="26"/>
  <c r="T439" i="26"/>
  <c r="T440" i="26"/>
  <c r="T441" i="26"/>
  <c r="T442" i="26"/>
  <c r="T443" i="26"/>
  <c r="T444" i="26"/>
  <c r="T445" i="26"/>
  <c r="T446" i="26"/>
  <c r="T447" i="26"/>
  <c r="T448" i="26"/>
  <c r="T449" i="26"/>
  <c r="T450" i="26"/>
  <c r="T451" i="26"/>
  <c r="T452" i="26"/>
  <c r="T453" i="26"/>
  <c r="T454" i="26"/>
  <c r="T455" i="26"/>
  <c r="T456" i="26"/>
  <c r="T457" i="26"/>
  <c r="T458" i="26"/>
  <c r="T459" i="26"/>
  <c r="T460" i="26"/>
  <c r="T461" i="26"/>
  <c r="T462" i="26"/>
  <c r="T463" i="26"/>
  <c r="T464" i="26"/>
  <c r="T465" i="26"/>
  <c r="T466" i="26"/>
  <c r="T467" i="26"/>
  <c r="T468" i="26"/>
  <c r="T469" i="26"/>
  <c r="T470" i="26"/>
  <c r="T471" i="26"/>
  <c r="T472" i="26"/>
  <c r="T473" i="26"/>
  <c r="T474" i="26"/>
  <c r="T475" i="26"/>
  <c r="T476" i="26"/>
  <c r="T477" i="26"/>
  <c r="T478" i="26"/>
  <c r="T479" i="26"/>
  <c r="T480" i="26"/>
  <c r="T481" i="26"/>
  <c r="T482" i="26"/>
  <c r="T483" i="26"/>
  <c r="T484" i="26"/>
  <c r="T485" i="26"/>
  <c r="T486" i="26"/>
  <c r="T487" i="26"/>
  <c r="T488" i="26"/>
  <c r="T489" i="26"/>
  <c r="T490" i="26"/>
  <c r="T491" i="26"/>
  <c r="T492" i="26"/>
  <c r="T493" i="26"/>
  <c r="T494" i="26"/>
  <c r="T495" i="26"/>
  <c r="T496" i="26"/>
  <c r="T497" i="26"/>
  <c r="T498" i="26"/>
  <c r="T499" i="26"/>
  <c r="T500" i="26"/>
  <c r="T501" i="26"/>
  <c r="T502" i="26"/>
  <c r="T503" i="26"/>
  <c r="T504" i="26"/>
  <c r="T505" i="26"/>
  <c r="T506" i="26"/>
  <c r="T507" i="26"/>
  <c r="T508" i="26"/>
  <c r="T509" i="26"/>
  <c r="T510" i="26"/>
  <c r="T511" i="26"/>
  <c r="T512" i="26"/>
  <c r="T513" i="26"/>
  <c r="T514" i="26"/>
  <c r="T515" i="26"/>
  <c r="T516" i="26"/>
  <c r="T517" i="26"/>
  <c r="T518" i="26"/>
  <c r="T519" i="26"/>
  <c r="T520" i="26"/>
  <c r="T521" i="26"/>
  <c r="T522" i="26"/>
  <c r="T523" i="26"/>
  <c r="T524" i="26"/>
  <c r="T525" i="26"/>
  <c r="T526" i="26"/>
  <c r="T527" i="26"/>
  <c r="T528" i="26"/>
  <c r="T529" i="26"/>
  <c r="T530" i="26"/>
  <c r="T531" i="26"/>
  <c r="T532" i="26"/>
  <c r="T533" i="26"/>
  <c r="T534" i="26"/>
  <c r="T535" i="26"/>
  <c r="T536" i="26"/>
  <c r="T537" i="26"/>
  <c r="T538" i="26"/>
  <c r="T539" i="26"/>
  <c r="T540" i="26"/>
  <c r="T541" i="26"/>
  <c r="T542" i="26"/>
  <c r="T543" i="26"/>
  <c r="T544" i="26"/>
  <c r="T545" i="26"/>
  <c r="T546" i="26"/>
  <c r="T547" i="26"/>
  <c r="T548" i="26"/>
  <c r="T549" i="26"/>
  <c r="T550" i="26"/>
  <c r="T551" i="26"/>
  <c r="T552" i="26"/>
  <c r="T553" i="26"/>
  <c r="T554" i="26"/>
  <c r="T555" i="26"/>
  <c r="T556" i="26"/>
  <c r="T557" i="26"/>
  <c r="T558" i="26"/>
  <c r="T559" i="26"/>
  <c r="T560" i="26"/>
  <c r="T561" i="26"/>
  <c r="T562" i="26"/>
  <c r="T563" i="26"/>
  <c r="T564" i="26"/>
  <c r="T565" i="26"/>
  <c r="T566" i="26"/>
  <c r="T567" i="26"/>
  <c r="T568" i="26"/>
  <c r="T569" i="26"/>
  <c r="T570" i="26"/>
  <c r="T571" i="26"/>
  <c r="T572" i="26"/>
  <c r="T573" i="26"/>
  <c r="T574" i="26"/>
  <c r="T575" i="26"/>
  <c r="T576" i="26"/>
  <c r="T577" i="26"/>
  <c r="T578" i="26"/>
  <c r="T579" i="26"/>
  <c r="T580" i="26"/>
  <c r="T581" i="26"/>
  <c r="T582" i="26"/>
  <c r="T583" i="26"/>
  <c r="T584" i="26"/>
  <c r="T585" i="26"/>
  <c r="T586" i="26"/>
  <c r="T587" i="26"/>
  <c r="T588" i="26"/>
  <c r="T589" i="26"/>
  <c r="T590" i="26"/>
  <c r="T591" i="26"/>
  <c r="T592" i="26"/>
  <c r="T593" i="26"/>
  <c r="T594" i="26"/>
  <c r="T595" i="26"/>
  <c r="T596" i="26"/>
  <c r="T597" i="26"/>
  <c r="T598" i="26"/>
  <c r="T599" i="26"/>
  <c r="T600" i="26"/>
  <c r="T601" i="26"/>
  <c r="T602" i="26"/>
  <c r="T603" i="26"/>
  <c r="T604" i="26"/>
  <c r="T605" i="26"/>
  <c r="T606" i="26"/>
  <c r="T607" i="26"/>
  <c r="T608" i="26"/>
  <c r="T609" i="26"/>
  <c r="T610" i="26"/>
  <c r="T611" i="26"/>
  <c r="T612" i="26"/>
  <c r="T613" i="26"/>
  <c r="T614" i="26"/>
  <c r="T615" i="26"/>
  <c r="T616" i="26"/>
  <c r="T617" i="26"/>
  <c r="T618" i="26"/>
  <c r="T619" i="26"/>
  <c r="T620" i="26"/>
  <c r="T621" i="26"/>
  <c r="T622" i="26"/>
  <c r="T623" i="26"/>
  <c r="T624" i="26"/>
  <c r="T625" i="26"/>
  <c r="T626" i="26"/>
  <c r="T627" i="26"/>
  <c r="T628" i="26"/>
  <c r="T629" i="26"/>
  <c r="T630" i="26"/>
  <c r="T631" i="26"/>
  <c r="T632" i="26"/>
  <c r="T633" i="26"/>
  <c r="T634" i="26"/>
  <c r="T635" i="26"/>
  <c r="T636" i="26"/>
  <c r="T637" i="26"/>
  <c r="T638" i="26"/>
  <c r="T639" i="26"/>
  <c r="T640" i="26"/>
  <c r="T641" i="26"/>
  <c r="T642" i="26"/>
  <c r="T643" i="26"/>
  <c r="T644" i="26"/>
  <c r="T645" i="26"/>
  <c r="T646" i="26"/>
  <c r="T647" i="26"/>
  <c r="T648" i="26"/>
  <c r="T33" i="26"/>
  <c r="B8" i="26" l="1" a="1"/>
  <c r="B8" i="26" s="1"/>
  <c r="B5" i="26" a="1"/>
  <c r="B5" i="26" s="1"/>
  <c r="J24" i="26"/>
  <c r="G31" i="26"/>
  <c r="A11" i="26"/>
  <c r="N11" i="26"/>
  <c r="N24" i="26"/>
  <c r="A24" i="26"/>
  <c r="A8" i="26"/>
  <c r="N8" i="26"/>
  <c r="A21" i="26"/>
  <c r="N21" i="26"/>
  <c r="A14" i="26"/>
  <c r="N5" i="26"/>
  <c r="N27" i="26"/>
  <c r="A18" i="26"/>
  <c r="A27" i="26"/>
  <c r="O18" i="26" a="1"/>
  <c r="O18" i="26" s="1"/>
  <c r="B31" i="26"/>
  <c r="B27" i="26" a="1"/>
  <c r="B27" i="26" s="1"/>
  <c r="O14" i="26" a="1"/>
  <c r="O14" i="26" s="1"/>
  <c r="J8" i="26"/>
  <c r="J11" i="26"/>
  <c r="B24" i="26" a="1"/>
  <c r="B24" i="26" s="1"/>
  <c r="J18" i="26"/>
  <c r="B21" i="26" a="1"/>
  <c r="B21" i="26" s="1"/>
  <c r="J21" i="26"/>
  <c r="J5" i="26"/>
  <c r="I14" i="26"/>
  <c r="B11" i="26" a="1"/>
  <c r="B11" i="26" s="1"/>
  <c r="N14" i="26"/>
  <c r="O24" i="26" a="1"/>
  <c r="O24" i="26" s="1"/>
  <c r="O21" i="26" a="1"/>
  <c r="O21" i="26" s="1"/>
  <c r="B18" i="26" a="1"/>
  <c r="B18" i="26" s="1"/>
  <c r="N31" i="26"/>
  <c r="O27" i="26" a="1"/>
  <c r="O27" i="26" s="1"/>
  <c r="O5" i="26" a="1"/>
  <c r="O5" i="26" s="1"/>
  <c r="O31" i="26"/>
  <c r="O8" i="26" a="1"/>
  <c r="O8" i="26" s="1"/>
  <c r="A5" i="26"/>
  <c r="B14" i="26" a="1"/>
  <c r="B14" i="26" s="1"/>
  <c r="N18" i="26"/>
  <c r="O11" i="26" a="1"/>
  <c r="O11" i="26" s="1"/>
  <c r="A31" i="26"/>
  <c r="I27" i="26"/>
  <c r="J27" i="26" s="1"/>
  <c r="F18" i="26"/>
  <c r="P18" i="26" s="1"/>
  <c r="F24" i="26"/>
  <c r="P24" i="26" s="1"/>
  <c r="D14" i="26"/>
  <c r="L27" i="26"/>
  <c r="D27" i="26"/>
  <c r="L14" i="26"/>
  <c r="M14" i="26"/>
  <c r="K14" i="26"/>
  <c r="K27" i="26"/>
  <c r="F21" i="26"/>
  <c r="C21" i="26" s="1"/>
  <c r="M27" i="26"/>
  <c r="E14" i="26"/>
  <c r="F5" i="26"/>
  <c r="P5" i="26" s="1"/>
  <c r="E27" i="26"/>
  <c r="F8" i="26"/>
  <c r="C8" i="26" s="1"/>
  <c r="F11" i="26"/>
  <c r="C11" i="26" s="1"/>
  <c r="H20" i="24"/>
  <c r="H17" i="24"/>
  <c r="H14" i="24"/>
  <c r="H11" i="24"/>
  <c r="H8" i="24"/>
  <c r="H23" i="24" s="1"/>
  <c r="J14" i="26" l="1"/>
  <c r="C5" i="26"/>
  <c r="D31" i="26"/>
  <c r="K31" i="26"/>
  <c r="L31" i="26"/>
  <c r="I31" i="26"/>
  <c r="M31" i="26"/>
  <c r="E31" i="26"/>
  <c r="C18" i="26"/>
  <c r="C24" i="26"/>
  <c r="P21" i="26"/>
  <c r="F14" i="26"/>
  <c r="C14" i="26" s="1"/>
  <c r="F27" i="26"/>
  <c r="P11" i="26"/>
  <c r="P8" i="26"/>
  <c r="D8" i="25"/>
  <c r="E8" i="25"/>
  <c r="F8" i="25"/>
  <c r="H8" i="25"/>
  <c r="I8" i="25"/>
  <c r="J8" i="25"/>
  <c r="K8" i="25"/>
  <c r="L8" i="25"/>
  <c r="M8" i="25"/>
  <c r="D11" i="25"/>
  <c r="E11" i="25"/>
  <c r="F11" i="25"/>
  <c r="H11" i="25"/>
  <c r="I11" i="25"/>
  <c r="J11" i="25"/>
  <c r="K11" i="25"/>
  <c r="L11" i="25"/>
  <c r="M11" i="25"/>
  <c r="D5" i="25"/>
  <c r="E5" i="25"/>
  <c r="F5" i="25"/>
  <c r="I5" i="25"/>
  <c r="J5" i="25"/>
  <c r="K5" i="25"/>
  <c r="L5" i="25"/>
  <c r="M5" i="25"/>
  <c r="U636" i="25"/>
  <c r="U635" i="25"/>
  <c r="U634" i="25"/>
  <c r="U633" i="25"/>
  <c r="U632" i="25"/>
  <c r="U631" i="25"/>
  <c r="U630" i="25"/>
  <c r="U629" i="25"/>
  <c r="U628" i="25"/>
  <c r="U627" i="25"/>
  <c r="U626" i="25"/>
  <c r="U625" i="25"/>
  <c r="U624" i="25"/>
  <c r="U623" i="25"/>
  <c r="U622" i="25"/>
  <c r="U621" i="25"/>
  <c r="U620" i="25"/>
  <c r="U619" i="25"/>
  <c r="U618" i="25"/>
  <c r="U617" i="25"/>
  <c r="U616" i="25"/>
  <c r="U615" i="25"/>
  <c r="U614" i="25"/>
  <c r="U613" i="25"/>
  <c r="U612" i="25"/>
  <c r="U611" i="25"/>
  <c r="U610" i="25"/>
  <c r="U609" i="25"/>
  <c r="U608" i="25"/>
  <c r="U607" i="25"/>
  <c r="U606" i="25"/>
  <c r="U605" i="25"/>
  <c r="U604" i="25"/>
  <c r="W603" i="25"/>
  <c r="U603" i="25"/>
  <c r="W602" i="25"/>
  <c r="U602" i="25"/>
  <c r="W601" i="25"/>
  <c r="U601" i="25"/>
  <c r="W600" i="25"/>
  <c r="U600" i="25"/>
  <c r="W599" i="25"/>
  <c r="U599" i="25"/>
  <c r="W598" i="25"/>
  <c r="U598" i="25"/>
  <c r="W597" i="25"/>
  <c r="U597" i="25"/>
  <c r="W596" i="25"/>
  <c r="U596" i="25"/>
  <c r="W595" i="25"/>
  <c r="U595" i="25"/>
  <c r="W594" i="25"/>
  <c r="U594" i="25"/>
  <c r="W593" i="25"/>
  <c r="U593" i="25"/>
  <c r="W592" i="25"/>
  <c r="U592" i="25"/>
  <c r="W591" i="25"/>
  <c r="U591" i="25"/>
  <c r="W590" i="25"/>
  <c r="U590" i="25"/>
  <c r="W589" i="25"/>
  <c r="U589" i="25"/>
  <c r="W588" i="25"/>
  <c r="U588" i="25"/>
  <c r="W587" i="25"/>
  <c r="U587" i="25"/>
  <c r="W586" i="25"/>
  <c r="U586" i="25"/>
  <c r="W585" i="25"/>
  <c r="U585" i="25"/>
  <c r="W584" i="25"/>
  <c r="U584" i="25"/>
  <c r="W583" i="25"/>
  <c r="U583" i="25"/>
  <c r="W582" i="25"/>
  <c r="U582" i="25"/>
  <c r="W581" i="25"/>
  <c r="U581" i="25"/>
  <c r="W580" i="25"/>
  <c r="U580" i="25"/>
  <c r="W579" i="25"/>
  <c r="U579" i="25"/>
  <c r="W578" i="25"/>
  <c r="U578" i="25"/>
  <c r="W577" i="25"/>
  <c r="U577" i="25"/>
  <c r="W576" i="25"/>
  <c r="U576" i="25"/>
  <c r="W575" i="25"/>
  <c r="U575" i="25"/>
  <c r="W574" i="25"/>
  <c r="U574" i="25"/>
  <c r="W573" i="25"/>
  <c r="U573" i="25"/>
  <c r="W572" i="25"/>
  <c r="U572" i="25"/>
  <c r="W571" i="25"/>
  <c r="U571" i="25"/>
  <c r="W570" i="25"/>
  <c r="U570" i="25"/>
  <c r="W569" i="25"/>
  <c r="U569" i="25"/>
  <c r="W568" i="25"/>
  <c r="U568" i="25"/>
  <c r="W567" i="25"/>
  <c r="U567" i="25"/>
  <c r="W566" i="25"/>
  <c r="U566" i="25"/>
  <c r="W565" i="25"/>
  <c r="U565" i="25"/>
  <c r="W564" i="25"/>
  <c r="U564" i="25"/>
  <c r="W563" i="25"/>
  <c r="U563" i="25"/>
  <c r="W562" i="25"/>
  <c r="U562" i="25"/>
  <c r="W561" i="25"/>
  <c r="U561" i="25"/>
  <c r="W560" i="25"/>
  <c r="U560" i="25"/>
  <c r="W559" i="25"/>
  <c r="U559" i="25"/>
  <c r="W558" i="25"/>
  <c r="U558" i="25"/>
  <c r="W557" i="25"/>
  <c r="U557" i="25"/>
  <c r="W556" i="25"/>
  <c r="U556" i="25"/>
  <c r="W555" i="25"/>
  <c r="U555" i="25"/>
  <c r="W554" i="25"/>
  <c r="U554" i="25"/>
  <c r="W553" i="25"/>
  <c r="U553" i="25"/>
  <c r="W552" i="25"/>
  <c r="U552" i="25"/>
  <c r="W551" i="25"/>
  <c r="U551" i="25"/>
  <c r="W550" i="25"/>
  <c r="U550" i="25"/>
  <c r="W549" i="25"/>
  <c r="U549" i="25"/>
  <c r="W548" i="25"/>
  <c r="U548" i="25"/>
  <c r="W547" i="25"/>
  <c r="U547" i="25"/>
  <c r="W546" i="25"/>
  <c r="U546" i="25"/>
  <c r="W545" i="25"/>
  <c r="U545" i="25"/>
  <c r="W544" i="25"/>
  <c r="U544" i="25"/>
  <c r="W543" i="25"/>
  <c r="U543" i="25"/>
  <c r="W542" i="25"/>
  <c r="U542" i="25"/>
  <c r="W541" i="25"/>
  <c r="U541" i="25"/>
  <c r="W540" i="25"/>
  <c r="U540" i="25"/>
  <c r="W539" i="25"/>
  <c r="U539" i="25"/>
  <c r="W538" i="25"/>
  <c r="U538" i="25"/>
  <c r="W537" i="25"/>
  <c r="U537" i="25"/>
  <c r="W536" i="25"/>
  <c r="U536" i="25"/>
  <c r="W535" i="25"/>
  <c r="U535" i="25"/>
  <c r="W534" i="25"/>
  <c r="U534" i="25"/>
  <c r="W533" i="25"/>
  <c r="U533" i="25"/>
  <c r="W532" i="25"/>
  <c r="U532" i="25"/>
  <c r="W531" i="25"/>
  <c r="U531" i="25"/>
  <c r="W530" i="25"/>
  <c r="U530" i="25"/>
  <c r="W529" i="25"/>
  <c r="U529" i="25"/>
  <c r="W528" i="25"/>
  <c r="U528" i="25"/>
  <c r="W527" i="25"/>
  <c r="U527" i="25"/>
  <c r="W526" i="25"/>
  <c r="U526" i="25"/>
  <c r="W525" i="25"/>
  <c r="U525" i="25"/>
  <c r="W524" i="25"/>
  <c r="U524" i="25"/>
  <c r="W523" i="25"/>
  <c r="U523" i="25"/>
  <c r="W522" i="25"/>
  <c r="U522" i="25"/>
  <c r="W521" i="25"/>
  <c r="U521" i="25"/>
  <c r="W520" i="25"/>
  <c r="U520" i="25"/>
  <c r="W519" i="25"/>
  <c r="U519" i="25"/>
  <c r="W518" i="25"/>
  <c r="U518" i="25"/>
  <c r="W517" i="25"/>
  <c r="U517" i="25"/>
  <c r="W516" i="25"/>
  <c r="U516" i="25"/>
  <c r="W515" i="25"/>
  <c r="U515" i="25"/>
  <c r="W514" i="25"/>
  <c r="U514" i="25"/>
  <c r="W513" i="25"/>
  <c r="U513" i="25"/>
  <c r="W512" i="25"/>
  <c r="U512" i="25"/>
  <c r="W511" i="25"/>
  <c r="U511" i="25"/>
  <c r="W510" i="25"/>
  <c r="U510" i="25"/>
  <c r="W509" i="25"/>
  <c r="U509" i="25"/>
  <c r="W508" i="25"/>
  <c r="U508" i="25"/>
  <c r="W507" i="25"/>
  <c r="U507" i="25"/>
  <c r="W506" i="25"/>
  <c r="U506" i="25"/>
  <c r="W505" i="25"/>
  <c r="U505" i="25"/>
  <c r="W504" i="25"/>
  <c r="U504" i="25"/>
  <c r="W503" i="25"/>
  <c r="U503" i="25"/>
  <c r="W502" i="25"/>
  <c r="U502" i="25"/>
  <c r="W501" i="25"/>
  <c r="U501" i="25"/>
  <c r="W500" i="25"/>
  <c r="U500" i="25"/>
  <c r="W499" i="25"/>
  <c r="U499" i="25"/>
  <c r="W498" i="25"/>
  <c r="U498" i="25"/>
  <c r="W497" i="25"/>
  <c r="U497" i="25"/>
  <c r="W496" i="25"/>
  <c r="U496" i="25"/>
  <c r="W495" i="25"/>
  <c r="U495" i="25"/>
  <c r="W494" i="25"/>
  <c r="U494" i="25"/>
  <c r="W493" i="25"/>
  <c r="U493" i="25"/>
  <c r="W492" i="25"/>
  <c r="U492" i="25"/>
  <c r="W491" i="25"/>
  <c r="U491" i="25"/>
  <c r="W490" i="25"/>
  <c r="U490" i="25"/>
  <c r="W489" i="25"/>
  <c r="U489" i="25"/>
  <c r="W488" i="25"/>
  <c r="U488" i="25"/>
  <c r="W487" i="25"/>
  <c r="U487" i="25"/>
  <c r="W486" i="25"/>
  <c r="U486" i="25"/>
  <c r="W485" i="25"/>
  <c r="U485" i="25"/>
  <c r="W484" i="25"/>
  <c r="U484" i="25"/>
  <c r="W483" i="25"/>
  <c r="U483" i="25"/>
  <c r="W482" i="25"/>
  <c r="U482" i="25"/>
  <c r="W481" i="25"/>
  <c r="U481" i="25"/>
  <c r="W480" i="25"/>
  <c r="U480" i="25"/>
  <c r="W479" i="25"/>
  <c r="U479" i="25"/>
  <c r="W478" i="25"/>
  <c r="U478" i="25"/>
  <c r="W477" i="25"/>
  <c r="U477" i="25"/>
  <c r="W476" i="25"/>
  <c r="U476" i="25"/>
  <c r="W475" i="25"/>
  <c r="U475" i="25"/>
  <c r="W474" i="25"/>
  <c r="U474" i="25"/>
  <c r="W473" i="25"/>
  <c r="U473" i="25"/>
  <c r="W472" i="25"/>
  <c r="U472" i="25"/>
  <c r="W471" i="25"/>
  <c r="U471" i="25"/>
  <c r="W470" i="25"/>
  <c r="U470" i="25"/>
  <c r="W469" i="25"/>
  <c r="U469" i="25"/>
  <c r="W468" i="25"/>
  <c r="U468" i="25"/>
  <c r="W467" i="25"/>
  <c r="U467" i="25"/>
  <c r="W466" i="25"/>
  <c r="U466" i="25"/>
  <c r="W465" i="25"/>
  <c r="U465" i="25"/>
  <c r="W464" i="25"/>
  <c r="U464" i="25"/>
  <c r="W463" i="25"/>
  <c r="U463" i="25"/>
  <c r="W462" i="25"/>
  <c r="U462" i="25"/>
  <c r="W461" i="25"/>
  <c r="U461" i="25"/>
  <c r="W460" i="25"/>
  <c r="U460" i="25"/>
  <c r="W459" i="25"/>
  <c r="U459" i="25"/>
  <c r="W458" i="25"/>
  <c r="U458" i="25"/>
  <c r="W457" i="25"/>
  <c r="U457" i="25"/>
  <c r="W456" i="25"/>
  <c r="U456" i="25"/>
  <c r="W455" i="25"/>
  <c r="U455" i="25"/>
  <c r="W454" i="25"/>
  <c r="U454" i="25"/>
  <c r="W453" i="25"/>
  <c r="U453" i="25"/>
  <c r="W452" i="25"/>
  <c r="U452" i="25"/>
  <c r="W451" i="25"/>
  <c r="U451" i="25"/>
  <c r="W450" i="25"/>
  <c r="U450" i="25"/>
  <c r="W449" i="25"/>
  <c r="U449" i="25"/>
  <c r="W448" i="25"/>
  <c r="U448" i="25"/>
  <c r="W447" i="25"/>
  <c r="U447" i="25"/>
  <c r="W446" i="25"/>
  <c r="U446" i="25"/>
  <c r="W445" i="25"/>
  <c r="U445" i="25"/>
  <c r="W444" i="25"/>
  <c r="U444" i="25"/>
  <c r="W443" i="25"/>
  <c r="U443" i="25"/>
  <c r="W442" i="25"/>
  <c r="U442" i="25"/>
  <c r="W441" i="25"/>
  <c r="U441" i="25"/>
  <c r="W440" i="25"/>
  <c r="U440" i="25"/>
  <c r="W439" i="25"/>
  <c r="U439" i="25"/>
  <c r="W438" i="25"/>
  <c r="U438" i="25"/>
  <c r="W437" i="25"/>
  <c r="U437" i="25"/>
  <c r="W436" i="25"/>
  <c r="U436" i="25"/>
  <c r="W435" i="25"/>
  <c r="U435" i="25"/>
  <c r="W434" i="25"/>
  <c r="U434" i="25"/>
  <c r="W433" i="25"/>
  <c r="U433" i="25"/>
  <c r="W432" i="25"/>
  <c r="U432" i="25"/>
  <c r="W431" i="25"/>
  <c r="U431" i="25"/>
  <c r="W430" i="25"/>
  <c r="U430" i="25"/>
  <c r="W429" i="25"/>
  <c r="U429" i="25"/>
  <c r="W428" i="25"/>
  <c r="U428" i="25"/>
  <c r="W427" i="25"/>
  <c r="U427" i="25"/>
  <c r="W426" i="25"/>
  <c r="U426" i="25"/>
  <c r="W425" i="25"/>
  <c r="U425" i="25"/>
  <c r="W424" i="25"/>
  <c r="U424" i="25"/>
  <c r="W423" i="25"/>
  <c r="U423" i="25"/>
  <c r="W422" i="25"/>
  <c r="U422" i="25"/>
  <c r="W421" i="25"/>
  <c r="U421" i="25"/>
  <c r="W420" i="25"/>
  <c r="U420" i="25"/>
  <c r="W419" i="25"/>
  <c r="U419" i="25"/>
  <c r="W418" i="25"/>
  <c r="U418" i="25"/>
  <c r="W417" i="25"/>
  <c r="U417" i="25"/>
  <c r="W416" i="25"/>
  <c r="U416" i="25"/>
  <c r="W415" i="25"/>
  <c r="U415" i="25"/>
  <c r="W414" i="25"/>
  <c r="U414" i="25"/>
  <c r="W413" i="25"/>
  <c r="U413" i="25"/>
  <c r="W412" i="25"/>
  <c r="U412" i="25"/>
  <c r="W411" i="25"/>
  <c r="U411" i="25"/>
  <c r="W410" i="25"/>
  <c r="U410" i="25"/>
  <c r="W409" i="25"/>
  <c r="U409" i="25"/>
  <c r="W408" i="25"/>
  <c r="U408" i="25"/>
  <c r="W407" i="25"/>
  <c r="U407" i="25"/>
  <c r="W406" i="25"/>
  <c r="U406" i="25"/>
  <c r="W405" i="25"/>
  <c r="U405" i="25"/>
  <c r="W404" i="25"/>
  <c r="U404" i="25"/>
  <c r="W403" i="25"/>
  <c r="U403" i="25"/>
  <c r="W402" i="25"/>
  <c r="U402" i="25"/>
  <c r="W401" i="25"/>
  <c r="U401" i="25"/>
  <c r="W400" i="25"/>
  <c r="U400" i="25"/>
  <c r="W399" i="25"/>
  <c r="U399" i="25"/>
  <c r="W398" i="25"/>
  <c r="U398" i="25"/>
  <c r="W397" i="25"/>
  <c r="U397" i="25"/>
  <c r="W396" i="25"/>
  <c r="U396" i="25"/>
  <c r="W395" i="25"/>
  <c r="U395" i="25"/>
  <c r="W394" i="25"/>
  <c r="U394" i="25"/>
  <c r="W393" i="25"/>
  <c r="U393" i="25"/>
  <c r="W392" i="25"/>
  <c r="U392" i="25"/>
  <c r="W391" i="25"/>
  <c r="U391" i="25"/>
  <c r="W390" i="25"/>
  <c r="U390" i="25"/>
  <c r="W389" i="25"/>
  <c r="U389" i="25"/>
  <c r="W388" i="25"/>
  <c r="U388" i="25"/>
  <c r="W387" i="25"/>
  <c r="U387" i="25"/>
  <c r="W386" i="25"/>
  <c r="U386" i="25"/>
  <c r="W385" i="25"/>
  <c r="U385" i="25"/>
  <c r="W384" i="25"/>
  <c r="U384" i="25"/>
  <c r="W383" i="25"/>
  <c r="U383" i="25"/>
  <c r="W382" i="25"/>
  <c r="U382" i="25"/>
  <c r="W381" i="25"/>
  <c r="U381" i="25"/>
  <c r="W380" i="25"/>
  <c r="U380" i="25"/>
  <c r="W379" i="25"/>
  <c r="U379" i="25"/>
  <c r="W378" i="25"/>
  <c r="U378" i="25"/>
  <c r="W377" i="25"/>
  <c r="U377" i="25"/>
  <c r="W376" i="25"/>
  <c r="U376" i="25"/>
  <c r="W375" i="25"/>
  <c r="U375" i="25"/>
  <c r="W374" i="25"/>
  <c r="U374" i="25"/>
  <c r="W373" i="25"/>
  <c r="U373" i="25"/>
  <c r="W372" i="25"/>
  <c r="U372" i="25"/>
  <c r="W371" i="25"/>
  <c r="U371" i="25"/>
  <c r="W370" i="25"/>
  <c r="U370" i="25"/>
  <c r="W369" i="25"/>
  <c r="U369" i="25"/>
  <c r="W368" i="25"/>
  <c r="U368" i="25"/>
  <c r="W367" i="25"/>
  <c r="U367" i="25"/>
  <c r="W366" i="25"/>
  <c r="U366" i="25"/>
  <c r="W365" i="25"/>
  <c r="U365" i="25"/>
  <c r="W364" i="25"/>
  <c r="U364" i="25"/>
  <c r="W363" i="25"/>
  <c r="U363" i="25"/>
  <c r="W362" i="25"/>
  <c r="U362" i="25"/>
  <c r="W361" i="25"/>
  <c r="U361" i="25"/>
  <c r="W360" i="25"/>
  <c r="U360" i="25"/>
  <c r="W359" i="25"/>
  <c r="U359" i="25"/>
  <c r="W358" i="25"/>
  <c r="U358" i="25"/>
  <c r="W357" i="25"/>
  <c r="U357" i="25"/>
  <c r="W356" i="25"/>
  <c r="U356" i="25"/>
  <c r="W355" i="25"/>
  <c r="U355" i="25"/>
  <c r="W354" i="25"/>
  <c r="U354" i="25"/>
  <c r="W353" i="25"/>
  <c r="U353" i="25"/>
  <c r="W352" i="25"/>
  <c r="U352" i="25"/>
  <c r="W351" i="25"/>
  <c r="U351" i="25"/>
  <c r="W350" i="25"/>
  <c r="U350" i="25"/>
  <c r="W349" i="25"/>
  <c r="U349" i="25"/>
  <c r="W348" i="25"/>
  <c r="U348" i="25"/>
  <c r="W347" i="25"/>
  <c r="U347" i="25"/>
  <c r="W346" i="25"/>
  <c r="U346" i="25"/>
  <c r="W345" i="25"/>
  <c r="U345" i="25"/>
  <c r="W344" i="25"/>
  <c r="U344" i="25"/>
  <c r="W343" i="25"/>
  <c r="U343" i="25"/>
  <c r="W342" i="25"/>
  <c r="U342" i="25"/>
  <c r="W341" i="25"/>
  <c r="U341" i="25"/>
  <c r="W340" i="25"/>
  <c r="U340" i="25"/>
  <c r="W339" i="25"/>
  <c r="U339" i="25"/>
  <c r="W338" i="25"/>
  <c r="U338" i="25"/>
  <c r="W337" i="25"/>
  <c r="U337" i="25"/>
  <c r="W336" i="25"/>
  <c r="U336" i="25"/>
  <c r="W335" i="25"/>
  <c r="U335" i="25"/>
  <c r="W334" i="25"/>
  <c r="U334" i="25"/>
  <c r="W333" i="25"/>
  <c r="U333" i="25"/>
  <c r="W332" i="25"/>
  <c r="U332" i="25"/>
  <c r="W331" i="25"/>
  <c r="U331" i="25"/>
  <c r="W330" i="25"/>
  <c r="U330" i="25"/>
  <c r="W329" i="25"/>
  <c r="U329" i="25"/>
  <c r="W328" i="25"/>
  <c r="U328" i="25"/>
  <c r="W327" i="25"/>
  <c r="U327" i="25"/>
  <c r="W326" i="25"/>
  <c r="U326" i="25"/>
  <c r="W325" i="25"/>
  <c r="U325" i="25"/>
  <c r="W324" i="25"/>
  <c r="U324" i="25"/>
  <c r="W323" i="25"/>
  <c r="U323" i="25"/>
  <c r="W322" i="25"/>
  <c r="U322" i="25"/>
  <c r="W321" i="25"/>
  <c r="U321" i="25"/>
  <c r="W320" i="25"/>
  <c r="U320" i="25"/>
  <c r="W319" i="25"/>
  <c r="U319" i="25"/>
  <c r="W318" i="25"/>
  <c r="U318" i="25"/>
  <c r="W317" i="25"/>
  <c r="U317" i="25"/>
  <c r="W316" i="25"/>
  <c r="U316" i="25"/>
  <c r="W315" i="25"/>
  <c r="U315" i="25"/>
  <c r="W314" i="25"/>
  <c r="U314" i="25"/>
  <c r="W313" i="25"/>
  <c r="U313" i="25"/>
  <c r="W312" i="25"/>
  <c r="U312" i="25"/>
  <c r="W311" i="25"/>
  <c r="U311" i="25"/>
  <c r="W310" i="25"/>
  <c r="U310" i="25"/>
  <c r="W309" i="25"/>
  <c r="U309" i="25"/>
  <c r="W308" i="25"/>
  <c r="U308" i="25"/>
  <c r="W307" i="25"/>
  <c r="U307" i="25"/>
  <c r="W306" i="25"/>
  <c r="U306" i="25"/>
  <c r="W305" i="25"/>
  <c r="U305" i="25"/>
  <c r="W304" i="25"/>
  <c r="U304" i="25"/>
  <c r="W303" i="25"/>
  <c r="U303" i="25"/>
  <c r="W302" i="25"/>
  <c r="U302" i="25"/>
  <c r="W301" i="25"/>
  <c r="U301" i="25"/>
  <c r="W300" i="25"/>
  <c r="U300" i="25"/>
  <c r="W299" i="25"/>
  <c r="U299" i="25"/>
  <c r="W298" i="25"/>
  <c r="U298" i="25"/>
  <c r="W297" i="25"/>
  <c r="U297" i="25"/>
  <c r="W296" i="25"/>
  <c r="U296" i="25"/>
  <c r="W295" i="25"/>
  <c r="U295" i="25"/>
  <c r="W294" i="25"/>
  <c r="U294" i="25"/>
  <c r="W293" i="25"/>
  <c r="U293" i="25"/>
  <c r="W292" i="25"/>
  <c r="U292" i="25"/>
  <c r="W291" i="25"/>
  <c r="U291" i="25"/>
  <c r="W290" i="25"/>
  <c r="U290" i="25"/>
  <c r="W289" i="25"/>
  <c r="U289" i="25"/>
  <c r="W288" i="25"/>
  <c r="U288" i="25"/>
  <c r="W287" i="25"/>
  <c r="U287" i="25"/>
  <c r="W286" i="25"/>
  <c r="U286" i="25"/>
  <c r="W285" i="25"/>
  <c r="U285" i="25"/>
  <c r="W284" i="25"/>
  <c r="U284" i="25"/>
  <c r="W283" i="25"/>
  <c r="U283" i="25"/>
  <c r="W282" i="25"/>
  <c r="U282" i="25"/>
  <c r="W281" i="25"/>
  <c r="U281" i="25"/>
  <c r="W280" i="25"/>
  <c r="U280" i="25"/>
  <c r="W279" i="25"/>
  <c r="U279" i="25"/>
  <c r="W278" i="25"/>
  <c r="U278" i="25"/>
  <c r="W277" i="25"/>
  <c r="U277" i="25"/>
  <c r="W276" i="25"/>
  <c r="U276" i="25"/>
  <c r="W275" i="25"/>
  <c r="U275" i="25"/>
  <c r="W274" i="25"/>
  <c r="U274" i="25"/>
  <c r="W273" i="25"/>
  <c r="U273" i="25"/>
  <c r="W272" i="25"/>
  <c r="U272" i="25"/>
  <c r="W271" i="25"/>
  <c r="U271" i="25"/>
  <c r="W270" i="25"/>
  <c r="U270" i="25"/>
  <c r="W269" i="25"/>
  <c r="U269" i="25"/>
  <c r="W268" i="25"/>
  <c r="U268" i="25"/>
  <c r="W267" i="25"/>
  <c r="U267" i="25"/>
  <c r="W266" i="25"/>
  <c r="U266" i="25"/>
  <c r="W265" i="25"/>
  <c r="U265" i="25"/>
  <c r="W264" i="25"/>
  <c r="U264" i="25"/>
  <c r="W263" i="25"/>
  <c r="U263" i="25"/>
  <c r="W262" i="25"/>
  <c r="U262" i="25"/>
  <c r="W261" i="25"/>
  <c r="U261" i="25"/>
  <c r="W260" i="25"/>
  <c r="U260" i="25"/>
  <c r="W259" i="25"/>
  <c r="U259" i="25"/>
  <c r="W258" i="25"/>
  <c r="U258" i="25"/>
  <c r="W257" i="25"/>
  <c r="U257" i="25"/>
  <c r="W256" i="25"/>
  <c r="U256" i="25"/>
  <c r="W255" i="25"/>
  <c r="U255" i="25"/>
  <c r="W254" i="25"/>
  <c r="U254" i="25"/>
  <c r="W253" i="25"/>
  <c r="U253" i="25"/>
  <c r="W252" i="25"/>
  <c r="U252" i="25"/>
  <c r="W251" i="25"/>
  <c r="U251" i="25"/>
  <c r="W250" i="25"/>
  <c r="U250" i="25"/>
  <c r="W249" i="25"/>
  <c r="U249" i="25"/>
  <c r="W248" i="25"/>
  <c r="U248" i="25"/>
  <c r="W247" i="25"/>
  <c r="U247" i="25"/>
  <c r="W246" i="25"/>
  <c r="U246" i="25"/>
  <c r="W245" i="25"/>
  <c r="U245" i="25"/>
  <c r="W244" i="25"/>
  <c r="U244" i="25"/>
  <c r="W243" i="25"/>
  <c r="U243" i="25"/>
  <c r="W242" i="25"/>
  <c r="U242" i="25"/>
  <c r="W241" i="25"/>
  <c r="U241" i="25"/>
  <c r="W240" i="25"/>
  <c r="U240" i="25"/>
  <c r="W239" i="25"/>
  <c r="U239" i="25"/>
  <c r="W238" i="25"/>
  <c r="U238" i="25"/>
  <c r="W237" i="25"/>
  <c r="U237" i="25"/>
  <c r="W236" i="25"/>
  <c r="U236" i="25"/>
  <c r="W235" i="25"/>
  <c r="U235" i="25"/>
  <c r="W234" i="25"/>
  <c r="U234" i="25"/>
  <c r="W233" i="25"/>
  <c r="U233" i="25"/>
  <c r="W232" i="25"/>
  <c r="U232" i="25"/>
  <c r="W231" i="25"/>
  <c r="U231" i="25"/>
  <c r="W230" i="25"/>
  <c r="U230" i="25"/>
  <c r="W229" i="25"/>
  <c r="U229" i="25"/>
  <c r="W228" i="25"/>
  <c r="U228" i="25"/>
  <c r="W227" i="25"/>
  <c r="U227" i="25"/>
  <c r="W226" i="25"/>
  <c r="U226" i="25"/>
  <c r="W225" i="25"/>
  <c r="U225" i="25"/>
  <c r="W224" i="25"/>
  <c r="U224" i="25"/>
  <c r="W223" i="25"/>
  <c r="U223" i="25"/>
  <c r="W222" i="25"/>
  <c r="U222" i="25"/>
  <c r="W221" i="25"/>
  <c r="U221" i="25"/>
  <c r="W220" i="25"/>
  <c r="U220" i="25"/>
  <c r="W219" i="25"/>
  <c r="U219" i="25"/>
  <c r="W218" i="25"/>
  <c r="U218" i="25"/>
  <c r="W217" i="25"/>
  <c r="U217" i="25"/>
  <c r="W216" i="25"/>
  <c r="U216" i="25"/>
  <c r="W215" i="25"/>
  <c r="U215" i="25"/>
  <c r="W214" i="25"/>
  <c r="U214" i="25"/>
  <c r="W213" i="25"/>
  <c r="U213" i="25"/>
  <c r="W212" i="25"/>
  <c r="U212" i="25"/>
  <c r="W211" i="25"/>
  <c r="U211" i="25"/>
  <c r="W210" i="25"/>
  <c r="U210" i="25"/>
  <c r="W209" i="25"/>
  <c r="U209" i="25"/>
  <c r="W208" i="25"/>
  <c r="U208" i="25"/>
  <c r="W207" i="25"/>
  <c r="U207" i="25"/>
  <c r="W206" i="25"/>
  <c r="U206" i="25"/>
  <c r="W205" i="25"/>
  <c r="U205" i="25"/>
  <c r="W204" i="25"/>
  <c r="U204" i="25"/>
  <c r="W203" i="25"/>
  <c r="U203" i="25"/>
  <c r="W202" i="25"/>
  <c r="U202" i="25"/>
  <c r="W201" i="25"/>
  <c r="U201" i="25"/>
  <c r="W200" i="25"/>
  <c r="U200" i="25"/>
  <c r="W199" i="25"/>
  <c r="U199" i="25"/>
  <c r="W198" i="25"/>
  <c r="U198" i="25"/>
  <c r="W197" i="25"/>
  <c r="U197" i="25"/>
  <c r="W196" i="25"/>
  <c r="U196" i="25"/>
  <c r="W195" i="25"/>
  <c r="U195" i="25"/>
  <c r="W194" i="25"/>
  <c r="U194" i="25"/>
  <c r="W193" i="25"/>
  <c r="U193" i="25"/>
  <c r="W192" i="25"/>
  <c r="U192" i="25"/>
  <c r="W191" i="25"/>
  <c r="U191" i="25"/>
  <c r="W190" i="25"/>
  <c r="U190" i="25"/>
  <c r="W189" i="25"/>
  <c r="U189" i="25"/>
  <c r="W188" i="25"/>
  <c r="U188" i="25"/>
  <c r="W187" i="25"/>
  <c r="U187" i="25"/>
  <c r="W186" i="25"/>
  <c r="U186" i="25"/>
  <c r="W185" i="25"/>
  <c r="U185" i="25"/>
  <c r="W184" i="25"/>
  <c r="U184" i="25"/>
  <c r="W183" i="25"/>
  <c r="U183" i="25"/>
  <c r="W182" i="25"/>
  <c r="U182" i="25"/>
  <c r="W181" i="25"/>
  <c r="U181" i="25"/>
  <c r="W180" i="25"/>
  <c r="U180" i="25"/>
  <c r="W179" i="25"/>
  <c r="U179" i="25"/>
  <c r="W178" i="25"/>
  <c r="U178" i="25"/>
  <c r="W177" i="25"/>
  <c r="U177" i="25"/>
  <c r="W176" i="25"/>
  <c r="U176" i="25"/>
  <c r="W175" i="25"/>
  <c r="U175" i="25"/>
  <c r="W174" i="25"/>
  <c r="U174" i="25"/>
  <c r="W173" i="25"/>
  <c r="U173" i="25"/>
  <c r="W172" i="25"/>
  <c r="U172" i="25"/>
  <c r="W171" i="25"/>
  <c r="U171" i="25"/>
  <c r="W170" i="25"/>
  <c r="U170" i="25"/>
  <c r="W169" i="25"/>
  <c r="U169" i="25"/>
  <c r="W168" i="25"/>
  <c r="U168" i="25"/>
  <c r="W167" i="25"/>
  <c r="U167" i="25"/>
  <c r="W166" i="25"/>
  <c r="U166" i="25"/>
  <c r="W165" i="25"/>
  <c r="U165" i="25"/>
  <c r="W164" i="25"/>
  <c r="U164" i="25"/>
  <c r="W163" i="25"/>
  <c r="U163" i="25"/>
  <c r="W162" i="25"/>
  <c r="U162" i="25"/>
  <c r="W161" i="25"/>
  <c r="U161" i="25"/>
  <c r="W160" i="25"/>
  <c r="U160" i="25"/>
  <c r="W159" i="25"/>
  <c r="U159" i="25"/>
  <c r="W158" i="25"/>
  <c r="U158" i="25"/>
  <c r="W157" i="25"/>
  <c r="U157" i="25"/>
  <c r="W156" i="25"/>
  <c r="U156" i="25"/>
  <c r="W155" i="25"/>
  <c r="U155" i="25"/>
  <c r="W154" i="25"/>
  <c r="U154" i="25"/>
  <c r="W153" i="25"/>
  <c r="U153" i="25"/>
  <c r="W152" i="25"/>
  <c r="U152" i="25"/>
  <c r="W151" i="25"/>
  <c r="U151" i="25"/>
  <c r="W150" i="25"/>
  <c r="U150" i="25"/>
  <c r="W149" i="25"/>
  <c r="U149" i="25"/>
  <c r="W148" i="25"/>
  <c r="U148" i="25"/>
  <c r="W147" i="25"/>
  <c r="U147" i="25"/>
  <c r="W146" i="25"/>
  <c r="U146" i="25"/>
  <c r="W145" i="25"/>
  <c r="U145" i="25"/>
  <c r="W144" i="25"/>
  <c r="U144" i="25"/>
  <c r="W143" i="25"/>
  <c r="U143" i="25"/>
  <c r="W142" i="25"/>
  <c r="U142" i="25"/>
  <c r="W141" i="25"/>
  <c r="U141" i="25"/>
  <c r="W140" i="25"/>
  <c r="U140" i="25"/>
  <c r="W139" i="25"/>
  <c r="U139" i="25"/>
  <c r="W138" i="25"/>
  <c r="U138" i="25"/>
  <c r="W137" i="25"/>
  <c r="U137" i="25"/>
  <c r="W136" i="25"/>
  <c r="U136" i="25"/>
  <c r="W135" i="25"/>
  <c r="U135" i="25"/>
  <c r="W134" i="25"/>
  <c r="U134" i="25"/>
  <c r="W133" i="25"/>
  <c r="U133" i="25"/>
  <c r="W132" i="25"/>
  <c r="U132" i="25"/>
  <c r="W131" i="25"/>
  <c r="U131" i="25"/>
  <c r="W130" i="25"/>
  <c r="U130" i="25"/>
  <c r="W129" i="25"/>
  <c r="U129" i="25"/>
  <c r="W128" i="25"/>
  <c r="U128" i="25"/>
  <c r="W127" i="25"/>
  <c r="U127" i="25"/>
  <c r="W126" i="25"/>
  <c r="U126" i="25"/>
  <c r="W125" i="25"/>
  <c r="U125" i="25"/>
  <c r="W124" i="25"/>
  <c r="U124" i="25"/>
  <c r="W123" i="25"/>
  <c r="U123" i="25"/>
  <c r="W122" i="25"/>
  <c r="U122" i="25"/>
  <c r="W121" i="25"/>
  <c r="U121" i="25"/>
  <c r="W120" i="25"/>
  <c r="U120" i="25"/>
  <c r="W119" i="25"/>
  <c r="U119" i="25"/>
  <c r="W118" i="25"/>
  <c r="U118" i="25"/>
  <c r="W117" i="25"/>
  <c r="U117" i="25"/>
  <c r="W116" i="25"/>
  <c r="U116" i="25"/>
  <c r="W115" i="25"/>
  <c r="U115" i="25"/>
  <c r="W114" i="25"/>
  <c r="U114" i="25"/>
  <c r="W113" i="25"/>
  <c r="U113" i="25"/>
  <c r="W112" i="25"/>
  <c r="U112" i="25"/>
  <c r="W111" i="25"/>
  <c r="U111" i="25"/>
  <c r="W110" i="25"/>
  <c r="U110" i="25"/>
  <c r="W109" i="25"/>
  <c r="U109" i="25"/>
  <c r="W108" i="25"/>
  <c r="U108" i="25"/>
  <c r="W107" i="25"/>
  <c r="U107" i="25"/>
  <c r="W106" i="25"/>
  <c r="U106" i="25"/>
  <c r="W105" i="25"/>
  <c r="U105" i="25"/>
  <c r="W104" i="25"/>
  <c r="U104" i="25"/>
  <c r="W103" i="25"/>
  <c r="U103" i="25"/>
  <c r="W102" i="25"/>
  <c r="U102" i="25"/>
  <c r="W101" i="25"/>
  <c r="U101" i="25"/>
  <c r="W100" i="25"/>
  <c r="U100" i="25"/>
  <c r="W99" i="25"/>
  <c r="U99" i="25"/>
  <c r="W98" i="25"/>
  <c r="U98" i="25"/>
  <c r="W97" i="25"/>
  <c r="U97" i="25"/>
  <c r="W96" i="25"/>
  <c r="U96" i="25"/>
  <c r="W95" i="25"/>
  <c r="U95" i="25"/>
  <c r="W94" i="25"/>
  <c r="U94" i="25"/>
  <c r="W93" i="25"/>
  <c r="U93" i="25"/>
  <c r="W92" i="25"/>
  <c r="U92" i="25"/>
  <c r="W91" i="25"/>
  <c r="U91" i="25"/>
  <c r="W90" i="25"/>
  <c r="U90" i="25"/>
  <c r="W89" i="25"/>
  <c r="A11" i="25" s="1"/>
  <c r="U89" i="25"/>
  <c r="N11" i="25" s="1"/>
  <c r="W88" i="25"/>
  <c r="U88" i="25"/>
  <c r="W87" i="25"/>
  <c r="U87" i="25"/>
  <c r="W86" i="25"/>
  <c r="U86" i="25"/>
  <c r="W85" i="25"/>
  <c r="U85" i="25"/>
  <c r="W84" i="25"/>
  <c r="U84" i="25"/>
  <c r="W83" i="25"/>
  <c r="U83" i="25"/>
  <c r="W82" i="25"/>
  <c r="U82" i="25"/>
  <c r="W81" i="25"/>
  <c r="U81" i="25"/>
  <c r="W80" i="25"/>
  <c r="U80" i="25"/>
  <c r="W79" i="25"/>
  <c r="U79" i="25"/>
  <c r="W78" i="25"/>
  <c r="U78" i="25"/>
  <c r="W77" i="25"/>
  <c r="U77" i="25"/>
  <c r="W76" i="25"/>
  <c r="U76" i="25"/>
  <c r="W75" i="25"/>
  <c r="U75" i="25"/>
  <c r="W74" i="25"/>
  <c r="U74" i="25"/>
  <c r="W73" i="25"/>
  <c r="U73" i="25"/>
  <c r="W72" i="25"/>
  <c r="U72" i="25"/>
  <c r="W71" i="25"/>
  <c r="U71" i="25"/>
  <c r="W70" i="25"/>
  <c r="U70" i="25"/>
  <c r="W69" i="25"/>
  <c r="U69" i="25"/>
  <c r="W68" i="25"/>
  <c r="U68" i="25"/>
  <c r="W67" i="25"/>
  <c r="U67" i="25"/>
  <c r="W66" i="25"/>
  <c r="U66" i="25"/>
  <c r="W65" i="25"/>
  <c r="U65" i="25"/>
  <c r="W64" i="25"/>
  <c r="U64" i="25"/>
  <c r="W63" i="25"/>
  <c r="U63" i="25"/>
  <c r="W62" i="25"/>
  <c r="U62" i="25"/>
  <c r="W61" i="25"/>
  <c r="U61" i="25"/>
  <c r="W60" i="25"/>
  <c r="U60" i="25"/>
  <c r="W59" i="25"/>
  <c r="U59" i="25"/>
  <c r="W58" i="25"/>
  <c r="U58" i="25"/>
  <c r="W57" i="25"/>
  <c r="U57" i="25"/>
  <c r="W56" i="25"/>
  <c r="U56" i="25"/>
  <c r="W55" i="25"/>
  <c r="U55" i="25"/>
  <c r="W54" i="25"/>
  <c r="U54" i="25"/>
  <c r="W53" i="25"/>
  <c r="U53" i="25"/>
  <c r="W52" i="25"/>
  <c r="U52" i="25"/>
  <c r="W51" i="25"/>
  <c r="U51" i="25"/>
  <c r="W50" i="25"/>
  <c r="A8" i="25" s="1"/>
  <c r="U50" i="25"/>
  <c r="W49" i="25"/>
  <c r="U49" i="25"/>
  <c r="W48" i="25"/>
  <c r="U48" i="25"/>
  <c r="W47" i="25"/>
  <c r="U47" i="25"/>
  <c r="W46" i="25"/>
  <c r="U46" i="25"/>
  <c r="W45" i="25"/>
  <c r="U45" i="25"/>
  <c r="W44" i="25"/>
  <c r="U44" i="25"/>
  <c r="W43" i="25"/>
  <c r="U43" i="25"/>
  <c r="W42" i="25"/>
  <c r="U42" i="25"/>
  <c r="W41" i="25"/>
  <c r="U41" i="25"/>
  <c r="W40" i="25"/>
  <c r="U40" i="25"/>
  <c r="W39" i="25"/>
  <c r="U39" i="25"/>
  <c r="W38" i="25"/>
  <c r="U38" i="25"/>
  <c r="W37" i="25"/>
  <c r="U37" i="25"/>
  <c r="W36" i="25"/>
  <c r="U36" i="25"/>
  <c r="W35" i="25"/>
  <c r="U35" i="25"/>
  <c r="W34" i="25"/>
  <c r="U34" i="25"/>
  <c r="W33" i="25"/>
  <c r="U33" i="25"/>
  <c r="W32" i="25"/>
  <c r="U32" i="25"/>
  <c r="W31" i="25"/>
  <c r="U31" i="25"/>
  <c r="W30" i="25"/>
  <c r="U30" i="25"/>
  <c r="W29" i="25"/>
  <c r="U29" i="25"/>
  <c r="W28" i="25"/>
  <c r="U28" i="25"/>
  <c r="W27" i="25"/>
  <c r="U27" i="25"/>
  <c r="W26" i="25"/>
  <c r="U26" i="25"/>
  <c r="W25" i="25"/>
  <c r="U25" i="25"/>
  <c r="W24" i="25"/>
  <c r="U24" i="25"/>
  <c r="W23" i="25"/>
  <c r="U23" i="25"/>
  <c r="W22" i="25"/>
  <c r="U22" i="25"/>
  <c r="W21" i="25"/>
  <c r="U21" i="25"/>
  <c r="Q14" i="25"/>
  <c r="P14" i="25"/>
  <c r="O14" i="25"/>
  <c r="N14" i="25"/>
  <c r="M14" i="25"/>
  <c r="F14" i="25"/>
  <c r="E14" i="25"/>
  <c r="K14" i="25" s="1"/>
  <c r="D14" i="25"/>
  <c r="M26" i="24"/>
  <c r="N26" i="24"/>
  <c r="I23" i="24"/>
  <c r="J23" i="24"/>
  <c r="I20" i="24"/>
  <c r="J20" i="24"/>
  <c r="I17" i="24"/>
  <c r="J17" i="24"/>
  <c r="I14" i="24"/>
  <c r="J14" i="24"/>
  <c r="I11" i="24"/>
  <c r="J11" i="24"/>
  <c r="I8" i="24"/>
  <c r="J8" i="24"/>
  <c r="I5" i="24"/>
  <c r="J5" i="24"/>
  <c r="J31" i="26" l="1"/>
  <c r="F31" i="26"/>
  <c r="P31" i="26" s="1"/>
  <c r="P14" i="26"/>
  <c r="P27" i="26"/>
  <c r="C27" i="26"/>
  <c r="Q8" i="25"/>
  <c r="G11" i="25"/>
  <c r="P11" i="25" s="1"/>
  <c r="I14" i="25"/>
  <c r="J14" i="25" s="1"/>
  <c r="O11" i="25"/>
  <c r="O8" i="25"/>
  <c r="G8" i="25"/>
  <c r="P8" i="25" s="1"/>
  <c r="N8" i="25"/>
  <c r="B11" i="25"/>
  <c r="Q5" i="25"/>
  <c r="Q11" i="25"/>
  <c r="B8" i="25"/>
  <c r="A5" i="25"/>
  <c r="O5" i="25"/>
  <c r="G5" i="25"/>
  <c r="P5" i="25" s="1"/>
  <c r="N5" i="25"/>
  <c r="S14" i="25"/>
  <c r="B5" i="25"/>
  <c r="A14" i="25"/>
  <c r="B14" i="25"/>
  <c r="R14" i="25"/>
  <c r="U14" i="25"/>
  <c r="G14" i="25"/>
  <c r="T14" i="25" s="1"/>
  <c r="C31" i="26" l="1"/>
  <c r="C11" i="25"/>
  <c r="C8" i="25"/>
  <c r="C5" i="25"/>
  <c r="C14" i="25"/>
  <c r="W537" i="24"/>
  <c r="W538" i="24"/>
  <c r="W539" i="24"/>
  <c r="W540" i="24"/>
  <c r="W541" i="24"/>
  <c r="W542" i="24"/>
  <c r="W543" i="24"/>
  <c r="W544" i="24"/>
  <c r="W545" i="24"/>
  <c r="W546" i="24"/>
  <c r="W547" i="24"/>
  <c r="W548" i="24"/>
  <c r="W549" i="24"/>
  <c r="W550" i="24"/>
  <c r="W551" i="24"/>
  <c r="W552" i="24"/>
  <c r="W553" i="24"/>
  <c r="W554" i="24"/>
  <c r="W555" i="24"/>
  <c r="W556" i="24"/>
  <c r="W557" i="24"/>
  <c r="W558" i="24"/>
  <c r="W559" i="24"/>
  <c r="W560" i="24"/>
  <c r="W561" i="24"/>
  <c r="W562" i="24"/>
  <c r="W563" i="24"/>
  <c r="W564" i="24"/>
  <c r="W565" i="24"/>
  <c r="W566" i="24"/>
  <c r="W567" i="24"/>
  <c r="W568" i="24"/>
  <c r="W569" i="24"/>
  <c r="W570" i="24"/>
  <c r="W571" i="24"/>
  <c r="W572" i="24"/>
  <c r="W573" i="24"/>
  <c r="W574" i="24"/>
  <c r="W575" i="24"/>
  <c r="W576" i="24"/>
  <c r="W577" i="24"/>
  <c r="W578" i="24"/>
  <c r="W579" i="24"/>
  <c r="W580" i="24"/>
  <c r="W581" i="24"/>
  <c r="W582" i="24"/>
  <c r="W583" i="24"/>
  <c r="W584" i="24"/>
  <c r="W585" i="24"/>
  <c r="W586" i="24"/>
  <c r="W587" i="24"/>
  <c r="W588" i="24"/>
  <c r="W589" i="24"/>
  <c r="W590" i="24"/>
  <c r="W591" i="24"/>
  <c r="W592" i="24"/>
  <c r="W593" i="24"/>
  <c r="W594" i="24"/>
  <c r="W595" i="24"/>
  <c r="W596" i="24"/>
  <c r="W597" i="24"/>
  <c r="W598" i="24"/>
  <c r="W599" i="24"/>
  <c r="W600" i="24"/>
  <c r="W601" i="24"/>
  <c r="W602" i="24"/>
  <c r="W603" i="24"/>
  <c r="W604" i="24"/>
  <c r="W605" i="24"/>
  <c r="W606" i="24"/>
  <c r="W607" i="24"/>
  <c r="W608" i="24"/>
  <c r="W609" i="24"/>
  <c r="W610" i="24"/>
  <c r="W611" i="24"/>
  <c r="W31" i="24"/>
  <c r="W32" i="24"/>
  <c r="W33" i="24"/>
  <c r="W34" i="24"/>
  <c r="W35" i="24"/>
  <c r="W36" i="24"/>
  <c r="W37" i="24"/>
  <c r="W38" i="24"/>
  <c r="W39" i="24"/>
  <c r="W40" i="24"/>
  <c r="W41" i="24"/>
  <c r="W42" i="24"/>
  <c r="W43" i="24"/>
  <c r="W44" i="24"/>
  <c r="W45" i="24"/>
  <c r="W46" i="24"/>
  <c r="W47" i="24"/>
  <c r="W48" i="24"/>
  <c r="W49" i="24"/>
  <c r="W50" i="24"/>
  <c r="W51" i="24"/>
  <c r="W52" i="24"/>
  <c r="W53" i="24"/>
  <c r="W54" i="24"/>
  <c r="W55" i="24"/>
  <c r="W56" i="24"/>
  <c r="W57" i="24"/>
  <c r="W58" i="24"/>
  <c r="W59" i="24"/>
  <c r="W60" i="24"/>
  <c r="W61" i="24"/>
  <c r="W62" i="24"/>
  <c r="W63" i="24"/>
  <c r="W64" i="24"/>
  <c r="W65" i="24"/>
  <c r="W66" i="24"/>
  <c r="W67" i="24"/>
  <c r="W68" i="24"/>
  <c r="W69" i="24"/>
  <c r="W70" i="24"/>
  <c r="W71" i="24"/>
  <c r="W72" i="24"/>
  <c r="W73" i="24"/>
  <c r="W74" i="24"/>
  <c r="W75" i="24"/>
  <c r="W76" i="24"/>
  <c r="W77" i="24"/>
  <c r="W78" i="24"/>
  <c r="W79" i="24"/>
  <c r="W80" i="24"/>
  <c r="W81" i="24"/>
  <c r="W82" i="24"/>
  <c r="W83" i="24"/>
  <c r="W84" i="24"/>
  <c r="W85" i="24"/>
  <c r="W86" i="24"/>
  <c r="W87" i="24"/>
  <c r="W88" i="24"/>
  <c r="W89" i="24"/>
  <c r="W90" i="24"/>
  <c r="W91" i="24"/>
  <c r="W92" i="24"/>
  <c r="W93" i="24"/>
  <c r="W94" i="24"/>
  <c r="W95" i="24"/>
  <c r="W96" i="24"/>
  <c r="W97" i="24"/>
  <c r="W98" i="24"/>
  <c r="W99" i="24"/>
  <c r="W100" i="24"/>
  <c r="W101" i="24"/>
  <c r="W102" i="24"/>
  <c r="W103" i="24"/>
  <c r="W104" i="24"/>
  <c r="W105" i="24"/>
  <c r="W106" i="24"/>
  <c r="W107" i="24"/>
  <c r="W108" i="24"/>
  <c r="W109" i="24"/>
  <c r="W110" i="24"/>
  <c r="W111" i="24"/>
  <c r="W112" i="24"/>
  <c r="W113" i="24"/>
  <c r="W114" i="24"/>
  <c r="W115" i="24"/>
  <c r="W116" i="24"/>
  <c r="W117" i="24"/>
  <c r="W118" i="24"/>
  <c r="W119" i="24"/>
  <c r="W120" i="24"/>
  <c r="W121" i="24"/>
  <c r="W122" i="24"/>
  <c r="W123" i="24"/>
  <c r="W124" i="24"/>
  <c r="W125" i="24"/>
  <c r="W126" i="24"/>
  <c r="W127" i="24"/>
  <c r="W128" i="24"/>
  <c r="W129" i="24"/>
  <c r="W130" i="24"/>
  <c r="W131" i="24"/>
  <c r="W132" i="24"/>
  <c r="W133" i="24"/>
  <c r="W134" i="24"/>
  <c r="W135" i="24"/>
  <c r="W136" i="24"/>
  <c r="W137" i="24"/>
  <c r="W138" i="24"/>
  <c r="W139" i="24"/>
  <c r="W140" i="24"/>
  <c r="W141" i="24"/>
  <c r="W142" i="24"/>
  <c r="W143" i="24"/>
  <c r="W144" i="24"/>
  <c r="W145" i="24"/>
  <c r="W146" i="24"/>
  <c r="W147" i="24"/>
  <c r="W148" i="24"/>
  <c r="W149" i="24"/>
  <c r="W150" i="24"/>
  <c r="W151" i="24"/>
  <c r="W152" i="24"/>
  <c r="W153" i="24"/>
  <c r="W154" i="24"/>
  <c r="W155" i="24"/>
  <c r="W156" i="24"/>
  <c r="W157" i="24"/>
  <c r="W158" i="24"/>
  <c r="W159" i="24"/>
  <c r="W160" i="24"/>
  <c r="W161" i="24"/>
  <c r="W162" i="24"/>
  <c r="W163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W197" i="24"/>
  <c r="W198" i="24"/>
  <c r="W199" i="24"/>
  <c r="W200" i="24"/>
  <c r="W201" i="24"/>
  <c r="W202" i="24"/>
  <c r="W203" i="24"/>
  <c r="W204" i="24"/>
  <c r="W205" i="24"/>
  <c r="W206" i="24"/>
  <c r="W207" i="24"/>
  <c r="W208" i="24"/>
  <c r="W209" i="24"/>
  <c r="W210" i="24"/>
  <c r="W211" i="24"/>
  <c r="W212" i="24"/>
  <c r="W213" i="24"/>
  <c r="W214" i="24"/>
  <c r="W215" i="24"/>
  <c r="W216" i="24"/>
  <c r="W217" i="24"/>
  <c r="W218" i="24"/>
  <c r="W219" i="24"/>
  <c r="W220" i="24"/>
  <c r="W221" i="24"/>
  <c r="W222" i="24"/>
  <c r="W223" i="24"/>
  <c r="W224" i="24"/>
  <c r="W225" i="24"/>
  <c r="W226" i="24"/>
  <c r="W227" i="24"/>
  <c r="W228" i="24"/>
  <c r="W229" i="24"/>
  <c r="W230" i="24"/>
  <c r="W231" i="24"/>
  <c r="W232" i="24"/>
  <c r="W233" i="24"/>
  <c r="W234" i="24"/>
  <c r="W235" i="24"/>
  <c r="W236" i="24"/>
  <c r="W237" i="24"/>
  <c r="W238" i="24"/>
  <c r="W239" i="24"/>
  <c r="W240" i="24"/>
  <c r="W241" i="24"/>
  <c r="W242" i="24"/>
  <c r="W243" i="24"/>
  <c r="W244" i="24"/>
  <c r="W245" i="24"/>
  <c r="W246" i="24"/>
  <c r="W247" i="24"/>
  <c r="W248" i="24"/>
  <c r="W249" i="24"/>
  <c r="W250" i="24"/>
  <c r="W251" i="24"/>
  <c r="W252" i="24"/>
  <c r="W253" i="24"/>
  <c r="W254" i="24"/>
  <c r="W255" i="24"/>
  <c r="W256" i="24"/>
  <c r="W257" i="24"/>
  <c r="W258" i="24"/>
  <c r="W259" i="24"/>
  <c r="W260" i="24"/>
  <c r="W261" i="24"/>
  <c r="W262" i="24"/>
  <c r="W263" i="24"/>
  <c r="W264" i="24"/>
  <c r="W265" i="24"/>
  <c r="W266" i="24"/>
  <c r="W267" i="24"/>
  <c r="W268" i="24"/>
  <c r="W269" i="24"/>
  <c r="W270" i="24"/>
  <c r="W271" i="24"/>
  <c r="W272" i="24"/>
  <c r="W273" i="24"/>
  <c r="W274" i="24"/>
  <c r="W275" i="24"/>
  <c r="W276" i="24"/>
  <c r="W277" i="24"/>
  <c r="W278" i="24"/>
  <c r="W279" i="24"/>
  <c r="W280" i="24"/>
  <c r="W281" i="24"/>
  <c r="W282" i="24"/>
  <c r="W283" i="24"/>
  <c r="W284" i="24"/>
  <c r="W285" i="24"/>
  <c r="W286" i="24"/>
  <c r="W287" i="24"/>
  <c r="W288" i="24"/>
  <c r="W289" i="24"/>
  <c r="W290" i="24"/>
  <c r="W291" i="24"/>
  <c r="W292" i="24"/>
  <c r="W293" i="24"/>
  <c r="W294" i="24"/>
  <c r="W295" i="24"/>
  <c r="W296" i="24"/>
  <c r="W297" i="24"/>
  <c r="W298" i="24"/>
  <c r="W299" i="24"/>
  <c r="W300" i="24"/>
  <c r="W301" i="24"/>
  <c r="W302" i="24"/>
  <c r="W303" i="24"/>
  <c r="W304" i="24"/>
  <c r="W305" i="24"/>
  <c r="W306" i="24"/>
  <c r="W307" i="24"/>
  <c r="W308" i="24"/>
  <c r="W309" i="24"/>
  <c r="W310" i="24"/>
  <c r="W311" i="24"/>
  <c r="W312" i="24"/>
  <c r="W313" i="24"/>
  <c r="W314" i="24"/>
  <c r="W315" i="24"/>
  <c r="W316" i="24"/>
  <c r="W317" i="24"/>
  <c r="W318" i="24"/>
  <c r="W319" i="24"/>
  <c r="W320" i="24"/>
  <c r="W321" i="24"/>
  <c r="W322" i="24"/>
  <c r="W323" i="24"/>
  <c r="W324" i="24"/>
  <c r="W325" i="24"/>
  <c r="W326" i="24"/>
  <c r="W327" i="24"/>
  <c r="W328" i="24"/>
  <c r="W329" i="24"/>
  <c r="W330" i="24"/>
  <c r="W331" i="24"/>
  <c r="W332" i="24"/>
  <c r="W333" i="24"/>
  <c r="W334" i="24"/>
  <c r="W335" i="24"/>
  <c r="W336" i="24"/>
  <c r="W337" i="24"/>
  <c r="W338" i="24"/>
  <c r="W339" i="24"/>
  <c r="W340" i="24"/>
  <c r="W341" i="24"/>
  <c r="W342" i="24"/>
  <c r="W343" i="24"/>
  <c r="W344" i="24"/>
  <c r="W345" i="24"/>
  <c r="W346" i="24"/>
  <c r="W347" i="24"/>
  <c r="W348" i="24"/>
  <c r="W349" i="24"/>
  <c r="W350" i="24"/>
  <c r="W351" i="24"/>
  <c r="W352" i="24"/>
  <c r="W353" i="24"/>
  <c r="W354" i="24"/>
  <c r="W355" i="24"/>
  <c r="W356" i="24"/>
  <c r="W357" i="24"/>
  <c r="W358" i="24"/>
  <c r="W359" i="24"/>
  <c r="W360" i="24"/>
  <c r="W361" i="24"/>
  <c r="W362" i="24"/>
  <c r="W363" i="24"/>
  <c r="W364" i="24"/>
  <c r="W365" i="24"/>
  <c r="W366" i="24"/>
  <c r="W367" i="24"/>
  <c r="W368" i="24"/>
  <c r="W369" i="24"/>
  <c r="W370" i="24"/>
  <c r="W371" i="24"/>
  <c r="W372" i="24"/>
  <c r="W373" i="24"/>
  <c r="W374" i="24"/>
  <c r="W375" i="24"/>
  <c r="W376" i="24"/>
  <c r="W377" i="24"/>
  <c r="W378" i="24"/>
  <c r="W379" i="24"/>
  <c r="W380" i="24"/>
  <c r="W381" i="24"/>
  <c r="W382" i="24"/>
  <c r="W383" i="24"/>
  <c r="W384" i="24"/>
  <c r="W385" i="24"/>
  <c r="W386" i="24"/>
  <c r="W387" i="24"/>
  <c r="W388" i="24"/>
  <c r="W389" i="24"/>
  <c r="W390" i="24"/>
  <c r="W391" i="24"/>
  <c r="W392" i="24"/>
  <c r="W393" i="24"/>
  <c r="W394" i="24"/>
  <c r="W395" i="24"/>
  <c r="W396" i="24"/>
  <c r="W397" i="24"/>
  <c r="W398" i="24"/>
  <c r="W399" i="24"/>
  <c r="W400" i="24"/>
  <c r="W401" i="24"/>
  <c r="W402" i="24"/>
  <c r="W403" i="24"/>
  <c r="W404" i="24"/>
  <c r="W405" i="24"/>
  <c r="W406" i="24"/>
  <c r="W407" i="24"/>
  <c r="W408" i="24"/>
  <c r="W409" i="24"/>
  <c r="W410" i="24"/>
  <c r="W411" i="24"/>
  <c r="W412" i="24"/>
  <c r="W413" i="24"/>
  <c r="W414" i="24"/>
  <c r="W415" i="24"/>
  <c r="W416" i="24"/>
  <c r="W417" i="24"/>
  <c r="W418" i="24"/>
  <c r="W419" i="24"/>
  <c r="W420" i="24"/>
  <c r="W421" i="24"/>
  <c r="W422" i="24"/>
  <c r="W423" i="24"/>
  <c r="W424" i="24"/>
  <c r="W425" i="24"/>
  <c r="W426" i="24"/>
  <c r="W427" i="24"/>
  <c r="W428" i="24"/>
  <c r="W429" i="24"/>
  <c r="W430" i="24"/>
  <c r="W431" i="24"/>
  <c r="W432" i="24"/>
  <c r="W433" i="24"/>
  <c r="W434" i="24"/>
  <c r="W435" i="24"/>
  <c r="W436" i="24"/>
  <c r="W437" i="24"/>
  <c r="W438" i="24"/>
  <c r="W439" i="24"/>
  <c r="W440" i="24"/>
  <c r="W441" i="24"/>
  <c r="W442" i="24"/>
  <c r="W443" i="24"/>
  <c r="W444" i="24"/>
  <c r="W445" i="24"/>
  <c r="W446" i="24"/>
  <c r="W447" i="24"/>
  <c r="W448" i="24"/>
  <c r="W449" i="24"/>
  <c r="W450" i="24"/>
  <c r="W451" i="24"/>
  <c r="W452" i="24"/>
  <c r="W453" i="24"/>
  <c r="W454" i="24"/>
  <c r="W455" i="24"/>
  <c r="W456" i="24"/>
  <c r="W457" i="24"/>
  <c r="W458" i="24"/>
  <c r="W459" i="24"/>
  <c r="W460" i="24"/>
  <c r="W461" i="24"/>
  <c r="W462" i="24"/>
  <c r="W463" i="24"/>
  <c r="W464" i="24"/>
  <c r="W465" i="24"/>
  <c r="W466" i="24"/>
  <c r="W467" i="24"/>
  <c r="W468" i="24"/>
  <c r="W469" i="24"/>
  <c r="W470" i="24"/>
  <c r="W471" i="24"/>
  <c r="W472" i="24"/>
  <c r="W473" i="24"/>
  <c r="W474" i="24"/>
  <c r="W475" i="24"/>
  <c r="W476" i="24"/>
  <c r="W477" i="24"/>
  <c r="W478" i="24"/>
  <c r="W479" i="24"/>
  <c r="W480" i="24"/>
  <c r="W481" i="24"/>
  <c r="W482" i="24"/>
  <c r="W483" i="24"/>
  <c r="W484" i="24"/>
  <c r="W485" i="24"/>
  <c r="W486" i="24"/>
  <c r="W487" i="24"/>
  <c r="W488" i="24"/>
  <c r="W489" i="24"/>
  <c r="W490" i="24"/>
  <c r="W491" i="24"/>
  <c r="W492" i="24"/>
  <c r="W493" i="24"/>
  <c r="W494" i="24"/>
  <c r="W495" i="24"/>
  <c r="W496" i="24"/>
  <c r="W497" i="24"/>
  <c r="W498" i="24"/>
  <c r="W499" i="24"/>
  <c r="W500" i="24"/>
  <c r="W501" i="24"/>
  <c r="W502" i="24"/>
  <c r="W503" i="24"/>
  <c r="W504" i="24"/>
  <c r="W505" i="24"/>
  <c r="W506" i="24"/>
  <c r="W507" i="24"/>
  <c r="W508" i="24"/>
  <c r="W509" i="24"/>
  <c r="W510" i="24"/>
  <c r="W511" i="24"/>
  <c r="W512" i="24"/>
  <c r="W513" i="24"/>
  <c r="W514" i="24"/>
  <c r="W515" i="24"/>
  <c r="W516" i="24"/>
  <c r="W517" i="24"/>
  <c r="W518" i="24"/>
  <c r="W519" i="24"/>
  <c r="W520" i="24"/>
  <c r="W521" i="24"/>
  <c r="W522" i="24"/>
  <c r="W523" i="24"/>
  <c r="W524" i="24"/>
  <c r="W525" i="24"/>
  <c r="W526" i="24"/>
  <c r="W527" i="24"/>
  <c r="W528" i="24"/>
  <c r="W529" i="24"/>
  <c r="W530" i="24"/>
  <c r="W531" i="24"/>
  <c r="W532" i="24"/>
  <c r="W533" i="24"/>
  <c r="W534" i="24"/>
  <c r="W535" i="24"/>
  <c r="W536" i="24"/>
  <c r="W30" i="24"/>
  <c r="U54" i="24"/>
  <c r="U55" i="24"/>
  <c r="U56" i="24"/>
  <c r="U57" i="24"/>
  <c r="U58" i="24"/>
  <c r="U59" i="24"/>
  <c r="U60" i="24"/>
  <c r="U61" i="24"/>
  <c r="U62" i="24"/>
  <c r="U63" i="24"/>
  <c r="U64" i="24"/>
  <c r="U65" i="24"/>
  <c r="U66" i="24"/>
  <c r="U67" i="24"/>
  <c r="U68" i="24"/>
  <c r="U69" i="24"/>
  <c r="U70" i="24"/>
  <c r="U71" i="24"/>
  <c r="U72" i="24"/>
  <c r="U73" i="24"/>
  <c r="U74" i="24"/>
  <c r="U75" i="24"/>
  <c r="U76" i="24"/>
  <c r="U77" i="24"/>
  <c r="U78" i="24"/>
  <c r="U79" i="24"/>
  <c r="U80" i="24"/>
  <c r="U81" i="24"/>
  <c r="U82" i="24"/>
  <c r="U83" i="24"/>
  <c r="U84" i="24"/>
  <c r="U85" i="24"/>
  <c r="U86" i="24"/>
  <c r="U87" i="24"/>
  <c r="U88" i="24"/>
  <c r="U89" i="24"/>
  <c r="U90" i="24"/>
  <c r="U91" i="24"/>
  <c r="U92" i="24"/>
  <c r="U93" i="24"/>
  <c r="U94" i="24"/>
  <c r="U95" i="24"/>
  <c r="U96" i="24"/>
  <c r="U97" i="24"/>
  <c r="U98" i="24"/>
  <c r="U99" i="24"/>
  <c r="U100" i="24"/>
  <c r="U101" i="24"/>
  <c r="U102" i="24"/>
  <c r="U103" i="24"/>
  <c r="U104" i="24"/>
  <c r="U105" i="24"/>
  <c r="U106" i="24"/>
  <c r="U107" i="24"/>
  <c r="U108" i="24"/>
  <c r="U109" i="24"/>
  <c r="U110" i="24"/>
  <c r="U111" i="24"/>
  <c r="U112" i="24"/>
  <c r="U113" i="24"/>
  <c r="U114" i="24"/>
  <c r="U115" i="24"/>
  <c r="U116" i="24"/>
  <c r="U117" i="24"/>
  <c r="U118" i="24"/>
  <c r="U119" i="24"/>
  <c r="U120" i="24"/>
  <c r="U121" i="24"/>
  <c r="U122" i="24"/>
  <c r="U123" i="24"/>
  <c r="U124" i="24"/>
  <c r="U125" i="24"/>
  <c r="U126" i="24"/>
  <c r="U127" i="24"/>
  <c r="U128" i="24"/>
  <c r="U129" i="24"/>
  <c r="U130" i="24"/>
  <c r="U131" i="24"/>
  <c r="U132" i="24"/>
  <c r="U133" i="24"/>
  <c r="U134" i="24"/>
  <c r="U135" i="24"/>
  <c r="U136" i="24"/>
  <c r="U137" i="24"/>
  <c r="U138" i="24"/>
  <c r="U139" i="24"/>
  <c r="U140" i="24"/>
  <c r="U141" i="24"/>
  <c r="U142" i="24"/>
  <c r="U143" i="24"/>
  <c r="U144" i="24"/>
  <c r="U145" i="24"/>
  <c r="U146" i="24"/>
  <c r="U147" i="24"/>
  <c r="U148" i="24"/>
  <c r="U149" i="24"/>
  <c r="U150" i="24"/>
  <c r="U151" i="24"/>
  <c r="U152" i="24"/>
  <c r="U153" i="24"/>
  <c r="U154" i="24"/>
  <c r="U155" i="24"/>
  <c r="U156" i="24"/>
  <c r="U157" i="24"/>
  <c r="U158" i="24"/>
  <c r="U159" i="24"/>
  <c r="U160" i="24"/>
  <c r="U161" i="24"/>
  <c r="U162" i="24"/>
  <c r="U163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U197" i="24"/>
  <c r="U198" i="24"/>
  <c r="U199" i="24"/>
  <c r="U200" i="24"/>
  <c r="U201" i="24"/>
  <c r="U202" i="24"/>
  <c r="U203" i="24"/>
  <c r="U204" i="24"/>
  <c r="U205" i="24"/>
  <c r="U206" i="24"/>
  <c r="U207" i="24"/>
  <c r="U208" i="24"/>
  <c r="U209" i="24"/>
  <c r="U210" i="24"/>
  <c r="U211" i="24"/>
  <c r="U212" i="24"/>
  <c r="U213" i="24"/>
  <c r="U214" i="24"/>
  <c r="U215" i="24"/>
  <c r="U216" i="24"/>
  <c r="U217" i="24"/>
  <c r="U218" i="24"/>
  <c r="U219" i="24"/>
  <c r="U220" i="24"/>
  <c r="U221" i="24"/>
  <c r="U222" i="24"/>
  <c r="U223" i="24"/>
  <c r="U224" i="24"/>
  <c r="U225" i="24"/>
  <c r="U226" i="24"/>
  <c r="U227" i="24"/>
  <c r="U228" i="24"/>
  <c r="U229" i="24"/>
  <c r="U230" i="24"/>
  <c r="U231" i="24"/>
  <c r="U232" i="24"/>
  <c r="U233" i="24"/>
  <c r="U234" i="24"/>
  <c r="U235" i="24"/>
  <c r="U236" i="24"/>
  <c r="U237" i="24"/>
  <c r="U238" i="24"/>
  <c r="U239" i="24"/>
  <c r="U240" i="24"/>
  <c r="U241" i="24"/>
  <c r="U242" i="24"/>
  <c r="U243" i="24"/>
  <c r="U244" i="24"/>
  <c r="U245" i="24"/>
  <c r="U246" i="24"/>
  <c r="U247" i="24"/>
  <c r="U248" i="24"/>
  <c r="U249" i="24"/>
  <c r="U250" i="24"/>
  <c r="U251" i="24"/>
  <c r="U252" i="24"/>
  <c r="U253" i="24"/>
  <c r="U254" i="24"/>
  <c r="U255" i="24"/>
  <c r="U256" i="24"/>
  <c r="U257" i="24"/>
  <c r="U258" i="24"/>
  <c r="U259" i="24"/>
  <c r="U260" i="24"/>
  <c r="U261" i="24"/>
  <c r="U262" i="24"/>
  <c r="U263" i="24"/>
  <c r="U264" i="24"/>
  <c r="U265" i="24"/>
  <c r="U266" i="24"/>
  <c r="U267" i="24"/>
  <c r="U268" i="24"/>
  <c r="U269" i="24"/>
  <c r="U270" i="24"/>
  <c r="U271" i="24"/>
  <c r="U272" i="24"/>
  <c r="U273" i="24"/>
  <c r="U274" i="24"/>
  <c r="U275" i="24"/>
  <c r="U276" i="24"/>
  <c r="U277" i="24"/>
  <c r="U278" i="24"/>
  <c r="U279" i="24"/>
  <c r="U280" i="24"/>
  <c r="U281" i="24"/>
  <c r="U282" i="24"/>
  <c r="U283" i="24"/>
  <c r="U284" i="24"/>
  <c r="U285" i="24"/>
  <c r="U286" i="24"/>
  <c r="U287" i="24"/>
  <c r="U288" i="24"/>
  <c r="U289" i="24"/>
  <c r="U290" i="24"/>
  <c r="U291" i="24"/>
  <c r="U292" i="24"/>
  <c r="U293" i="24"/>
  <c r="U294" i="24"/>
  <c r="U295" i="24"/>
  <c r="U296" i="24"/>
  <c r="U297" i="24"/>
  <c r="U298" i="24"/>
  <c r="U299" i="24"/>
  <c r="U300" i="24"/>
  <c r="U301" i="24"/>
  <c r="U302" i="24"/>
  <c r="U303" i="24"/>
  <c r="U304" i="24"/>
  <c r="U305" i="24"/>
  <c r="U306" i="24"/>
  <c r="U307" i="24"/>
  <c r="U308" i="24"/>
  <c r="U309" i="24"/>
  <c r="U310" i="24"/>
  <c r="U311" i="24"/>
  <c r="U312" i="24"/>
  <c r="U313" i="24"/>
  <c r="U314" i="24"/>
  <c r="U315" i="24"/>
  <c r="U316" i="24"/>
  <c r="U317" i="24"/>
  <c r="U318" i="24"/>
  <c r="U319" i="24"/>
  <c r="U320" i="24"/>
  <c r="U321" i="24"/>
  <c r="U322" i="24"/>
  <c r="U323" i="24"/>
  <c r="U324" i="24"/>
  <c r="U325" i="24"/>
  <c r="U326" i="24"/>
  <c r="U327" i="24"/>
  <c r="U328" i="24"/>
  <c r="U329" i="24"/>
  <c r="U330" i="24"/>
  <c r="U331" i="24"/>
  <c r="U332" i="24"/>
  <c r="U333" i="24"/>
  <c r="U334" i="24"/>
  <c r="U335" i="24"/>
  <c r="U336" i="24"/>
  <c r="U337" i="24"/>
  <c r="U338" i="24"/>
  <c r="U339" i="24"/>
  <c r="U340" i="24"/>
  <c r="U341" i="24"/>
  <c r="U342" i="24"/>
  <c r="U343" i="24"/>
  <c r="U344" i="24"/>
  <c r="U345" i="24"/>
  <c r="U346" i="24"/>
  <c r="U347" i="24"/>
  <c r="U348" i="24"/>
  <c r="U349" i="24"/>
  <c r="U350" i="24"/>
  <c r="U351" i="24"/>
  <c r="U352" i="24"/>
  <c r="U353" i="24"/>
  <c r="U354" i="24"/>
  <c r="U355" i="24"/>
  <c r="U356" i="24"/>
  <c r="U357" i="24"/>
  <c r="U358" i="24"/>
  <c r="U359" i="24"/>
  <c r="U360" i="24"/>
  <c r="U361" i="24"/>
  <c r="U362" i="24"/>
  <c r="U363" i="24"/>
  <c r="U364" i="24"/>
  <c r="U365" i="24"/>
  <c r="U366" i="24"/>
  <c r="U367" i="24"/>
  <c r="U368" i="24"/>
  <c r="U369" i="24"/>
  <c r="U370" i="24"/>
  <c r="U371" i="24"/>
  <c r="U372" i="24"/>
  <c r="U373" i="24"/>
  <c r="U374" i="24"/>
  <c r="U375" i="24"/>
  <c r="U376" i="24"/>
  <c r="U377" i="24"/>
  <c r="U378" i="24"/>
  <c r="U379" i="24"/>
  <c r="U380" i="24"/>
  <c r="U381" i="24"/>
  <c r="U382" i="24"/>
  <c r="U383" i="24"/>
  <c r="U384" i="24"/>
  <c r="U385" i="24"/>
  <c r="U386" i="24"/>
  <c r="U387" i="24"/>
  <c r="U388" i="24"/>
  <c r="U389" i="24"/>
  <c r="U390" i="24"/>
  <c r="U391" i="24"/>
  <c r="U392" i="24"/>
  <c r="U393" i="24"/>
  <c r="U394" i="24"/>
  <c r="U395" i="24"/>
  <c r="U396" i="24"/>
  <c r="U397" i="24"/>
  <c r="U398" i="24"/>
  <c r="U399" i="24"/>
  <c r="U400" i="24"/>
  <c r="U401" i="24"/>
  <c r="U402" i="24"/>
  <c r="U403" i="24"/>
  <c r="U404" i="24"/>
  <c r="U405" i="24"/>
  <c r="U406" i="24"/>
  <c r="U407" i="24"/>
  <c r="U408" i="24"/>
  <c r="U409" i="24"/>
  <c r="U410" i="24"/>
  <c r="U411" i="24"/>
  <c r="U412" i="24"/>
  <c r="U413" i="24"/>
  <c r="U414" i="24"/>
  <c r="U415" i="24"/>
  <c r="U416" i="24"/>
  <c r="U417" i="24"/>
  <c r="U418" i="24"/>
  <c r="U419" i="24"/>
  <c r="U420" i="24"/>
  <c r="U421" i="24"/>
  <c r="U422" i="24"/>
  <c r="U423" i="24"/>
  <c r="U424" i="24"/>
  <c r="U425" i="24"/>
  <c r="U426" i="24"/>
  <c r="U427" i="24"/>
  <c r="U428" i="24"/>
  <c r="U429" i="24"/>
  <c r="U430" i="24"/>
  <c r="U431" i="24"/>
  <c r="U432" i="24"/>
  <c r="U433" i="24"/>
  <c r="U434" i="24"/>
  <c r="U435" i="24"/>
  <c r="U436" i="24"/>
  <c r="U437" i="24"/>
  <c r="U438" i="24"/>
  <c r="U439" i="24"/>
  <c r="U440" i="24"/>
  <c r="U441" i="24"/>
  <c r="U442" i="24"/>
  <c r="U443" i="24"/>
  <c r="U444" i="24"/>
  <c r="U445" i="24"/>
  <c r="U446" i="24"/>
  <c r="U447" i="24"/>
  <c r="U448" i="24"/>
  <c r="U449" i="24"/>
  <c r="U450" i="24"/>
  <c r="U451" i="24"/>
  <c r="U452" i="24"/>
  <c r="U453" i="24"/>
  <c r="U454" i="24"/>
  <c r="U455" i="24"/>
  <c r="U456" i="24"/>
  <c r="U457" i="24"/>
  <c r="U458" i="24"/>
  <c r="U459" i="24"/>
  <c r="U460" i="24"/>
  <c r="U461" i="24"/>
  <c r="U462" i="24"/>
  <c r="U463" i="24"/>
  <c r="U464" i="24"/>
  <c r="U465" i="24"/>
  <c r="U466" i="24"/>
  <c r="U467" i="24"/>
  <c r="U468" i="24"/>
  <c r="U469" i="24"/>
  <c r="U470" i="24"/>
  <c r="U471" i="24"/>
  <c r="U472" i="24"/>
  <c r="U473" i="24"/>
  <c r="U474" i="24"/>
  <c r="U475" i="24"/>
  <c r="U476" i="24"/>
  <c r="U477" i="24"/>
  <c r="U478" i="24"/>
  <c r="U479" i="24"/>
  <c r="U480" i="24"/>
  <c r="U481" i="24"/>
  <c r="U482" i="24"/>
  <c r="U483" i="24"/>
  <c r="U484" i="24"/>
  <c r="U485" i="24"/>
  <c r="U486" i="24"/>
  <c r="U487" i="24"/>
  <c r="U488" i="24"/>
  <c r="U489" i="24"/>
  <c r="U490" i="24"/>
  <c r="U491" i="24"/>
  <c r="U492" i="24"/>
  <c r="U493" i="24"/>
  <c r="U494" i="24"/>
  <c r="U495" i="24"/>
  <c r="U496" i="24"/>
  <c r="U497" i="24"/>
  <c r="U498" i="24"/>
  <c r="U499" i="24"/>
  <c r="U500" i="24"/>
  <c r="U501" i="24"/>
  <c r="U502" i="24"/>
  <c r="U503" i="24"/>
  <c r="U504" i="24"/>
  <c r="U505" i="24"/>
  <c r="U506" i="24"/>
  <c r="U507" i="24"/>
  <c r="U508" i="24"/>
  <c r="U509" i="24"/>
  <c r="U510" i="24"/>
  <c r="U511" i="24"/>
  <c r="U512" i="24"/>
  <c r="U513" i="24"/>
  <c r="U514" i="24"/>
  <c r="U515" i="24"/>
  <c r="U516" i="24"/>
  <c r="U517" i="24"/>
  <c r="U518" i="24"/>
  <c r="U519" i="24"/>
  <c r="U520" i="24"/>
  <c r="U521" i="24"/>
  <c r="U522" i="24"/>
  <c r="U523" i="24"/>
  <c r="U524" i="24"/>
  <c r="U525" i="24"/>
  <c r="U526" i="24"/>
  <c r="U527" i="24"/>
  <c r="U528" i="24"/>
  <c r="U529" i="24"/>
  <c r="U530" i="24"/>
  <c r="U531" i="24"/>
  <c r="U532" i="24"/>
  <c r="U533" i="24"/>
  <c r="U534" i="24"/>
  <c r="U535" i="24"/>
  <c r="U536" i="24"/>
  <c r="U537" i="24"/>
  <c r="U538" i="24"/>
  <c r="U539" i="24"/>
  <c r="U540" i="24"/>
  <c r="U541" i="24"/>
  <c r="U542" i="24"/>
  <c r="U543" i="24"/>
  <c r="U544" i="24"/>
  <c r="U545" i="24"/>
  <c r="U546" i="24"/>
  <c r="U547" i="24"/>
  <c r="U548" i="24"/>
  <c r="U549" i="24"/>
  <c r="U550" i="24"/>
  <c r="U551" i="24"/>
  <c r="U552" i="24"/>
  <c r="U553" i="24"/>
  <c r="U554" i="24"/>
  <c r="U555" i="24"/>
  <c r="U556" i="24"/>
  <c r="U557" i="24"/>
  <c r="U558" i="24"/>
  <c r="U559" i="24"/>
  <c r="U560" i="24"/>
  <c r="U561" i="24"/>
  <c r="U562" i="24"/>
  <c r="U563" i="24"/>
  <c r="U564" i="24"/>
  <c r="U565" i="24"/>
  <c r="U566" i="24"/>
  <c r="U567" i="24"/>
  <c r="U568" i="24"/>
  <c r="U569" i="24"/>
  <c r="U570" i="24"/>
  <c r="U571" i="24"/>
  <c r="U572" i="24"/>
  <c r="U573" i="24"/>
  <c r="U574" i="24"/>
  <c r="U575" i="24"/>
  <c r="U576" i="24"/>
  <c r="U577" i="24"/>
  <c r="U578" i="24"/>
  <c r="U579" i="24"/>
  <c r="U580" i="24"/>
  <c r="U581" i="24"/>
  <c r="U582" i="24"/>
  <c r="U583" i="24"/>
  <c r="U584" i="24"/>
  <c r="U585" i="24"/>
  <c r="U586" i="24"/>
  <c r="U587" i="24"/>
  <c r="U588" i="24"/>
  <c r="U589" i="24"/>
  <c r="U590" i="24"/>
  <c r="U591" i="24"/>
  <c r="U592" i="24"/>
  <c r="U593" i="24"/>
  <c r="U594" i="24"/>
  <c r="U595" i="24"/>
  <c r="U596" i="24"/>
  <c r="U597" i="24"/>
  <c r="U598" i="24"/>
  <c r="U599" i="24"/>
  <c r="U600" i="24"/>
  <c r="U601" i="24"/>
  <c r="U602" i="24"/>
  <c r="U603" i="24"/>
  <c r="U604" i="24"/>
  <c r="U605" i="24"/>
  <c r="U606" i="24"/>
  <c r="U607" i="24"/>
  <c r="U608" i="24"/>
  <c r="U609" i="24"/>
  <c r="U610" i="24"/>
  <c r="U611" i="24"/>
  <c r="U612" i="24"/>
  <c r="U613" i="24"/>
  <c r="U614" i="24"/>
  <c r="U615" i="24"/>
  <c r="U616" i="24"/>
  <c r="U617" i="24"/>
  <c r="U618" i="24"/>
  <c r="U619" i="24"/>
  <c r="U620" i="24"/>
  <c r="U621" i="24"/>
  <c r="U622" i="24"/>
  <c r="U623" i="24"/>
  <c r="U624" i="24"/>
  <c r="U625" i="24"/>
  <c r="U626" i="24"/>
  <c r="U627" i="24"/>
  <c r="U628" i="24"/>
  <c r="U629" i="24"/>
  <c r="U630" i="24"/>
  <c r="U631" i="24"/>
  <c r="U632" i="24"/>
  <c r="U633" i="24"/>
  <c r="U634" i="24"/>
  <c r="U635" i="24"/>
  <c r="U636" i="24"/>
  <c r="U637" i="24"/>
  <c r="U638" i="24"/>
  <c r="U639" i="24"/>
  <c r="U640" i="24"/>
  <c r="U641" i="24"/>
  <c r="U642" i="24"/>
  <c r="U643" i="24"/>
  <c r="U644" i="24"/>
  <c r="U30" i="24"/>
  <c r="U31" i="24"/>
  <c r="U32" i="24"/>
  <c r="U33" i="24"/>
  <c r="U34" i="24"/>
  <c r="U35" i="24"/>
  <c r="U36" i="24"/>
  <c r="U37" i="24"/>
  <c r="U38" i="24"/>
  <c r="U39" i="24"/>
  <c r="U40" i="24"/>
  <c r="U41" i="24"/>
  <c r="U42" i="24"/>
  <c r="U43" i="24"/>
  <c r="U44" i="24"/>
  <c r="U45" i="24"/>
  <c r="U46" i="24"/>
  <c r="U47" i="24"/>
  <c r="U48" i="24"/>
  <c r="U49" i="24"/>
  <c r="U50" i="24"/>
  <c r="U51" i="24"/>
  <c r="U52" i="24"/>
  <c r="U53" i="24"/>
  <c r="M23" i="24"/>
  <c r="M20" i="24"/>
  <c r="M17" i="24"/>
  <c r="M14" i="24"/>
  <c r="M11" i="24"/>
  <c r="M8" i="24"/>
  <c r="M5" i="24"/>
  <c r="L23" i="24"/>
  <c r="L20" i="24"/>
  <c r="L17" i="24"/>
  <c r="L14" i="24"/>
  <c r="L11" i="24"/>
  <c r="L8" i="24"/>
  <c r="L5" i="24"/>
  <c r="K23" i="24"/>
  <c r="K20" i="24"/>
  <c r="K17" i="24"/>
  <c r="K14" i="24"/>
  <c r="K11" i="24"/>
  <c r="K8" i="24"/>
  <c r="K5" i="24"/>
  <c r="F23" i="24"/>
  <c r="F20" i="24"/>
  <c r="F17" i="24"/>
  <c r="F14" i="24"/>
  <c r="F11" i="24"/>
  <c r="F8" i="24"/>
  <c r="F5" i="24"/>
  <c r="E23" i="24"/>
  <c r="E20" i="24"/>
  <c r="E17" i="24"/>
  <c r="E14" i="24"/>
  <c r="E11" i="24"/>
  <c r="E8" i="24"/>
  <c r="E5" i="24"/>
  <c r="D23" i="24"/>
  <c r="D20" i="24"/>
  <c r="D17" i="24"/>
  <c r="D14" i="24"/>
  <c r="D11" i="24"/>
  <c r="D8" i="24"/>
  <c r="D5" i="24"/>
  <c r="F26" i="24"/>
  <c r="I26" i="24" s="1"/>
  <c r="J26" i="24" s="1"/>
  <c r="E26" i="24"/>
  <c r="K26" i="24" s="1"/>
  <c r="D26" i="24"/>
  <c r="B5" i="24" l="1"/>
  <c r="B23" i="24"/>
  <c r="O20" i="24"/>
  <c r="B20" i="24"/>
  <c r="O23" i="24"/>
  <c r="B17" i="24"/>
  <c r="O17" i="24"/>
  <c r="B14" i="24"/>
  <c r="O14" i="24"/>
  <c r="B11" i="24"/>
  <c r="O11" i="24"/>
  <c r="B8" i="24"/>
  <c r="O8" i="24"/>
  <c r="O5" i="24"/>
  <c r="Q20" i="24"/>
  <c r="A17" i="24"/>
  <c r="A14" i="24"/>
  <c r="A8" i="24"/>
  <c r="Q5" i="24"/>
  <c r="A11" i="24"/>
  <c r="N20" i="24"/>
  <c r="Q14" i="24"/>
  <c r="Q17" i="24"/>
  <c r="N23" i="24"/>
  <c r="A5" i="24"/>
  <c r="Q23" i="24"/>
  <c r="N17" i="24"/>
  <c r="N14" i="24"/>
  <c r="N11" i="24"/>
  <c r="N8" i="24"/>
  <c r="A23" i="24"/>
  <c r="A20" i="24"/>
  <c r="Q11" i="24"/>
  <c r="Q8" i="24"/>
  <c r="N5" i="24"/>
  <c r="G17" i="24"/>
  <c r="C17" i="24" s="1"/>
  <c r="G14" i="24"/>
  <c r="C14" i="24" s="1"/>
  <c r="G20" i="24"/>
  <c r="P20" i="24" s="1"/>
  <c r="G23" i="24"/>
  <c r="P23" i="24" s="1"/>
  <c r="G8" i="24"/>
  <c r="C8" i="24" s="1"/>
  <c r="G11" i="24"/>
  <c r="C11" i="24" s="1"/>
  <c r="L26" i="24"/>
  <c r="Q26" i="24"/>
  <c r="P26" i="24"/>
  <c r="O26" i="24"/>
  <c r="P17" i="24" l="1"/>
  <c r="C20" i="24"/>
  <c r="P14" i="24"/>
  <c r="C23" i="24"/>
  <c r="P8" i="24"/>
  <c r="P11" i="24"/>
  <c r="R26" i="24"/>
  <c r="S26" i="24"/>
  <c r="A26" i="24"/>
  <c r="B26" i="24"/>
  <c r="G26" i="24"/>
  <c r="T26" i="24" s="1"/>
  <c r="U26" i="24"/>
  <c r="AA6" i="23"/>
  <c r="AD6" i="23"/>
  <c r="AE6" i="23"/>
  <c r="AC6" i="23"/>
  <c r="C26" i="24" l="1"/>
  <c r="F6" i="23"/>
  <c r="D6" i="23"/>
  <c r="B6" i="23"/>
  <c r="G5" i="24" l="1"/>
  <c r="C5" i="24" s="1"/>
  <c r="E6" i="23"/>
  <c r="Z6" i="23"/>
  <c r="P5" i="24" l="1"/>
  <c r="AB6" i="23"/>
  <c r="AF6" i="23"/>
  <c r="AU573" i="23"/>
  <c r="U573" i="23"/>
  <c r="AU572" i="23"/>
  <c r="U572" i="23"/>
  <c r="AU571" i="23"/>
  <c r="U571" i="23"/>
  <c r="AU570" i="23"/>
  <c r="U570" i="23"/>
  <c r="AU569" i="23"/>
  <c r="U569" i="23"/>
  <c r="AU568" i="23"/>
  <c r="U568" i="23"/>
  <c r="AU567" i="23"/>
  <c r="U567" i="23"/>
  <c r="AU566" i="23"/>
  <c r="U566" i="23"/>
  <c r="AU565" i="23"/>
  <c r="U565" i="23"/>
  <c r="AU564" i="23"/>
  <c r="U564" i="23"/>
  <c r="AU563" i="23"/>
  <c r="U563" i="23"/>
  <c r="AU562" i="23"/>
  <c r="U562" i="23"/>
  <c r="AU561" i="23"/>
  <c r="U561" i="23"/>
  <c r="AU560" i="23"/>
  <c r="U560" i="23"/>
  <c r="AU559" i="23"/>
  <c r="U559" i="23"/>
  <c r="AU558" i="23"/>
  <c r="U558" i="23"/>
  <c r="AU557" i="23"/>
  <c r="U557" i="23"/>
  <c r="AU556" i="23"/>
  <c r="U556" i="23"/>
  <c r="AU555" i="23"/>
  <c r="U555" i="23"/>
  <c r="AU554" i="23"/>
  <c r="U554" i="23"/>
  <c r="AU553" i="23"/>
  <c r="U553" i="23"/>
  <c r="AU552" i="23"/>
  <c r="U552" i="23"/>
  <c r="AU551" i="23"/>
  <c r="U551" i="23"/>
  <c r="AU550" i="23"/>
  <c r="U550" i="23"/>
  <c r="AU549" i="23"/>
  <c r="U549" i="23"/>
  <c r="AU548" i="23"/>
  <c r="U548" i="23"/>
  <c r="AU547" i="23"/>
  <c r="U547" i="23"/>
  <c r="AU546" i="23"/>
  <c r="U546" i="23"/>
  <c r="AU545" i="23"/>
  <c r="U545" i="23"/>
  <c r="AU544" i="23"/>
  <c r="U544" i="23"/>
  <c r="AU543" i="23"/>
  <c r="U543" i="23"/>
  <c r="AU542" i="23"/>
  <c r="U542" i="23"/>
  <c r="AU541" i="23"/>
  <c r="U541" i="23"/>
  <c r="AU540" i="23"/>
  <c r="U540" i="23"/>
  <c r="AU539" i="23"/>
  <c r="U539" i="23"/>
  <c r="AU538" i="23"/>
  <c r="U538" i="23"/>
  <c r="AU537" i="23"/>
  <c r="U537" i="23"/>
  <c r="AU536" i="23"/>
  <c r="U536" i="23"/>
  <c r="AU535" i="23"/>
  <c r="U535" i="23"/>
  <c r="AU534" i="23"/>
  <c r="U534" i="23"/>
  <c r="AU533" i="23"/>
  <c r="U533" i="23"/>
  <c r="AU532" i="23"/>
  <c r="U532" i="23"/>
  <c r="AU531" i="23"/>
  <c r="U531" i="23"/>
  <c r="AU530" i="23"/>
  <c r="U530" i="23"/>
  <c r="AU529" i="23"/>
  <c r="U529" i="23"/>
  <c r="AU528" i="23"/>
  <c r="U528" i="23"/>
  <c r="AU527" i="23"/>
  <c r="U527" i="23"/>
  <c r="AU526" i="23"/>
  <c r="U526" i="23"/>
  <c r="AU525" i="23"/>
  <c r="U525" i="23"/>
  <c r="AU524" i="23"/>
  <c r="U524" i="23"/>
  <c r="AU523" i="23"/>
  <c r="U523" i="23"/>
  <c r="AU522" i="23"/>
  <c r="U522" i="23"/>
  <c r="AU521" i="23"/>
  <c r="U521" i="23"/>
  <c r="AU520" i="23"/>
  <c r="U520" i="23"/>
  <c r="AU519" i="23"/>
  <c r="U519" i="23"/>
  <c r="AU518" i="23"/>
  <c r="U518" i="23"/>
  <c r="AU517" i="23"/>
  <c r="U517" i="23"/>
  <c r="AU516" i="23"/>
  <c r="U516" i="23"/>
  <c r="AU515" i="23"/>
  <c r="U515" i="23"/>
  <c r="AU514" i="23"/>
  <c r="U514" i="23"/>
  <c r="AU513" i="23"/>
  <c r="U513" i="23"/>
  <c r="AU512" i="23"/>
  <c r="U512" i="23"/>
  <c r="AU511" i="23"/>
  <c r="U511" i="23"/>
  <c r="AU510" i="23"/>
  <c r="U510" i="23"/>
  <c r="AU509" i="23"/>
  <c r="U509" i="23"/>
  <c r="AU508" i="23"/>
  <c r="U508" i="23"/>
  <c r="AU507" i="23"/>
  <c r="U507" i="23"/>
  <c r="AU506" i="23"/>
  <c r="U506" i="23"/>
  <c r="AU505" i="23"/>
  <c r="U505" i="23"/>
  <c r="AU504" i="23"/>
  <c r="U504" i="23"/>
  <c r="AU503" i="23"/>
  <c r="U503" i="23"/>
  <c r="AU502" i="23"/>
  <c r="U502" i="23"/>
  <c r="AU501" i="23"/>
  <c r="U501" i="23"/>
  <c r="AU500" i="23"/>
  <c r="U500" i="23"/>
  <c r="AU499" i="23"/>
  <c r="U499" i="23"/>
  <c r="AU498" i="23"/>
  <c r="U498" i="23"/>
  <c r="AU497" i="23"/>
  <c r="U497" i="23"/>
  <c r="AU496" i="23"/>
  <c r="U496" i="23"/>
  <c r="AU495" i="23"/>
  <c r="U495" i="23"/>
  <c r="AU494" i="23"/>
  <c r="U494" i="23"/>
  <c r="AU493" i="23"/>
  <c r="U493" i="23"/>
  <c r="AU492" i="23"/>
  <c r="U492" i="23"/>
  <c r="AU491" i="23"/>
  <c r="U491" i="23"/>
  <c r="AU490" i="23"/>
  <c r="U490" i="23"/>
  <c r="AU489" i="23"/>
  <c r="U489" i="23"/>
  <c r="AU488" i="23"/>
  <c r="U488" i="23"/>
  <c r="AU487" i="23"/>
  <c r="U487" i="23"/>
  <c r="AU486" i="23"/>
  <c r="U486" i="23"/>
  <c r="AU485" i="23"/>
  <c r="U485" i="23"/>
  <c r="AU484" i="23"/>
  <c r="U484" i="23"/>
  <c r="AU483" i="23"/>
  <c r="U483" i="23"/>
  <c r="AU482" i="23"/>
  <c r="U482" i="23"/>
  <c r="AU481" i="23"/>
  <c r="U481" i="23"/>
  <c r="AU480" i="23"/>
  <c r="U480" i="23"/>
  <c r="AU479" i="23"/>
  <c r="U479" i="23"/>
  <c r="AU478" i="23"/>
  <c r="U478" i="23"/>
  <c r="AU477" i="23"/>
  <c r="U477" i="23"/>
  <c r="AU476" i="23"/>
  <c r="U476" i="23"/>
  <c r="AU475" i="23"/>
  <c r="U475" i="23"/>
  <c r="AU474" i="23"/>
  <c r="U474" i="23"/>
  <c r="AU473" i="23"/>
  <c r="U473" i="23"/>
  <c r="AU472" i="23"/>
  <c r="U472" i="23"/>
  <c r="AU471" i="23"/>
  <c r="U471" i="23"/>
  <c r="AU470" i="23"/>
  <c r="U470" i="23"/>
  <c r="AU469" i="23"/>
  <c r="U469" i="23"/>
  <c r="AU468" i="23"/>
  <c r="U468" i="23"/>
  <c r="AU467" i="23"/>
  <c r="U467" i="23"/>
  <c r="AU466" i="23"/>
  <c r="U466" i="23"/>
  <c r="AU465" i="23"/>
  <c r="U465" i="23"/>
  <c r="AU464" i="23"/>
  <c r="U464" i="23"/>
  <c r="AU463" i="23"/>
  <c r="U463" i="23"/>
  <c r="AU462" i="23"/>
  <c r="U462" i="23"/>
  <c r="AU461" i="23"/>
  <c r="U461" i="23"/>
  <c r="AU460" i="23"/>
  <c r="U460" i="23"/>
  <c r="AU459" i="23"/>
  <c r="U459" i="23"/>
  <c r="AU458" i="23"/>
  <c r="U458" i="23"/>
  <c r="AU457" i="23"/>
  <c r="U457" i="23"/>
  <c r="AU456" i="23"/>
  <c r="U456" i="23"/>
  <c r="AU455" i="23"/>
  <c r="U455" i="23"/>
  <c r="AU454" i="23"/>
  <c r="U454" i="23"/>
  <c r="AU453" i="23"/>
  <c r="U453" i="23"/>
  <c r="AU452" i="23"/>
  <c r="U452" i="23"/>
  <c r="AU451" i="23"/>
  <c r="U451" i="23"/>
  <c r="AU450" i="23"/>
  <c r="U450" i="23"/>
  <c r="AU449" i="23"/>
  <c r="U449" i="23"/>
  <c r="AU448" i="23"/>
  <c r="U448" i="23"/>
  <c r="AU447" i="23"/>
  <c r="U447" i="23"/>
  <c r="AU446" i="23"/>
  <c r="U446" i="23"/>
  <c r="AU445" i="23"/>
  <c r="U445" i="23"/>
  <c r="AU444" i="23"/>
  <c r="U444" i="23"/>
  <c r="AU443" i="23"/>
  <c r="U443" i="23"/>
  <c r="AU442" i="23"/>
  <c r="U442" i="23"/>
  <c r="AU441" i="23"/>
  <c r="U441" i="23"/>
  <c r="AU440" i="23"/>
  <c r="U440" i="23"/>
  <c r="AU439" i="23"/>
  <c r="U439" i="23"/>
  <c r="AU438" i="23"/>
  <c r="U438" i="23"/>
  <c r="AU437" i="23"/>
  <c r="U437" i="23"/>
  <c r="AU436" i="23"/>
  <c r="U436" i="23"/>
  <c r="AU435" i="23"/>
  <c r="U435" i="23"/>
  <c r="AU434" i="23"/>
  <c r="U434" i="23"/>
  <c r="AU433" i="23"/>
  <c r="U433" i="23"/>
  <c r="AU432" i="23"/>
  <c r="U432" i="23"/>
  <c r="AU431" i="23"/>
  <c r="U431" i="23"/>
  <c r="AU430" i="23"/>
  <c r="U430" i="23"/>
  <c r="AU429" i="23"/>
  <c r="U429" i="23"/>
  <c r="AU428" i="23"/>
  <c r="U428" i="23"/>
  <c r="AU427" i="23"/>
  <c r="U427" i="23"/>
  <c r="AU426" i="23"/>
  <c r="U426" i="23"/>
  <c r="AU425" i="23"/>
  <c r="U425" i="23"/>
  <c r="AU424" i="23"/>
  <c r="U424" i="23"/>
  <c r="AU423" i="23"/>
  <c r="U423" i="23"/>
  <c r="AU422" i="23"/>
  <c r="U422" i="23"/>
  <c r="AU421" i="23"/>
  <c r="U421" i="23"/>
  <c r="AU420" i="23"/>
  <c r="U420" i="23"/>
  <c r="AU419" i="23"/>
  <c r="U419" i="23"/>
  <c r="AU418" i="23"/>
  <c r="U418" i="23"/>
  <c r="AU417" i="23"/>
  <c r="U417" i="23"/>
  <c r="AU416" i="23"/>
  <c r="U416" i="23"/>
  <c r="AU415" i="23"/>
  <c r="U415" i="23"/>
  <c r="AU414" i="23"/>
  <c r="U414" i="23"/>
  <c r="AU413" i="23"/>
  <c r="U413" i="23"/>
  <c r="AU412" i="23"/>
  <c r="U412" i="23"/>
  <c r="AU411" i="23"/>
  <c r="U411" i="23"/>
  <c r="AU410" i="23"/>
  <c r="U410" i="23"/>
  <c r="AU409" i="23"/>
  <c r="U409" i="23"/>
  <c r="AU408" i="23"/>
  <c r="U408" i="23"/>
  <c r="AU407" i="23"/>
  <c r="U407" i="23"/>
  <c r="AU406" i="23"/>
  <c r="U406" i="23"/>
  <c r="AU405" i="23"/>
  <c r="U405" i="23"/>
  <c r="AU404" i="23"/>
  <c r="U404" i="23"/>
  <c r="AU403" i="23"/>
  <c r="U403" i="23"/>
  <c r="AU402" i="23"/>
  <c r="U402" i="23"/>
  <c r="AU401" i="23"/>
  <c r="U401" i="23"/>
  <c r="AU400" i="23"/>
  <c r="U400" i="23"/>
  <c r="AU399" i="23"/>
  <c r="U399" i="23"/>
  <c r="AU398" i="23"/>
  <c r="U398" i="23"/>
  <c r="AU397" i="23"/>
  <c r="U397" i="23"/>
  <c r="AU396" i="23"/>
  <c r="U396" i="23"/>
  <c r="AU395" i="23"/>
  <c r="U395" i="23"/>
  <c r="AU394" i="23"/>
  <c r="U394" i="23"/>
  <c r="AU393" i="23"/>
  <c r="U393" i="23"/>
  <c r="AU392" i="23"/>
  <c r="U392" i="23"/>
  <c r="AU391" i="23"/>
  <c r="U391" i="23"/>
  <c r="AU390" i="23"/>
  <c r="U390" i="23"/>
  <c r="AU389" i="23"/>
  <c r="U389" i="23"/>
  <c r="AU388" i="23"/>
  <c r="U388" i="23"/>
  <c r="AU387" i="23"/>
  <c r="U387" i="23"/>
  <c r="AU386" i="23"/>
  <c r="U386" i="23"/>
  <c r="AU385" i="23"/>
  <c r="U385" i="23"/>
  <c r="AU384" i="23"/>
  <c r="U384" i="23"/>
  <c r="AU383" i="23"/>
  <c r="U383" i="23"/>
  <c r="AU382" i="23"/>
  <c r="U382" i="23"/>
  <c r="AU381" i="23"/>
  <c r="U381" i="23"/>
  <c r="AU380" i="23"/>
  <c r="U380" i="23"/>
  <c r="AU379" i="23"/>
  <c r="U379" i="23"/>
  <c r="AU378" i="23"/>
  <c r="U378" i="23"/>
  <c r="AU377" i="23"/>
  <c r="U377" i="23"/>
  <c r="AU376" i="23"/>
  <c r="U376" i="23"/>
  <c r="AU375" i="23"/>
  <c r="U375" i="23"/>
  <c r="AU374" i="23"/>
  <c r="U374" i="23"/>
  <c r="AU373" i="23"/>
  <c r="U373" i="23"/>
  <c r="AU372" i="23"/>
  <c r="U372" i="23"/>
  <c r="AU371" i="23"/>
  <c r="U371" i="23"/>
  <c r="AU370" i="23"/>
  <c r="U370" i="23"/>
  <c r="AU369" i="23"/>
  <c r="U369" i="23"/>
  <c r="AU368" i="23"/>
  <c r="U368" i="23"/>
  <c r="AU367" i="23"/>
  <c r="U367" i="23"/>
  <c r="AU366" i="23"/>
  <c r="U366" i="23"/>
  <c r="AU365" i="23"/>
  <c r="U365" i="23"/>
  <c r="AU364" i="23"/>
  <c r="U364" i="23"/>
  <c r="AU363" i="23"/>
  <c r="U363" i="23"/>
  <c r="AU362" i="23"/>
  <c r="U362" i="23"/>
  <c r="AU361" i="23"/>
  <c r="U361" i="23"/>
  <c r="AU360" i="23"/>
  <c r="U360" i="23"/>
  <c r="AU359" i="23"/>
  <c r="U359" i="23"/>
  <c r="AU358" i="23"/>
  <c r="U358" i="23"/>
  <c r="AU357" i="23"/>
  <c r="U357" i="23"/>
  <c r="AU356" i="23"/>
  <c r="U356" i="23"/>
  <c r="AU355" i="23"/>
  <c r="U355" i="23"/>
  <c r="AU354" i="23"/>
  <c r="U354" i="23"/>
  <c r="AU353" i="23"/>
  <c r="U353" i="23"/>
  <c r="AU352" i="23"/>
  <c r="U352" i="23"/>
  <c r="AU351" i="23"/>
  <c r="U351" i="23"/>
  <c r="AU350" i="23"/>
  <c r="U350" i="23"/>
  <c r="AU349" i="23"/>
  <c r="U349" i="23"/>
  <c r="AU348" i="23"/>
  <c r="U348" i="23"/>
  <c r="AU347" i="23"/>
  <c r="U347" i="23"/>
  <c r="AU346" i="23"/>
  <c r="U346" i="23"/>
  <c r="AU345" i="23"/>
  <c r="U345" i="23"/>
  <c r="AU344" i="23"/>
  <c r="U344" i="23"/>
  <c r="AU343" i="23"/>
  <c r="U343" i="23"/>
  <c r="AU342" i="23"/>
  <c r="U342" i="23"/>
  <c r="AU341" i="23"/>
  <c r="U341" i="23"/>
  <c r="AU340" i="23"/>
  <c r="U340" i="23"/>
  <c r="AU339" i="23"/>
  <c r="U339" i="23"/>
  <c r="AU338" i="23"/>
  <c r="U338" i="23"/>
  <c r="AU337" i="23"/>
  <c r="U337" i="23"/>
  <c r="AU336" i="23"/>
  <c r="U336" i="23"/>
  <c r="AU335" i="23"/>
  <c r="U335" i="23"/>
  <c r="AU334" i="23"/>
  <c r="U334" i="23"/>
  <c r="AU333" i="23"/>
  <c r="U333" i="23"/>
  <c r="AU332" i="23"/>
  <c r="U332" i="23"/>
  <c r="AU331" i="23"/>
  <c r="U331" i="23"/>
  <c r="AU330" i="23"/>
  <c r="U330" i="23"/>
  <c r="AU329" i="23"/>
  <c r="U329" i="23"/>
  <c r="AU328" i="23"/>
  <c r="U328" i="23"/>
  <c r="AU327" i="23"/>
  <c r="U327" i="23"/>
  <c r="AU326" i="23"/>
  <c r="U326" i="23"/>
  <c r="AU325" i="23"/>
  <c r="U325" i="23"/>
  <c r="AU324" i="23"/>
  <c r="U324" i="23"/>
  <c r="AU323" i="23"/>
  <c r="U323" i="23"/>
  <c r="AU322" i="23"/>
  <c r="U322" i="23"/>
  <c r="AU321" i="23"/>
  <c r="U321" i="23"/>
  <c r="AU320" i="23"/>
  <c r="U320" i="23"/>
  <c r="AU319" i="23"/>
  <c r="U319" i="23"/>
  <c r="AU318" i="23"/>
  <c r="U318" i="23"/>
  <c r="AU317" i="23"/>
  <c r="U317" i="23"/>
  <c r="AU316" i="23"/>
  <c r="U316" i="23"/>
  <c r="AU315" i="23"/>
  <c r="U315" i="23"/>
  <c r="AU314" i="23"/>
  <c r="U314" i="23"/>
  <c r="AU313" i="23"/>
  <c r="U313" i="23"/>
  <c r="AU312" i="23"/>
  <c r="U312" i="23"/>
  <c r="AU311" i="23"/>
  <c r="U311" i="23"/>
  <c r="AU310" i="23"/>
  <c r="U310" i="23"/>
  <c r="AU309" i="23"/>
  <c r="U309" i="23"/>
  <c r="AU308" i="23"/>
  <c r="U308" i="23"/>
  <c r="AU307" i="23"/>
  <c r="U307" i="23"/>
  <c r="AU306" i="23"/>
  <c r="U306" i="23"/>
  <c r="AU305" i="23"/>
  <c r="U305" i="23"/>
  <c r="AU304" i="23"/>
  <c r="U304" i="23"/>
  <c r="AU303" i="23"/>
  <c r="U303" i="23"/>
  <c r="AU302" i="23"/>
  <c r="U302" i="23"/>
  <c r="AU301" i="23"/>
  <c r="U301" i="23"/>
  <c r="AU300" i="23"/>
  <c r="U300" i="23"/>
  <c r="AU299" i="23"/>
  <c r="U299" i="23"/>
  <c r="AU298" i="23"/>
  <c r="U298" i="23"/>
  <c r="AU297" i="23"/>
  <c r="U297" i="23"/>
  <c r="AU296" i="23"/>
  <c r="U296" i="23"/>
  <c r="AU295" i="23"/>
  <c r="U295" i="23"/>
  <c r="AU294" i="23"/>
  <c r="U294" i="23"/>
  <c r="AU293" i="23"/>
  <c r="U293" i="23"/>
  <c r="AU292" i="23"/>
  <c r="U292" i="23"/>
  <c r="AU291" i="23"/>
  <c r="U291" i="23"/>
  <c r="AU290" i="23"/>
  <c r="U290" i="23"/>
  <c r="AU289" i="23"/>
  <c r="U289" i="23"/>
  <c r="AU288" i="23"/>
  <c r="U288" i="23"/>
  <c r="AU287" i="23"/>
  <c r="U287" i="23"/>
  <c r="AU286" i="23"/>
  <c r="U286" i="23"/>
  <c r="AU285" i="23"/>
  <c r="U285" i="23"/>
  <c r="AU284" i="23"/>
  <c r="U284" i="23"/>
  <c r="AU283" i="23"/>
  <c r="U283" i="23"/>
  <c r="AU282" i="23"/>
  <c r="U282" i="23"/>
  <c r="AU281" i="23"/>
  <c r="U281" i="23"/>
  <c r="AU280" i="23"/>
  <c r="U280" i="23"/>
  <c r="AU279" i="23"/>
  <c r="U279" i="23"/>
  <c r="AU278" i="23"/>
  <c r="U278" i="23"/>
  <c r="AU277" i="23"/>
  <c r="U277" i="23"/>
  <c r="AU276" i="23"/>
  <c r="U276" i="23"/>
  <c r="AU275" i="23"/>
  <c r="U275" i="23"/>
  <c r="AU274" i="23"/>
  <c r="U274" i="23"/>
  <c r="AU273" i="23"/>
  <c r="U273" i="23"/>
  <c r="AU272" i="23"/>
  <c r="U272" i="23"/>
  <c r="AU271" i="23"/>
  <c r="U271" i="23"/>
  <c r="AU270" i="23"/>
  <c r="U270" i="23"/>
  <c r="AU269" i="23"/>
  <c r="U269" i="23"/>
  <c r="AU268" i="23"/>
  <c r="U268" i="23"/>
  <c r="AU267" i="23"/>
  <c r="U267" i="23"/>
  <c r="AU266" i="23"/>
  <c r="U266" i="23"/>
  <c r="AU265" i="23"/>
  <c r="U265" i="23"/>
  <c r="AU264" i="23"/>
  <c r="U264" i="23"/>
  <c r="AU263" i="23"/>
  <c r="U263" i="23"/>
  <c r="AU262" i="23"/>
  <c r="U262" i="23"/>
  <c r="AU261" i="23"/>
  <c r="U261" i="23"/>
  <c r="AU260" i="23"/>
  <c r="U260" i="23"/>
  <c r="AU259" i="23"/>
  <c r="U259" i="23"/>
  <c r="AU258" i="23"/>
  <c r="U258" i="23"/>
  <c r="AU257" i="23"/>
  <c r="U257" i="23"/>
  <c r="AU256" i="23"/>
  <c r="U256" i="23"/>
  <c r="AU255" i="23"/>
  <c r="U255" i="23"/>
  <c r="AU254" i="23"/>
  <c r="U254" i="23"/>
  <c r="AU253" i="23"/>
  <c r="U253" i="23"/>
  <c r="AU252" i="23"/>
  <c r="U252" i="23"/>
  <c r="AU251" i="23"/>
  <c r="U251" i="23"/>
  <c r="AU250" i="23"/>
  <c r="U250" i="23"/>
  <c r="AU249" i="23"/>
  <c r="U249" i="23"/>
  <c r="AU248" i="23"/>
  <c r="U248" i="23"/>
  <c r="AU247" i="23"/>
  <c r="U247" i="23"/>
  <c r="AU246" i="23"/>
  <c r="U246" i="23"/>
  <c r="AU245" i="23"/>
  <c r="U245" i="23"/>
  <c r="AU244" i="23"/>
  <c r="U244" i="23"/>
  <c r="AU243" i="23"/>
  <c r="U243" i="23"/>
  <c r="AU242" i="23"/>
  <c r="U242" i="23"/>
  <c r="AU241" i="23"/>
  <c r="U241" i="23"/>
  <c r="AU240" i="23"/>
  <c r="U240" i="23"/>
  <c r="AU239" i="23"/>
  <c r="U239" i="23"/>
  <c r="AU238" i="23"/>
  <c r="U238" i="23"/>
  <c r="AU237" i="23"/>
  <c r="U237" i="23"/>
  <c r="AU236" i="23"/>
  <c r="U236" i="23"/>
  <c r="AU235" i="23"/>
  <c r="U235" i="23"/>
  <c r="AU234" i="23"/>
  <c r="U234" i="23"/>
  <c r="AU233" i="23"/>
  <c r="U233" i="23"/>
  <c r="AU232" i="23"/>
  <c r="U232" i="23"/>
  <c r="AU231" i="23"/>
  <c r="U231" i="23"/>
  <c r="AU230" i="23"/>
  <c r="U230" i="23"/>
  <c r="AU229" i="23"/>
  <c r="U229" i="23"/>
  <c r="AU228" i="23"/>
  <c r="U228" i="23"/>
  <c r="AU227" i="23"/>
  <c r="U227" i="23"/>
  <c r="AU226" i="23"/>
  <c r="U226" i="23"/>
  <c r="AU225" i="23"/>
  <c r="U225" i="23"/>
  <c r="AU224" i="23"/>
  <c r="U224" i="23"/>
  <c r="AU223" i="23"/>
  <c r="U223" i="23"/>
  <c r="AU222" i="23"/>
  <c r="U222" i="23"/>
  <c r="AU221" i="23"/>
  <c r="U221" i="23"/>
  <c r="AU220" i="23"/>
  <c r="U220" i="23"/>
  <c r="AU219" i="23"/>
  <c r="U219" i="23"/>
  <c r="AU218" i="23"/>
  <c r="U218" i="23"/>
  <c r="AU217" i="23"/>
  <c r="U217" i="23"/>
  <c r="AU216" i="23"/>
  <c r="U216" i="23"/>
  <c r="AU215" i="23"/>
  <c r="U215" i="23"/>
  <c r="AU214" i="23"/>
  <c r="U214" i="23"/>
  <c r="AU213" i="23"/>
  <c r="U213" i="23"/>
  <c r="AU212" i="23"/>
  <c r="U212" i="23"/>
  <c r="AU211" i="23"/>
  <c r="U211" i="23"/>
  <c r="AU210" i="23"/>
  <c r="U210" i="23"/>
  <c r="AU209" i="23"/>
  <c r="U209" i="23"/>
  <c r="AU208" i="23"/>
  <c r="U208" i="23"/>
  <c r="AU207" i="23"/>
  <c r="U207" i="23"/>
  <c r="AU206" i="23"/>
  <c r="U206" i="23"/>
  <c r="AU205" i="23"/>
  <c r="U205" i="23"/>
  <c r="AU204" i="23"/>
  <c r="U204" i="23"/>
  <c r="AU203" i="23"/>
  <c r="U203" i="23"/>
  <c r="AU202" i="23"/>
  <c r="U202" i="23"/>
  <c r="AU201" i="23"/>
  <c r="U201" i="23"/>
  <c r="AU200" i="23"/>
  <c r="U200" i="23"/>
  <c r="AU199" i="23"/>
  <c r="U199" i="23"/>
  <c r="AU198" i="23"/>
  <c r="U198" i="23"/>
  <c r="AU197" i="23"/>
  <c r="U197" i="23"/>
  <c r="AU196" i="23"/>
  <c r="U196" i="23"/>
  <c r="AU195" i="23"/>
  <c r="U195" i="23"/>
  <c r="AU194" i="23"/>
  <c r="U194" i="23"/>
  <c r="AU193" i="23"/>
  <c r="U193" i="23"/>
  <c r="AU192" i="23"/>
  <c r="U192" i="23"/>
  <c r="AU191" i="23"/>
  <c r="U191" i="23"/>
  <c r="AU190" i="23"/>
  <c r="U190" i="23"/>
  <c r="AU189" i="23"/>
  <c r="U189" i="23"/>
  <c r="AU188" i="23"/>
  <c r="U188" i="23"/>
  <c r="AU187" i="23"/>
  <c r="U187" i="23"/>
  <c r="AU186" i="23"/>
  <c r="U186" i="23"/>
  <c r="AU185" i="23"/>
  <c r="U185" i="23"/>
  <c r="AU184" i="23"/>
  <c r="U184" i="23"/>
  <c r="AU183" i="23"/>
  <c r="U183" i="23"/>
  <c r="AU182" i="23"/>
  <c r="U182" i="23"/>
  <c r="AU181" i="23"/>
  <c r="U181" i="23"/>
  <c r="AU180" i="23"/>
  <c r="U180" i="23"/>
  <c r="AU179" i="23"/>
  <c r="U179" i="23"/>
  <c r="AU178" i="23"/>
  <c r="U178" i="23"/>
  <c r="AU177" i="23"/>
  <c r="U177" i="23"/>
  <c r="AU176" i="23"/>
  <c r="U176" i="23"/>
  <c r="AU175" i="23"/>
  <c r="U175" i="23"/>
  <c r="AU174" i="23"/>
  <c r="U174" i="23"/>
  <c r="AU173" i="23"/>
  <c r="U173" i="23"/>
  <c r="AU172" i="23"/>
  <c r="U172" i="23"/>
  <c r="AU171" i="23"/>
  <c r="U171" i="23"/>
  <c r="AU170" i="23"/>
  <c r="U170" i="23"/>
  <c r="AU169" i="23"/>
  <c r="U169" i="23"/>
  <c r="AU168" i="23"/>
  <c r="U168" i="23"/>
  <c r="AU167" i="23"/>
  <c r="U167" i="23"/>
  <c r="AU166" i="23"/>
  <c r="U166" i="23"/>
  <c r="AU165" i="23"/>
  <c r="U165" i="23"/>
  <c r="AU164" i="23"/>
  <c r="U164" i="23"/>
  <c r="AU163" i="23"/>
  <c r="U163" i="23"/>
  <c r="AU162" i="23"/>
  <c r="U162" i="23"/>
  <c r="AU161" i="23"/>
  <c r="U161" i="23"/>
  <c r="AU160" i="23"/>
  <c r="U160" i="23"/>
  <c r="AU159" i="23"/>
  <c r="U159" i="23"/>
  <c r="AU158" i="23"/>
  <c r="U158" i="23"/>
  <c r="AU157" i="23"/>
  <c r="U157" i="23"/>
  <c r="AU156" i="23"/>
  <c r="U156" i="23"/>
  <c r="AU155" i="23"/>
  <c r="U155" i="23"/>
  <c r="AU154" i="23"/>
  <c r="U154" i="23"/>
  <c r="AU153" i="23"/>
  <c r="U153" i="23"/>
  <c r="AU152" i="23"/>
  <c r="U152" i="23"/>
  <c r="AU151" i="23"/>
  <c r="U151" i="23"/>
  <c r="AU150" i="23"/>
  <c r="U150" i="23"/>
  <c r="AU149" i="23"/>
  <c r="U149" i="23"/>
  <c r="AU148" i="23"/>
  <c r="U148" i="23"/>
  <c r="AU147" i="23"/>
  <c r="U147" i="23"/>
  <c r="AU146" i="23"/>
  <c r="U146" i="23"/>
  <c r="AU145" i="23"/>
  <c r="U145" i="23"/>
  <c r="AU144" i="23"/>
  <c r="U144" i="23"/>
  <c r="AU143" i="23"/>
  <c r="U143" i="23"/>
  <c r="AU142" i="23"/>
  <c r="U142" i="23"/>
  <c r="AU141" i="23"/>
  <c r="U141" i="23"/>
  <c r="AU140" i="23"/>
  <c r="U140" i="23"/>
  <c r="AU139" i="23"/>
  <c r="U139" i="23"/>
  <c r="AU138" i="23"/>
  <c r="U138" i="23"/>
  <c r="AU137" i="23"/>
  <c r="U137" i="23"/>
  <c r="AU136" i="23"/>
  <c r="U136" i="23"/>
  <c r="AU135" i="23"/>
  <c r="U135" i="23"/>
  <c r="AU134" i="23"/>
  <c r="U134" i="23"/>
  <c r="AU133" i="23"/>
  <c r="U133" i="23"/>
  <c r="AU132" i="23"/>
  <c r="U132" i="23"/>
  <c r="AU131" i="23"/>
  <c r="U131" i="23"/>
  <c r="AU130" i="23"/>
  <c r="U130" i="23"/>
  <c r="AU129" i="23"/>
  <c r="U129" i="23"/>
  <c r="AU128" i="23"/>
  <c r="U128" i="23"/>
  <c r="AU127" i="23"/>
  <c r="U127" i="23"/>
  <c r="AU126" i="23"/>
  <c r="U126" i="23"/>
  <c r="AU125" i="23"/>
  <c r="U125" i="23"/>
  <c r="AU124" i="23"/>
  <c r="U124" i="23"/>
  <c r="AU123" i="23"/>
  <c r="U123" i="23"/>
  <c r="AU122" i="23"/>
  <c r="U122" i="23"/>
  <c r="AU121" i="23"/>
  <c r="U121" i="23"/>
  <c r="AU120" i="23"/>
  <c r="U120" i="23"/>
  <c r="AU119" i="23"/>
  <c r="U119" i="23"/>
  <c r="AU118" i="23"/>
  <c r="U118" i="23"/>
  <c r="AU117" i="23"/>
  <c r="U117" i="23"/>
  <c r="AU116" i="23"/>
  <c r="U116" i="23"/>
  <c r="AU115" i="23"/>
  <c r="U115" i="23"/>
  <c r="AU114" i="23"/>
  <c r="U114" i="23"/>
  <c r="AU113" i="23"/>
  <c r="U113" i="23"/>
  <c r="AU112" i="23"/>
  <c r="U112" i="23"/>
  <c r="AU111" i="23"/>
  <c r="U111" i="23"/>
  <c r="AU110" i="23"/>
  <c r="U110" i="23"/>
  <c r="AU109" i="23"/>
  <c r="U109" i="23"/>
  <c r="AU108" i="23"/>
  <c r="U108" i="23"/>
  <c r="AU107" i="23"/>
  <c r="U107" i="23"/>
  <c r="AU106" i="23"/>
  <c r="U106" i="23"/>
  <c r="AU105" i="23"/>
  <c r="U105" i="23"/>
  <c r="AU104" i="23"/>
  <c r="U104" i="23"/>
  <c r="AU103" i="23"/>
  <c r="U103" i="23"/>
  <c r="AU102" i="23"/>
  <c r="U102" i="23"/>
  <c r="AU101" i="23"/>
  <c r="U101" i="23"/>
  <c r="AU100" i="23"/>
  <c r="U100" i="23"/>
  <c r="AU99" i="23"/>
  <c r="U99" i="23"/>
  <c r="AU98" i="23"/>
  <c r="U98" i="23"/>
  <c r="AU97" i="23"/>
  <c r="U97" i="23"/>
  <c r="AU96" i="23"/>
  <c r="U96" i="23"/>
  <c r="AU95" i="23"/>
  <c r="U95" i="23"/>
  <c r="AU94" i="23"/>
  <c r="U94" i="23"/>
  <c r="AU93" i="23"/>
  <c r="U93" i="23"/>
  <c r="AU92" i="23"/>
  <c r="U92" i="23"/>
  <c r="AU91" i="23"/>
  <c r="U91" i="23"/>
  <c r="AU90" i="23"/>
  <c r="U90" i="23"/>
  <c r="AU89" i="23"/>
  <c r="U89" i="23"/>
  <c r="AU88" i="23"/>
  <c r="U88" i="23"/>
  <c r="AU87" i="23"/>
  <c r="U87" i="23"/>
  <c r="AU86" i="23"/>
  <c r="U86" i="23"/>
  <c r="AU85" i="23"/>
  <c r="U85" i="23"/>
  <c r="AU84" i="23"/>
  <c r="U84" i="23"/>
  <c r="AU83" i="23"/>
  <c r="U83" i="23"/>
  <c r="AU82" i="23"/>
  <c r="U82" i="23"/>
  <c r="AU81" i="23"/>
  <c r="U81" i="23"/>
  <c r="AU80" i="23"/>
  <c r="U80" i="23"/>
  <c r="AU79" i="23"/>
  <c r="U79" i="23"/>
  <c r="AU78" i="23"/>
  <c r="U78" i="23"/>
  <c r="AU77" i="23"/>
  <c r="U77" i="23"/>
  <c r="AU76" i="23"/>
  <c r="U76" i="23"/>
  <c r="AU75" i="23"/>
  <c r="U75" i="23"/>
  <c r="AU74" i="23"/>
  <c r="U74" i="23"/>
  <c r="AU73" i="23"/>
  <c r="U73" i="23"/>
  <c r="AU72" i="23"/>
  <c r="U72" i="23"/>
  <c r="AU71" i="23"/>
  <c r="U71" i="23"/>
  <c r="AU70" i="23"/>
  <c r="U70" i="23"/>
  <c r="AU69" i="23"/>
  <c r="U69" i="23"/>
  <c r="AU68" i="23"/>
  <c r="U68" i="23"/>
  <c r="AU67" i="23"/>
  <c r="U67" i="23"/>
  <c r="AU66" i="23"/>
  <c r="U66" i="23"/>
  <c r="AU65" i="23"/>
  <c r="U65" i="23"/>
  <c r="AU64" i="23"/>
  <c r="U64" i="23"/>
  <c r="AU63" i="23"/>
  <c r="U63" i="23"/>
  <c r="AU62" i="23"/>
  <c r="U62" i="23"/>
  <c r="AU61" i="23"/>
  <c r="U61" i="23"/>
  <c r="AU60" i="23"/>
  <c r="U60" i="23"/>
  <c r="AU59" i="23"/>
  <c r="U59" i="23"/>
  <c r="AU58" i="23"/>
  <c r="U58" i="23"/>
  <c r="AU57" i="23"/>
  <c r="U57" i="23"/>
  <c r="AU56" i="23"/>
  <c r="U56" i="23"/>
  <c r="AU55" i="23"/>
  <c r="U55" i="23"/>
  <c r="AU54" i="23"/>
  <c r="U54" i="23"/>
  <c r="AU53" i="23"/>
  <c r="U53" i="23"/>
  <c r="AU52" i="23"/>
  <c r="U52" i="23"/>
  <c r="AU51" i="23"/>
  <c r="U51" i="23"/>
  <c r="AU50" i="23"/>
  <c r="U50" i="23"/>
  <c r="AU49" i="23"/>
  <c r="U49" i="23"/>
  <c r="AU48" i="23"/>
  <c r="U48" i="23"/>
  <c r="AU47" i="23"/>
  <c r="U47" i="23"/>
  <c r="AU46" i="23"/>
  <c r="U46" i="23"/>
  <c r="AU45" i="23"/>
  <c r="U45" i="23"/>
  <c r="AU44" i="23"/>
  <c r="U44" i="23"/>
  <c r="AU43" i="23"/>
  <c r="U43" i="23"/>
  <c r="AU42" i="23"/>
  <c r="U42" i="23"/>
  <c r="AU41" i="23"/>
  <c r="U41" i="23"/>
  <c r="AU40" i="23"/>
  <c r="U40" i="23"/>
  <c r="AU39" i="23"/>
  <c r="U39" i="23"/>
  <c r="AU38" i="23"/>
  <c r="U38" i="23"/>
  <c r="AU37" i="23"/>
  <c r="U37" i="23"/>
  <c r="AU36" i="23"/>
  <c r="U36" i="23"/>
  <c r="AU35" i="23"/>
  <c r="U35" i="23"/>
  <c r="AU34" i="23"/>
  <c r="U34" i="23"/>
  <c r="AU33" i="23"/>
  <c r="U33" i="23"/>
  <c r="AU32" i="23"/>
  <c r="U32" i="23"/>
  <c r="AU31" i="23"/>
  <c r="U31" i="23"/>
  <c r="AU30" i="23"/>
  <c r="U30" i="23"/>
  <c r="AU29" i="23"/>
  <c r="U29" i="23"/>
  <c r="AU28" i="23"/>
  <c r="U28" i="23"/>
  <c r="AU27" i="23"/>
  <c r="U27" i="23"/>
  <c r="AU26" i="23"/>
  <c r="U26" i="23"/>
  <c r="AU25" i="23"/>
  <c r="U25" i="23"/>
  <c r="AU24" i="23"/>
  <c r="U24" i="23"/>
  <c r="AU23" i="23"/>
  <c r="U23" i="23"/>
  <c r="AU22" i="23"/>
  <c r="U22" i="23"/>
  <c r="AU21" i="23"/>
  <c r="U21" i="23"/>
  <c r="AU20" i="23"/>
  <c r="U20" i="23"/>
  <c r="AU19" i="23"/>
  <c r="U19" i="23"/>
  <c r="AU18" i="23"/>
  <c r="U18" i="23"/>
  <c r="AU17" i="23"/>
  <c r="U17" i="23"/>
  <c r="AU16" i="23"/>
  <c r="U16" i="23"/>
  <c r="AU15" i="23"/>
  <c r="U15" i="23"/>
  <c r="AU14" i="23"/>
  <c r="U14" i="23"/>
  <c r="AU13" i="23"/>
  <c r="U13" i="23"/>
  <c r="F13" i="9" l="1"/>
  <c r="N6" i="9"/>
  <c r="F6" i="9"/>
  <c r="Y8" i="21" l="1"/>
  <c r="AA8" i="22"/>
  <c r="A6" i="21"/>
  <c r="AU600" i="22"/>
  <c r="U600" i="22"/>
  <c r="AU599" i="22"/>
  <c r="U599" i="22"/>
  <c r="AU598" i="22"/>
  <c r="U598" i="22"/>
  <c r="AU597" i="22"/>
  <c r="U597" i="22"/>
  <c r="AU596" i="22"/>
  <c r="U596" i="22"/>
  <c r="AU595" i="22"/>
  <c r="U595" i="22"/>
  <c r="AU594" i="22"/>
  <c r="U594" i="22"/>
  <c r="AU593" i="22"/>
  <c r="U593" i="22"/>
  <c r="AU592" i="22"/>
  <c r="U592" i="22"/>
  <c r="AU591" i="22"/>
  <c r="U591" i="22"/>
  <c r="AU590" i="22"/>
  <c r="U590" i="22"/>
  <c r="AU589" i="22"/>
  <c r="U589" i="22"/>
  <c r="AU588" i="22"/>
  <c r="U588" i="22"/>
  <c r="AU587" i="22"/>
  <c r="U587" i="22"/>
  <c r="AU586" i="22"/>
  <c r="U586" i="22"/>
  <c r="AU585" i="22"/>
  <c r="U585" i="22"/>
  <c r="AU584" i="22"/>
  <c r="U584" i="22"/>
  <c r="AU583" i="22"/>
  <c r="U583" i="22"/>
  <c r="AU582" i="22"/>
  <c r="U582" i="22"/>
  <c r="AU581" i="22"/>
  <c r="U581" i="22"/>
  <c r="AU580" i="22"/>
  <c r="U580" i="22"/>
  <c r="AU579" i="22"/>
  <c r="U579" i="22"/>
  <c r="AU578" i="22"/>
  <c r="U578" i="22"/>
  <c r="AU577" i="22"/>
  <c r="U577" i="22"/>
  <c r="AU576" i="22"/>
  <c r="U576" i="22"/>
  <c r="AU575" i="22"/>
  <c r="U575" i="22"/>
  <c r="AU574" i="22"/>
  <c r="U574" i="22"/>
  <c r="AU573" i="22"/>
  <c r="U573" i="22"/>
  <c r="AU572" i="22"/>
  <c r="U572" i="22"/>
  <c r="AU571" i="22"/>
  <c r="U571" i="22"/>
  <c r="AU570" i="22"/>
  <c r="U570" i="22"/>
  <c r="AU569" i="22"/>
  <c r="U569" i="22"/>
  <c r="AU568" i="22"/>
  <c r="U568" i="22"/>
  <c r="AU567" i="22"/>
  <c r="U567" i="22"/>
  <c r="AU566" i="22"/>
  <c r="U566" i="22"/>
  <c r="AU565" i="22"/>
  <c r="U565" i="22"/>
  <c r="AU564" i="22"/>
  <c r="U564" i="22"/>
  <c r="AU563" i="22"/>
  <c r="U563" i="22"/>
  <c r="AU562" i="22"/>
  <c r="U562" i="22"/>
  <c r="AU561" i="22"/>
  <c r="U561" i="22"/>
  <c r="AU560" i="22"/>
  <c r="U560" i="22"/>
  <c r="AU559" i="22"/>
  <c r="U559" i="22"/>
  <c r="AU558" i="22"/>
  <c r="U558" i="22"/>
  <c r="AU557" i="22"/>
  <c r="U557" i="22"/>
  <c r="AU556" i="22"/>
  <c r="U556" i="22"/>
  <c r="AU555" i="22"/>
  <c r="U555" i="22"/>
  <c r="AU554" i="22"/>
  <c r="U554" i="22"/>
  <c r="AU553" i="22"/>
  <c r="U553" i="22"/>
  <c r="AU552" i="22"/>
  <c r="U552" i="22"/>
  <c r="AU551" i="22"/>
  <c r="U551" i="22"/>
  <c r="AU550" i="22"/>
  <c r="U550" i="22"/>
  <c r="AU549" i="22"/>
  <c r="U549" i="22"/>
  <c r="AU548" i="22"/>
  <c r="U548" i="22"/>
  <c r="AU547" i="22"/>
  <c r="U547" i="22"/>
  <c r="AU546" i="22"/>
  <c r="U546" i="22"/>
  <c r="AU545" i="22"/>
  <c r="U545" i="22"/>
  <c r="AU544" i="22"/>
  <c r="U544" i="22"/>
  <c r="AU543" i="22"/>
  <c r="U543" i="22"/>
  <c r="AU542" i="22"/>
  <c r="U542" i="22"/>
  <c r="AU541" i="22"/>
  <c r="U541" i="22"/>
  <c r="AU540" i="22"/>
  <c r="U540" i="22"/>
  <c r="AU539" i="22"/>
  <c r="U539" i="22"/>
  <c r="AU538" i="22"/>
  <c r="U538" i="22"/>
  <c r="AU537" i="22"/>
  <c r="U537" i="22"/>
  <c r="AU536" i="22"/>
  <c r="U536" i="22"/>
  <c r="AU535" i="22"/>
  <c r="U535" i="22"/>
  <c r="AU534" i="22"/>
  <c r="U534" i="22"/>
  <c r="AU533" i="22"/>
  <c r="U533" i="22"/>
  <c r="AU532" i="22"/>
  <c r="U532" i="22"/>
  <c r="AU531" i="22"/>
  <c r="U531" i="22"/>
  <c r="AU530" i="22"/>
  <c r="U530" i="22"/>
  <c r="AU529" i="22"/>
  <c r="U529" i="22"/>
  <c r="AU528" i="22"/>
  <c r="U528" i="22"/>
  <c r="AU527" i="22"/>
  <c r="U527" i="22"/>
  <c r="AU526" i="22"/>
  <c r="U526" i="22"/>
  <c r="AU525" i="22"/>
  <c r="U525" i="22"/>
  <c r="AU524" i="22"/>
  <c r="U524" i="22"/>
  <c r="AU523" i="22"/>
  <c r="U523" i="22"/>
  <c r="AU522" i="22"/>
  <c r="U522" i="22"/>
  <c r="AU521" i="22"/>
  <c r="U521" i="22"/>
  <c r="AU520" i="22"/>
  <c r="U520" i="22"/>
  <c r="AU519" i="22"/>
  <c r="U519" i="22"/>
  <c r="AU518" i="22"/>
  <c r="U518" i="22"/>
  <c r="AU517" i="22"/>
  <c r="U517" i="22"/>
  <c r="AU516" i="22"/>
  <c r="U516" i="22"/>
  <c r="AU515" i="22"/>
  <c r="U515" i="22"/>
  <c r="AU514" i="22"/>
  <c r="U514" i="22"/>
  <c r="AU513" i="22"/>
  <c r="U513" i="22"/>
  <c r="AU512" i="22"/>
  <c r="U512" i="22"/>
  <c r="AU511" i="22"/>
  <c r="U511" i="22"/>
  <c r="AU510" i="22"/>
  <c r="U510" i="22"/>
  <c r="AU509" i="22"/>
  <c r="U509" i="22"/>
  <c r="AU508" i="22"/>
  <c r="U508" i="22"/>
  <c r="AU507" i="22"/>
  <c r="U507" i="22"/>
  <c r="AU506" i="22"/>
  <c r="U506" i="22"/>
  <c r="AU505" i="22"/>
  <c r="U505" i="22"/>
  <c r="AU504" i="22"/>
  <c r="U504" i="22"/>
  <c r="AU503" i="22"/>
  <c r="U503" i="22"/>
  <c r="AU502" i="22"/>
  <c r="U502" i="22"/>
  <c r="AU501" i="22"/>
  <c r="U501" i="22"/>
  <c r="AU500" i="22"/>
  <c r="U500" i="22"/>
  <c r="AU499" i="22"/>
  <c r="U499" i="22"/>
  <c r="AU498" i="22"/>
  <c r="U498" i="22"/>
  <c r="AU497" i="22"/>
  <c r="U497" i="22"/>
  <c r="AU496" i="22"/>
  <c r="U496" i="22"/>
  <c r="AU495" i="22"/>
  <c r="U495" i="22"/>
  <c r="AU494" i="22"/>
  <c r="U494" i="22"/>
  <c r="AU493" i="22"/>
  <c r="U493" i="22"/>
  <c r="AU492" i="22"/>
  <c r="U492" i="22"/>
  <c r="AU491" i="22"/>
  <c r="U491" i="22"/>
  <c r="AU490" i="22"/>
  <c r="U490" i="22"/>
  <c r="AU489" i="22"/>
  <c r="U489" i="22"/>
  <c r="AU488" i="22"/>
  <c r="U488" i="22"/>
  <c r="AU487" i="22"/>
  <c r="U487" i="22"/>
  <c r="AU486" i="22"/>
  <c r="U486" i="22"/>
  <c r="AU485" i="22"/>
  <c r="U485" i="22"/>
  <c r="AU484" i="22"/>
  <c r="U484" i="22"/>
  <c r="AU483" i="22"/>
  <c r="U483" i="22"/>
  <c r="AU482" i="22"/>
  <c r="U482" i="22"/>
  <c r="AU481" i="22"/>
  <c r="U481" i="22"/>
  <c r="AU480" i="22"/>
  <c r="U480" i="22"/>
  <c r="AU479" i="22"/>
  <c r="U479" i="22"/>
  <c r="AU478" i="22"/>
  <c r="U478" i="22"/>
  <c r="AU477" i="22"/>
  <c r="U477" i="22"/>
  <c r="AU476" i="22"/>
  <c r="U476" i="22"/>
  <c r="AU475" i="22"/>
  <c r="U475" i="22"/>
  <c r="AU474" i="22"/>
  <c r="U474" i="22"/>
  <c r="AU473" i="22"/>
  <c r="U473" i="22"/>
  <c r="AU472" i="22"/>
  <c r="U472" i="22"/>
  <c r="AU471" i="22"/>
  <c r="U471" i="22"/>
  <c r="AU470" i="22"/>
  <c r="U470" i="22"/>
  <c r="AU469" i="22"/>
  <c r="U469" i="22"/>
  <c r="AU468" i="22"/>
  <c r="U468" i="22"/>
  <c r="AU467" i="22"/>
  <c r="U467" i="22"/>
  <c r="AU466" i="22"/>
  <c r="U466" i="22"/>
  <c r="AU465" i="22"/>
  <c r="U465" i="22"/>
  <c r="AU464" i="22"/>
  <c r="U464" i="22"/>
  <c r="AU463" i="22"/>
  <c r="U463" i="22"/>
  <c r="AU462" i="22"/>
  <c r="U462" i="22"/>
  <c r="AU461" i="22"/>
  <c r="U461" i="22"/>
  <c r="AU460" i="22"/>
  <c r="U460" i="22"/>
  <c r="AU459" i="22"/>
  <c r="U459" i="22"/>
  <c r="AU458" i="22"/>
  <c r="U458" i="22"/>
  <c r="AU457" i="22"/>
  <c r="U457" i="22"/>
  <c r="AU456" i="22"/>
  <c r="U456" i="22"/>
  <c r="AU455" i="22"/>
  <c r="U455" i="22"/>
  <c r="AU454" i="22"/>
  <c r="U454" i="22"/>
  <c r="AU453" i="22"/>
  <c r="U453" i="22"/>
  <c r="AU452" i="22"/>
  <c r="U452" i="22"/>
  <c r="AU451" i="22"/>
  <c r="U451" i="22"/>
  <c r="AU450" i="22"/>
  <c r="U450" i="22"/>
  <c r="AU449" i="22"/>
  <c r="U449" i="22"/>
  <c r="AU448" i="22"/>
  <c r="U448" i="22"/>
  <c r="AU447" i="22"/>
  <c r="U447" i="22"/>
  <c r="AU446" i="22"/>
  <c r="U446" i="22"/>
  <c r="AU445" i="22"/>
  <c r="U445" i="22"/>
  <c r="AU444" i="22"/>
  <c r="U444" i="22"/>
  <c r="AU443" i="22"/>
  <c r="U443" i="22"/>
  <c r="AU442" i="22"/>
  <c r="U442" i="22"/>
  <c r="AU441" i="22"/>
  <c r="U441" i="22"/>
  <c r="AU440" i="22"/>
  <c r="U440" i="22"/>
  <c r="AU439" i="22"/>
  <c r="U439" i="22"/>
  <c r="AU438" i="22"/>
  <c r="U438" i="22"/>
  <c r="AU437" i="22"/>
  <c r="U437" i="22"/>
  <c r="AU436" i="22"/>
  <c r="U436" i="22"/>
  <c r="AU435" i="22"/>
  <c r="U435" i="22"/>
  <c r="AU434" i="22"/>
  <c r="U434" i="22"/>
  <c r="AU433" i="22"/>
  <c r="U433" i="22"/>
  <c r="AU432" i="22"/>
  <c r="U432" i="22"/>
  <c r="AU431" i="22"/>
  <c r="U431" i="22"/>
  <c r="AU430" i="22"/>
  <c r="U430" i="22"/>
  <c r="AU429" i="22"/>
  <c r="U429" i="22"/>
  <c r="AU428" i="22"/>
  <c r="U428" i="22"/>
  <c r="AU427" i="22"/>
  <c r="U427" i="22"/>
  <c r="AU426" i="22"/>
  <c r="U426" i="22"/>
  <c r="AU425" i="22"/>
  <c r="U425" i="22"/>
  <c r="AU424" i="22"/>
  <c r="U424" i="22"/>
  <c r="AU423" i="22"/>
  <c r="U423" i="22"/>
  <c r="AU422" i="22"/>
  <c r="U422" i="22"/>
  <c r="AU421" i="22"/>
  <c r="U421" i="22"/>
  <c r="AU420" i="22"/>
  <c r="U420" i="22"/>
  <c r="AU419" i="22"/>
  <c r="U419" i="22"/>
  <c r="AU418" i="22"/>
  <c r="U418" i="22"/>
  <c r="AU417" i="22"/>
  <c r="U417" i="22"/>
  <c r="AU416" i="22"/>
  <c r="U416" i="22"/>
  <c r="AU415" i="22"/>
  <c r="U415" i="22"/>
  <c r="AU414" i="22"/>
  <c r="U414" i="22"/>
  <c r="AU413" i="22"/>
  <c r="U413" i="22"/>
  <c r="AU412" i="22"/>
  <c r="U412" i="22"/>
  <c r="AU411" i="22"/>
  <c r="U411" i="22"/>
  <c r="AU410" i="22"/>
  <c r="U410" i="22"/>
  <c r="AU409" i="22"/>
  <c r="U409" i="22"/>
  <c r="AU408" i="22"/>
  <c r="U408" i="22"/>
  <c r="AU407" i="22"/>
  <c r="U407" i="22"/>
  <c r="AU406" i="22"/>
  <c r="U406" i="22"/>
  <c r="AU405" i="22"/>
  <c r="U405" i="22"/>
  <c r="AU404" i="22"/>
  <c r="U404" i="22"/>
  <c r="AU403" i="22"/>
  <c r="U403" i="22"/>
  <c r="AU402" i="22"/>
  <c r="U402" i="22"/>
  <c r="AU401" i="22"/>
  <c r="U401" i="22"/>
  <c r="AU400" i="22"/>
  <c r="U400" i="22"/>
  <c r="AU399" i="22"/>
  <c r="U399" i="22"/>
  <c r="AU398" i="22"/>
  <c r="U398" i="22"/>
  <c r="AU397" i="22"/>
  <c r="U397" i="22"/>
  <c r="AU396" i="22"/>
  <c r="U396" i="22"/>
  <c r="AU395" i="22"/>
  <c r="U395" i="22"/>
  <c r="AU394" i="22"/>
  <c r="U394" i="22"/>
  <c r="AU393" i="22"/>
  <c r="U393" i="22"/>
  <c r="AU392" i="22"/>
  <c r="U392" i="22"/>
  <c r="AU391" i="22"/>
  <c r="U391" i="22"/>
  <c r="AU390" i="22"/>
  <c r="U390" i="22"/>
  <c r="AU389" i="22"/>
  <c r="U389" i="22"/>
  <c r="AU388" i="22"/>
  <c r="U388" i="22"/>
  <c r="AU387" i="22"/>
  <c r="U387" i="22"/>
  <c r="AU386" i="22"/>
  <c r="U386" i="22"/>
  <c r="AU385" i="22"/>
  <c r="U385" i="22"/>
  <c r="AU384" i="22"/>
  <c r="U384" i="22"/>
  <c r="AU383" i="22"/>
  <c r="U383" i="22"/>
  <c r="AU382" i="22"/>
  <c r="U382" i="22"/>
  <c r="AU381" i="22"/>
  <c r="U381" i="22"/>
  <c r="AU380" i="22"/>
  <c r="U380" i="22"/>
  <c r="AU379" i="22"/>
  <c r="U379" i="22"/>
  <c r="AU378" i="22"/>
  <c r="U378" i="22"/>
  <c r="AU377" i="22"/>
  <c r="U377" i="22"/>
  <c r="AU376" i="22"/>
  <c r="U376" i="22"/>
  <c r="AU375" i="22"/>
  <c r="U375" i="22"/>
  <c r="AU374" i="22"/>
  <c r="U374" i="22"/>
  <c r="AU373" i="22"/>
  <c r="U373" i="22"/>
  <c r="AU372" i="22"/>
  <c r="U372" i="22"/>
  <c r="AU371" i="22"/>
  <c r="U371" i="22"/>
  <c r="AU370" i="22"/>
  <c r="U370" i="22"/>
  <c r="AU369" i="22"/>
  <c r="U369" i="22"/>
  <c r="AU368" i="22"/>
  <c r="U368" i="22"/>
  <c r="AU367" i="22"/>
  <c r="U367" i="22"/>
  <c r="AU366" i="22"/>
  <c r="U366" i="22"/>
  <c r="AU365" i="22"/>
  <c r="U365" i="22"/>
  <c r="AU364" i="22"/>
  <c r="U364" i="22"/>
  <c r="AU363" i="22"/>
  <c r="U363" i="22"/>
  <c r="AU362" i="22"/>
  <c r="U362" i="22"/>
  <c r="AU361" i="22"/>
  <c r="U361" i="22"/>
  <c r="AU360" i="22"/>
  <c r="U360" i="22"/>
  <c r="AU359" i="22"/>
  <c r="U359" i="22"/>
  <c r="AU358" i="22"/>
  <c r="U358" i="22"/>
  <c r="AU357" i="22"/>
  <c r="U357" i="22"/>
  <c r="AU356" i="22"/>
  <c r="U356" i="22"/>
  <c r="AU355" i="22"/>
  <c r="U355" i="22"/>
  <c r="AU354" i="22"/>
  <c r="U354" i="22"/>
  <c r="AU353" i="22"/>
  <c r="U353" i="22"/>
  <c r="AU352" i="22"/>
  <c r="U352" i="22"/>
  <c r="AU351" i="22"/>
  <c r="U351" i="22"/>
  <c r="AU350" i="22"/>
  <c r="U350" i="22"/>
  <c r="AU349" i="22"/>
  <c r="U349" i="22"/>
  <c r="AU348" i="22"/>
  <c r="U348" i="22"/>
  <c r="AU347" i="22"/>
  <c r="U347" i="22"/>
  <c r="AU346" i="22"/>
  <c r="U346" i="22"/>
  <c r="AU345" i="22"/>
  <c r="U345" i="22"/>
  <c r="AU344" i="22"/>
  <c r="U344" i="22"/>
  <c r="AU343" i="22"/>
  <c r="U343" i="22"/>
  <c r="AU342" i="22"/>
  <c r="U342" i="22"/>
  <c r="AU341" i="22"/>
  <c r="U341" i="22"/>
  <c r="AU340" i="22"/>
  <c r="U340" i="22"/>
  <c r="AU339" i="22"/>
  <c r="U339" i="22"/>
  <c r="AU338" i="22"/>
  <c r="U338" i="22"/>
  <c r="AU337" i="22"/>
  <c r="U337" i="22"/>
  <c r="AU336" i="22"/>
  <c r="U336" i="22"/>
  <c r="AU335" i="22"/>
  <c r="U335" i="22"/>
  <c r="AU334" i="22"/>
  <c r="U334" i="22"/>
  <c r="AU333" i="22"/>
  <c r="U333" i="22"/>
  <c r="AU332" i="22"/>
  <c r="U332" i="22"/>
  <c r="AU331" i="22"/>
  <c r="U331" i="22"/>
  <c r="AU330" i="22"/>
  <c r="U330" i="22"/>
  <c r="AU329" i="22"/>
  <c r="U329" i="22"/>
  <c r="AU328" i="22"/>
  <c r="U328" i="22"/>
  <c r="AU327" i="22"/>
  <c r="U327" i="22"/>
  <c r="AU326" i="22"/>
  <c r="U326" i="22"/>
  <c r="AU325" i="22"/>
  <c r="U325" i="22"/>
  <c r="AU324" i="22"/>
  <c r="U324" i="22"/>
  <c r="AU323" i="22"/>
  <c r="U323" i="22"/>
  <c r="AU322" i="22"/>
  <c r="U322" i="22"/>
  <c r="AU321" i="22"/>
  <c r="U321" i="22"/>
  <c r="AU320" i="22"/>
  <c r="U320" i="22"/>
  <c r="AU319" i="22"/>
  <c r="U319" i="22"/>
  <c r="AU318" i="22"/>
  <c r="U318" i="22"/>
  <c r="AU317" i="22"/>
  <c r="U317" i="22"/>
  <c r="AU316" i="22"/>
  <c r="U316" i="22"/>
  <c r="AU315" i="22"/>
  <c r="U315" i="22"/>
  <c r="AU314" i="22"/>
  <c r="U314" i="22"/>
  <c r="AU313" i="22"/>
  <c r="U313" i="22"/>
  <c r="AU312" i="22"/>
  <c r="U312" i="22"/>
  <c r="AU311" i="22"/>
  <c r="U311" i="22"/>
  <c r="AU310" i="22"/>
  <c r="U310" i="22"/>
  <c r="AU309" i="22"/>
  <c r="U309" i="22"/>
  <c r="AU308" i="22"/>
  <c r="U308" i="22"/>
  <c r="AU307" i="22"/>
  <c r="U307" i="22"/>
  <c r="AU306" i="22"/>
  <c r="U306" i="22"/>
  <c r="AU305" i="22"/>
  <c r="U305" i="22"/>
  <c r="AU304" i="22"/>
  <c r="U304" i="22"/>
  <c r="AU303" i="22"/>
  <c r="U303" i="22"/>
  <c r="AU302" i="22"/>
  <c r="U302" i="22"/>
  <c r="AU301" i="22"/>
  <c r="U301" i="22"/>
  <c r="AU300" i="22"/>
  <c r="U300" i="22"/>
  <c r="AU299" i="22"/>
  <c r="U299" i="22"/>
  <c r="AU298" i="22"/>
  <c r="U298" i="22"/>
  <c r="AU297" i="22"/>
  <c r="U297" i="22"/>
  <c r="AU296" i="22"/>
  <c r="U296" i="22"/>
  <c r="AU295" i="22"/>
  <c r="U295" i="22"/>
  <c r="AU294" i="22"/>
  <c r="U294" i="22"/>
  <c r="AU293" i="22"/>
  <c r="U293" i="22"/>
  <c r="AU292" i="22"/>
  <c r="U292" i="22"/>
  <c r="AU291" i="22"/>
  <c r="U291" i="22"/>
  <c r="AU290" i="22"/>
  <c r="U290" i="22"/>
  <c r="AU289" i="22"/>
  <c r="U289" i="22"/>
  <c r="AU288" i="22"/>
  <c r="U288" i="22"/>
  <c r="AU287" i="22"/>
  <c r="U287" i="22"/>
  <c r="AU286" i="22"/>
  <c r="U286" i="22"/>
  <c r="AU285" i="22"/>
  <c r="U285" i="22"/>
  <c r="AU284" i="22"/>
  <c r="U284" i="22"/>
  <c r="AU283" i="22"/>
  <c r="U283" i="22"/>
  <c r="AU282" i="22"/>
  <c r="U282" i="22"/>
  <c r="AU281" i="22"/>
  <c r="U281" i="22"/>
  <c r="AU280" i="22"/>
  <c r="U280" i="22"/>
  <c r="AU279" i="22"/>
  <c r="U279" i="22"/>
  <c r="AU278" i="22"/>
  <c r="U278" i="22"/>
  <c r="AU277" i="22"/>
  <c r="U277" i="22"/>
  <c r="AU276" i="22"/>
  <c r="U276" i="22"/>
  <c r="AU275" i="22"/>
  <c r="U275" i="22"/>
  <c r="AU274" i="22"/>
  <c r="U274" i="22"/>
  <c r="AU273" i="22"/>
  <c r="U273" i="22"/>
  <c r="AU272" i="22"/>
  <c r="U272" i="22"/>
  <c r="AU271" i="22"/>
  <c r="U271" i="22"/>
  <c r="AU270" i="22"/>
  <c r="U270" i="22"/>
  <c r="AU269" i="22"/>
  <c r="U269" i="22"/>
  <c r="AU268" i="22"/>
  <c r="U268" i="22"/>
  <c r="AU267" i="22"/>
  <c r="U267" i="22"/>
  <c r="AU266" i="22"/>
  <c r="U266" i="22"/>
  <c r="AU265" i="22"/>
  <c r="U265" i="22"/>
  <c r="AU264" i="22"/>
  <c r="U264" i="22"/>
  <c r="AU263" i="22"/>
  <c r="U263" i="22"/>
  <c r="AU262" i="22"/>
  <c r="U262" i="22"/>
  <c r="AU261" i="22"/>
  <c r="U261" i="22"/>
  <c r="AU260" i="22"/>
  <c r="U260" i="22"/>
  <c r="AU259" i="22"/>
  <c r="U259" i="22"/>
  <c r="AU258" i="22"/>
  <c r="U258" i="22"/>
  <c r="AU257" i="22"/>
  <c r="U257" i="22"/>
  <c r="AU256" i="22"/>
  <c r="U256" i="22"/>
  <c r="AU255" i="22"/>
  <c r="U255" i="22"/>
  <c r="AU254" i="22"/>
  <c r="U254" i="22"/>
  <c r="AU253" i="22"/>
  <c r="U253" i="22"/>
  <c r="AU252" i="22"/>
  <c r="U252" i="22"/>
  <c r="AU251" i="22"/>
  <c r="U251" i="22"/>
  <c r="AU250" i="22"/>
  <c r="U250" i="22"/>
  <c r="AU249" i="22"/>
  <c r="U249" i="22"/>
  <c r="AU248" i="22"/>
  <c r="U248" i="22"/>
  <c r="AU247" i="22"/>
  <c r="U247" i="22"/>
  <c r="AU246" i="22"/>
  <c r="U246" i="22"/>
  <c r="AU245" i="22"/>
  <c r="U245" i="22"/>
  <c r="AU244" i="22"/>
  <c r="U244" i="22"/>
  <c r="AU243" i="22"/>
  <c r="U243" i="22"/>
  <c r="AU242" i="22"/>
  <c r="U242" i="22"/>
  <c r="AU241" i="22"/>
  <c r="U241" i="22"/>
  <c r="AU240" i="22"/>
  <c r="U240" i="22"/>
  <c r="AU239" i="22"/>
  <c r="U239" i="22"/>
  <c r="AU238" i="22"/>
  <c r="U238" i="22"/>
  <c r="AU237" i="22"/>
  <c r="U237" i="22"/>
  <c r="AU236" i="22"/>
  <c r="U236" i="22"/>
  <c r="AU235" i="22"/>
  <c r="U235" i="22"/>
  <c r="AU234" i="22"/>
  <c r="U234" i="22"/>
  <c r="AU233" i="22"/>
  <c r="U233" i="22"/>
  <c r="AU232" i="22"/>
  <c r="U232" i="22"/>
  <c r="AU231" i="22"/>
  <c r="U231" i="22"/>
  <c r="AU230" i="22"/>
  <c r="U230" i="22"/>
  <c r="AU229" i="22"/>
  <c r="U229" i="22"/>
  <c r="AU228" i="22"/>
  <c r="U228" i="22"/>
  <c r="AU227" i="22"/>
  <c r="U227" i="22"/>
  <c r="AU226" i="22"/>
  <c r="U226" i="22"/>
  <c r="AU225" i="22"/>
  <c r="U225" i="22"/>
  <c r="AU224" i="22"/>
  <c r="U224" i="22"/>
  <c r="AU223" i="22"/>
  <c r="U223" i="22"/>
  <c r="AU222" i="22"/>
  <c r="U222" i="22"/>
  <c r="AU221" i="22"/>
  <c r="U221" i="22"/>
  <c r="AU220" i="22"/>
  <c r="U220" i="22"/>
  <c r="AU219" i="22"/>
  <c r="U219" i="22"/>
  <c r="AU218" i="22"/>
  <c r="U218" i="22"/>
  <c r="AU217" i="22"/>
  <c r="U217" i="22"/>
  <c r="AU216" i="22"/>
  <c r="U216" i="22"/>
  <c r="AU215" i="22"/>
  <c r="U215" i="22"/>
  <c r="AU214" i="22"/>
  <c r="U214" i="22"/>
  <c r="AU213" i="22"/>
  <c r="U213" i="22"/>
  <c r="AU212" i="22"/>
  <c r="U212" i="22"/>
  <c r="AU211" i="22"/>
  <c r="U211" i="22"/>
  <c r="AU210" i="22"/>
  <c r="U210" i="22"/>
  <c r="AU209" i="22"/>
  <c r="U209" i="22"/>
  <c r="AU208" i="22"/>
  <c r="U208" i="22"/>
  <c r="AU207" i="22"/>
  <c r="U207" i="22"/>
  <c r="AU206" i="22"/>
  <c r="U206" i="22"/>
  <c r="AU205" i="22"/>
  <c r="U205" i="22"/>
  <c r="AU204" i="22"/>
  <c r="U204" i="22"/>
  <c r="AU203" i="22"/>
  <c r="U203" i="22"/>
  <c r="AU202" i="22"/>
  <c r="U202" i="22"/>
  <c r="AU201" i="22"/>
  <c r="U201" i="22"/>
  <c r="AU200" i="22"/>
  <c r="U200" i="22"/>
  <c r="AU199" i="22"/>
  <c r="U199" i="22"/>
  <c r="AU198" i="22"/>
  <c r="U198" i="22"/>
  <c r="AU197" i="22"/>
  <c r="U197" i="22"/>
  <c r="AU196" i="22"/>
  <c r="U196" i="22"/>
  <c r="AU195" i="22"/>
  <c r="U195" i="22"/>
  <c r="AU194" i="22"/>
  <c r="U194" i="22"/>
  <c r="AU193" i="22"/>
  <c r="U193" i="22"/>
  <c r="AU192" i="22"/>
  <c r="U192" i="22"/>
  <c r="AU191" i="22"/>
  <c r="U191" i="22"/>
  <c r="AU190" i="22"/>
  <c r="U190" i="22"/>
  <c r="AU189" i="22"/>
  <c r="U189" i="22"/>
  <c r="AU188" i="22"/>
  <c r="U188" i="22"/>
  <c r="AU187" i="22"/>
  <c r="U187" i="22"/>
  <c r="AU186" i="22"/>
  <c r="U186" i="22"/>
  <c r="AU185" i="22"/>
  <c r="U185" i="22"/>
  <c r="AU184" i="22"/>
  <c r="U184" i="22"/>
  <c r="AU183" i="22"/>
  <c r="U183" i="22"/>
  <c r="AU182" i="22"/>
  <c r="U182" i="22"/>
  <c r="AU181" i="22"/>
  <c r="U181" i="22"/>
  <c r="AU180" i="22"/>
  <c r="U180" i="22"/>
  <c r="AU179" i="22"/>
  <c r="U179" i="22"/>
  <c r="AU178" i="22"/>
  <c r="U178" i="22"/>
  <c r="AU177" i="22"/>
  <c r="U177" i="22"/>
  <c r="AU176" i="22"/>
  <c r="U176" i="22"/>
  <c r="AU175" i="22"/>
  <c r="U175" i="22"/>
  <c r="AU174" i="22"/>
  <c r="U174" i="22"/>
  <c r="AU173" i="22"/>
  <c r="U173" i="22"/>
  <c r="AU172" i="22"/>
  <c r="U172" i="22"/>
  <c r="AU171" i="22"/>
  <c r="U171" i="22"/>
  <c r="AU170" i="22"/>
  <c r="U170" i="22"/>
  <c r="AU169" i="22"/>
  <c r="U169" i="22"/>
  <c r="AU168" i="22"/>
  <c r="U168" i="22"/>
  <c r="AU167" i="22"/>
  <c r="U167" i="22"/>
  <c r="AU166" i="22"/>
  <c r="U166" i="22"/>
  <c r="AU165" i="22"/>
  <c r="U165" i="22"/>
  <c r="AU164" i="22"/>
  <c r="U164" i="22"/>
  <c r="AU163" i="22"/>
  <c r="U163" i="22"/>
  <c r="AU162" i="22"/>
  <c r="U162" i="22"/>
  <c r="AU161" i="22"/>
  <c r="U161" i="22"/>
  <c r="AU160" i="22"/>
  <c r="U160" i="22"/>
  <c r="AU159" i="22"/>
  <c r="U159" i="22"/>
  <c r="AU158" i="22"/>
  <c r="U158" i="22"/>
  <c r="AU157" i="22"/>
  <c r="U157" i="22"/>
  <c r="AU156" i="22"/>
  <c r="U156" i="22"/>
  <c r="AU155" i="22"/>
  <c r="U155" i="22"/>
  <c r="AU154" i="22"/>
  <c r="U154" i="22"/>
  <c r="AU153" i="22"/>
  <c r="U153" i="22"/>
  <c r="AU152" i="22"/>
  <c r="U152" i="22"/>
  <c r="AU151" i="22"/>
  <c r="U151" i="22"/>
  <c r="AU150" i="22"/>
  <c r="U150" i="22"/>
  <c r="AU149" i="22"/>
  <c r="U149" i="22"/>
  <c r="AU148" i="22"/>
  <c r="U148" i="22"/>
  <c r="AU147" i="22"/>
  <c r="U147" i="22"/>
  <c r="AU146" i="22"/>
  <c r="U146" i="22"/>
  <c r="AU145" i="22"/>
  <c r="U145" i="22"/>
  <c r="AU144" i="22"/>
  <c r="U144" i="22"/>
  <c r="AU143" i="22"/>
  <c r="U143" i="22"/>
  <c r="AU142" i="22"/>
  <c r="U142" i="22"/>
  <c r="AU141" i="22"/>
  <c r="U141" i="22"/>
  <c r="AU140" i="22"/>
  <c r="U140" i="22"/>
  <c r="AU139" i="22"/>
  <c r="U139" i="22"/>
  <c r="AU138" i="22"/>
  <c r="U138" i="22"/>
  <c r="AU137" i="22"/>
  <c r="U137" i="22"/>
  <c r="AU136" i="22"/>
  <c r="U136" i="22"/>
  <c r="AU135" i="22"/>
  <c r="U135" i="22"/>
  <c r="AU134" i="22"/>
  <c r="U134" i="22"/>
  <c r="AU133" i="22"/>
  <c r="U133" i="22"/>
  <c r="AU132" i="22"/>
  <c r="U132" i="22"/>
  <c r="AU131" i="22"/>
  <c r="U131" i="22"/>
  <c r="AU130" i="22"/>
  <c r="U130" i="22"/>
  <c r="AU129" i="22"/>
  <c r="U129" i="22"/>
  <c r="AU128" i="22"/>
  <c r="U128" i="22"/>
  <c r="AU127" i="22"/>
  <c r="U127" i="22"/>
  <c r="AU126" i="22"/>
  <c r="U126" i="22"/>
  <c r="AU125" i="22"/>
  <c r="U125" i="22"/>
  <c r="AU124" i="22"/>
  <c r="U124" i="22"/>
  <c r="AU123" i="22"/>
  <c r="U123" i="22"/>
  <c r="AU122" i="22"/>
  <c r="U122" i="22"/>
  <c r="AU121" i="22"/>
  <c r="U121" i="22"/>
  <c r="AU120" i="22"/>
  <c r="U120" i="22"/>
  <c r="AU119" i="22"/>
  <c r="U119" i="22"/>
  <c r="AU118" i="22"/>
  <c r="U118" i="22"/>
  <c r="AU117" i="22"/>
  <c r="U117" i="22"/>
  <c r="AU116" i="22"/>
  <c r="U116" i="22"/>
  <c r="AU115" i="22"/>
  <c r="U115" i="22"/>
  <c r="AU114" i="22"/>
  <c r="U114" i="22"/>
  <c r="AU113" i="22"/>
  <c r="U113" i="22"/>
  <c r="AU112" i="22"/>
  <c r="U112" i="22"/>
  <c r="AU111" i="22"/>
  <c r="U111" i="22"/>
  <c r="AU110" i="22"/>
  <c r="U110" i="22"/>
  <c r="AU109" i="22"/>
  <c r="U109" i="22"/>
  <c r="AU108" i="22"/>
  <c r="U108" i="22"/>
  <c r="AU107" i="22"/>
  <c r="U107" i="22"/>
  <c r="AU106" i="22"/>
  <c r="U106" i="22"/>
  <c r="AU105" i="22"/>
  <c r="U105" i="22"/>
  <c r="AU104" i="22"/>
  <c r="U104" i="22"/>
  <c r="AU103" i="22"/>
  <c r="U103" i="22"/>
  <c r="AU102" i="22"/>
  <c r="U102" i="22"/>
  <c r="AU101" i="22"/>
  <c r="U101" i="22"/>
  <c r="AU100" i="22"/>
  <c r="U100" i="22"/>
  <c r="AU99" i="22"/>
  <c r="U99" i="22"/>
  <c r="AU98" i="22"/>
  <c r="U98" i="22"/>
  <c r="AU97" i="22"/>
  <c r="U97" i="22"/>
  <c r="AU96" i="22"/>
  <c r="U96" i="22"/>
  <c r="AU95" i="22"/>
  <c r="U95" i="22"/>
  <c r="AU94" i="22"/>
  <c r="U94" i="22"/>
  <c r="AU93" i="22"/>
  <c r="U93" i="22"/>
  <c r="AU92" i="22"/>
  <c r="U92" i="22"/>
  <c r="AU91" i="22"/>
  <c r="U91" i="22"/>
  <c r="AU90" i="22"/>
  <c r="U90" i="22"/>
  <c r="AU89" i="22"/>
  <c r="U89" i="22"/>
  <c r="AU88" i="22"/>
  <c r="U88" i="22"/>
  <c r="AU87" i="22"/>
  <c r="U87" i="22"/>
  <c r="AU86" i="22"/>
  <c r="U86" i="22"/>
  <c r="AU85" i="22"/>
  <c r="U85" i="22"/>
  <c r="AU84" i="22"/>
  <c r="U84" i="22"/>
  <c r="AU83" i="22"/>
  <c r="U83" i="22"/>
  <c r="AU82" i="22"/>
  <c r="U82" i="22"/>
  <c r="AU81" i="22"/>
  <c r="U81" i="22"/>
  <c r="AU80" i="22"/>
  <c r="U80" i="22"/>
  <c r="AU79" i="22"/>
  <c r="U79" i="22"/>
  <c r="AU78" i="22"/>
  <c r="U78" i="22"/>
  <c r="AU77" i="22"/>
  <c r="U77" i="22"/>
  <c r="AU76" i="22"/>
  <c r="U76" i="22"/>
  <c r="AU75" i="22"/>
  <c r="U75" i="22"/>
  <c r="AU74" i="22"/>
  <c r="U74" i="22"/>
  <c r="AU73" i="22"/>
  <c r="U73" i="22"/>
  <c r="AU72" i="22"/>
  <c r="U72" i="22"/>
  <c r="AU71" i="22"/>
  <c r="U71" i="22"/>
  <c r="AU70" i="22"/>
  <c r="U70" i="22"/>
  <c r="AU69" i="22"/>
  <c r="U69" i="22"/>
  <c r="AU68" i="22"/>
  <c r="U68" i="22"/>
  <c r="AU67" i="22"/>
  <c r="U67" i="22"/>
  <c r="AU66" i="22"/>
  <c r="U66" i="22"/>
  <c r="AU65" i="22"/>
  <c r="U65" i="22"/>
  <c r="AU64" i="22"/>
  <c r="U64" i="22"/>
  <c r="AU63" i="22"/>
  <c r="U63" i="22"/>
  <c r="AU62" i="22"/>
  <c r="U62" i="22"/>
  <c r="AU61" i="22"/>
  <c r="U61" i="22"/>
  <c r="AU60" i="22"/>
  <c r="U60" i="22"/>
  <c r="AU59" i="22"/>
  <c r="U59" i="22"/>
  <c r="AU58" i="22"/>
  <c r="U58" i="22"/>
  <c r="AU57" i="22"/>
  <c r="U57" i="22"/>
  <c r="AU56" i="22"/>
  <c r="U56" i="22"/>
  <c r="AU55" i="22"/>
  <c r="U55" i="22"/>
  <c r="AU54" i="22"/>
  <c r="U54" i="22"/>
  <c r="AU53" i="22"/>
  <c r="U53" i="22"/>
  <c r="AU52" i="22"/>
  <c r="U52" i="22"/>
  <c r="AU51" i="22"/>
  <c r="U51" i="22"/>
  <c r="AU50" i="22"/>
  <c r="U50" i="22"/>
  <c r="AU49" i="22"/>
  <c r="U49" i="22"/>
  <c r="AU48" i="22"/>
  <c r="U48" i="22"/>
  <c r="AU47" i="22"/>
  <c r="U47" i="22"/>
  <c r="AU46" i="22"/>
  <c r="U46" i="22"/>
  <c r="AU45" i="22"/>
  <c r="U45" i="22"/>
  <c r="AU44" i="22"/>
  <c r="U44" i="22"/>
  <c r="AU43" i="22"/>
  <c r="U43" i="22"/>
  <c r="AU42" i="22"/>
  <c r="U42" i="22"/>
  <c r="AU41" i="22"/>
  <c r="U41" i="22"/>
  <c r="AU40" i="22"/>
  <c r="U40" i="22"/>
  <c r="AU39" i="22"/>
  <c r="U39" i="22"/>
  <c r="AU38" i="22"/>
  <c r="U38" i="22"/>
  <c r="AU37" i="22"/>
  <c r="U37" i="22"/>
  <c r="AU36" i="22"/>
  <c r="U36" i="22"/>
  <c r="AU35" i="22"/>
  <c r="U35" i="22"/>
  <c r="AU34" i="22"/>
  <c r="U34" i="22"/>
  <c r="AU33" i="22"/>
  <c r="U33" i="22"/>
  <c r="AU32" i="22"/>
  <c r="U32" i="22"/>
  <c r="AU31" i="22"/>
  <c r="U31" i="22"/>
  <c r="AU30" i="22"/>
  <c r="U30" i="22"/>
  <c r="AU29" i="22"/>
  <c r="U29" i="22"/>
  <c r="AU28" i="22"/>
  <c r="U28" i="22"/>
  <c r="AU27" i="22"/>
  <c r="U27" i="22"/>
  <c r="AU26" i="22"/>
  <c r="U26" i="22"/>
  <c r="AU25" i="22"/>
  <c r="U25" i="22"/>
  <c r="AU24" i="22"/>
  <c r="U24" i="22"/>
  <c r="AU23" i="22"/>
  <c r="U23" i="22"/>
  <c r="AU22" i="22"/>
  <c r="U22" i="22"/>
  <c r="AU21" i="22"/>
  <c r="U21" i="22"/>
  <c r="AB8" i="22"/>
  <c r="C8" i="22"/>
  <c r="AF6" i="22"/>
  <c r="AE6" i="22"/>
  <c r="AD6" i="22"/>
  <c r="AC6" i="22"/>
  <c r="Z6" i="22"/>
  <c r="G6" i="22"/>
  <c r="F6" i="22"/>
  <c r="E6" i="22"/>
  <c r="D6" i="22"/>
  <c r="A6" i="22"/>
  <c r="AR600" i="21"/>
  <c r="U600" i="21"/>
  <c r="AR599" i="21"/>
  <c r="U599" i="21"/>
  <c r="AR598" i="21"/>
  <c r="U598" i="21"/>
  <c r="AR597" i="21"/>
  <c r="U597" i="21"/>
  <c r="AR596" i="21"/>
  <c r="U596" i="21"/>
  <c r="AR595" i="21"/>
  <c r="U595" i="21"/>
  <c r="AR594" i="21"/>
  <c r="U594" i="21"/>
  <c r="AR593" i="21"/>
  <c r="U593" i="21"/>
  <c r="AR592" i="21"/>
  <c r="U592" i="21"/>
  <c r="AR591" i="21"/>
  <c r="U591" i="21"/>
  <c r="AR590" i="21"/>
  <c r="U590" i="21"/>
  <c r="AR589" i="21"/>
  <c r="U589" i="21"/>
  <c r="AR588" i="21"/>
  <c r="U588" i="21"/>
  <c r="AR587" i="21"/>
  <c r="U587" i="21"/>
  <c r="AR586" i="21"/>
  <c r="U586" i="21"/>
  <c r="AR585" i="21"/>
  <c r="U585" i="21"/>
  <c r="AR584" i="21"/>
  <c r="U584" i="21"/>
  <c r="AR583" i="21"/>
  <c r="U583" i="21"/>
  <c r="AR582" i="21"/>
  <c r="U582" i="21"/>
  <c r="AR581" i="21"/>
  <c r="U581" i="21"/>
  <c r="AR580" i="21"/>
  <c r="U580" i="21"/>
  <c r="AR579" i="21"/>
  <c r="U579" i="21"/>
  <c r="AR578" i="21"/>
  <c r="U578" i="21"/>
  <c r="AR577" i="21"/>
  <c r="U577" i="21"/>
  <c r="AR576" i="21"/>
  <c r="U576" i="21"/>
  <c r="AR575" i="21"/>
  <c r="U575" i="21"/>
  <c r="AR574" i="21"/>
  <c r="U574" i="21"/>
  <c r="AR573" i="21"/>
  <c r="U573" i="21"/>
  <c r="AR572" i="21"/>
  <c r="U572" i="21"/>
  <c r="AR571" i="21"/>
  <c r="U571" i="21"/>
  <c r="AR570" i="21"/>
  <c r="U570" i="21"/>
  <c r="AR569" i="21"/>
  <c r="U569" i="21"/>
  <c r="AR568" i="21"/>
  <c r="U568" i="21"/>
  <c r="AR567" i="21"/>
  <c r="U567" i="21"/>
  <c r="AR566" i="21"/>
  <c r="U566" i="21"/>
  <c r="AR565" i="21"/>
  <c r="U565" i="21"/>
  <c r="AR564" i="21"/>
  <c r="U564" i="21"/>
  <c r="AR563" i="21"/>
  <c r="U563" i="21"/>
  <c r="AR562" i="21"/>
  <c r="U562" i="21"/>
  <c r="AR561" i="21"/>
  <c r="U561" i="21"/>
  <c r="AR560" i="21"/>
  <c r="U560" i="21"/>
  <c r="AR559" i="21"/>
  <c r="U559" i="21"/>
  <c r="AR558" i="21"/>
  <c r="U558" i="21"/>
  <c r="AR557" i="21"/>
  <c r="U557" i="21"/>
  <c r="AR556" i="21"/>
  <c r="U556" i="21"/>
  <c r="AR555" i="21"/>
  <c r="U555" i="21"/>
  <c r="AR554" i="21"/>
  <c r="U554" i="21"/>
  <c r="AR553" i="21"/>
  <c r="U553" i="21"/>
  <c r="AR552" i="21"/>
  <c r="U552" i="21"/>
  <c r="AR551" i="21"/>
  <c r="U551" i="21"/>
  <c r="AR550" i="21"/>
  <c r="U550" i="21"/>
  <c r="AR549" i="21"/>
  <c r="U549" i="21"/>
  <c r="AR548" i="21"/>
  <c r="U548" i="21"/>
  <c r="AR547" i="21"/>
  <c r="U547" i="21"/>
  <c r="AR546" i="21"/>
  <c r="U546" i="21"/>
  <c r="AR545" i="21"/>
  <c r="U545" i="21"/>
  <c r="AR544" i="21"/>
  <c r="U544" i="21"/>
  <c r="AR543" i="21"/>
  <c r="U543" i="21"/>
  <c r="AR542" i="21"/>
  <c r="U542" i="21"/>
  <c r="AR541" i="21"/>
  <c r="U541" i="21"/>
  <c r="AR540" i="21"/>
  <c r="U540" i="21"/>
  <c r="AR539" i="21"/>
  <c r="U539" i="21"/>
  <c r="AR538" i="21"/>
  <c r="U538" i="21"/>
  <c r="AR537" i="21"/>
  <c r="U537" i="21"/>
  <c r="AR536" i="21"/>
  <c r="U536" i="21"/>
  <c r="AR535" i="21"/>
  <c r="U535" i="21"/>
  <c r="AR534" i="21"/>
  <c r="U534" i="21"/>
  <c r="AR533" i="21"/>
  <c r="U533" i="21"/>
  <c r="AR532" i="21"/>
  <c r="U532" i="21"/>
  <c r="AR531" i="21"/>
  <c r="U531" i="21"/>
  <c r="AR530" i="21"/>
  <c r="U530" i="21"/>
  <c r="AR529" i="21"/>
  <c r="U529" i="21"/>
  <c r="AR528" i="21"/>
  <c r="U528" i="21"/>
  <c r="AR527" i="21"/>
  <c r="U527" i="21"/>
  <c r="AR526" i="21"/>
  <c r="U526" i="21"/>
  <c r="AR525" i="21"/>
  <c r="U525" i="21"/>
  <c r="AR524" i="21"/>
  <c r="U524" i="21"/>
  <c r="AR523" i="21"/>
  <c r="U523" i="21"/>
  <c r="AR522" i="21"/>
  <c r="U522" i="21"/>
  <c r="AR521" i="21"/>
  <c r="U521" i="21"/>
  <c r="AR520" i="21"/>
  <c r="U520" i="21"/>
  <c r="AR519" i="21"/>
  <c r="U519" i="21"/>
  <c r="AR518" i="21"/>
  <c r="U518" i="21"/>
  <c r="AR517" i="21"/>
  <c r="U517" i="21"/>
  <c r="AR516" i="21"/>
  <c r="U516" i="21"/>
  <c r="AR515" i="21"/>
  <c r="U515" i="21"/>
  <c r="AR514" i="21"/>
  <c r="U514" i="21"/>
  <c r="AR513" i="21"/>
  <c r="U513" i="21"/>
  <c r="AR512" i="21"/>
  <c r="U512" i="21"/>
  <c r="AR511" i="21"/>
  <c r="U511" i="21"/>
  <c r="AR510" i="21"/>
  <c r="U510" i="21"/>
  <c r="AR509" i="21"/>
  <c r="U509" i="21"/>
  <c r="AR508" i="21"/>
  <c r="U508" i="21"/>
  <c r="AR507" i="21"/>
  <c r="U507" i="21"/>
  <c r="AR506" i="21"/>
  <c r="U506" i="21"/>
  <c r="AR505" i="21"/>
  <c r="U505" i="21"/>
  <c r="AR504" i="21"/>
  <c r="U504" i="21"/>
  <c r="AR503" i="21"/>
  <c r="U503" i="21"/>
  <c r="AR502" i="21"/>
  <c r="U502" i="21"/>
  <c r="AR501" i="21"/>
  <c r="U501" i="21"/>
  <c r="AR500" i="21"/>
  <c r="U500" i="21"/>
  <c r="AR499" i="21"/>
  <c r="U499" i="21"/>
  <c r="AR498" i="21"/>
  <c r="U498" i="21"/>
  <c r="AR497" i="21"/>
  <c r="U497" i="21"/>
  <c r="AR496" i="21"/>
  <c r="U496" i="21"/>
  <c r="AR495" i="21"/>
  <c r="U495" i="21"/>
  <c r="AR494" i="21"/>
  <c r="U494" i="21"/>
  <c r="AR493" i="21"/>
  <c r="U493" i="21"/>
  <c r="AR492" i="21"/>
  <c r="U492" i="21"/>
  <c r="AR491" i="21"/>
  <c r="U491" i="21"/>
  <c r="AR490" i="21"/>
  <c r="U490" i="21"/>
  <c r="AR489" i="21"/>
  <c r="U489" i="21"/>
  <c r="AR488" i="21"/>
  <c r="U488" i="21"/>
  <c r="AR487" i="21"/>
  <c r="U487" i="21"/>
  <c r="AR486" i="21"/>
  <c r="U486" i="21"/>
  <c r="AR485" i="21"/>
  <c r="U485" i="21"/>
  <c r="AR484" i="21"/>
  <c r="U484" i="21"/>
  <c r="AR483" i="21"/>
  <c r="U483" i="21"/>
  <c r="AR482" i="21"/>
  <c r="U482" i="21"/>
  <c r="AR481" i="21"/>
  <c r="U481" i="21"/>
  <c r="AR480" i="21"/>
  <c r="U480" i="21"/>
  <c r="AR479" i="21"/>
  <c r="U479" i="21"/>
  <c r="AR478" i="21"/>
  <c r="U478" i="21"/>
  <c r="AR477" i="21"/>
  <c r="U477" i="21"/>
  <c r="AR476" i="21"/>
  <c r="U476" i="21"/>
  <c r="AR475" i="21"/>
  <c r="U475" i="21"/>
  <c r="AR474" i="21"/>
  <c r="U474" i="21"/>
  <c r="AR473" i="21"/>
  <c r="U473" i="21"/>
  <c r="AR472" i="21"/>
  <c r="U472" i="21"/>
  <c r="AR471" i="21"/>
  <c r="U471" i="21"/>
  <c r="AR470" i="21"/>
  <c r="U470" i="21"/>
  <c r="AR469" i="21"/>
  <c r="U469" i="21"/>
  <c r="AR468" i="21"/>
  <c r="U468" i="21"/>
  <c r="AR467" i="21"/>
  <c r="U467" i="21"/>
  <c r="AR466" i="21"/>
  <c r="U466" i="21"/>
  <c r="AR465" i="21"/>
  <c r="U465" i="21"/>
  <c r="AR464" i="21"/>
  <c r="U464" i="21"/>
  <c r="AR463" i="21"/>
  <c r="U463" i="21"/>
  <c r="AR462" i="21"/>
  <c r="U462" i="21"/>
  <c r="AR461" i="21"/>
  <c r="U461" i="21"/>
  <c r="AR460" i="21"/>
  <c r="U460" i="21"/>
  <c r="AR459" i="21"/>
  <c r="U459" i="21"/>
  <c r="AR458" i="21"/>
  <c r="U458" i="21"/>
  <c r="AR457" i="21"/>
  <c r="U457" i="21"/>
  <c r="AR456" i="21"/>
  <c r="U456" i="21"/>
  <c r="AR455" i="21"/>
  <c r="U455" i="21"/>
  <c r="AR454" i="21"/>
  <c r="U454" i="21"/>
  <c r="AR453" i="21"/>
  <c r="U453" i="21"/>
  <c r="AR452" i="21"/>
  <c r="U452" i="21"/>
  <c r="AR451" i="21"/>
  <c r="U451" i="21"/>
  <c r="AR450" i="21"/>
  <c r="U450" i="21"/>
  <c r="AR449" i="21"/>
  <c r="U449" i="21"/>
  <c r="AR448" i="21"/>
  <c r="U448" i="21"/>
  <c r="AR447" i="21"/>
  <c r="U447" i="21"/>
  <c r="AR446" i="21"/>
  <c r="U446" i="21"/>
  <c r="AR445" i="21"/>
  <c r="U445" i="21"/>
  <c r="AR444" i="21"/>
  <c r="U444" i="21"/>
  <c r="AR443" i="21"/>
  <c r="U443" i="21"/>
  <c r="AR442" i="21"/>
  <c r="U442" i="21"/>
  <c r="AR441" i="21"/>
  <c r="U441" i="21"/>
  <c r="AR440" i="21"/>
  <c r="U440" i="21"/>
  <c r="AR439" i="21"/>
  <c r="U439" i="21"/>
  <c r="AR438" i="21"/>
  <c r="U438" i="21"/>
  <c r="AR437" i="21"/>
  <c r="U437" i="21"/>
  <c r="AR436" i="21"/>
  <c r="U436" i="21"/>
  <c r="AR435" i="21"/>
  <c r="U435" i="21"/>
  <c r="AR434" i="21"/>
  <c r="U434" i="21"/>
  <c r="AR433" i="21"/>
  <c r="U433" i="21"/>
  <c r="AR432" i="21"/>
  <c r="U432" i="21"/>
  <c r="AR431" i="21"/>
  <c r="U431" i="21"/>
  <c r="AR430" i="21"/>
  <c r="U430" i="21"/>
  <c r="AR429" i="21"/>
  <c r="U429" i="21"/>
  <c r="AR428" i="21"/>
  <c r="U428" i="21"/>
  <c r="AR427" i="21"/>
  <c r="U427" i="21"/>
  <c r="AR426" i="21"/>
  <c r="U426" i="21"/>
  <c r="AR425" i="21"/>
  <c r="U425" i="21"/>
  <c r="AR424" i="21"/>
  <c r="U424" i="21"/>
  <c r="AR423" i="21"/>
  <c r="U423" i="21"/>
  <c r="AR422" i="21"/>
  <c r="U422" i="21"/>
  <c r="AR421" i="21"/>
  <c r="U421" i="21"/>
  <c r="AR420" i="21"/>
  <c r="U420" i="21"/>
  <c r="AR419" i="21"/>
  <c r="U419" i="21"/>
  <c r="AR418" i="21"/>
  <c r="U418" i="21"/>
  <c r="AR417" i="21"/>
  <c r="U417" i="21"/>
  <c r="AR416" i="21"/>
  <c r="U416" i="21"/>
  <c r="AR415" i="21"/>
  <c r="U415" i="21"/>
  <c r="AR414" i="21"/>
  <c r="U414" i="21"/>
  <c r="AR413" i="21"/>
  <c r="U413" i="21"/>
  <c r="AR412" i="21"/>
  <c r="U412" i="21"/>
  <c r="AR411" i="21"/>
  <c r="U411" i="21"/>
  <c r="AR410" i="21"/>
  <c r="U410" i="21"/>
  <c r="AR409" i="21"/>
  <c r="U409" i="21"/>
  <c r="AR408" i="21"/>
  <c r="U408" i="21"/>
  <c r="AR407" i="21"/>
  <c r="U407" i="21"/>
  <c r="AR406" i="21"/>
  <c r="U406" i="21"/>
  <c r="AR405" i="21"/>
  <c r="U405" i="21"/>
  <c r="AR404" i="21"/>
  <c r="U404" i="21"/>
  <c r="AR403" i="21"/>
  <c r="U403" i="21"/>
  <c r="AR402" i="21"/>
  <c r="U402" i="21"/>
  <c r="AR401" i="21"/>
  <c r="U401" i="21"/>
  <c r="AR400" i="21"/>
  <c r="U400" i="21"/>
  <c r="AR399" i="21"/>
  <c r="U399" i="21"/>
  <c r="AR398" i="21"/>
  <c r="U398" i="21"/>
  <c r="AR397" i="21"/>
  <c r="U397" i="21"/>
  <c r="AR396" i="21"/>
  <c r="U396" i="21"/>
  <c r="AR395" i="21"/>
  <c r="U395" i="21"/>
  <c r="AR394" i="21"/>
  <c r="U394" i="21"/>
  <c r="AR393" i="21"/>
  <c r="U393" i="21"/>
  <c r="AR392" i="21"/>
  <c r="U392" i="21"/>
  <c r="AR391" i="21"/>
  <c r="U391" i="21"/>
  <c r="AR390" i="21"/>
  <c r="U390" i="21"/>
  <c r="AR389" i="21"/>
  <c r="U389" i="21"/>
  <c r="AR388" i="21"/>
  <c r="U388" i="21"/>
  <c r="AR387" i="21"/>
  <c r="U387" i="21"/>
  <c r="AR386" i="21"/>
  <c r="U386" i="21"/>
  <c r="AR385" i="21"/>
  <c r="U385" i="21"/>
  <c r="AR384" i="21"/>
  <c r="U384" i="21"/>
  <c r="AR383" i="21"/>
  <c r="U383" i="21"/>
  <c r="AR382" i="21"/>
  <c r="U382" i="21"/>
  <c r="AR381" i="21"/>
  <c r="U381" i="21"/>
  <c r="AR380" i="21"/>
  <c r="U380" i="21"/>
  <c r="AR379" i="21"/>
  <c r="U379" i="21"/>
  <c r="AR378" i="21"/>
  <c r="U378" i="21"/>
  <c r="AR377" i="21"/>
  <c r="U377" i="21"/>
  <c r="AR376" i="21"/>
  <c r="U376" i="21"/>
  <c r="AR375" i="21"/>
  <c r="U375" i="21"/>
  <c r="AR374" i="21"/>
  <c r="U374" i="21"/>
  <c r="AR373" i="21"/>
  <c r="U373" i="21"/>
  <c r="AR372" i="21"/>
  <c r="U372" i="21"/>
  <c r="AR371" i="21"/>
  <c r="U371" i="21"/>
  <c r="AR370" i="21"/>
  <c r="U370" i="21"/>
  <c r="AR369" i="21"/>
  <c r="U369" i="21"/>
  <c r="AR368" i="21"/>
  <c r="U368" i="21"/>
  <c r="AR367" i="21"/>
  <c r="U367" i="21"/>
  <c r="AR366" i="21"/>
  <c r="U366" i="21"/>
  <c r="AR365" i="21"/>
  <c r="U365" i="21"/>
  <c r="AR364" i="21"/>
  <c r="U364" i="21"/>
  <c r="AR363" i="21"/>
  <c r="U363" i="21"/>
  <c r="AR362" i="21"/>
  <c r="U362" i="21"/>
  <c r="AR361" i="21"/>
  <c r="U361" i="21"/>
  <c r="AR360" i="21"/>
  <c r="U360" i="21"/>
  <c r="AR359" i="21"/>
  <c r="U359" i="21"/>
  <c r="AR358" i="21"/>
  <c r="U358" i="21"/>
  <c r="AR357" i="21"/>
  <c r="U357" i="21"/>
  <c r="AR356" i="21"/>
  <c r="U356" i="21"/>
  <c r="AR355" i="21"/>
  <c r="U355" i="21"/>
  <c r="AR354" i="21"/>
  <c r="U354" i="21"/>
  <c r="AR353" i="21"/>
  <c r="U353" i="21"/>
  <c r="AR352" i="21"/>
  <c r="U352" i="21"/>
  <c r="AR351" i="21"/>
  <c r="U351" i="21"/>
  <c r="AR350" i="21"/>
  <c r="U350" i="21"/>
  <c r="AR349" i="21"/>
  <c r="U349" i="21"/>
  <c r="AR348" i="21"/>
  <c r="U348" i="21"/>
  <c r="AR347" i="21"/>
  <c r="U347" i="21"/>
  <c r="AR346" i="21"/>
  <c r="U346" i="21"/>
  <c r="AR345" i="21"/>
  <c r="U345" i="21"/>
  <c r="AR344" i="21"/>
  <c r="U344" i="21"/>
  <c r="AR343" i="21"/>
  <c r="U343" i="21"/>
  <c r="AR342" i="21"/>
  <c r="U342" i="21"/>
  <c r="AR341" i="21"/>
  <c r="U341" i="21"/>
  <c r="AR340" i="21"/>
  <c r="U340" i="21"/>
  <c r="AR339" i="21"/>
  <c r="U339" i="21"/>
  <c r="AR338" i="21"/>
  <c r="U338" i="21"/>
  <c r="AR337" i="21"/>
  <c r="U337" i="21"/>
  <c r="AR336" i="21"/>
  <c r="U336" i="21"/>
  <c r="AR335" i="21"/>
  <c r="U335" i="21"/>
  <c r="AR334" i="21"/>
  <c r="U334" i="21"/>
  <c r="AR333" i="21"/>
  <c r="U333" i="21"/>
  <c r="AR332" i="21"/>
  <c r="U332" i="21"/>
  <c r="AR331" i="21"/>
  <c r="U331" i="21"/>
  <c r="AR330" i="21"/>
  <c r="U330" i="21"/>
  <c r="AR329" i="21"/>
  <c r="U329" i="21"/>
  <c r="AR328" i="21"/>
  <c r="U328" i="21"/>
  <c r="AR327" i="21"/>
  <c r="U327" i="21"/>
  <c r="AR326" i="21"/>
  <c r="U326" i="21"/>
  <c r="AR325" i="21"/>
  <c r="U325" i="21"/>
  <c r="AR324" i="21"/>
  <c r="U324" i="21"/>
  <c r="AR323" i="21"/>
  <c r="U323" i="21"/>
  <c r="AR322" i="21"/>
  <c r="U322" i="21"/>
  <c r="AR321" i="21"/>
  <c r="U321" i="21"/>
  <c r="AR320" i="21"/>
  <c r="U320" i="21"/>
  <c r="AR319" i="21"/>
  <c r="U319" i="21"/>
  <c r="AR318" i="21"/>
  <c r="U318" i="21"/>
  <c r="AR317" i="21"/>
  <c r="U317" i="21"/>
  <c r="AR316" i="21"/>
  <c r="U316" i="21"/>
  <c r="AR315" i="21"/>
  <c r="U315" i="21"/>
  <c r="AR314" i="21"/>
  <c r="U314" i="21"/>
  <c r="AR313" i="21"/>
  <c r="U313" i="21"/>
  <c r="AR312" i="21"/>
  <c r="U312" i="21"/>
  <c r="AR311" i="21"/>
  <c r="U311" i="21"/>
  <c r="AR310" i="21"/>
  <c r="U310" i="21"/>
  <c r="AR309" i="21"/>
  <c r="U309" i="21"/>
  <c r="AR308" i="21"/>
  <c r="U308" i="21"/>
  <c r="AR307" i="21"/>
  <c r="U307" i="21"/>
  <c r="AR306" i="21"/>
  <c r="U306" i="21"/>
  <c r="AR305" i="21"/>
  <c r="U305" i="21"/>
  <c r="AR304" i="21"/>
  <c r="U304" i="21"/>
  <c r="AR303" i="21"/>
  <c r="U303" i="21"/>
  <c r="AR302" i="21"/>
  <c r="U302" i="21"/>
  <c r="AR301" i="21"/>
  <c r="U301" i="21"/>
  <c r="AR300" i="21"/>
  <c r="U300" i="21"/>
  <c r="AR299" i="21"/>
  <c r="U299" i="21"/>
  <c r="AR298" i="21"/>
  <c r="U298" i="21"/>
  <c r="AR297" i="21"/>
  <c r="U297" i="21"/>
  <c r="AR296" i="21"/>
  <c r="U296" i="21"/>
  <c r="AR295" i="21"/>
  <c r="U295" i="21"/>
  <c r="AR294" i="21"/>
  <c r="U294" i="21"/>
  <c r="AR293" i="21"/>
  <c r="U293" i="21"/>
  <c r="AR292" i="21"/>
  <c r="U292" i="21"/>
  <c r="AR291" i="21"/>
  <c r="U291" i="21"/>
  <c r="AR290" i="21"/>
  <c r="U290" i="21"/>
  <c r="AR289" i="21"/>
  <c r="U289" i="21"/>
  <c r="AR288" i="21"/>
  <c r="U288" i="21"/>
  <c r="AR287" i="21"/>
  <c r="U287" i="21"/>
  <c r="AR286" i="21"/>
  <c r="U286" i="21"/>
  <c r="AR285" i="21"/>
  <c r="U285" i="21"/>
  <c r="AR284" i="21"/>
  <c r="U284" i="21"/>
  <c r="AR283" i="21"/>
  <c r="U283" i="21"/>
  <c r="AR282" i="21"/>
  <c r="U282" i="21"/>
  <c r="AR281" i="21"/>
  <c r="U281" i="21"/>
  <c r="AR280" i="21"/>
  <c r="U280" i="21"/>
  <c r="AR279" i="21"/>
  <c r="U279" i="21"/>
  <c r="AR278" i="21"/>
  <c r="U278" i="21"/>
  <c r="AR277" i="21"/>
  <c r="U277" i="21"/>
  <c r="AR276" i="21"/>
  <c r="U276" i="21"/>
  <c r="AR275" i="21"/>
  <c r="U275" i="21"/>
  <c r="AR274" i="21"/>
  <c r="U274" i="21"/>
  <c r="AR273" i="21"/>
  <c r="U273" i="21"/>
  <c r="AR272" i="21"/>
  <c r="U272" i="21"/>
  <c r="AR271" i="21"/>
  <c r="U271" i="21"/>
  <c r="AR270" i="21"/>
  <c r="U270" i="21"/>
  <c r="AR269" i="21"/>
  <c r="U269" i="21"/>
  <c r="AR268" i="21"/>
  <c r="U268" i="21"/>
  <c r="AR267" i="21"/>
  <c r="U267" i="21"/>
  <c r="AR266" i="21"/>
  <c r="U266" i="21"/>
  <c r="AR265" i="21"/>
  <c r="U265" i="21"/>
  <c r="AR264" i="21"/>
  <c r="U264" i="21"/>
  <c r="AR263" i="21"/>
  <c r="U263" i="21"/>
  <c r="AR262" i="21"/>
  <c r="U262" i="21"/>
  <c r="AR261" i="21"/>
  <c r="U261" i="21"/>
  <c r="AR260" i="21"/>
  <c r="U260" i="21"/>
  <c r="AR259" i="21"/>
  <c r="U259" i="21"/>
  <c r="AR258" i="21"/>
  <c r="U258" i="21"/>
  <c r="AR257" i="21"/>
  <c r="U257" i="21"/>
  <c r="AR256" i="21"/>
  <c r="U256" i="21"/>
  <c r="AR255" i="21"/>
  <c r="U255" i="21"/>
  <c r="AR254" i="21"/>
  <c r="U254" i="21"/>
  <c r="AR253" i="21"/>
  <c r="U253" i="21"/>
  <c r="AR252" i="21"/>
  <c r="U252" i="21"/>
  <c r="AR251" i="21"/>
  <c r="U251" i="21"/>
  <c r="AR250" i="21"/>
  <c r="U250" i="21"/>
  <c r="AR249" i="21"/>
  <c r="U249" i="21"/>
  <c r="AR248" i="21"/>
  <c r="U248" i="21"/>
  <c r="AR247" i="21"/>
  <c r="U247" i="21"/>
  <c r="AR246" i="21"/>
  <c r="U246" i="21"/>
  <c r="AR245" i="21"/>
  <c r="U245" i="21"/>
  <c r="AR244" i="21"/>
  <c r="U244" i="21"/>
  <c r="AR243" i="21"/>
  <c r="U243" i="21"/>
  <c r="AR242" i="21"/>
  <c r="U242" i="21"/>
  <c r="AR241" i="21"/>
  <c r="U241" i="21"/>
  <c r="AR240" i="21"/>
  <c r="U240" i="21"/>
  <c r="AR239" i="21"/>
  <c r="U239" i="21"/>
  <c r="AR238" i="21"/>
  <c r="U238" i="21"/>
  <c r="AR237" i="21"/>
  <c r="U237" i="21"/>
  <c r="AR236" i="21"/>
  <c r="U236" i="21"/>
  <c r="AR235" i="21"/>
  <c r="U235" i="21"/>
  <c r="AR234" i="21"/>
  <c r="U234" i="21"/>
  <c r="AR233" i="21"/>
  <c r="U233" i="21"/>
  <c r="AR232" i="21"/>
  <c r="U232" i="21"/>
  <c r="AR231" i="21"/>
  <c r="U231" i="21"/>
  <c r="AR230" i="21"/>
  <c r="U230" i="21"/>
  <c r="AR229" i="21"/>
  <c r="U229" i="21"/>
  <c r="AR228" i="21"/>
  <c r="U228" i="21"/>
  <c r="AR227" i="21"/>
  <c r="U227" i="21"/>
  <c r="AR226" i="21"/>
  <c r="U226" i="21"/>
  <c r="AR225" i="21"/>
  <c r="U225" i="21"/>
  <c r="AR224" i="21"/>
  <c r="U224" i="21"/>
  <c r="AR223" i="21"/>
  <c r="U223" i="21"/>
  <c r="AR222" i="21"/>
  <c r="U222" i="21"/>
  <c r="AR221" i="21"/>
  <c r="U221" i="21"/>
  <c r="AR220" i="21"/>
  <c r="U220" i="21"/>
  <c r="AR219" i="21"/>
  <c r="U219" i="21"/>
  <c r="AR218" i="21"/>
  <c r="U218" i="21"/>
  <c r="AR217" i="21"/>
  <c r="U217" i="21"/>
  <c r="AR216" i="21"/>
  <c r="U216" i="21"/>
  <c r="AR215" i="21"/>
  <c r="U215" i="21"/>
  <c r="AR214" i="21"/>
  <c r="U214" i="21"/>
  <c r="AR213" i="21"/>
  <c r="U213" i="21"/>
  <c r="AR212" i="21"/>
  <c r="U212" i="21"/>
  <c r="AR211" i="21"/>
  <c r="U211" i="21"/>
  <c r="AR210" i="21"/>
  <c r="U210" i="21"/>
  <c r="AR209" i="21"/>
  <c r="U209" i="21"/>
  <c r="AR208" i="21"/>
  <c r="U208" i="21"/>
  <c r="AR207" i="21"/>
  <c r="U207" i="21"/>
  <c r="AR206" i="21"/>
  <c r="U206" i="21"/>
  <c r="AR205" i="21"/>
  <c r="U205" i="21"/>
  <c r="AR204" i="21"/>
  <c r="U204" i="21"/>
  <c r="AR203" i="21"/>
  <c r="U203" i="21"/>
  <c r="AR202" i="21"/>
  <c r="U202" i="21"/>
  <c r="AR201" i="21"/>
  <c r="U201" i="21"/>
  <c r="AR200" i="21"/>
  <c r="U200" i="21"/>
  <c r="AR199" i="21"/>
  <c r="U199" i="21"/>
  <c r="AR198" i="21"/>
  <c r="U198" i="21"/>
  <c r="AR197" i="21"/>
  <c r="U197" i="21"/>
  <c r="AR196" i="21"/>
  <c r="U196" i="21"/>
  <c r="AR195" i="21"/>
  <c r="U195" i="21"/>
  <c r="AR194" i="21"/>
  <c r="U194" i="21"/>
  <c r="AR193" i="21"/>
  <c r="U193" i="21"/>
  <c r="AR192" i="21"/>
  <c r="U192" i="21"/>
  <c r="AR191" i="21"/>
  <c r="U191" i="21"/>
  <c r="AR190" i="21"/>
  <c r="U190" i="21"/>
  <c r="AR189" i="21"/>
  <c r="U189" i="21"/>
  <c r="AR188" i="21"/>
  <c r="U188" i="21"/>
  <c r="AR187" i="21"/>
  <c r="U187" i="21"/>
  <c r="AR186" i="21"/>
  <c r="U186" i="21"/>
  <c r="AR185" i="21"/>
  <c r="U185" i="21"/>
  <c r="AR184" i="21"/>
  <c r="U184" i="21"/>
  <c r="AR183" i="21"/>
  <c r="U183" i="21"/>
  <c r="AR182" i="21"/>
  <c r="U182" i="21"/>
  <c r="AR181" i="21"/>
  <c r="U181" i="21"/>
  <c r="AR180" i="21"/>
  <c r="U180" i="21"/>
  <c r="AR179" i="21"/>
  <c r="U179" i="21"/>
  <c r="AR178" i="21"/>
  <c r="U178" i="21"/>
  <c r="AR177" i="21"/>
  <c r="U177" i="21"/>
  <c r="AR176" i="21"/>
  <c r="U176" i="21"/>
  <c r="AR175" i="21"/>
  <c r="U175" i="21"/>
  <c r="AR174" i="21"/>
  <c r="U174" i="21"/>
  <c r="AR173" i="21"/>
  <c r="U173" i="21"/>
  <c r="AR172" i="21"/>
  <c r="U172" i="21"/>
  <c r="AR171" i="21"/>
  <c r="U171" i="21"/>
  <c r="AR170" i="21"/>
  <c r="U170" i="21"/>
  <c r="AR169" i="21"/>
  <c r="U169" i="21"/>
  <c r="AR168" i="21"/>
  <c r="U168" i="21"/>
  <c r="AR167" i="21"/>
  <c r="U167" i="21"/>
  <c r="AR166" i="21"/>
  <c r="U166" i="21"/>
  <c r="AR165" i="21"/>
  <c r="U165" i="21"/>
  <c r="AR164" i="21"/>
  <c r="U164" i="21"/>
  <c r="AR163" i="21"/>
  <c r="U163" i="21"/>
  <c r="AR162" i="21"/>
  <c r="U162" i="21"/>
  <c r="AR161" i="21"/>
  <c r="U161" i="21"/>
  <c r="AR160" i="21"/>
  <c r="U160" i="21"/>
  <c r="AR159" i="21"/>
  <c r="U159" i="21"/>
  <c r="AR158" i="21"/>
  <c r="U158" i="21"/>
  <c r="AR157" i="21"/>
  <c r="U157" i="21"/>
  <c r="AR156" i="21"/>
  <c r="U156" i="21"/>
  <c r="AR155" i="21"/>
  <c r="U155" i="21"/>
  <c r="AR154" i="21"/>
  <c r="U154" i="21"/>
  <c r="AR153" i="21"/>
  <c r="U153" i="21"/>
  <c r="AR152" i="21"/>
  <c r="U152" i="21"/>
  <c r="AR151" i="21"/>
  <c r="U151" i="21"/>
  <c r="AR150" i="21"/>
  <c r="U150" i="21"/>
  <c r="AR149" i="21"/>
  <c r="U149" i="21"/>
  <c r="AR148" i="21"/>
  <c r="U148" i="21"/>
  <c r="AR147" i="21"/>
  <c r="U147" i="21"/>
  <c r="AR146" i="21"/>
  <c r="U146" i="21"/>
  <c r="AR145" i="21"/>
  <c r="U145" i="21"/>
  <c r="AR144" i="21"/>
  <c r="U144" i="21"/>
  <c r="AR143" i="21"/>
  <c r="U143" i="21"/>
  <c r="AR142" i="21"/>
  <c r="U142" i="21"/>
  <c r="AR141" i="21"/>
  <c r="U141" i="21"/>
  <c r="AR140" i="21"/>
  <c r="U140" i="21"/>
  <c r="AR139" i="21"/>
  <c r="U139" i="21"/>
  <c r="AR138" i="21"/>
  <c r="U138" i="21"/>
  <c r="AR137" i="21"/>
  <c r="U137" i="21"/>
  <c r="AR136" i="21"/>
  <c r="U136" i="21"/>
  <c r="AR135" i="21"/>
  <c r="U135" i="21"/>
  <c r="AR134" i="21"/>
  <c r="U134" i="21"/>
  <c r="AR133" i="21"/>
  <c r="U133" i="21"/>
  <c r="AR132" i="21"/>
  <c r="U132" i="21"/>
  <c r="AR131" i="21"/>
  <c r="U131" i="21"/>
  <c r="AR130" i="21"/>
  <c r="U130" i="21"/>
  <c r="AR129" i="21"/>
  <c r="U129" i="21"/>
  <c r="AR128" i="21"/>
  <c r="U128" i="21"/>
  <c r="AR127" i="21"/>
  <c r="U127" i="21"/>
  <c r="AR126" i="21"/>
  <c r="U126" i="21"/>
  <c r="AR125" i="21"/>
  <c r="U125" i="21"/>
  <c r="AR124" i="21"/>
  <c r="U124" i="21"/>
  <c r="AR123" i="21"/>
  <c r="U123" i="21"/>
  <c r="AR122" i="21"/>
  <c r="U122" i="21"/>
  <c r="AR121" i="21"/>
  <c r="U121" i="21"/>
  <c r="AR120" i="21"/>
  <c r="U120" i="21"/>
  <c r="AR119" i="21"/>
  <c r="U119" i="21"/>
  <c r="AR118" i="21"/>
  <c r="U118" i="21"/>
  <c r="AR117" i="21"/>
  <c r="U117" i="21"/>
  <c r="AR116" i="21"/>
  <c r="U116" i="21"/>
  <c r="AR115" i="21"/>
  <c r="U115" i="21"/>
  <c r="AR114" i="21"/>
  <c r="U114" i="21"/>
  <c r="AR113" i="21"/>
  <c r="U113" i="21"/>
  <c r="AR112" i="21"/>
  <c r="U112" i="21"/>
  <c r="AR111" i="21"/>
  <c r="U111" i="21"/>
  <c r="AR110" i="21"/>
  <c r="U110" i="21"/>
  <c r="AR109" i="21"/>
  <c r="U109" i="21"/>
  <c r="AR108" i="21"/>
  <c r="U108" i="21"/>
  <c r="AR107" i="21"/>
  <c r="U107" i="21"/>
  <c r="AR106" i="21"/>
  <c r="U106" i="21"/>
  <c r="AR105" i="21"/>
  <c r="U105" i="21"/>
  <c r="AR104" i="21"/>
  <c r="U104" i="21"/>
  <c r="AR103" i="21"/>
  <c r="U103" i="21"/>
  <c r="AR102" i="21"/>
  <c r="U102" i="21"/>
  <c r="AR101" i="21"/>
  <c r="U101" i="21"/>
  <c r="AR100" i="21"/>
  <c r="U100" i="21"/>
  <c r="AR99" i="21"/>
  <c r="U99" i="21"/>
  <c r="AR98" i="21"/>
  <c r="U98" i="21"/>
  <c r="AR97" i="21"/>
  <c r="U97" i="21"/>
  <c r="AR96" i="21"/>
  <c r="U96" i="21"/>
  <c r="AR95" i="21"/>
  <c r="U95" i="21"/>
  <c r="AR94" i="21"/>
  <c r="U94" i="21"/>
  <c r="AR93" i="21"/>
  <c r="U93" i="21"/>
  <c r="AR92" i="21"/>
  <c r="U92" i="21"/>
  <c r="AR91" i="21"/>
  <c r="U91" i="21"/>
  <c r="AR90" i="21"/>
  <c r="U90" i="21"/>
  <c r="AR89" i="21"/>
  <c r="U89" i="21"/>
  <c r="AR88" i="21"/>
  <c r="U88" i="21"/>
  <c r="AR87" i="21"/>
  <c r="U87" i="21"/>
  <c r="AR86" i="21"/>
  <c r="U86" i="21"/>
  <c r="AR85" i="21"/>
  <c r="U85" i="21"/>
  <c r="AR84" i="21"/>
  <c r="U84" i="21"/>
  <c r="AR83" i="21"/>
  <c r="U83" i="21"/>
  <c r="AR82" i="21"/>
  <c r="U82" i="21"/>
  <c r="AR81" i="21"/>
  <c r="U81" i="21"/>
  <c r="AR80" i="21"/>
  <c r="U80" i="21"/>
  <c r="AR79" i="21"/>
  <c r="U79" i="21"/>
  <c r="AR78" i="21"/>
  <c r="U78" i="21"/>
  <c r="AR77" i="21"/>
  <c r="U77" i="21"/>
  <c r="AR76" i="21"/>
  <c r="U76" i="21"/>
  <c r="AR75" i="21"/>
  <c r="U75" i="21"/>
  <c r="AR74" i="21"/>
  <c r="U74" i="21"/>
  <c r="AR73" i="21"/>
  <c r="U73" i="21"/>
  <c r="AR72" i="21"/>
  <c r="U72" i="21"/>
  <c r="AR71" i="21"/>
  <c r="U71" i="21"/>
  <c r="AR70" i="21"/>
  <c r="U70" i="21"/>
  <c r="AR69" i="21"/>
  <c r="U69" i="21"/>
  <c r="AR68" i="21"/>
  <c r="U68" i="21"/>
  <c r="AR67" i="21"/>
  <c r="U67" i="21"/>
  <c r="AR66" i="21"/>
  <c r="U66" i="21"/>
  <c r="AR65" i="21"/>
  <c r="U65" i="21"/>
  <c r="AR64" i="21"/>
  <c r="U64" i="21"/>
  <c r="AR63" i="21"/>
  <c r="U63" i="21"/>
  <c r="AR62" i="21"/>
  <c r="U62" i="21"/>
  <c r="AR61" i="21"/>
  <c r="U61" i="21"/>
  <c r="AR60" i="21"/>
  <c r="U60" i="21"/>
  <c r="AR59" i="21"/>
  <c r="U59" i="21"/>
  <c r="AR58" i="21"/>
  <c r="U58" i="21"/>
  <c r="AR57" i="21"/>
  <c r="U57" i="21"/>
  <c r="AR56" i="21"/>
  <c r="U56" i="21"/>
  <c r="AR55" i="21"/>
  <c r="U55" i="21"/>
  <c r="AR54" i="21"/>
  <c r="U54" i="21"/>
  <c r="AR53" i="21"/>
  <c r="U53" i="21"/>
  <c r="AR52" i="21"/>
  <c r="U52" i="21"/>
  <c r="AR51" i="21"/>
  <c r="U51" i="21"/>
  <c r="AR50" i="21"/>
  <c r="U50" i="21"/>
  <c r="AR49" i="21"/>
  <c r="U49" i="21"/>
  <c r="AR48" i="21"/>
  <c r="U48" i="21"/>
  <c r="AR47" i="21"/>
  <c r="U47" i="21"/>
  <c r="AR46" i="21"/>
  <c r="U46" i="21"/>
  <c r="AR45" i="21"/>
  <c r="U45" i="21"/>
  <c r="AR44" i="21"/>
  <c r="U44" i="21"/>
  <c r="AR43" i="21"/>
  <c r="U43" i="21"/>
  <c r="AR42" i="21"/>
  <c r="U42" i="21"/>
  <c r="AR41" i="21"/>
  <c r="U41" i="21"/>
  <c r="AR40" i="21"/>
  <c r="U40" i="21"/>
  <c r="AR39" i="21"/>
  <c r="U39" i="21"/>
  <c r="AR38" i="21"/>
  <c r="U38" i="21"/>
  <c r="AR37" i="21"/>
  <c r="U37" i="21"/>
  <c r="AR36" i="21"/>
  <c r="U36" i="21"/>
  <c r="AR35" i="21"/>
  <c r="U35" i="21"/>
  <c r="AR34" i="21"/>
  <c r="U34" i="21"/>
  <c r="AR33" i="21"/>
  <c r="U33" i="21"/>
  <c r="AR32" i="21"/>
  <c r="U32" i="21"/>
  <c r="AR31" i="21"/>
  <c r="U31" i="21"/>
  <c r="AR30" i="21"/>
  <c r="U30" i="21"/>
  <c r="AR29" i="21"/>
  <c r="U29" i="21"/>
  <c r="AR28" i="21"/>
  <c r="U28" i="21"/>
  <c r="AR27" i="21"/>
  <c r="U27" i="21"/>
  <c r="AR26" i="21"/>
  <c r="U26" i="21"/>
  <c r="AR25" i="21"/>
  <c r="U25" i="21"/>
  <c r="AR24" i="21"/>
  <c r="U24" i="21"/>
  <c r="AR23" i="21"/>
  <c r="U23" i="21"/>
  <c r="AR22" i="21"/>
  <c r="X6" i="21" s="1"/>
  <c r="U22" i="21"/>
  <c r="AR21" i="21"/>
  <c r="U21" i="21"/>
  <c r="X8" i="21"/>
  <c r="AB8" i="21" s="1"/>
  <c r="B8" i="21"/>
  <c r="AC6" i="21"/>
  <c r="AB6" i="21"/>
  <c r="AA6" i="21"/>
  <c r="Z6" i="21"/>
  <c r="W6" i="21"/>
  <c r="G6" i="21"/>
  <c r="F6" i="21"/>
  <c r="E6" i="21"/>
  <c r="D6" i="21"/>
  <c r="Z8" i="21" l="1"/>
  <c r="AA8" i="21"/>
  <c r="Z8" i="22"/>
  <c r="AA6" i="22"/>
  <c r="AB6" i="22" s="1"/>
  <c r="B6" i="22"/>
  <c r="C6" i="22" s="1"/>
  <c r="A8" i="22"/>
  <c r="B6" i="21"/>
  <c r="C6" i="21" s="1"/>
  <c r="W8" i="21"/>
  <c r="Y6" i="21"/>
  <c r="A8" i="21"/>
  <c r="AI15" i="20"/>
  <c r="AA15" i="20"/>
  <c r="AI8" i="20"/>
  <c r="AQ8" i="20"/>
  <c r="AA8" i="20"/>
  <c r="AN13" i="20"/>
  <c r="AF13" i="20"/>
  <c r="AV6" i="20"/>
  <c r="AN6" i="20"/>
  <c r="AF6" i="20"/>
  <c r="AE13" i="20"/>
  <c r="AE6" i="20"/>
  <c r="AM13" i="20"/>
  <c r="AU6" i="20"/>
  <c r="AM6" i="20"/>
  <c r="AL13" i="20"/>
  <c r="AD13" i="20"/>
  <c r="AT6" i="20"/>
  <c r="AL6" i="20"/>
  <c r="AD6" i="20"/>
  <c r="AC6" i="20"/>
  <c r="AK13" i="20"/>
  <c r="AC13" i="20"/>
  <c r="AS6" i="20"/>
  <c r="AK6" i="20"/>
  <c r="AA13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59" i="20"/>
  <c r="AU60" i="20"/>
  <c r="AU61" i="20"/>
  <c r="AU62" i="20"/>
  <c r="AU63" i="20"/>
  <c r="AU64" i="20"/>
  <c r="AU65" i="20"/>
  <c r="AU66" i="20"/>
  <c r="AU67" i="20"/>
  <c r="AU68" i="20"/>
  <c r="AU69" i="20"/>
  <c r="AU70" i="20"/>
  <c r="AU71" i="20"/>
  <c r="AU72" i="20"/>
  <c r="AU73" i="20"/>
  <c r="AU74" i="20"/>
  <c r="AU75" i="20"/>
  <c r="AU76" i="20"/>
  <c r="AI6" i="20" s="1"/>
  <c r="AU77" i="20"/>
  <c r="AU78" i="20"/>
  <c r="AU79" i="20"/>
  <c r="AU80" i="20"/>
  <c r="AU81" i="20"/>
  <c r="AU82" i="20"/>
  <c r="AU83" i="20"/>
  <c r="AU84" i="20"/>
  <c r="AU85" i="20"/>
  <c r="AU86" i="20"/>
  <c r="AU87" i="20"/>
  <c r="AU88" i="20"/>
  <c r="AU89" i="20"/>
  <c r="AU90" i="20"/>
  <c r="AU91" i="20"/>
  <c r="AU92" i="20"/>
  <c r="AU93" i="20"/>
  <c r="AU94" i="20"/>
  <c r="AU95" i="20"/>
  <c r="AU96" i="20"/>
  <c r="AU97" i="20"/>
  <c r="AU98" i="20"/>
  <c r="AU99" i="20"/>
  <c r="AU100" i="20"/>
  <c r="AU101" i="20"/>
  <c r="AU102" i="20"/>
  <c r="AU103" i="20"/>
  <c r="AU104" i="20"/>
  <c r="AU105" i="20"/>
  <c r="AU106" i="20"/>
  <c r="AU107" i="20"/>
  <c r="AU108" i="20"/>
  <c r="AU109" i="20"/>
  <c r="AU110" i="20"/>
  <c r="AU111" i="20"/>
  <c r="AU112" i="20"/>
  <c r="AU113" i="20"/>
  <c r="AU114" i="20"/>
  <c r="AU115" i="20"/>
  <c r="AU116" i="20"/>
  <c r="AU117" i="20"/>
  <c r="AU118" i="20"/>
  <c r="AU119" i="20"/>
  <c r="AU120" i="20"/>
  <c r="AU121" i="20"/>
  <c r="AU122" i="20"/>
  <c r="AU123" i="20"/>
  <c r="AU124" i="20"/>
  <c r="AU125" i="20"/>
  <c r="AU126" i="20"/>
  <c r="AU127" i="20"/>
  <c r="AU128" i="20"/>
  <c r="AU129" i="20"/>
  <c r="AU130" i="20"/>
  <c r="AU131" i="20"/>
  <c r="AU132" i="20"/>
  <c r="AU133" i="20"/>
  <c r="AU134" i="20"/>
  <c r="AU135" i="20"/>
  <c r="AU136" i="20"/>
  <c r="AU137" i="20"/>
  <c r="AU138" i="20"/>
  <c r="AU139" i="20"/>
  <c r="AU140" i="20"/>
  <c r="AU141" i="20"/>
  <c r="AQ6" i="20" s="1"/>
  <c r="AU142" i="20"/>
  <c r="AU143" i="20"/>
  <c r="AU144" i="20"/>
  <c r="AU145" i="20"/>
  <c r="AU146" i="20"/>
  <c r="AU147" i="20"/>
  <c r="AU148" i="20"/>
  <c r="AU149" i="20"/>
  <c r="AU150" i="20"/>
  <c r="AU151" i="20"/>
  <c r="AU152" i="20"/>
  <c r="AU153" i="20"/>
  <c r="AU154" i="20"/>
  <c r="AU155" i="20"/>
  <c r="AU156" i="20"/>
  <c r="AU157" i="20"/>
  <c r="AU158" i="20"/>
  <c r="AU159" i="20"/>
  <c r="AU160" i="20"/>
  <c r="AU161" i="20"/>
  <c r="AU162" i="20"/>
  <c r="AU163" i="20"/>
  <c r="AU164" i="20"/>
  <c r="AU165" i="20"/>
  <c r="AU166" i="20"/>
  <c r="AU167" i="20"/>
  <c r="AU168" i="20"/>
  <c r="AU169" i="20"/>
  <c r="AU170" i="20"/>
  <c r="AU171" i="20"/>
  <c r="AU172" i="20"/>
  <c r="AU173" i="20"/>
  <c r="AU174" i="20"/>
  <c r="AU175" i="20"/>
  <c r="AU176" i="20"/>
  <c r="AU177" i="20"/>
  <c r="AU178" i="20"/>
  <c r="AU179" i="20"/>
  <c r="AU180" i="20"/>
  <c r="AU181" i="20"/>
  <c r="AU182" i="20"/>
  <c r="AU183" i="20"/>
  <c r="AU184" i="20"/>
  <c r="AU185" i="20"/>
  <c r="AU186" i="20"/>
  <c r="AU187" i="20"/>
  <c r="AU188" i="20"/>
  <c r="AU189" i="20"/>
  <c r="AU190" i="20"/>
  <c r="AU191" i="20"/>
  <c r="AU192" i="20"/>
  <c r="AU193" i="20"/>
  <c r="AU194" i="20"/>
  <c r="AU195" i="20"/>
  <c r="AU196" i="20"/>
  <c r="AU197" i="20"/>
  <c r="AU198" i="20"/>
  <c r="AU199" i="20"/>
  <c r="AU200" i="20"/>
  <c r="AU201" i="20"/>
  <c r="AU202" i="20"/>
  <c r="AU203" i="20"/>
  <c r="AU204" i="20"/>
  <c r="AU205" i="20"/>
  <c r="AU206" i="20"/>
  <c r="AU207" i="20"/>
  <c r="AU208" i="20"/>
  <c r="AU209" i="20"/>
  <c r="AU210" i="20"/>
  <c r="AU211" i="20"/>
  <c r="AU212" i="20"/>
  <c r="AU213" i="20"/>
  <c r="AU214" i="20"/>
  <c r="AU215" i="20"/>
  <c r="AU216" i="20"/>
  <c r="AU217" i="20"/>
  <c r="AU218" i="20"/>
  <c r="AU219" i="20"/>
  <c r="AU220" i="20"/>
  <c r="AU221" i="20"/>
  <c r="AU222" i="20"/>
  <c r="AU223" i="20"/>
  <c r="AU224" i="20"/>
  <c r="AU225" i="20"/>
  <c r="AU226" i="20"/>
  <c r="AU227" i="20"/>
  <c r="AU228" i="20"/>
  <c r="AU229" i="20"/>
  <c r="AU230" i="20"/>
  <c r="AU231" i="20"/>
  <c r="AU232" i="20"/>
  <c r="AU233" i="20"/>
  <c r="AU234" i="20"/>
  <c r="AU235" i="20"/>
  <c r="AU236" i="20"/>
  <c r="AU237" i="20"/>
  <c r="AU238" i="20"/>
  <c r="AU239" i="20"/>
  <c r="AU240" i="20"/>
  <c r="AU241" i="20"/>
  <c r="AU242" i="20"/>
  <c r="AU243" i="20"/>
  <c r="AU244" i="20"/>
  <c r="AU245" i="20"/>
  <c r="AU246" i="20"/>
  <c r="AU247" i="20"/>
  <c r="AU248" i="20"/>
  <c r="AU249" i="20"/>
  <c r="AU250" i="20"/>
  <c r="AU251" i="20"/>
  <c r="AU252" i="20"/>
  <c r="AU253" i="20"/>
  <c r="AU254" i="20"/>
  <c r="AU255" i="20"/>
  <c r="AU256" i="20"/>
  <c r="AU257" i="20"/>
  <c r="AU258" i="20"/>
  <c r="AU259" i="20"/>
  <c r="AU260" i="20"/>
  <c r="AU261" i="20"/>
  <c r="AU262" i="20"/>
  <c r="AU263" i="20"/>
  <c r="AU264" i="20"/>
  <c r="AU265" i="20"/>
  <c r="AU266" i="20"/>
  <c r="AU267" i="20"/>
  <c r="AU268" i="20"/>
  <c r="AU269" i="20"/>
  <c r="AU270" i="20"/>
  <c r="AU271" i="20"/>
  <c r="AU272" i="20"/>
  <c r="AU273" i="20"/>
  <c r="AU274" i="20"/>
  <c r="AU275" i="20"/>
  <c r="AU276" i="20"/>
  <c r="AI13" i="20" s="1"/>
  <c r="AU277" i="20"/>
  <c r="AU278" i="20"/>
  <c r="AU279" i="20"/>
  <c r="AU280" i="20"/>
  <c r="AU281" i="20"/>
  <c r="AU282" i="20"/>
  <c r="AU283" i="20"/>
  <c r="AU284" i="20"/>
  <c r="AU285" i="20"/>
  <c r="AU286" i="20"/>
  <c r="AU287" i="20"/>
  <c r="AU288" i="20"/>
  <c r="AU289" i="20"/>
  <c r="AU290" i="20"/>
  <c r="AU291" i="20"/>
  <c r="AU292" i="20"/>
  <c r="AU293" i="20"/>
  <c r="AU294" i="20"/>
  <c r="AU295" i="20"/>
  <c r="AU296" i="20"/>
  <c r="AU297" i="20"/>
  <c r="AU298" i="20"/>
  <c r="AU299" i="20"/>
  <c r="AU300" i="20"/>
  <c r="AU301" i="20"/>
  <c r="AU302" i="20"/>
  <c r="AU303" i="20"/>
  <c r="AU304" i="20"/>
  <c r="AU305" i="20"/>
  <c r="AU306" i="20"/>
  <c r="AU307" i="20"/>
  <c r="AU308" i="20"/>
  <c r="AU309" i="20"/>
  <c r="AU310" i="20"/>
  <c r="AU311" i="20"/>
  <c r="AU312" i="20"/>
  <c r="AU313" i="20"/>
  <c r="AU314" i="20"/>
  <c r="AU315" i="20"/>
  <c r="AU316" i="20"/>
  <c r="AU317" i="20"/>
  <c r="AU318" i="20"/>
  <c r="AU319" i="20"/>
  <c r="AU320" i="20"/>
  <c r="AU321" i="20"/>
  <c r="AU322" i="20"/>
  <c r="AU323" i="20"/>
  <c r="AU324" i="20"/>
  <c r="AU325" i="20"/>
  <c r="AU326" i="20"/>
  <c r="AU327" i="20"/>
  <c r="AU328" i="20"/>
  <c r="AU329" i="20"/>
  <c r="AU330" i="20"/>
  <c r="AU331" i="20"/>
  <c r="AU332" i="20"/>
  <c r="AU333" i="20"/>
  <c r="AU334" i="20"/>
  <c r="AU335" i="20"/>
  <c r="AU336" i="20"/>
  <c r="AU337" i="20"/>
  <c r="AU338" i="20"/>
  <c r="AU339" i="20"/>
  <c r="AU340" i="20"/>
  <c r="AU341" i="20"/>
  <c r="AU342" i="20"/>
  <c r="AU343" i="20"/>
  <c r="AU344" i="20"/>
  <c r="AU345" i="20"/>
  <c r="AU346" i="20"/>
  <c r="AU347" i="20"/>
  <c r="AU348" i="20"/>
  <c r="AU349" i="20"/>
  <c r="AU350" i="20"/>
  <c r="AU351" i="20"/>
  <c r="AU352" i="20"/>
  <c r="AU353" i="20"/>
  <c r="AU354" i="20"/>
  <c r="AU355" i="20"/>
  <c r="AU356" i="20"/>
  <c r="AU357" i="20"/>
  <c r="AU358" i="20"/>
  <c r="AU359" i="20"/>
  <c r="AU360" i="20"/>
  <c r="AU361" i="20"/>
  <c r="AU362" i="20"/>
  <c r="AU363" i="20"/>
  <c r="AU364" i="20"/>
  <c r="AU365" i="20"/>
  <c r="AU366" i="20"/>
  <c r="AU367" i="20"/>
  <c r="AU368" i="20"/>
  <c r="AU369" i="20"/>
  <c r="AU370" i="20"/>
  <c r="AU371" i="20"/>
  <c r="AU372" i="20"/>
  <c r="AU373" i="20"/>
  <c r="AU374" i="20"/>
  <c r="AU375" i="20"/>
  <c r="AU376" i="20"/>
  <c r="AU377" i="20"/>
  <c r="AU378" i="20"/>
  <c r="AU379" i="20"/>
  <c r="AU380" i="20"/>
  <c r="AU381" i="20"/>
  <c r="AU382" i="20"/>
  <c r="AU383" i="20"/>
  <c r="AU384" i="20"/>
  <c r="AU385" i="20"/>
  <c r="AU386" i="20"/>
  <c r="AU387" i="20"/>
  <c r="AU388" i="20"/>
  <c r="AU389" i="20"/>
  <c r="AU390" i="20"/>
  <c r="AU391" i="20"/>
  <c r="AU392" i="20"/>
  <c r="AU393" i="20"/>
  <c r="AU394" i="20"/>
  <c r="AU395" i="20"/>
  <c r="AU396" i="20"/>
  <c r="AU397" i="20"/>
  <c r="AU398" i="20"/>
  <c r="AU399" i="20"/>
  <c r="AU400" i="20"/>
  <c r="AU401" i="20"/>
  <c r="AU402" i="20"/>
  <c r="AU403" i="20"/>
  <c r="AU404" i="20"/>
  <c r="AU405" i="20"/>
  <c r="AU406" i="20"/>
  <c r="AU407" i="20"/>
  <c r="AU408" i="20"/>
  <c r="AU409" i="20"/>
  <c r="AU410" i="20"/>
  <c r="AU411" i="20"/>
  <c r="AU412" i="20"/>
  <c r="AU413" i="20"/>
  <c r="AU414" i="20"/>
  <c r="AU415" i="20"/>
  <c r="AU416" i="20"/>
  <c r="AU417" i="20"/>
  <c r="AU418" i="20"/>
  <c r="AU419" i="20"/>
  <c r="AU420" i="20"/>
  <c r="AU421" i="20"/>
  <c r="AU422" i="20"/>
  <c r="AU423" i="20"/>
  <c r="AU424" i="20"/>
  <c r="AU425" i="20"/>
  <c r="AU426" i="20"/>
  <c r="AU427" i="20"/>
  <c r="AU428" i="20"/>
  <c r="AU429" i="20"/>
  <c r="AU430" i="20"/>
  <c r="AU431" i="20"/>
  <c r="AU432" i="20"/>
  <c r="AU433" i="20"/>
  <c r="AU434" i="20"/>
  <c r="AU435" i="20"/>
  <c r="AU436" i="20"/>
  <c r="AU437" i="20"/>
  <c r="AU438" i="20"/>
  <c r="AU439" i="20"/>
  <c r="AU440" i="20"/>
  <c r="AU441" i="20"/>
  <c r="AU442" i="20"/>
  <c r="AU443" i="20"/>
  <c r="AU444" i="20"/>
  <c r="AU445" i="20"/>
  <c r="AU446" i="20"/>
  <c r="AU447" i="20"/>
  <c r="AU448" i="20"/>
  <c r="AU449" i="20"/>
  <c r="AU450" i="20"/>
  <c r="AU451" i="20"/>
  <c r="AU452" i="20"/>
  <c r="AU453" i="20"/>
  <c r="AU454" i="20"/>
  <c r="AU455" i="20"/>
  <c r="AU456" i="20"/>
  <c r="AU457" i="20"/>
  <c r="AU458" i="20"/>
  <c r="AU459" i="20"/>
  <c r="AU460" i="20"/>
  <c r="AU461" i="20"/>
  <c r="AU462" i="20"/>
  <c r="AU463" i="20"/>
  <c r="AU464" i="20"/>
  <c r="AU465" i="20"/>
  <c r="AU466" i="20"/>
  <c r="AU467" i="20"/>
  <c r="AU468" i="20"/>
  <c r="AU469" i="20"/>
  <c r="AU470" i="20"/>
  <c r="AU471" i="20"/>
  <c r="AU472" i="20"/>
  <c r="AU473" i="20"/>
  <c r="AU474" i="20"/>
  <c r="AU475" i="20"/>
  <c r="AU476" i="20"/>
  <c r="AU477" i="20"/>
  <c r="AU478" i="20"/>
  <c r="AU479" i="20"/>
  <c r="AU480" i="20"/>
  <c r="AU481" i="20"/>
  <c r="AU482" i="20"/>
  <c r="AU483" i="20"/>
  <c r="AU484" i="20"/>
  <c r="AU485" i="20"/>
  <c r="AU486" i="20"/>
  <c r="AU487" i="20"/>
  <c r="AU488" i="20"/>
  <c r="AU489" i="20"/>
  <c r="AU490" i="20"/>
  <c r="AU491" i="20"/>
  <c r="AU492" i="20"/>
  <c r="AU493" i="20"/>
  <c r="AU494" i="20"/>
  <c r="AU495" i="20"/>
  <c r="AU496" i="20"/>
  <c r="AU497" i="20"/>
  <c r="AU498" i="20"/>
  <c r="AU499" i="20"/>
  <c r="AU500" i="20"/>
  <c r="AU501" i="20"/>
  <c r="AU502" i="20"/>
  <c r="AU503" i="20"/>
  <c r="AU504" i="20"/>
  <c r="AU505" i="20"/>
  <c r="AU506" i="20"/>
  <c r="AU507" i="20"/>
  <c r="AU508" i="20"/>
  <c r="AU509" i="20"/>
  <c r="AU510" i="20"/>
  <c r="AU511" i="20"/>
  <c r="AU512" i="20"/>
  <c r="AU513" i="20"/>
  <c r="AU514" i="20"/>
  <c r="AU515" i="20"/>
  <c r="AU516" i="20"/>
  <c r="AU517" i="20"/>
  <c r="AU518" i="20"/>
  <c r="AU519" i="20"/>
  <c r="AU520" i="20"/>
  <c r="AU521" i="20"/>
  <c r="AU522" i="20"/>
  <c r="AU523" i="20"/>
  <c r="AU524" i="20"/>
  <c r="AU525" i="20"/>
  <c r="AU526" i="20"/>
  <c r="AU527" i="20"/>
  <c r="AU528" i="20"/>
  <c r="AU529" i="20"/>
  <c r="AU530" i="20"/>
  <c r="AU531" i="20"/>
  <c r="AU532" i="20"/>
  <c r="AU533" i="20"/>
  <c r="AU534" i="20"/>
  <c r="AU535" i="20"/>
  <c r="AU536" i="20"/>
  <c r="AU537" i="20"/>
  <c r="AU538" i="20"/>
  <c r="AU539" i="20"/>
  <c r="AU540" i="20"/>
  <c r="AU541" i="20"/>
  <c r="AU542" i="20"/>
  <c r="AU543" i="20"/>
  <c r="AU544" i="20"/>
  <c r="AU545" i="20"/>
  <c r="AU546" i="20"/>
  <c r="AU547" i="20"/>
  <c r="AU548" i="20"/>
  <c r="AU549" i="20"/>
  <c r="AU550" i="20"/>
  <c r="AU551" i="20"/>
  <c r="AU552" i="20"/>
  <c r="AU553" i="20"/>
  <c r="AU554" i="20"/>
  <c r="AU555" i="20"/>
  <c r="AU556" i="20"/>
  <c r="AU557" i="20"/>
  <c r="AU558" i="20"/>
  <c r="AU559" i="20"/>
  <c r="AU560" i="20"/>
  <c r="AU561" i="20"/>
  <c r="AU562" i="20"/>
  <c r="AU563" i="20"/>
  <c r="AU564" i="20"/>
  <c r="AU565" i="20"/>
  <c r="AU566" i="20"/>
  <c r="AU567" i="20"/>
  <c r="AU568" i="20"/>
  <c r="AU569" i="20"/>
  <c r="AU570" i="20"/>
  <c r="AU571" i="20"/>
  <c r="AU572" i="20"/>
  <c r="AU573" i="20"/>
  <c r="AU574" i="20"/>
  <c r="AU575" i="20"/>
  <c r="AU576" i="20"/>
  <c r="AU577" i="20"/>
  <c r="AU578" i="20"/>
  <c r="AU579" i="20"/>
  <c r="AU580" i="20"/>
  <c r="AU581" i="20"/>
  <c r="AU582" i="20"/>
  <c r="AU583" i="20"/>
  <c r="AU584" i="20"/>
  <c r="AU585" i="20"/>
  <c r="AU586" i="20"/>
  <c r="AU587" i="20"/>
  <c r="AU588" i="20"/>
  <c r="AU589" i="20"/>
  <c r="AU590" i="20"/>
  <c r="AU591" i="20"/>
  <c r="AU592" i="20"/>
  <c r="AU593" i="20"/>
  <c r="AU594" i="20"/>
  <c r="AU595" i="20"/>
  <c r="AU596" i="20"/>
  <c r="AU597" i="20"/>
  <c r="AU598" i="20"/>
  <c r="AU599" i="20"/>
  <c r="AU600" i="20"/>
  <c r="AA6" i="20"/>
  <c r="AH13" i="20"/>
  <c r="Z13" i="20"/>
  <c r="AP6" i="20"/>
  <c r="AH6" i="20"/>
  <c r="Z6" i="20"/>
  <c r="AQ16" i="20"/>
  <c r="J15" i="20"/>
  <c r="B15" i="20"/>
  <c r="R8" i="20"/>
  <c r="J8" i="20"/>
  <c r="B8" i="20"/>
  <c r="O13" i="20"/>
  <c r="G13" i="20"/>
  <c r="W6" i="20"/>
  <c r="O6" i="20"/>
  <c r="G6" i="20"/>
  <c r="N13" i="20"/>
  <c r="F13" i="20"/>
  <c r="V6" i="20"/>
  <c r="N6" i="20"/>
  <c r="F6" i="20"/>
  <c r="M13" i="20"/>
  <c r="I13" i="20"/>
  <c r="A13" i="20"/>
  <c r="Q6" i="20"/>
  <c r="I6" i="20"/>
  <c r="A6" i="20"/>
  <c r="E13" i="20"/>
  <c r="U6" i="20"/>
  <c r="M6" i="20"/>
  <c r="E6" i="20"/>
  <c r="L13" i="20"/>
  <c r="D13" i="20"/>
  <c r="T6" i="20"/>
  <c r="L6" i="20"/>
  <c r="D6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U68" i="20"/>
  <c r="U69" i="20"/>
  <c r="U70" i="20"/>
  <c r="U71" i="20"/>
  <c r="U72" i="20"/>
  <c r="U73" i="20"/>
  <c r="U74" i="20"/>
  <c r="U75" i="20"/>
  <c r="U76" i="20"/>
  <c r="U77" i="20"/>
  <c r="U78" i="20"/>
  <c r="U79" i="20"/>
  <c r="U80" i="20"/>
  <c r="U81" i="20"/>
  <c r="U82" i="20"/>
  <c r="U83" i="20"/>
  <c r="U84" i="20"/>
  <c r="U85" i="20"/>
  <c r="U86" i="20"/>
  <c r="U87" i="20"/>
  <c r="U88" i="20"/>
  <c r="U89" i="20"/>
  <c r="U90" i="20"/>
  <c r="U91" i="20"/>
  <c r="U92" i="20"/>
  <c r="U93" i="20"/>
  <c r="U94" i="20"/>
  <c r="U95" i="20"/>
  <c r="U96" i="20"/>
  <c r="U97" i="20"/>
  <c r="U98" i="20"/>
  <c r="U99" i="20"/>
  <c r="U100" i="20"/>
  <c r="U101" i="20"/>
  <c r="U102" i="20"/>
  <c r="U103" i="20"/>
  <c r="U104" i="20"/>
  <c r="U105" i="20"/>
  <c r="U106" i="20"/>
  <c r="U107" i="20"/>
  <c r="U108" i="20"/>
  <c r="U109" i="20"/>
  <c r="U110" i="20"/>
  <c r="U111" i="20"/>
  <c r="U112" i="20"/>
  <c r="U113" i="20"/>
  <c r="U114" i="20"/>
  <c r="U115" i="20"/>
  <c r="U116" i="20"/>
  <c r="U117" i="20"/>
  <c r="U118" i="20"/>
  <c r="U119" i="20"/>
  <c r="U120" i="20"/>
  <c r="U121" i="20"/>
  <c r="U122" i="20"/>
  <c r="U123" i="20"/>
  <c r="U124" i="20"/>
  <c r="U125" i="20"/>
  <c r="U126" i="20"/>
  <c r="U127" i="20"/>
  <c r="U128" i="20"/>
  <c r="U129" i="20"/>
  <c r="U130" i="20"/>
  <c r="U131" i="20"/>
  <c r="U132" i="20"/>
  <c r="U133" i="20"/>
  <c r="U134" i="20"/>
  <c r="U135" i="20"/>
  <c r="U136" i="20"/>
  <c r="U137" i="20"/>
  <c r="U138" i="20"/>
  <c r="U139" i="20"/>
  <c r="U140" i="20"/>
  <c r="U141" i="20"/>
  <c r="U142" i="20"/>
  <c r="U143" i="20"/>
  <c r="U144" i="20"/>
  <c r="U145" i="20"/>
  <c r="U146" i="20"/>
  <c r="U147" i="20"/>
  <c r="U148" i="20"/>
  <c r="U149" i="20"/>
  <c r="U150" i="20"/>
  <c r="U151" i="20"/>
  <c r="U152" i="20"/>
  <c r="U153" i="20"/>
  <c r="U154" i="20"/>
  <c r="U155" i="20"/>
  <c r="U156" i="20"/>
  <c r="U157" i="20"/>
  <c r="U158" i="20"/>
  <c r="U159" i="20"/>
  <c r="U160" i="20"/>
  <c r="U161" i="20"/>
  <c r="U162" i="20"/>
  <c r="U163" i="20"/>
  <c r="U164" i="20"/>
  <c r="U165" i="20"/>
  <c r="U166" i="20"/>
  <c r="U167" i="20"/>
  <c r="U168" i="20"/>
  <c r="U169" i="20"/>
  <c r="U170" i="20"/>
  <c r="U171" i="20"/>
  <c r="U172" i="20"/>
  <c r="U173" i="20"/>
  <c r="U174" i="20"/>
  <c r="U175" i="20"/>
  <c r="U176" i="20"/>
  <c r="U177" i="20"/>
  <c r="U178" i="20"/>
  <c r="U179" i="20"/>
  <c r="U180" i="20"/>
  <c r="U181" i="20"/>
  <c r="U182" i="20"/>
  <c r="U183" i="20"/>
  <c r="U184" i="20"/>
  <c r="U185" i="20"/>
  <c r="U186" i="20"/>
  <c r="U187" i="20"/>
  <c r="U188" i="20"/>
  <c r="U189" i="20"/>
  <c r="U190" i="20"/>
  <c r="U191" i="20"/>
  <c r="U192" i="20"/>
  <c r="U193" i="20"/>
  <c r="U194" i="20"/>
  <c r="U195" i="20"/>
  <c r="U196" i="20"/>
  <c r="U197" i="20"/>
  <c r="U198" i="20"/>
  <c r="U199" i="20"/>
  <c r="U200" i="20"/>
  <c r="U201" i="20"/>
  <c r="U202" i="20"/>
  <c r="U203" i="20"/>
  <c r="U204" i="20"/>
  <c r="U205" i="20"/>
  <c r="U206" i="20"/>
  <c r="U207" i="20"/>
  <c r="U208" i="20"/>
  <c r="U209" i="20"/>
  <c r="U210" i="20"/>
  <c r="U211" i="20"/>
  <c r="U212" i="20"/>
  <c r="U213" i="20"/>
  <c r="U214" i="20"/>
  <c r="U215" i="20"/>
  <c r="U216" i="20"/>
  <c r="U217" i="20"/>
  <c r="U218" i="20"/>
  <c r="U219" i="20"/>
  <c r="U220" i="20"/>
  <c r="U221" i="20"/>
  <c r="U222" i="20"/>
  <c r="U223" i="20"/>
  <c r="U224" i="20"/>
  <c r="U225" i="20"/>
  <c r="U226" i="20"/>
  <c r="U227" i="20"/>
  <c r="U228" i="20"/>
  <c r="U229" i="20"/>
  <c r="U230" i="20"/>
  <c r="U231" i="20"/>
  <c r="U232" i="20"/>
  <c r="U233" i="20"/>
  <c r="U234" i="20"/>
  <c r="U235" i="20"/>
  <c r="U236" i="20"/>
  <c r="U237" i="20"/>
  <c r="U238" i="20"/>
  <c r="U239" i="20"/>
  <c r="U240" i="20"/>
  <c r="U241" i="20"/>
  <c r="U242" i="20"/>
  <c r="U243" i="20"/>
  <c r="U244" i="20"/>
  <c r="U245" i="20"/>
  <c r="U246" i="20"/>
  <c r="U247" i="20"/>
  <c r="U248" i="20"/>
  <c r="U249" i="20"/>
  <c r="U250" i="20"/>
  <c r="U251" i="20"/>
  <c r="U252" i="20"/>
  <c r="U253" i="20"/>
  <c r="U254" i="20"/>
  <c r="U255" i="20"/>
  <c r="U256" i="20"/>
  <c r="U257" i="20"/>
  <c r="U258" i="20"/>
  <c r="U259" i="20"/>
  <c r="U260" i="20"/>
  <c r="U261" i="20"/>
  <c r="U262" i="20"/>
  <c r="U263" i="20"/>
  <c r="U264" i="20"/>
  <c r="U265" i="20"/>
  <c r="U266" i="20"/>
  <c r="U267" i="20"/>
  <c r="U268" i="20"/>
  <c r="U269" i="20"/>
  <c r="U270" i="20"/>
  <c r="U271" i="20"/>
  <c r="U272" i="20"/>
  <c r="U273" i="20"/>
  <c r="U274" i="20"/>
  <c r="U275" i="20"/>
  <c r="U276" i="20"/>
  <c r="U277" i="20"/>
  <c r="U278" i="20"/>
  <c r="U279" i="20"/>
  <c r="U280" i="20"/>
  <c r="U281" i="20"/>
  <c r="U282" i="20"/>
  <c r="U283" i="20"/>
  <c r="U284" i="20"/>
  <c r="U285" i="20"/>
  <c r="U286" i="20"/>
  <c r="U287" i="20"/>
  <c r="U288" i="20"/>
  <c r="U289" i="20"/>
  <c r="U290" i="20"/>
  <c r="U291" i="20"/>
  <c r="U292" i="20"/>
  <c r="U293" i="20"/>
  <c r="U294" i="20"/>
  <c r="U295" i="20"/>
  <c r="U296" i="20"/>
  <c r="U297" i="20"/>
  <c r="U298" i="20"/>
  <c r="U299" i="20"/>
  <c r="U300" i="20"/>
  <c r="U301" i="20"/>
  <c r="U302" i="20"/>
  <c r="U303" i="20"/>
  <c r="U304" i="20"/>
  <c r="U305" i="20"/>
  <c r="U306" i="20"/>
  <c r="U307" i="20"/>
  <c r="U308" i="20"/>
  <c r="U309" i="20"/>
  <c r="U310" i="20"/>
  <c r="U311" i="20"/>
  <c r="U312" i="20"/>
  <c r="U313" i="20"/>
  <c r="U314" i="20"/>
  <c r="U315" i="20"/>
  <c r="U316" i="20"/>
  <c r="U317" i="20"/>
  <c r="U318" i="20"/>
  <c r="U319" i="20"/>
  <c r="U320" i="20"/>
  <c r="U321" i="20"/>
  <c r="U322" i="20"/>
  <c r="U323" i="20"/>
  <c r="U324" i="20"/>
  <c r="U325" i="20"/>
  <c r="U326" i="20"/>
  <c r="U327" i="20"/>
  <c r="U328" i="20"/>
  <c r="U329" i="20"/>
  <c r="U330" i="20"/>
  <c r="U331" i="20"/>
  <c r="U332" i="20"/>
  <c r="U333" i="20"/>
  <c r="U334" i="20"/>
  <c r="U335" i="20"/>
  <c r="U336" i="20"/>
  <c r="U337" i="20"/>
  <c r="U338" i="20"/>
  <c r="U339" i="20"/>
  <c r="U340" i="20"/>
  <c r="U341" i="20"/>
  <c r="U342" i="20"/>
  <c r="U343" i="20"/>
  <c r="U344" i="20"/>
  <c r="U345" i="20"/>
  <c r="U346" i="20"/>
  <c r="U347" i="20"/>
  <c r="U348" i="20"/>
  <c r="U349" i="20"/>
  <c r="U350" i="20"/>
  <c r="U351" i="20"/>
  <c r="U352" i="20"/>
  <c r="U353" i="20"/>
  <c r="U354" i="20"/>
  <c r="U355" i="20"/>
  <c r="U356" i="20"/>
  <c r="U357" i="20"/>
  <c r="U358" i="20"/>
  <c r="U359" i="20"/>
  <c r="U360" i="20"/>
  <c r="U361" i="20"/>
  <c r="U362" i="20"/>
  <c r="U363" i="20"/>
  <c r="U364" i="20"/>
  <c r="U365" i="20"/>
  <c r="U366" i="20"/>
  <c r="U367" i="20"/>
  <c r="U368" i="20"/>
  <c r="U369" i="20"/>
  <c r="U370" i="20"/>
  <c r="U371" i="20"/>
  <c r="U372" i="20"/>
  <c r="U373" i="20"/>
  <c r="U374" i="20"/>
  <c r="U375" i="20"/>
  <c r="U376" i="20"/>
  <c r="U377" i="20"/>
  <c r="U378" i="20"/>
  <c r="U379" i="20"/>
  <c r="U380" i="20"/>
  <c r="U381" i="20"/>
  <c r="U382" i="20"/>
  <c r="U383" i="20"/>
  <c r="U384" i="20"/>
  <c r="U385" i="20"/>
  <c r="U386" i="20"/>
  <c r="U387" i="20"/>
  <c r="U388" i="20"/>
  <c r="U389" i="20"/>
  <c r="U390" i="20"/>
  <c r="U391" i="20"/>
  <c r="U392" i="20"/>
  <c r="U393" i="20"/>
  <c r="U394" i="20"/>
  <c r="U395" i="20"/>
  <c r="U396" i="20"/>
  <c r="U397" i="20"/>
  <c r="U398" i="20"/>
  <c r="U399" i="20"/>
  <c r="U400" i="20"/>
  <c r="U401" i="20"/>
  <c r="U402" i="20"/>
  <c r="U403" i="20"/>
  <c r="U404" i="20"/>
  <c r="U405" i="20"/>
  <c r="U406" i="20"/>
  <c r="U407" i="20"/>
  <c r="U408" i="20"/>
  <c r="U409" i="20"/>
  <c r="U410" i="20"/>
  <c r="U411" i="20"/>
  <c r="U412" i="20"/>
  <c r="U413" i="20"/>
  <c r="U414" i="20"/>
  <c r="U415" i="20"/>
  <c r="U416" i="20"/>
  <c r="U417" i="20"/>
  <c r="U418" i="20"/>
  <c r="U419" i="20"/>
  <c r="U420" i="20"/>
  <c r="U421" i="20"/>
  <c r="U422" i="20"/>
  <c r="U423" i="20"/>
  <c r="U424" i="20"/>
  <c r="U425" i="20"/>
  <c r="U426" i="20"/>
  <c r="U427" i="20"/>
  <c r="U428" i="20"/>
  <c r="U429" i="20"/>
  <c r="U430" i="20"/>
  <c r="U431" i="20"/>
  <c r="U432" i="20"/>
  <c r="U433" i="20"/>
  <c r="U434" i="20"/>
  <c r="U435" i="20"/>
  <c r="U436" i="20"/>
  <c r="U437" i="20"/>
  <c r="U438" i="20"/>
  <c r="U439" i="20"/>
  <c r="U440" i="20"/>
  <c r="U441" i="20"/>
  <c r="U442" i="20"/>
  <c r="U443" i="20"/>
  <c r="U444" i="20"/>
  <c r="U445" i="20"/>
  <c r="U446" i="20"/>
  <c r="U447" i="20"/>
  <c r="U448" i="20"/>
  <c r="U449" i="20"/>
  <c r="U450" i="20"/>
  <c r="U451" i="20"/>
  <c r="U452" i="20"/>
  <c r="U453" i="20"/>
  <c r="U454" i="20"/>
  <c r="U455" i="20"/>
  <c r="U456" i="20"/>
  <c r="U457" i="20"/>
  <c r="U458" i="20"/>
  <c r="U459" i="20"/>
  <c r="U460" i="20"/>
  <c r="U461" i="20"/>
  <c r="U462" i="20"/>
  <c r="U463" i="20"/>
  <c r="U464" i="20"/>
  <c r="U465" i="20"/>
  <c r="U466" i="20"/>
  <c r="U467" i="20"/>
  <c r="U468" i="20"/>
  <c r="U469" i="20"/>
  <c r="U470" i="20"/>
  <c r="U471" i="20"/>
  <c r="U472" i="20"/>
  <c r="U473" i="20"/>
  <c r="U474" i="20"/>
  <c r="U475" i="20"/>
  <c r="U476" i="20"/>
  <c r="U477" i="20"/>
  <c r="U478" i="20"/>
  <c r="U479" i="20"/>
  <c r="U480" i="20"/>
  <c r="U481" i="20"/>
  <c r="U482" i="20"/>
  <c r="U483" i="20"/>
  <c r="U484" i="20"/>
  <c r="U485" i="20"/>
  <c r="U486" i="20"/>
  <c r="U487" i="20"/>
  <c r="U488" i="20"/>
  <c r="U489" i="20"/>
  <c r="U490" i="20"/>
  <c r="U491" i="20"/>
  <c r="U492" i="20"/>
  <c r="U493" i="20"/>
  <c r="U494" i="20"/>
  <c r="U495" i="20"/>
  <c r="U496" i="20"/>
  <c r="U497" i="20"/>
  <c r="U498" i="20"/>
  <c r="U499" i="20"/>
  <c r="U500" i="20"/>
  <c r="U501" i="20"/>
  <c r="U502" i="20"/>
  <c r="U503" i="20"/>
  <c r="U504" i="20"/>
  <c r="U505" i="20"/>
  <c r="U506" i="20"/>
  <c r="U507" i="20"/>
  <c r="U508" i="20"/>
  <c r="U509" i="20"/>
  <c r="U510" i="20"/>
  <c r="U511" i="20"/>
  <c r="U512" i="20"/>
  <c r="U513" i="20"/>
  <c r="U514" i="20"/>
  <c r="U515" i="20"/>
  <c r="U516" i="20"/>
  <c r="U517" i="20"/>
  <c r="U518" i="20"/>
  <c r="U519" i="20"/>
  <c r="U520" i="20"/>
  <c r="U521" i="20"/>
  <c r="U522" i="20"/>
  <c r="U523" i="20"/>
  <c r="U524" i="20"/>
  <c r="U525" i="20"/>
  <c r="U526" i="20"/>
  <c r="U527" i="20"/>
  <c r="U528" i="20"/>
  <c r="U529" i="20"/>
  <c r="U530" i="20"/>
  <c r="U531" i="20"/>
  <c r="U532" i="20"/>
  <c r="U533" i="20"/>
  <c r="U534" i="20"/>
  <c r="U535" i="20"/>
  <c r="U536" i="20"/>
  <c r="U537" i="20"/>
  <c r="U538" i="20"/>
  <c r="U539" i="20"/>
  <c r="U540" i="20"/>
  <c r="U541" i="20"/>
  <c r="U542" i="20"/>
  <c r="U543" i="20"/>
  <c r="U544" i="20"/>
  <c r="U545" i="20"/>
  <c r="U546" i="20"/>
  <c r="U547" i="20"/>
  <c r="U548" i="20"/>
  <c r="U549" i="20"/>
  <c r="U550" i="20"/>
  <c r="U551" i="20"/>
  <c r="U552" i="20"/>
  <c r="U553" i="20"/>
  <c r="U554" i="20"/>
  <c r="U555" i="20"/>
  <c r="U556" i="20"/>
  <c r="U557" i="20"/>
  <c r="U558" i="20"/>
  <c r="U559" i="20"/>
  <c r="U560" i="20"/>
  <c r="U561" i="20"/>
  <c r="U562" i="20"/>
  <c r="U563" i="20"/>
  <c r="U564" i="20"/>
  <c r="U565" i="20"/>
  <c r="U566" i="20"/>
  <c r="U567" i="20"/>
  <c r="U568" i="20"/>
  <c r="U569" i="20"/>
  <c r="U570" i="20"/>
  <c r="U571" i="20"/>
  <c r="U572" i="20"/>
  <c r="U573" i="20"/>
  <c r="U574" i="20"/>
  <c r="U575" i="20"/>
  <c r="U576" i="20"/>
  <c r="U577" i="20"/>
  <c r="U578" i="20"/>
  <c r="U579" i="20"/>
  <c r="U580" i="20"/>
  <c r="U581" i="20"/>
  <c r="U582" i="20"/>
  <c r="U583" i="20"/>
  <c r="U584" i="20"/>
  <c r="U585" i="20"/>
  <c r="U586" i="20"/>
  <c r="U587" i="20"/>
  <c r="U588" i="20"/>
  <c r="U589" i="20"/>
  <c r="U590" i="20"/>
  <c r="U591" i="20"/>
  <c r="U592" i="20"/>
  <c r="U593" i="20"/>
  <c r="U594" i="20"/>
  <c r="U595" i="20"/>
  <c r="U596" i="20"/>
  <c r="U597" i="20"/>
  <c r="U598" i="20"/>
  <c r="U599" i="20"/>
  <c r="U600" i="20"/>
  <c r="AQ13" i="20" l="1"/>
  <c r="AJ6" i="20"/>
  <c r="AB6" i="20"/>
  <c r="AS13" i="20"/>
  <c r="AT13" i="20"/>
  <c r="R6" i="20"/>
  <c r="S6" i="20" s="1"/>
  <c r="R16" i="20"/>
  <c r="J13" i="20"/>
  <c r="K13" i="20" s="1"/>
  <c r="B13" i="20"/>
  <c r="C13" i="20" s="1"/>
  <c r="J6" i="20"/>
  <c r="K6" i="20" s="1"/>
  <c r="T13" i="20"/>
  <c r="B6" i="20"/>
  <c r="V13" i="20"/>
  <c r="I15" i="20"/>
  <c r="A8" i="20"/>
  <c r="I8" i="20"/>
  <c r="W13" i="20"/>
  <c r="Q8" i="20"/>
  <c r="U13" i="20"/>
  <c r="A15" i="20"/>
  <c r="AP13" i="20"/>
  <c r="AR16" i="20" s="1"/>
  <c r="Z8" i="20"/>
  <c r="AP8" i="20"/>
  <c r="AH8" i="20"/>
  <c r="Z15" i="20"/>
  <c r="AV13" i="20"/>
  <c r="AU13" i="20"/>
  <c r="AH15" i="20"/>
  <c r="AJ13" i="20"/>
  <c r="AB13" i="20"/>
  <c r="AR6" i="20"/>
  <c r="Q13" i="20"/>
  <c r="AA6" i="18"/>
  <c r="Y6" i="18"/>
  <c r="AC13" i="9"/>
  <c r="AB13" i="9"/>
  <c r="R13" i="20" l="1"/>
  <c r="S13" i="20" s="1"/>
  <c r="C6" i="20"/>
  <c r="Q16" i="20"/>
  <c r="S16" i="20"/>
  <c r="AV16" i="20" s="1"/>
  <c r="AP16" i="20"/>
  <c r="AR13" i="20"/>
  <c r="K6" i="9"/>
  <c r="A6" i="9"/>
  <c r="D13" i="9"/>
  <c r="C13" i="9"/>
  <c r="T16" i="20" l="1"/>
  <c r="U16" i="20"/>
  <c r="B8" i="22"/>
  <c r="C8" i="21"/>
  <c r="V16" i="20"/>
  <c r="AT16" i="20"/>
  <c r="AU16" i="20" s="1"/>
  <c r="AS16" i="20"/>
  <c r="N13" i="9"/>
  <c r="L6" i="9"/>
  <c r="I6" i="9"/>
  <c r="M6" i="9" s="1"/>
  <c r="C6" i="19"/>
  <c r="A6" i="19"/>
  <c r="C6" i="9"/>
  <c r="K13" i="9" s="1"/>
  <c r="D6" i="9"/>
  <c r="E6" i="9" l="1"/>
  <c r="D8" i="21"/>
  <c r="E8" i="21"/>
  <c r="J6" i="9"/>
  <c r="G6" i="9"/>
  <c r="O6" i="9"/>
  <c r="AD6" i="19"/>
  <c r="AA6" i="19"/>
  <c r="Y6" i="19"/>
  <c r="Z13" i="9"/>
  <c r="AE13" i="9" s="1"/>
  <c r="AJ6" i="9"/>
  <c r="AI6" i="9"/>
  <c r="AG6" i="9"/>
  <c r="AC6" i="9"/>
  <c r="AB6" i="18" s="1"/>
  <c r="AD6" i="18" s="1"/>
  <c r="AB6" i="9"/>
  <c r="Z6" i="9"/>
  <c r="AE6" i="9" s="1"/>
  <c r="AL6" i="9" l="1"/>
  <c r="AB6" i="19"/>
  <c r="Z6" i="19" s="1"/>
  <c r="AC6" i="19"/>
  <c r="AC6" i="18"/>
  <c r="Z6" i="18"/>
  <c r="AA6" i="9"/>
  <c r="AA13" i="9"/>
  <c r="AD13" i="9"/>
  <c r="AJ13" i="9"/>
  <c r="AH6" i="9"/>
  <c r="AI13" i="9"/>
  <c r="AD6" i="9"/>
  <c r="AG13" i="9"/>
  <c r="AK6" i="9"/>
  <c r="AL13" i="9" l="1"/>
  <c r="AK13" i="9"/>
  <c r="AG16" i="9" s="1"/>
  <c r="AH13" i="9"/>
  <c r="Y9" i="19" l="1"/>
  <c r="Y9" i="18"/>
  <c r="G6" i="19"/>
  <c r="T600" i="19"/>
  <c r="A6" i="18"/>
  <c r="C6" i="18"/>
  <c r="T600" i="18"/>
  <c r="A13" i="9"/>
  <c r="B19" i="17"/>
  <c r="G13" i="9" l="1"/>
  <c r="E13" i="9"/>
  <c r="M13" i="9"/>
  <c r="E6" i="19"/>
  <c r="D6" i="19" s="1"/>
  <c r="H6" i="19" s="1"/>
  <c r="I13" i="9"/>
  <c r="D6" i="18"/>
  <c r="B13" i="9"/>
  <c r="B6" i="9"/>
  <c r="L13" i="9"/>
  <c r="E6" i="18"/>
  <c r="C15" i="17"/>
  <c r="AE21" i="17"/>
  <c r="P21" i="17"/>
  <c r="B6" i="19" l="1"/>
  <c r="I16" i="9"/>
  <c r="A9" i="18" s="1"/>
  <c r="O13" i="9"/>
  <c r="B6" i="18"/>
  <c r="G6" i="18"/>
  <c r="J13" i="9"/>
  <c r="AT21" i="17"/>
  <c r="AU21" i="17" s="1"/>
  <c r="AS19" i="17" l="1"/>
  <c r="AR19" i="17"/>
  <c r="AQ19" i="17"/>
  <c r="AP19" i="17"/>
  <c r="AO19" i="17"/>
  <c r="AN19" i="17"/>
  <c r="AM19" i="17"/>
  <c r="AL19" i="17"/>
  <c r="AK19" i="17"/>
  <c r="AJ19" i="17"/>
  <c r="AI19" i="17"/>
  <c r="AH19" i="17"/>
  <c r="AG19" i="17"/>
  <c r="AF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AS15" i="17"/>
  <c r="AR15" i="17"/>
  <c r="AQ15" i="17"/>
  <c r="AP15" i="17"/>
  <c r="AO15" i="17"/>
  <c r="AN15" i="17"/>
  <c r="AM15" i="17"/>
  <c r="AL15" i="17"/>
  <c r="AK15" i="17"/>
  <c r="AJ15" i="17"/>
  <c r="AI15" i="17"/>
  <c r="AH15" i="17"/>
  <c r="AG15" i="17"/>
  <c r="AF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B15" i="17"/>
  <c r="AE15" i="17" l="1"/>
  <c r="AT19" i="17"/>
  <c r="AE19" i="17"/>
  <c r="P19" i="17"/>
  <c r="AT15" i="17"/>
  <c r="P15" i="17"/>
  <c r="AU15" i="17" l="1"/>
  <c r="P23" i="17"/>
  <c r="P17" i="17"/>
  <c r="AT23" i="17"/>
  <c r="AT17" i="17"/>
  <c r="AU19" i="17"/>
  <c r="AE23" i="17"/>
  <c r="AE17" i="17"/>
  <c r="AU23" i="17" l="1"/>
  <c r="U600" i="9"/>
  <c r="A9" i="19" l="1"/>
  <c r="AS536" i="8"/>
  <c r="U536" i="8"/>
  <c r="AU535" i="8"/>
  <c r="AS535" i="8"/>
  <c r="W535" i="8"/>
  <c r="U535" i="8"/>
  <c r="AU534" i="8"/>
  <c r="AS534" i="8"/>
  <c r="W534" i="8"/>
  <c r="U534" i="8"/>
  <c r="AU533" i="8"/>
  <c r="AS533" i="8"/>
  <c r="W533" i="8"/>
  <c r="U533" i="8"/>
  <c r="AU532" i="8"/>
  <c r="AS532" i="8"/>
  <c r="W532" i="8"/>
  <c r="U532" i="8"/>
  <c r="AU531" i="8"/>
  <c r="AS531" i="8"/>
  <c r="W531" i="8"/>
  <c r="U531" i="8"/>
  <c r="AU530" i="8"/>
  <c r="AS530" i="8"/>
  <c r="W530" i="8"/>
  <c r="U530" i="8"/>
  <c r="AU529" i="8"/>
  <c r="AS529" i="8"/>
  <c r="W529" i="8"/>
  <c r="U529" i="8"/>
  <c r="AU528" i="8"/>
  <c r="AS528" i="8"/>
  <c r="W528" i="8"/>
  <c r="U528" i="8"/>
  <c r="AU527" i="8"/>
  <c r="AS527" i="8"/>
  <c r="W527" i="8"/>
  <c r="U527" i="8"/>
  <c r="AU526" i="8"/>
  <c r="AS526" i="8"/>
  <c r="W526" i="8"/>
  <c r="U526" i="8"/>
  <c r="AU525" i="8"/>
  <c r="AS525" i="8"/>
  <c r="W525" i="8"/>
  <c r="U525" i="8"/>
  <c r="AU524" i="8"/>
  <c r="AS524" i="8"/>
  <c r="W524" i="8"/>
  <c r="U524" i="8"/>
  <c r="AU523" i="8"/>
  <c r="AS523" i="8"/>
  <c r="W523" i="8"/>
  <c r="U523" i="8"/>
  <c r="AU522" i="8"/>
  <c r="AS522" i="8"/>
  <c r="W522" i="8"/>
  <c r="U522" i="8"/>
  <c r="AU521" i="8"/>
  <c r="AS521" i="8"/>
  <c r="W521" i="8"/>
  <c r="U521" i="8"/>
  <c r="AU520" i="8"/>
  <c r="AS520" i="8"/>
  <c r="W520" i="8"/>
  <c r="U520" i="8"/>
  <c r="AU519" i="8"/>
  <c r="AS519" i="8"/>
  <c r="W519" i="8"/>
  <c r="U519" i="8"/>
  <c r="AU518" i="8"/>
  <c r="AS518" i="8"/>
  <c r="W518" i="8"/>
  <c r="U518" i="8"/>
  <c r="AU517" i="8"/>
  <c r="AS517" i="8"/>
  <c r="W517" i="8"/>
  <c r="U517" i="8"/>
  <c r="AU516" i="8"/>
  <c r="AS516" i="8"/>
  <c r="W516" i="8"/>
  <c r="U516" i="8"/>
  <c r="AU515" i="8"/>
  <c r="AS515" i="8"/>
  <c r="W515" i="8"/>
  <c r="U515" i="8"/>
  <c r="AU514" i="8"/>
  <c r="AS514" i="8"/>
  <c r="W514" i="8"/>
  <c r="U514" i="8"/>
  <c r="AU513" i="8"/>
  <c r="AS513" i="8"/>
  <c r="W513" i="8"/>
  <c r="U513" i="8"/>
  <c r="AU512" i="8"/>
  <c r="AS512" i="8"/>
  <c r="W512" i="8"/>
  <c r="U512" i="8"/>
  <c r="AU511" i="8"/>
  <c r="AS511" i="8"/>
  <c r="W511" i="8"/>
  <c r="U511" i="8"/>
  <c r="AU510" i="8"/>
  <c r="AS510" i="8"/>
  <c r="W510" i="8"/>
  <c r="U510" i="8"/>
  <c r="AU509" i="8"/>
  <c r="AS509" i="8"/>
  <c r="W509" i="8"/>
  <c r="U509" i="8"/>
  <c r="AU508" i="8"/>
  <c r="AS508" i="8"/>
  <c r="W508" i="8"/>
  <c r="U508" i="8"/>
  <c r="AU507" i="8"/>
  <c r="AS507" i="8"/>
  <c r="W507" i="8"/>
  <c r="U507" i="8"/>
  <c r="AU506" i="8"/>
  <c r="AS506" i="8"/>
  <c r="W506" i="8"/>
  <c r="U506" i="8"/>
  <c r="AU505" i="8"/>
  <c r="AS505" i="8"/>
  <c r="W505" i="8"/>
  <c r="U505" i="8"/>
  <c r="AU504" i="8"/>
  <c r="AS504" i="8"/>
  <c r="W504" i="8"/>
  <c r="U504" i="8"/>
  <c r="AU503" i="8"/>
  <c r="AS503" i="8"/>
  <c r="W503" i="8"/>
  <c r="U503" i="8"/>
  <c r="AU502" i="8"/>
  <c r="AS502" i="8"/>
  <c r="W502" i="8"/>
  <c r="U502" i="8"/>
  <c r="AU501" i="8"/>
  <c r="AS501" i="8"/>
  <c r="W501" i="8"/>
  <c r="U501" i="8"/>
  <c r="AU500" i="8"/>
  <c r="AS500" i="8"/>
  <c r="W500" i="8"/>
  <c r="U500" i="8"/>
  <c r="AU499" i="8"/>
  <c r="AS499" i="8"/>
  <c r="W499" i="8"/>
  <c r="U499" i="8"/>
  <c r="AU498" i="8"/>
  <c r="AS498" i="8"/>
  <c r="W498" i="8"/>
  <c r="U498" i="8"/>
  <c r="AU497" i="8"/>
  <c r="AS497" i="8"/>
  <c r="W497" i="8"/>
  <c r="U497" i="8"/>
  <c r="AU496" i="8"/>
  <c r="AS496" i="8"/>
  <c r="W496" i="8"/>
  <c r="U496" i="8"/>
  <c r="AU495" i="8"/>
  <c r="AS495" i="8"/>
  <c r="W495" i="8"/>
  <c r="U495" i="8"/>
  <c r="AU494" i="8"/>
  <c r="AS494" i="8"/>
  <c r="W494" i="8"/>
  <c r="U494" i="8"/>
  <c r="AU493" i="8"/>
  <c r="AS493" i="8"/>
  <c r="W493" i="8"/>
  <c r="U493" i="8"/>
  <c r="AU492" i="8"/>
  <c r="AS492" i="8"/>
  <c r="W492" i="8"/>
  <c r="U492" i="8"/>
  <c r="AU491" i="8"/>
  <c r="AS491" i="8"/>
  <c r="W491" i="8"/>
  <c r="U491" i="8"/>
  <c r="AU490" i="8"/>
  <c r="AS490" i="8"/>
  <c r="W490" i="8"/>
  <c r="U490" i="8"/>
  <c r="AU489" i="8"/>
  <c r="AS489" i="8"/>
  <c r="W489" i="8"/>
  <c r="U489" i="8"/>
  <c r="AU488" i="8"/>
  <c r="AS488" i="8"/>
  <c r="W488" i="8"/>
  <c r="U488" i="8"/>
  <c r="AU487" i="8"/>
  <c r="AS487" i="8"/>
  <c r="W487" i="8"/>
  <c r="U487" i="8"/>
  <c r="AU486" i="8"/>
  <c r="AS486" i="8"/>
  <c r="W486" i="8"/>
  <c r="U486" i="8"/>
  <c r="AU485" i="8"/>
  <c r="AS485" i="8"/>
  <c r="W485" i="8"/>
  <c r="U485" i="8"/>
  <c r="AU484" i="8"/>
  <c r="AS484" i="8"/>
  <c r="W484" i="8"/>
  <c r="U484" i="8"/>
  <c r="AU483" i="8"/>
  <c r="AS483" i="8"/>
  <c r="W483" i="8"/>
  <c r="U483" i="8"/>
  <c r="AU482" i="8"/>
  <c r="AS482" i="8"/>
  <c r="W482" i="8"/>
  <c r="U482" i="8"/>
  <c r="AU481" i="8"/>
  <c r="AS481" i="8"/>
  <c r="W481" i="8"/>
  <c r="U481" i="8"/>
  <c r="AU480" i="8"/>
  <c r="AS480" i="8"/>
  <c r="W480" i="8"/>
  <c r="U480" i="8"/>
  <c r="AU479" i="8"/>
  <c r="AS479" i="8"/>
  <c r="W479" i="8"/>
  <c r="U479" i="8"/>
  <c r="AU478" i="8"/>
  <c r="AS478" i="8"/>
  <c r="W478" i="8"/>
  <c r="U478" i="8"/>
  <c r="AU477" i="8"/>
  <c r="AS477" i="8"/>
  <c r="W477" i="8"/>
  <c r="U477" i="8"/>
  <c r="AU476" i="8"/>
  <c r="AS476" i="8"/>
  <c r="W476" i="8"/>
  <c r="U476" i="8"/>
  <c r="AU475" i="8"/>
  <c r="AS475" i="8"/>
  <c r="W475" i="8"/>
  <c r="U475" i="8"/>
  <c r="AU474" i="8"/>
  <c r="AS474" i="8"/>
  <c r="W474" i="8"/>
  <c r="U474" i="8"/>
  <c r="AU473" i="8"/>
  <c r="AS473" i="8"/>
  <c r="W473" i="8"/>
  <c r="U473" i="8"/>
  <c r="AU472" i="8"/>
  <c r="AS472" i="8"/>
  <c r="W472" i="8"/>
  <c r="U472" i="8"/>
  <c r="AU471" i="8"/>
  <c r="AS471" i="8"/>
  <c r="W471" i="8"/>
  <c r="U471" i="8"/>
  <c r="AU470" i="8"/>
  <c r="AS470" i="8"/>
  <c r="W470" i="8"/>
  <c r="U470" i="8"/>
  <c r="AU469" i="8"/>
  <c r="AS469" i="8"/>
  <c r="W469" i="8"/>
  <c r="U469" i="8"/>
  <c r="AU468" i="8"/>
  <c r="AS468" i="8"/>
  <c r="W468" i="8"/>
  <c r="U468" i="8"/>
  <c r="AU467" i="8"/>
  <c r="AS467" i="8"/>
  <c r="W467" i="8"/>
  <c r="U467" i="8"/>
  <c r="AU466" i="8"/>
  <c r="AS466" i="8"/>
  <c r="W466" i="8"/>
  <c r="U466" i="8"/>
  <c r="AU465" i="8"/>
  <c r="AS465" i="8"/>
  <c r="W465" i="8"/>
  <c r="U465" i="8"/>
  <c r="AU464" i="8"/>
  <c r="AS464" i="8"/>
  <c r="W464" i="8"/>
  <c r="U464" i="8"/>
  <c r="AU463" i="8"/>
  <c r="AS463" i="8"/>
  <c r="W463" i="8"/>
  <c r="U463" i="8"/>
  <c r="AU462" i="8"/>
  <c r="AS462" i="8"/>
  <c r="W462" i="8"/>
  <c r="U462" i="8"/>
  <c r="AU461" i="8"/>
  <c r="AS461" i="8"/>
  <c r="W461" i="8"/>
  <c r="U461" i="8"/>
  <c r="AU460" i="8"/>
  <c r="AS460" i="8"/>
  <c r="W460" i="8"/>
  <c r="U460" i="8"/>
  <c r="AU459" i="8"/>
  <c r="AS459" i="8"/>
  <c r="W459" i="8"/>
  <c r="U459" i="8"/>
  <c r="AU458" i="8"/>
  <c r="AS458" i="8"/>
  <c r="W458" i="8"/>
  <c r="U458" i="8"/>
  <c r="AU457" i="8"/>
  <c r="AS457" i="8"/>
  <c r="W457" i="8"/>
  <c r="U457" i="8"/>
  <c r="AU456" i="8"/>
  <c r="AS456" i="8"/>
  <c r="W456" i="8"/>
  <c r="U456" i="8"/>
  <c r="AU455" i="8"/>
  <c r="AS455" i="8"/>
  <c r="W455" i="8"/>
  <c r="U455" i="8"/>
  <c r="AU454" i="8"/>
  <c r="AS454" i="8"/>
  <c r="W454" i="8"/>
  <c r="U454" i="8"/>
  <c r="AU453" i="8"/>
  <c r="AS453" i="8"/>
  <c r="W453" i="8"/>
  <c r="U453" i="8"/>
  <c r="AU452" i="8"/>
  <c r="AS452" i="8"/>
  <c r="W452" i="8"/>
  <c r="U452" i="8"/>
  <c r="AU451" i="8"/>
  <c r="AS451" i="8"/>
  <c r="W451" i="8"/>
  <c r="U451" i="8"/>
  <c r="AU450" i="8"/>
  <c r="AS450" i="8"/>
  <c r="W450" i="8"/>
  <c r="U450" i="8"/>
  <c r="AU449" i="8"/>
  <c r="AS449" i="8"/>
  <c r="W449" i="8"/>
  <c r="U449" i="8"/>
  <c r="AU448" i="8"/>
  <c r="AS448" i="8"/>
  <c r="W448" i="8"/>
  <c r="U448" i="8"/>
  <c r="AU447" i="8"/>
  <c r="AS447" i="8"/>
  <c r="W447" i="8"/>
  <c r="U447" i="8"/>
  <c r="AU446" i="8"/>
  <c r="AS446" i="8"/>
  <c r="W446" i="8"/>
  <c r="U446" i="8"/>
  <c r="AU445" i="8"/>
  <c r="AS445" i="8"/>
  <c r="W445" i="8"/>
  <c r="U445" i="8"/>
  <c r="AU444" i="8"/>
  <c r="AS444" i="8"/>
  <c r="W444" i="8"/>
  <c r="U444" i="8"/>
  <c r="AU443" i="8"/>
  <c r="AS443" i="8"/>
  <c r="W443" i="8"/>
  <c r="U443" i="8"/>
  <c r="AU442" i="8"/>
  <c r="AS442" i="8"/>
  <c r="W442" i="8"/>
  <c r="U442" i="8"/>
  <c r="AU441" i="8"/>
  <c r="AS441" i="8"/>
  <c r="W441" i="8"/>
  <c r="U441" i="8"/>
  <c r="AU440" i="8"/>
  <c r="AS440" i="8"/>
  <c r="W440" i="8"/>
  <c r="U440" i="8"/>
  <c r="AU439" i="8"/>
  <c r="AS439" i="8"/>
  <c r="W439" i="8"/>
  <c r="U439" i="8"/>
  <c r="AU438" i="8"/>
  <c r="AS438" i="8"/>
  <c r="W438" i="8"/>
  <c r="U438" i="8"/>
  <c r="AU437" i="8"/>
  <c r="AS437" i="8"/>
  <c r="W437" i="8"/>
  <c r="U437" i="8"/>
  <c r="AU436" i="8"/>
  <c r="AS436" i="8"/>
  <c r="W436" i="8"/>
  <c r="U436" i="8"/>
  <c r="AU435" i="8"/>
  <c r="AS435" i="8"/>
  <c r="W435" i="8"/>
  <c r="U435" i="8"/>
  <c r="AU434" i="8"/>
  <c r="AS434" i="8"/>
  <c r="W434" i="8"/>
  <c r="U434" i="8"/>
  <c r="AU433" i="8"/>
  <c r="AS433" i="8"/>
  <c r="W433" i="8"/>
  <c r="U433" i="8"/>
  <c r="AU432" i="8"/>
  <c r="AS432" i="8"/>
  <c r="W432" i="8"/>
  <c r="U432" i="8"/>
  <c r="AU431" i="8"/>
  <c r="AS431" i="8"/>
  <c r="W431" i="8"/>
  <c r="U431" i="8"/>
  <c r="AU430" i="8"/>
  <c r="AS430" i="8"/>
  <c r="W430" i="8"/>
  <c r="U430" i="8"/>
  <c r="AU429" i="8"/>
  <c r="AS429" i="8"/>
  <c r="W429" i="8"/>
  <c r="U429" i="8"/>
  <c r="AU428" i="8"/>
  <c r="AS428" i="8"/>
  <c r="W428" i="8"/>
  <c r="U428" i="8"/>
  <c r="AU427" i="8"/>
  <c r="AS427" i="8"/>
  <c r="W427" i="8"/>
  <c r="U427" i="8"/>
  <c r="AU426" i="8"/>
  <c r="AS426" i="8"/>
  <c r="W426" i="8"/>
  <c r="U426" i="8"/>
  <c r="AU425" i="8"/>
  <c r="AS425" i="8"/>
  <c r="W425" i="8"/>
  <c r="U425" i="8"/>
  <c r="AU424" i="8"/>
  <c r="AS424" i="8"/>
  <c r="W424" i="8"/>
  <c r="U424" i="8"/>
  <c r="AU423" i="8"/>
  <c r="AS423" i="8"/>
  <c r="W423" i="8"/>
  <c r="U423" i="8"/>
  <c r="AU422" i="8"/>
  <c r="AS422" i="8"/>
  <c r="W422" i="8"/>
  <c r="U422" i="8"/>
  <c r="AU421" i="8"/>
  <c r="AS421" i="8"/>
  <c r="W421" i="8"/>
  <c r="U421" i="8"/>
  <c r="AU420" i="8"/>
  <c r="AS420" i="8"/>
  <c r="W420" i="8"/>
  <c r="U420" i="8"/>
  <c r="AU419" i="8"/>
  <c r="AS419" i="8"/>
  <c r="W419" i="8"/>
  <c r="U419" i="8"/>
  <c r="AU418" i="8"/>
  <c r="AS418" i="8"/>
  <c r="W418" i="8"/>
  <c r="U418" i="8"/>
  <c r="AU417" i="8"/>
  <c r="AS417" i="8"/>
  <c r="W417" i="8"/>
  <c r="U417" i="8"/>
  <c r="AU416" i="8"/>
  <c r="AS416" i="8"/>
  <c r="W416" i="8"/>
  <c r="U416" i="8"/>
  <c r="AU415" i="8"/>
  <c r="AS415" i="8"/>
  <c r="W415" i="8"/>
  <c r="U415" i="8"/>
  <c r="AU414" i="8"/>
  <c r="AS414" i="8"/>
  <c r="W414" i="8"/>
  <c r="U414" i="8"/>
  <c r="AU413" i="8"/>
  <c r="AS413" i="8"/>
  <c r="W413" i="8"/>
  <c r="U413" i="8"/>
  <c r="AU412" i="8"/>
  <c r="AS412" i="8"/>
  <c r="W412" i="8"/>
  <c r="U412" i="8"/>
  <c r="AU411" i="8"/>
  <c r="AS411" i="8"/>
  <c r="W411" i="8"/>
  <c r="U411" i="8"/>
  <c r="AU410" i="8"/>
  <c r="AS410" i="8"/>
  <c r="W410" i="8"/>
  <c r="U410" i="8"/>
  <c r="AU409" i="8"/>
  <c r="AS409" i="8"/>
  <c r="W409" i="8"/>
  <c r="U409" i="8"/>
  <c r="AU408" i="8"/>
  <c r="AS408" i="8"/>
  <c r="W408" i="8"/>
  <c r="U408" i="8"/>
  <c r="AU407" i="8"/>
  <c r="AS407" i="8"/>
  <c r="W407" i="8"/>
  <c r="U407" i="8"/>
  <c r="AU406" i="8"/>
  <c r="AS406" i="8"/>
  <c r="W406" i="8"/>
  <c r="U406" i="8"/>
  <c r="AU405" i="8"/>
  <c r="AS405" i="8"/>
  <c r="W405" i="8"/>
  <c r="U405" i="8"/>
  <c r="AU404" i="8"/>
  <c r="AS404" i="8"/>
  <c r="W404" i="8"/>
  <c r="U404" i="8"/>
  <c r="AU403" i="8"/>
  <c r="AS403" i="8"/>
  <c r="W403" i="8"/>
  <c r="U403" i="8"/>
  <c r="AU402" i="8"/>
  <c r="AS402" i="8"/>
  <c r="W402" i="8"/>
  <c r="U402" i="8"/>
  <c r="AU401" i="8"/>
  <c r="AS401" i="8"/>
  <c r="W401" i="8"/>
  <c r="U401" i="8"/>
  <c r="AU400" i="8"/>
  <c r="AS400" i="8"/>
  <c r="W400" i="8"/>
  <c r="U400" i="8"/>
  <c r="AU399" i="8"/>
  <c r="AS399" i="8"/>
  <c r="W399" i="8"/>
  <c r="U399" i="8"/>
  <c r="AU398" i="8"/>
  <c r="AS398" i="8"/>
  <c r="W398" i="8"/>
  <c r="U398" i="8"/>
  <c r="AU397" i="8"/>
  <c r="AS397" i="8"/>
  <c r="W397" i="8"/>
  <c r="U397" i="8"/>
  <c r="AU396" i="8"/>
  <c r="AS396" i="8"/>
  <c r="W396" i="8"/>
  <c r="U396" i="8"/>
  <c r="AU395" i="8"/>
  <c r="AS395" i="8"/>
  <c r="W395" i="8"/>
  <c r="U395" i="8"/>
  <c r="AU394" i="8"/>
  <c r="AS394" i="8"/>
  <c r="W394" i="8"/>
  <c r="U394" i="8"/>
  <c r="AU393" i="8"/>
  <c r="AS393" i="8"/>
  <c r="W393" i="8"/>
  <c r="U393" i="8"/>
  <c r="AU392" i="8"/>
  <c r="AS392" i="8"/>
  <c r="W392" i="8"/>
  <c r="U392" i="8"/>
  <c r="AU391" i="8"/>
  <c r="AS391" i="8"/>
  <c r="W391" i="8"/>
  <c r="U391" i="8"/>
  <c r="AU390" i="8"/>
  <c r="AS390" i="8"/>
  <c r="W390" i="8"/>
  <c r="U390" i="8"/>
  <c r="AU389" i="8"/>
  <c r="AS389" i="8"/>
  <c r="W389" i="8"/>
  <c r="U389" i="8"/>
  <c r="AU388" i="8"/>
  <c r="AS388" i="8"/>
  <c r="W388" i="8"/>
  <c r="U388" i="8"/>
  <c r="AU387" i="8"/>
  <c r="AS387" i="8"/>
  <c r="W387" i="8"/>
  <c r="U387" i="8"/>
  <c r="AU386" i="8"/>
  <c r="AS386" i="8"/>
  <c r="W386" i="8"/>
  <c r="U386" i="8"/>
  <c r="AU385" i="8"/>
  <c r="AS385" i="8"/>
  <c r="W385" i="8"/>
  <c r="U385" i="8"/>
  <c r="AU384" i="8"/>
  <c r="AS384" i="8"/>
  <c r="W384" i="8"/>
  <c r="U384" i="8"/>
  <c r="AU383" i="8"/>
  <c r="AS383" i="8"/>
  <c r="W383" i="8"/>
  <c r="U383" i="8"/>
  <c r="AU382" i="8"/>
  <c r="AS382" i="8"/>
  <c r="W382" i="8"/>
  <c r="U382" i="8"/>
  <c r="AU381" i="8"/>
  <c r="AS381" i="8"/>
  <c r="W381" i="8"/>
  <c r="U381" i="8"/>
  <c r="AU380" i="8"/>
  <c r="AS380" i="8"/>
  <c r="W380" i="8"/>
  <c r="U380" i="8"/>
  <c r="AU379" i="8"/>
  <c r="AS379" i="8"/>
  <c r="W379" i="8"/>
  <c r="U379" i="8"/>
  <c r="AU378" i="8"/>
  <c r="AS378" i="8"/>
  <c r="W378" i="8"/>
  <c r="U378" i="8"/>
  <c r="AU377" i="8"/>
  <c r="AS377" i="8"/>
  <c r="W377" i="8"/>
  <c r="U377" i="8"/>
  <c r="AU376" i="8"/>
  <c r="AS376" i="8"/>
  <c r="W376" i="8"/>
  <c r="U376" i="8"/>
  <c r="AU375" i="8"/>
  <c r="AS375" i="8"/>
  <c r="W375" i="8"/>
  <c r="U375" i="8"/>
  <c r="AU374" i="8"/>
  <c r="AS374" i="8"/>
  <c r="W374" i="8"/>
  <c r="U374" i="8"/>
  <c r="AU373" i="8"/>
  <c r="AS373" i="8"/>
  <c r="W373" i="8"/>
  <c r="U373" i="8"/>
  <c r="AU372" i="8"/>
  <c r="AS372" i="8"/>
  <c r="W372" i="8"/>
  <c r="U372" i="8"/>
  <c r="AU371" i="8"/>
  <c r="AS371" i="8"/>
  <c r="W371" i="8"/>
  <c r="U371" i="8"/>
  <c r="AU370" i="8"/>
  <c r="AS370" i="8"/>
  <c r="W370" i="8"/>
  <c r="U370" i="8"/>
  <c r="AU369" i="8"/>
  <c r="AS369" i="8"/>
  <c r="W369" i="8"/>
  <c r="U369" i="8"/>
  <c r="AU368" i="8"/>
  <c r="AS368" i="8"/>
  <c r="W368" i="8"/>
  <c r="U368" i="8"/>
  <c r="AU367" i="8"/>
  <c r="AS367" i="8"/>
  <c r="W367" i="8"/>
  <c r="U367" i="8"/>
  <c r="AU366" i="8"/>
  <c r="AS366" i="8"/>
  <c r="W366" i="8"/>
  <c r="U366" i="8"/>
  <c r="AU365" i="8"/>
  <c r="AS365" i="8"/>
  <c r="W365" i="8"/>
  <c r="U365" i="8"/>
  <c r="AU364" i="8"/>
  <c r="AS364" i="8"/>
  <c r="W364" i="8"/>
  <c r="U364" i="8"/>
  <c r="AU363" i="8"/>
  <c r="AS363" i="8"/>
  <c r="W363" i="8"/>
  <c r="U363" i="8"/>
  <c r="AU362" i="8"/>
  <c r="AS362" i="8"/>
  <c r="W362" i="8"/>
  <c r="U362" i="8"/>
  <c r="AU361" i="8"/>
  <c r="AS361" i="8"/>
  <c r="W361" i="8"/>
  <c r="U361" i="8"/>
  <c r="AU360" i="8"/>
  <c r="AS360" i="8"/>
  <c r="W360" i="8"/>
  <c r="U360" i="8"/>
  <c r="AU359" i="8"/>
  <c r="AS359" i="8"/>
  <c r="W359" i="8"/>
  <c r="U359" i="8"/>
  <c r="AU358" i="8"/>
  <c r="AS358" i="8"/>
  <c r="W358" i="8"/>
  <c r="U358" i="8"/>
  <c r="AU357" i="8"/>
  <c r="AS357" i="8"/>
  <c r="W357" i="8"/>
  <c r="U357" i="8"/>
  <c r="AU356" i="8"/>
  <c r="AS356" i="8"/>
  <c r="W356" i="8"/>
  <c r="U356" i="8"/>
  <c r="AU355" i="8"/>
  <c r="AS355" i="8"/>
  <c r="W355" i="8"/>
  <c r="U355" i="8"/>
  <c r="AU354" i="8"/>
  <c r="AS354" i="8"/>
  <c r="W354" i="8"/>
  <c r="U354" i="8"/>
  <c r="AU353" i="8"/>
  <c r="AS353" i="8"/>
  <c r="W353" i="8"/>
  <c r="U353" i="8"/>
  <c r="AU352" i="8"/>
  <c r="AS352" i="8"/>
  <c r="W352" i="8"/>
  <c r="U352" i="8"/>
  <c r="AU351" i="8"/>
  <c r="AS351" i="8"/>
  <c r="W351" i="8"/>
  <c r="U351" i="8"/>
  <c r="AU350" i="8"/>
  <c r="AS350" i="8"/>
  <c r="W350" i="8"/>
  <c r="U350" i="8"/>
  <c r="AU349" i="8"/>
  <c r="AS349" i="8"/>
  <c r="W349" i="8"/>
  <c r="U349" i="8"/>
  <c r="AU348" i="8"/>
  <c r="AS348" i="8"/>
  <c r="W348" i="8"/>
  <c r="U348" i="8"/>
  <c r="AU347" i="8"/>
  <c r="AS347" i="8"/>
  <c r="W347" i="8"/>
  <c r="U347" i="8"/>
  <c r="AU346" i="8"/>
  <c r="AS346" i="8"/>
  <c r="W346" i="8"/>
  <c r="U346" i="8"/>
  <c r="AU345" i="8"/>
  <c r="AS345" i="8"/>
  <c r="W345" i="8"/>
  <c r="U345" i="8"/>
  <c r="AU344" i="8"/>
  <c r="AS344" i="8"/>
  <c r="W344" i="8"/>
  <c r="U344" i="8"/>
  <c r="AU343" i="8"/>
  <c r="AS343" i="8"/>
  <c r="W343" i="8"/>
  <c r="U343" i="8"/>
  <c r="AU342" i="8"/>
  <c r="AS342" i="8"/>
  <c r="W342" i="8"/>
  <c r="U342" i="8"/>
  <c r="AU341" i="8"/>
  <c r="AS341" i="8"/>
  <c r="W341" i="8"/>
  <c r="U341" i="8"/>
  <c r="AU340" i="8"/>
  <c r="AS340" i="8"/>
  <c r="W340" i="8"/>
  <c r="U340" i="8"/>
  <c r="AU339" i="8"/>
  <c r="AS339" i="8"/>
  <c r="W339" i="8"/>
  <c r="U339" i="8"/>
  <c r="AU338" i="8"/>
  <c r="AS338" i="8"/>
  <c r="W338" i="8"/>
  <c r="U338" i="8"/>
  <c r="AU337" i="8"/>
  <c r="AS337" i="8"/>
  <c r="W337" i="8"/>
  <c r="U337" i="8"/>
  <c r="AU336" i="8"/>
  <c r="AS336" i="8"/>
  <c r="W336" i="8"/>
  <c r="U336" i="8"/>
  <c r="AU335" i="8"/>
  <c r="AS335" i="8"/>
  <c r="W335" i="8"/>
  <c r="U335" i="8"/>
  <c r="AU334" i="8"/>
  <c r="AS334" i="8"/>
  <c r="W334" i="8"/>
  <c r="U334" i="8"/>
  <c r="AU333" i="8"/>
  <c r="AS333" i="8"/>
  <c r="W333" i="8"/>
  <c r="U333" i="8"/>
  <c r="AU332" i="8"/>
  <c r="AS332" i="8"/>
  <c r="W332" i="8"/>
  <c r="U332" i="8"/>
  <c r="AU331" i="8"/>
  <c r="AS331" i="8"/>
  <c r="W331" i="8"/>
  <c r="U331" i="8"/>
  <c r="AU330" i="8"/>
  <c r="AS330" i="8"/>
  <c r="W330" i="8"/>
  <c r="U330" i="8"/>
  <c r="AU329" i="8"/>
  <c r="AS329" i="8"/>
  <c r="W329" i="8"/>
  <c r="U329" i="8"/>
  <c r="AU328" i="8"/>
  <c r="AS328" i="8"/>
  <c r="W328" i="8"/>
  <c r="U328" i="8"/>
  <c r="AU327" i="8"/>
  <c r="AS327" i="8"/>
  <c r="W327" i="8"/>
  <c r="U327" i="8"/>
  <c r="AU326" i="8"/>
  <c r="AS326" i="8"/>
  <c r="W326" i="8"/>
  <c r="U326" i="8"/>
  <c r="AU325" i="8"/>
  <c r="AS325" i="8"/>
  <c r="W325" i="8"/>
  <c r="U325" i="8"/>
  <c r="AU324" i="8"/>
  <c r="AS324" i="8"/>
  <c r="W324" i="8"/>
  <c r="U324" i="8"/>
  <c r="AU323" i="8"/>
  <c r="AS323" i="8"/>
  <c r="W323" i="8"/>
  <c r="U323" i="8"/>
  <c r="AU322" i="8"/>
  <c r="AS322" i="8"/>
  <c r="W322" i="8"/>
  <c r="U322" i="8"/>
  <c r="AU321" i="8"/>
  <c r="AS321" i="8"/>
  <c r="W321" i="8"/>
  <c r="U321" i="8"/>
  <c r="AU320" i="8"/>
  <c r="AS320" i="8"/>
  <c r="W320" i="8"/>
  <c r="U320" i="8"/>
  <c r="AU319" i="8"/>
  <c r="AS319" i="8"/>
  <c r="W319" i="8"/>
  <c r="U319" i="8"/>
  <c r="AU318" i="8"/>
  <c r="AS318" i="8"/>
  <c r="W318" i="8"/>
  <c r="U318" i="8"/>
  <c r="AU317" i="8"/>
  <c r="AS317" i="8"/>
  <c r="W317" i="8"/>
  <c r="U317" i="8"/>
  <c r="AU316" i="8"/>
  <c r="AS316" i="8"/>
  <c r="W316" i="8"/>
  <c r="U316" i="8"/>
  <c r="AU315" i="8"/>
  <c r="AS315" i="8"/>
  <c r="W315" i="8"/>
  <c r="U315" i="8"/>
  <c r="AU314" i="8"/>
  <c r="AS314" i="8"/>
  <c r="W314" i="8"/>
  <c r="U314" i="8"/>
  <c r="AU313" i="8"/>
  <c r="AS313" i="8"/>
  <c r="W313" i="8"/>
  <c r="U313" i="8"/>
  <c r="AU312" i="8"/>
  <c r="AS312" i="8"/>
  <c r="W312" i="8"/>
  <c r="U312" i="8"/>
  <c r="AU311" i="8"/>
  <c r="AS311" i="8"/>
  <c r="W311" i="8"/>
  <c r="U311" i="8"/>
  <c r="AU310" i="8"/>
  <c r="AS310" i="8"/>
  <c r="W310" i="8"/>
  <c r="U310" i="8"/>
  <c r="AU309" i="8"/>
  <c r="AS309" i="8"/>
  <c r="W309" i="8"/>
  <c r="U309" i="8"/>
  <c r="AU308" i="8"/>
  <c r="AS308" i="8"/>
  <c r="W308" i="8"/>
  <c r="U308" i="8"/>
  <c r="AU307" i="8"/>
  <c r="AS307" i="8"/>
  <c r="W307" i="8"/>
  <c r="U307" i="8"/>
  <c r="AU306" i="8"/>
  <c r="AS306" i="8"/>
  <c r="W306" i="8"/>
  <c r="U306" i="8"/>
  <c r="AU305" i="8"/>
  <c r="AS305" i="8"/>
  <c r="W305" i="8"/>
  <c r="U305" i="8"/>
  <c r="AU304" i="8"/>
  <c r="AS304" i="8"/>
  <c r="W304" i="8"/>
  <c r="U304" i="8"/>
  <c r="AU303" i="8"/>
  <c r="AS303" i="8"/>
  <c r="W303" i="8"/>
  <c r="U303" i="8"/>
  <c r="AU302" i="8"/>
  <c r="AS302" i="8"/>
  <c r="W302" i="8"/>
  <c r="U302" i="8"/>
  <c r="AU301" i="8"/>
  <c r="AS301" i="8"/>
  <c r="W301" i="8"/>
  <c r="U301" i="8"/>
  <c r="AU300" i="8"/>
  <c r="AS300" i="8"/>
  <c r="W300" i="8"/>
  <c r="U300" i="8"/>
  <c r="AU299" i="8"/>
  <c r="AS299" i="8"/>
  <c r="W299" i="8"/>
  <c r="U299" i="8"/>
  <c r="AU298" i="8"/>
  <c r="AS298" i="8"/>
  <c r="W298" i="8"/>
  <c r="U298" i="8"/>
  <c r="AU297" i="8"/>
  <c r="AS297" i="8"/>
  <c r="W297" i="8"/>
  <c r="U297" i="8"/>
  <c r="AU296" i="8"/>
  <c r="AS296" i="8"/>
  <c r="W296" i="8"/>
  <c r="U296" i="8"/>
  <c r="AU295" i="8"/>
  <c r="AS295" i="8"/>
  <c r="W295" i="8"/>
  <c r="U295" i="8"/>
  <c r="AU294" i="8"/>
  <c r="AS294" i="8"/>
  <c r="W294" i="8"/>
  <c r="U294" i="8"/>
  <c r="AU293" i="8"/>
  <c r="AS293" i="8"/>
  <c r="W293" i="8"/>
  <c r="U293" i="8"/>
  <c r="AU292" i="8"/>
  <c r="AS292" i="8"/>
  <c r="W292" i="8"/>
  <c r="U292" i="8"/>
  <c r="AU291" i="8"/>
  <c r="AS291" i="8"/>
  <c r="W291" i="8"/>
  <c r="U291" i="8"/>
  <c r="AU290" i="8"/>
  <c r="AS290" i="8"/>
  <c r="W290" i="8"/>
  <c r="U290" i="8"/>
  <c r="AU289" i="8"/>
  <c r="AS289" i="8"/>
  <c r="W289" i="8"/>
  <c r="U289" i="8"/>
  <c r="AU288" i="8"/>
  <c r="AS288" i="8"/>
  <c r="W288" i="8"/>
  <c r="U288" i="8"/>
  <c r="AU287" i="8"/>
  <c r="AS287" i="8"/>
  <c r="W287" i="8"/>
  <c r="U287" i="8"/>
  <c r="AU286" i="8"/>
  <c r="AS286" i="8"/>
  <c r="W286" i="8"/>
  <c r="U286" i="8"/>
  <c r="AU285" i="8"/>
  <c r="AS285" i="8"/>
  <c r="W285" i="8"/>
  <c r="U285" i="8"/>
  <c r="AU284" i="8"/>
  <c r="AS284" i="8"/>
  <c r="W284" i="8"/>
  <c r="U284" i="8"/>
  <c r="AU283" i="8"/>
  <c r="AS283" i="8"/>
  <c r="W283" i="8"/>
  <c r="U283" i="8"/>
  <c r="AU282" i="8"/>
  <c r="AS282" i="8"/>
  <c r="W282" i="8"/>
  <c r="U282" i="8"/>
  <c r="AU281" i="8"/>
  <c r="AS281" i="8"/>
  <c r="W281" i="8"/>
  <c r="U281" i="8"/>
  <c r="AU280" i="8"/>
  <c r="AS280" i="8"/>
  <c r="W280" i="8"/>
  <c r="U280" i="8"/>
  <c r="AU279" i="8"/>
  <c r="AS279" i="8"/>
  <c r="W279" i="8"/>
  <c r="U279" i="8"/>
  <c r="AU278" i="8"/>
  <c r="AS278" i="8"/>
  <c r="W278" i="8"/>
  <c r="U278" i="8"/>
  <c r="AU277" i="8"/>
  <c r="AS277" i="8"/>
  <c r="W277" i="8"/>
  <c r="U277" i="8"/>
  <c r="AU276" i="8"/>
  <c r="AS276" i="8"/>
  <c r="W276" i="8"/>
  <c r="U276" i="8"/>
  <c r="AU275" i="8"/>
  <c r="AS275" i="8"/>
  <c r="W275" i="8"/>
  <c r="U275" i="8"/>
  <c r="AU274" i="8"/>
  <c r="AS274" i="8"/>
  <c r="W274" i="8"/>
  <c r="U274" i="8"/>
  <c r="AU273" i="8"/>
  <c r="AS273" i="8"/>
  <c r="W273" i="8"/>
  <c r="U273" i="8"/>
  <c r="AU272" i="8"/>
  <c r="AS272" i="8"/>
  <c r="W272" i="8"/>
  <c r="U272" i="8"/>
  <c r="AU271" i="8"/>
  <c r="AS271" i="8"/>
  <c r="W271" i="8"/>
  <c r="U271" i="8"/>
  <c r="AU270" i="8"/>
  <c r="AS270" i="8"/>
  <c r="W270" i="8"/>
  <c r="U270" i="8"/>
  <c r="AU269" i="8"/>
  <c r="AS269" i="8"/>
  <c r="W269" i="8"/>
  <c r="U269" i="8"/>
  <c r="AU268" i="8"/>
  <c r="AS268" i="8"/>
  <c r="W268" i="8"/>
  <c r="U268" i="8"/>
  <c r="AU267" i="8"/>
  <c r="AS267" i="8"/>
  <c r="W267" i="8"/>
  <c r="U267" i="8"/>
  <c r="AU266" i="8"/>
  <c r="AS266" i="8"/>
  <c r="W266" i="8"/>
  <c r="U266" i="8"/>
  <c r="AU265" i="8"/>
  <c r="AS265" i="8"/>
  <c r="W265" i="8"/>
  <c r="U265" i="8"/>
  <c r="AU264" i="8"/>
  <c r="AS264" i="8"/>
  <c r="W264" i="8"/>
  <c r="U264" i="8"/>
  <c r="AU263" i="8"/>
  <c r="AS263" i="8"/>
  <c r="W263" i="8"/>
  <c r="U263" i="8"/>
  <c r="AU262" i="8"/>
  <c r="AS262" i="8"/>
  <c r="W262" i="8"/>
  <c r="U262" i="8"/>
  <c r="AU261" i="8"/>
  <c r="AS261" i="8"/>
  <c r="W261" i="8"/>
  <c r="U261" i="8"/>
  <c r="AU260" i="8"/>
  <c r="AS260" i="8"/>
  <c r="W260" i="8"/>
  <c r="U260" i="8"/>
  <c r="AU259" i="8"/>
  <c r="AS259" i="8"/>
  <c r="W259" i="8"/>
  <c r="U259" i="8"/>
  <c r="AU258" i="8"/>
  <c r="AS258" i="8"/>
  <c r="W258" i="8"/>
  <c r="U258" i="8"/>
  <c r="AU257" i="8"/>
  <c r="AS257" i="8"/>
  <c r="W257" i="8"/>
  <c r="U257" i="8"/>
  <c r="AU256" i="8"/>
  <c r="AS256" i="8"/>
  <c r="W256" i="8"/>
  <c r="U256" i="8"/>
  <c r="AU255" i="8"/>
  <c r="AS255" i="8"/>
  <c r="W255" i="8"/>
  <c r="U255" i="8"/>
  <c r="AU254" i="8"/>
  <c r="AS254" i="8"/>
  <c r="W254" i="8"/>
  <c r="U254" i="8"/>
  <c r="AU253" i="8"/>
  <c r="AS253" i="8"/>
  <c r="W253" i="8"/>
  <c r="U253" i="8"/>
  <c r="AU252" i="8"/>
  <c r="AS252" i="8"/>
  <c r="W252" i="8"/>
  <c r="U252" i="8"/>
  <c r="AU251" i="8"/>
  <c r="AS251" i="8"/>
  <c r="W251" i="8"/>
  <c r="U251" i="8"/>
  <c r="AU250" i="8"/>
  <c r="AS250" i="8"/>
  <c r="W250" i="8"/>
  <c r="U250" i="8"/>
  <c r="AU249" i="8"/>
  <c r="AS249" i="8"/>
  <c r="W249" i="8"/>
  <c r="U249" i="8"/>
  <c r="AU248" i="8"/>
  <c r="AS248" i="8"/>
  <c r="W248" i="8"/>
  <c r="U248" i="8"/>
  <c r="AU247" i="8"/>
  <c r="AS247" i="8"/>
  <c r="W247" i="8"/>
  <c r="U247" i="8"/>
  <c r="AU246" i="8"/>
  <c r="AS246" i="8"/>
  <c r="W246" i="8"/>
  <c r="U246" i="8"/>
  <c r="AU245" i="8"/>
  <c r="AS245" i="8"/>
  <c r="W245" i="8"/>
  <c r="U245" i="8"/>
  <c r="AU244" i="8"/>
  <c r="AS244" i="8"/>
  <c r="W244" i="8"/>
  <c r="U244" i="8"/>
  <c r="AU243" i="8"/>
  <c r="AS243" i="8"/>
  <c r="W243" i="8"/>
  <c r="U243" i="8"/>
  <c r="AU242" i="8"/>
  <c r="AS242" i="8"/>
  <c r="W242" i="8"/>
  <c r="U242" i="8"/>
  <c r="AU241" i="8"/>
  <c r="AS241" i="8"/>
  <c r="W241" i="8"/>
  <c r="U241" i="8"/>
  <c r="AU240" i="8"/>
  <c r="AS240" i="8"/>
  <c r="W240" i="8"/>
  <c r="U240" i="8"/>
  <c r="AU239" i="8"/>
  <c r="AS239" i="8"/>
  <c r="W239" i="8"/>
  <c r="U239" i="8"/>
  <c r="AU238" i="8"/>
  <c r="AS238" i="8"/>
  <c r="W238" i="8"/>
  <c r="U238" i="8"/>
  <c r="AU237" i="8"/>
  <c r="AS237" i="8"/>
  <c r="W237" i="8"/>
  <c r="U237" i="8"/>
  <c r="AU236" i="8"/>
  <c r="AS236" i="8"/>
  <c r="W236" i="8"/>
  <c r="U236" i="8"/>
  <c r="AU235" i="8"/>
  <c r="AS235" i="8"/>
  <c r="W235" i="8"/>
  <c r="U235" i="8"/>
  <c r="AU234" i="8"/>
  <c r="AS234" i="8"/>
  <c r="W234" i="8"/>
  <c r="U234" i="8"/>
  <c r="AU233" i="8"/>
  <c r="AS233" i="8"/>
  <c r="W233" i="8"/>
  <c r="U233" i="8"/>
  <c r="AU232" i="8"/>
  <c r="AS232" i="8"/>
  <c r="W232" i="8"/>
  <c r="U232" i="8"/>
  <c r="AU231" i="8"/>
  <c r="AS231" i="8"/>
  <c r="W231" i="8"/>
  <c r="U231" i="8"/>
  <c r="AU230" i="8"/>
  <c r="AS230" i="8"/>
  <c r="W230" i="8"/>
  <c r="U230" i="8"/>
  <c r="AU229" i="8"/>
  <c r="AS229" i="8"/>
  <c r="W229" i="8"/>
  <c r="U229" i="8"/>
  <c r="AU228" i="8"/>
  <c r="AS228" i="8"/>
  <c r="W228" i="8"/>
  <c r="U228" i="8"/>
  <c r="AU227" i="8"/>
  <c r="AS227" i="8"/>
  <c r="W227" i="8"/>
  <c r="U227" i="8"/>
  <c r="AU226" i="8"/>
  <c r="AS226" i="8"/>
  <c r="W226" i="8"/>
  <c r="U226" i="8"/>
  <c r="AU225" i="8"/>
  <c r="AS225" i="8"/>
  <c r="W225" i="8"/>
  <c r="U225" i="8"/>
  <c r="AU224" i="8"/>
  <c r="AS224" i="8"/>
  <c r="W224" i="8"/>
  <c r="U224" i="8"/>
  <c r="AU223" i="8"/>
  <c r="AS223" i="8"/>
  <c r="W223" i="8"/>
  <c r="U223" i="8"/>
  <c r="AU222" i="8"/>
  <c r="AS222" i="8"/>
  <c r="W222" i="8"/>
  <c r="U222" i="8"/>
  <c r="AU221" i="8"/>
  <c r="AS221" i="8"/>
  <c r="W221" i="8"/>
  <c r="U221" i="8"/>
  <c r="AU220" i="8"/>
  <c r="AS220" i="8"/>
  <c r="W220" i="8"/>
  <c r="U220" i="8"/>
  <c r="AU219" i="8"/>
  <c r="AS219" i="8"/>
  <c r="W219" i="8"/>
  <c r="U219" i="8"/>
  <c r="AU218" i="8"/>
  <c r="AS218" i="8"/>
  <c r="W218" i="8"/>
  <c r="U218" i="8"/>
  <c r="AU217" i="8"/>
  <c r="AS217" i="8"/>
  <c r="W217" i="8"/>
  <c r="U217" i="8"/>
  <c r="AU216" i="8"/>
  <c r="AS216" i="8"/>
  <c r="W216" i="8"/>
  <c r="U216" i="8"/>
  <c r="AU215" i="8"/>
  <c r="AS215" i="8"/>
  <c r="W215" i="8"/>
  <c r="U215" i="8"/>
  <c r="AU214" i="8"/>
  <c r="AS214" i="8"/>
  <c r="W214" i="8"/>
  <c r="U214" i="8"/>
  <c r="AU213" i="8"/>
  <c r="AS213" i="8"/>
  <c r="W213" i="8"/>
  <c r="U213" i="8"/>
  <c r="AU212" i="8"/>
  <c r="AS212" i="8"/>
  <c r="W212" i="8"/>
  <c r="U212" i="8"/>
  <c r="AU211" i="8"/>
  <c r="AS211" i="8"/>
  <c r="W211" i="8"/>
  <c r="U211" i="8"/>
  <c r="AU210" i="8"/>
  <c r="AS210" i="8"/>
  <c r="W210" i="8"/>
  <c r="U210" i="8"/>
  <c r="AU209" i="8"/>
  <c r="AS209" i="8"/>
  <c r="W209" i="8"/>
  <c r="U209" i="8"/>
  <c r="AU208" i="8"/>
  <c r="AS208" i="8"/>
  <c r="W208" i="8"/>
  <c r="U208" i="8"/>
  <c r="AU207" i="8"/>
  <c r="AS207" i="8"/>
  <c r="W207" i="8"/>
  <c r="U207" i="8"/>
  <c r="AU206" i="8"/>
  <c r="AS206" i="8"/>
  <c r="W206" i="8"/>
  <c r="U206" i="8"/>
  <c r="AU205" i="8"/>
  <c r="AS205" i="8"/>
  <c r="W205" i="8"/>
  <c r="U205" i="8"/>
  <c r="AU204" i="8"/>
  <c r="AS204" i="8"/>
  <c r="W204" i="8"/>
  <c r="U204" i="8"/>
  <c r="AU203" i="8"/>
  <c r="AS203" i="8"/>
  <c r="W203" i="8"/>
  <c r="U203" i="8"/>
  <c r="AU202" i="8"/>
  <c r="AS202" i="8"/>
  <c r="W202" i="8"/>
  <c r="U202" i="8"/>
  <c r="AU201" i="8"/>
  <c r="AS201" i="8"/>
  <c r="W201" i="8"/>
  <c r="U201" i="8"/>
  <c r="AU200" i="8"/>
  <c r="AS200" i="8"/>
  <c r="W200" i="8"/>
  <c r="U200" i="8"/>
  <c r="AU199" i="8"/>
  <c r="AS199" i="8"/>
  <c r="W199" i="8"/>
  <c r="U199" i="8"/>
  <c r="AU198" i="8"/>
  <c r="AS198" i="8"/>
  <c r="W198" i="8"/>
  <c r="U198" i="8"/>
  <c r="AU197" i="8"/>
  <c r="AS197" i="8"/>
  <c r="W197" i="8"/>
  <c r="U197" i="8"/>
  <c r="AU196" i="8"/>
  <c r="AS196" i="8"/>
  <c r="W196" i="8"/>
  <c r="U196" i="8"/>
  <c r="AU195" i="8"/>
  <c r="AS195" i="8"/>
  <c r="W195" i="8"/>
  <c r="U195" i="8"/>
  <c r="AU194" i="8"/>
  <c r="AS194" i="8"/>
  <c r="W194" i="8"/>
  <c r="U194" i="8"/>
  <c r="AU193" i="8"/>
  <c r="AS193" i="8"/>
  <c r="W193" i="8"/>
  <c r="U193" i="8"/>
  <c r="AU192" i="8"/>
  <c r="AS192" i="8"/>
  <c r="W192" i="8"/>
  <c r="U192" i="8"/>
  <c r="AU191" i="8"/>
  <c r="AS191" i="8"/>
  <c r="W191" i="8"/>
  <c r="U191" i="8"/>
  <c r="AU190" i="8"/>
  <c r="AS190" i="8"/>
  <c r="W190" i="8"/>
  <c r="U190" i="8"/>
  <c r="AU189" i="8"/>
  <c r="AS189" i="8"/>
  <c r="W189" i="8"/>
  <c r="U189" i="8"/>
  <c r="AU188" i="8"/>
  <c r="AS188" i="8"/>
  <c r="W188" i="8"/>
  <c r="U188" i="8"/>
  <c r="AU187" i="8"/>
  <c r="AS187" i="8"/>
  <c r="W187" i="8"/>
  <c r="U187" i="8"/>
  <c r="AU186" i="8"/>
  <c r="AS186" i="8"/>
  <c r="W186" i="8"/>
  <c r="U186" i="8"/>
  <c r="AU185" i="8"/>
  <c r="AS185" i="8"/>
  <c r="W185" i="8"/>
  <c r="U185" i="8"/>
  <c r="AU184" i="8"/>
  <c r="AS184" i="8"/>
  <c r="W184" i="8"/>
  <c r="U184" i="8"/>
  <c r="AU183" i="8"/>
  <c r="AS183" i="8"/>
  <c r="W183" i="8"/>
  <c r="U183" i="8"/>
  <c r="AU182" i="8"/>
  <c r="AS182" i="8"/>
  <c r="W182" i="8"/>
  <c r="U182" i="8"/>
  <c r="AU181" i="8"/>
  <c r="AS181" i="8"/>
  <c r="W181" i="8"/>
  <c r="U181" i="8"/>
  <c r="AU180" i="8"/>
  <c r="AS180" i="8"/>
  <c r="W180" i="8"/>
  <c r="U180" i="8"/>
  <c r="AU179" i="8"/>
  <c r="AS179" i="8"/>
  <c r="W179" i="8"/>
  <c r="U179" i="8"/>
  <c r="AU178" i="8"/>
  <c r="AS178" i="8"/>
  <c r="W178" i="8"/>
  <c r="U178" i="8"/>
  <c r="AU177" i="8"/>
  <c r="AS177" i="8"/>
  <c r="W177" i="8"/>
  <c r="U177" i="8"/>
  <c r="AU176" i="8"/>
  <c r="AS176" i="8"/>
  <c r="W176" i="8"/>
  <c r="U176" i="8"/>
  <c r="AU175" i="8"/>
  <c r="AS175" i="8"/>
  <c r="W175" i="8"/>
  <c r="U175" i="8"/>
  <c r="AU174" i="8"/>
  <c r="AS174" i="8"/>
  <c r="W174" i="8"/>
  <c r="U174" i="8"/>
  <c r="AU173" i="8"/>
  <c r="AS173" i="8"/>
  <c r="W173" i="8"/>
  <c r="U173" i="8"/>
  <c r="AU172" i="8"/>
  <c r="AS172" i="8"/>
  <c r="W172" i="8"/>
  <c r="U172" i="8"/>
  <c r="AU171" i="8"/>
  <c r="AS171" i="8"/>
  <c r="W171" i="8"/>
  <c r="U171" i="8"/>
  <c r="AU170" i="8"/>
  <c r="AS170" i="8"/>
  <c r="W170" i="8"/>
  <c r="U170" i="8"/>
  <c r="AU169" i="8"/>
  <c r="AS169" i="8"/>
  <c r="W169" i="8"/>
  <c r="U169" i="8"/>
  <c r="AU168" i="8"/>
  <c r="AS168" i="8"/>
  <c r="W168" i="8"/>
  <c r="U168" i="8"/>
  <c r="AU167" i="8"/>
  <c r="AS167" i="8"/>
  <c r="W167" i="8"/>
  <c r="U167" i="8"/>
  <c r="AU166" i="8"/>
  <c r="AS166" i="8"/>
  <c r="W166" i="8"/>
  <c r="U166" i="8"/>
  <c r="AU165" i="8"/>
  <c r="AS165" i="8"/>
  <c r="W165" i="8"/>
  <c r="U165" i="8"/>
  <c r="AU164" i="8"/>
  <c r="AS164" i="8"/>
  <c r="W164" i="8"/>
  <c r="U164" i="8"/>
  <c r="AU163" i="8"/>
  <c r="AS163" i="8"/>
  <c r="W163" i="8"/>
  <c r="U163" i="8"/>
  <c r="AU162" i="8"/>
  <c r="AS162" i="8"/>
  <c r="W162" i="8"/>
  <c r="U162" i="8"/>
  <c r="AU161" i="8"/>
  <c r="AS161" i="8"/>
  <c r="W161" i="8"/>
  <c r="U161" i="8"/>
  <c r="AU160" i="8"/>
  <c r="AS160" i="8"/>
  <c r="W160" i="8"/>
  <c r="U160" i="8"/>
  <c r="AU159" i="8"/>
  <c r="AS159" i="8"/>
  <c r="W159" i="8"/>
  <c r="U159" i="8"/>
  <c r="AU158" i="8"/>
  <c r="AS158" i="8"/>
  <c r="W158" i="8"/>
  <c r="U158" i="8"/>
  <c r="AU157" i="8"/>
  <c r="AS157" i="8"/>
  <c r="W157" i="8"/>
  <c r="U157" i="8"/>
  <c r="AU156" i="8"/>
  <c r="AS156" i="8"/>
  <c r="W156" i="8"/>
  <c r="U156" i="8"/>
  <c r="AU155" i="8"/>
  <c r="AS155" i="8"/>
  <c r="W155" i="8"/>
  <c r="U155" i="8"/>
  <c r="AU154" i="8"/>
  <c r="AS154" i="8"/>
  <c r="W154" i="8"/>
  <c r="U154" i="8"/>
  <c r="AU153" i="8"/>
  <c r="AS153" i="8"/>
  <c r="W153" i="8"/>
  <c r="U153" i="8"/>
  <c r="AU152" i="8"/>
  <c r="AS152" i="8"/>
  <c r="W152" i="8"/>
  <c r="U152" i="8"/>
  <c r="AU151" i="8"/>
  <c r="AS151" i="8"/>
  <c r="W151" i="8"/>
  <c r="U151" i="8"/>
  <c r="AU150" i="8"/>
  <c r="AS150" i="8"/>
  <c r="W150" i="8"/>
  <c r="U150" i="8"/>
  <c r="AU149" i="8"/>
  <c r="AS149" i="8"/>
  <c r="W149" i="8"/>
  <c r="U149" i="8"/>
  <c r="AU148" i="8"/>
  <c r="AS148" i="8"/>
  <c r="W148" i="8"/>
  <c r="U148" i="8"/>
  <c r="AU147" i="8"/>
  <c r="AS147" i="8"/>
  <c r="W147" i="8"/>
  <c r="U147" i="8"/>
  <c r="AU146" i="8"/>
  <c r="AS146" i="8"/>
  <c r="W146" i="8"/>
  <c r="U146" i="8"/>
  <c r="AU145" i="8"/>
  <c r="AS145" i="8"/>
  <c r="W145" i="8"/>
  <c r="U145" i="8"/>
  <c r="AU144" i="8"/>
  <c r="AS144" i="8"/>
  <c r="W144" i="8"/>
  <c r="U144" i="8"/>
  <c r="AU143" i="8"/>
  <c r="AS143" i="8"/>
  <c r="W143" i="8"/>
  <c r="U143" i="8"/>
  <c r="AU142" i="8"/>
  <c r="AS142" i="8"/>
  <c r="W142" i="8"/>
  <c r="U142" i="8"/>
  <c r="AU141" i="8"/>
  <c r="AS141" i="8"/>
  <c r="W141" i="8"/>
  <c r="U141" i="8"/>
  <c r="AU140" i="8"/>
  <c r="AS140" i="8"/>
  <c r="W140" i="8"/>
  <c r="U140" i="8"/>
  <c r="AU139" i="8"/>
  <c r="AS139" i="8"/>
  <c r="W139" i="8"/>
  <c r="U139" i="8"/>
  <c r="AU138" i="8"/>
  <c r="AS138" i="8"/>
  <c r="W138" i="8"/>
  <c r="U138" i="8"/>
  <c r="AU137" i="8"/>
  <c r="AS137" i="8"/>
  <c r="W137" i="8"/>
  <c r="U137" i="8"/>
  <c r="AU136" i="8"/>
  <c r="AS136" i="8"/>
  <c r="W136" i="8"/>
  <c r="U136" i="8"/>
  <c r="AU135" i="8"/>
  <c r="AS135" i="8"/>
  <c r="W135" i="8"/>
  <c r="U135" i="8"/>
  <c r="AU134" i="8"/>
  <c r="AS134" i="8"/>
  <c r="W134" i="8"/>
  <c r="U134" i="8"/>
  <c r="AU133" i="8"/>
  <c r="AS133" i="8"/>
  <c r="W133" i="8"/>
  <c r="U133" i="8"/>
  <c r="AU132" i="8"/>
  <c r="AS132" i="8"/>
  <c r="W132" i="8"/>
  <c r="U132" i="8"/>
  <c r="AU131" i="8"/>
  <c r="AS131" i="8"/>
  <c r="W131" i="8"/>
  <c r="U131" i="8"/>
  <c r="AU130" i="8"/>
  <c r="AS130" i="8"/>
  <c r="W130" i="8"/>
  <c r="U130" i="8"/>
  <c r="AU129" i="8"/>
  <c r="AS129" i="8"/>
  <c r="W129" i="8"/>
  <c r="U129" i="8"/>
  <c r="AU128" i="8"/>
  <c r="AS128" i="8"/>
  <c r="W128" i="8"/>
  <c r="U128" i="8"/>
  <c r="AU127" i="8"/>
  <c r="AS127" i="8"/>
  <c r="W127" i="8"/>
  <c r="U127" i="8"/>
  <c r="AU126" i="8"/>
  <c r="AS126" i="8"/>
  <c r="W126" i="8"/>
  <c r="U126" i="8"/>
  <c r="AU125" i="8"/>
  <c r="AS125" i="8"/>
  <c r="W125" i="8"/>
  <c r="U125" i="8"/>
  <c r="AU124" i="8"/>
  <c r="AS124" i="8"/>
  <c r="W124" i="8"/>
  <c r="U124" i="8"/>
  <c r="AU123" i="8"/>
  <c r="AS123" i="8"/>
  <c r="W123" i="8"/>
  <c r="U123" i="8"/>
  <c r="AU122" i="8"/>
  <c r="AS122" i="8"/>
  <c r="W122" i="8"/>
  <c r="U122" i="8"/>
  <c r="AU121" i="8"/>
  <c r="AS121" i="8"/>
  <c r="W121" i="8"/>
  <c r="U121" i="8"/>
  <c r="AU120" i="8"/>
  <c r="AS120" i="8"/>
  <c r="W120" i="8"/>
  <c r="U120" i="8"/>
  <c r="AU119" i="8"/>
  <c r="AS119" i="8"/>
  <c r="W119" i="8"/>
  <c r="U119" i="8"/>
  <c r="AU118" i="8"/>
  <c r="AS118" i="8"/>
  <c r="W118" i="8"/>
  <c r="U118" i="8"/>
  <c r="AU117" i="8"/>
  <c r="AS117" i="8"/>
  <c r="W117" i="8"/>
  <c r="U117" i="8"/>
  <c r="AU116" i="8"/>
  <c r="AS116" i="8"/>
  <c r="W116" i="8"/>
  <c r="U116" i="8"/>
  <c r="AU115" i="8"/>
  <c r="AS115" i="8"/>
  <c r="W115" i="8"/>
  <c r="U115" i="8"/>
  <c r="AU114" i="8"/>
  <c r="AS114" i="8"/>
  <c r="W114" i="8"/>
  <c r="U114" i="8"/>
  <c r="AU113" i="8"/>
  <c r="AS113" i="8"/>
  <c r="W113" i="8"/>
  <c r="U113" i="8"/>
  <c r="AU112" i="8"/>
  <c r="AS112" i="8"/>
  <c r="W112" i="8"/>
  <c r="U112" i="8"/>
  <c r="AU111" i="8"/>
  <c r="AS111" i="8"/>
  <c r="W111" i="8"/>
  <c r="U111" i="8"/>
  <c r="AU110" i="8"/>
  <c r="AS110" i="8"/>
  <c r="W110" i="8"/>
  <c r="U110" i="8"/>
  <c r="AU109" i="8"/>
  <c r="AS109" i="8"/>
  <c r="W109" i="8"/>
  <c r="U109" i="8"/>
  <c r="AU108" i="8"/>
  <c r="AS108" i="8"/>
  <c r="W108" i="8"/>
  <c r="U108" i="8"/>
  <c r="AU107" i="8"/>
  <c r="AS107" i="8"/>
  <c r="W107" i="8"/>
  <c r="U107" i="8"/>
  <c r="AU106" i="8"/>
  <c r="AS106" i="8"/>
  <c r="W106" i="8"/>
  <c r="U106" i="8"/>
  <c r="AU105" i="8"/>
  <c r="AS105" i="8"/>
  <c r="W105" i="8"/>
  <c r="U105" i="8"/>
  <c r="AU104" i="8"/>
  <c r="AS104" i="8"/>
  <c r="W104" i="8"/>
  <c r="U104" i="8"/>
  <c r="AU103" i="8"/>
  <c r="AS103" i="8"/>
  <c r="W103" i="8"/>
  <c r="U103" i="8"/>
  <c r="AU102" i="8"/>
  <c r="AS102" i="8"/>
  <c r="W102" i="8"/>
  <c r="U102" i="8"/>
  <c r="AU101" i="8"/>
  <c r="AS101" i="8"/>
  <c r="W101" i="8"/>
  <c r="U101" i="8"/>
  <c r="AU100" i="8"/>
  <c r="AS100" i="8"/>
  <c r="W100" i="8"/>
  <c r="U100" i="8"/>
  <c r="AU99" i="8"/>
  <c r="AS99" i="8"/>
  <c r="W99" i="8"/>
  <c r="U99" i="8"/>
  <c r="AU98" i="8"/>
  <c r="AS98" i="8"/>
  <c r="W98" i="8"/>
  <c r="U98" i="8"/>
  <c r="AU97" i="8"/>
  <c r="AS97" i="8"/>
  <c r="W97" i="8"/>
  <c r="U97" i="8"/>
  <c r="AU96" i="8"/>
  <c r="AS96" i="8"/>
  <c r="W96" i="8"/>
  <c r="U96" i="8"/>
  <c r="AU95" i="8"/>
  <c r="AS95" i="8"/>
  <c r="W95" i="8"/>
  <c r="U95" i="8"/>
  <c r="AU94" i="8"/>
  <c r="AS94" i="8"/>
  <c r="W94" i="8"/>
  <c r="U94" i="8"/>
  <c r="AU93" i="8"/>
  <c r="AS93" i="8"/>
  <c r="W93" i="8"/>
  <c r="U93" i="8"/>
  <c r="AU92" i="8"/>
  <c r="AS92" i="8"/>
  <c r="W92" i="8"/>
  <c r="U92" i="8"/>
  <c r="AU91" i="8"/>
  <c r="AS91" i="8"/>
  <c r="W91" i="8"/>
  <c r="U91" i="8"/>
  <c r="AU90" i="8"/>
  <c r="AS90" i="8"/>
  <c r="W90" i="8"/>
  <c r="U90" i="8"/>
  <c r="AU89" i="8"/>
  <c r="AS89" i="8"/>
  <c r="W89" i="8"/>
  <c r="U89" i="8"/>
  <c r="AU88" i="8"/>
  <c r="AS88" i="8"/>
  <c r="W88" i="8"/>
  <c r="U88" i="8"/>
  <c r="AU87" i="8"/>
  <c r="AS87" i="8"/>
  <c r="W87" i="8"/>
  <c r="U87" i="8"/>
  <c r="AU86" i="8"/>
  <c r="AS86" i="8"/>
  <c r="W86" i="8"/>
  <c r="U86" i="8"/>
  <c r="AU85" i="8"/>
  <c r="AS85" i="8"/>
  <c r="W85" i="8"/>
  <c r="U85" i="8"/>
  <c r="AU84" i="8"/>
  <c r="AS84" i="8"/>
  <c r="W84" i="8"/>
  <c r="U84" i="8"/>
  <c r="AU83" i="8"/>
  <c r="AS83" i="8"/>
  <c r="W83" i="8"/>
  <c r="U83" i="8"/>
  <c r="AU82" i="8"/>
  <c r="AS82" i="8"/>
  <c r="W82" i="8"/>
  <c r="U82" i="8"/>
  <c r="AU81" i="8"/>
  <c r="AS81" i="8"/>
  <c r="W81" i="8"/>
  <c r="U81" i="8"/>
  <c r="AU80" i="8"/>
  <c r="AS80" i="8"/>
  <c r="W80" i="8"/>
  <c r="U80" i="8"/>
  <c r="AU79" i="8"/>
  <c r="AS79" i="8"/>
  <c r="W79" i="8"/>
  <c r="U79" i="8"/>
  <c r="AU78" i="8"/>
  <c r="AS78" i="8"/>
  <c r="W78" i="8"/>
  <c r="U78" i="8"/>
  <c r="AU77" i="8"/>
  <c r="AS77" i="8"/>
  <c r="W77" i="8"/>
  <c r="U77" i="8"/>
  <c r="AU76" i="8"/>
  <c r="AS76" i="8"/>
  <c r="W76" i="8"/>
  <c r="U76" i="8"/>
  <c r="AU75" i="8"/>
  <c r="AS75" i="8"/>
  <c r="W75" i="8"/>
  <c r="U75" i="8"/>
  <c r="AU74" i="8"/>
  <c r="AS74" i="8"/>
  <c r="W74" i="8"/>
  <c r="U74" i="8"/>
  <c r="AU73" i="8"/>
  <c r="AS73" i="8"/>
  <c r="W73" i="8"/>
  <c r="U73" i="8"/>
  <c r="AU72" i="8"/>
  <c r="AS72" i="8"/>
  <c r="W72" i="8"/>
  <c r="U72" i="8"/>
  <c r="AU71" i="8"/>
  <c r="AS71" i="8"/>
  <c r="W71" i="8"/>
  <c r="U71" i="8"/>
  <c r="AU70" i="8"/>
  <c r="AS70" i="8"/>
  <c r="W70" i="8"/>
  <c r="U70" i="8"/>
  <c r="AU69" i="8"/>
  <c r="AS69" i="8"/>
  <c r="W69" i="8"/>
  <c r="U69" i="8"/>
  <c r="AU68" i="8"/>
  <c r="AS68" i="8"/>
  <c r="W68" i="8"/>
  <c r="U68" i="8"/>
  <c r="AU67" i="8"/>
  <c r="AS67" i="8"/>
  <c r="W67" i="8"/>
  <c r="U67" i="8"/>
  <c r="AU66" i="8"/>
  <c r="AS66" i="8"/>
  <c r="W66" i="8"/>
  <c r="U66" i="8"/>
  <c r="AU65" i="8"/>
  <c r="AS65" i="8"/>
  <c r="W65" i="8"/>
  <c r="U65" i="8"/>
  <c r="AU64" i="8"/>
  <c r="AS64" i="8"/>
  <c r="W64" i="8"/>
  <c r="U64" i="8"/>
  <c r="AU63" i="8"/>
  <c r="AS63" i="8"/>
  <c r="W63" i="8"/>
  <c r="U63" i="8"/>
  <c r="AU62" i="8"/>
  <c r="AS62" i="8"/>
  <c r="W62" i="8"/>
  <c r="U62" i="8"/>
  <c r="AU61" i="8"/>
  <c r="AS61" i="8"/>
  <c r="W61" i="8"/>
  <c r="U61" i="8"/>
  <c r="AU60" i="8"/>
  <c r="AS60" i="8"/>
  <c r="W60" i="8"/>
  <c r="U60" i="8"/>
  <c r="AU59" i="8"/>
  <c r="AS59" i="8"/>
  <c r="W59" i="8"/>
  <c r="U59" i="8"/>
  <c r="AU58" i="8"/>
  <c r="AS58" i="8"/>
  <c r="W58" i="8"/>
  <c r="U58" i="8"/>
  <c r="AU57" i="8"/>
  <c r="AS57" i="8"/>
  <c r="W57" i="8"/>
  <c r="U57" i="8"/>
  <c r="AU56" i="8"/>
  <c r="AS56" i="8"/>
  <c r="W56" i="8"/>
  <c r="U56" i="8"/>
  <c r="AU55" i="8"/>
  <c r="AS55" i="8"/>
  <c r="W55" i="8"/>
  <c r="U55" i="8"/>
  <c r="AU54" i="8"/>
  <c r="AS54" i="8"/>
  <c r="W54" i="8"/>
  <c r="U54" i="8"/>
  <c r="AU53" i="8"/>
  <c r="AS53" i="8"/>
  <c r="W53" i="8"/>
  <c r="U53" i="8"/>
  <c r="AU52" i="8"/>
  <c r="AS52" i="8"/>
  <c r="W52" i="8"/>
  <c r="U52" i="8"/>
  <c r="AU51" i="8"/>
  <c r="AS51" i="8"/>
  <c r="W51" i="8"/>
  <c r="U51" i="8"/>
  <c r="AU50" i="8"/>
  <c r="AS50" i="8"/>
  <c r="W50" i="8"/>
  <c r="U50" i="8"/>
  <c r="AU49" i="8"/>
  <c r="AS49" i="8"/>
  <c r="W49" i="8"/>
  <c r="U49" i="8"/>
  <c r="AU48" i="8"/>
  <c r="AS48" i="8"/>
  <c r="W48" i="8"/>
  <c r="U48" i="8"/>
  <c r="AU47" i="8"/>
  <c r="AS47" i="8"/>
  <c r="W47" i="8"/>
  <c r="U47" i="8"/>
  <c r="AU46" i="8"/>
  <c r="AS46" i="8"/>
  <c r="W46" i="8"/>
  <c r="U46" i="8"/>
  <c r="AU45" i="8"/>
  <c r="AS45" i="8"/>
  <c r="W45" i="8"/>
  <c r="U45" i="8"/>
  <c r="AU44" i="8"/>
  <c r="AS44" i="8"/>
  <c r="W44" i="8"/>
  <c r="U44" i="8"/>
  <c r="AU43" i="8"/>
  <c r="AS43" i="8"/>
  <c r="W43" i="8"/>
  <c r="U43" i="8"/>
  <c r="AU42" i="8"/>
  <c r="AS42" i="8"/>
  <c r="W42" i="8"/>
  <c r="U42" i="8"/>
  <c r="AU41" i="8"/>
  <c r="AS41" i="8"/>
  <c r="W41" i="8"/>
  <c r="U41" i="8"/>
  <c r="AU40" i="8"/>
  <c r="AS40" i="8"/>
  <c r="W40" i="8"/>
  <c r="U40" i="8"/>
  <c r="AU39" i="8"/>
  <c r="AS39" i="8"/>
  <c r="W39" i="8"/>
  <c r="U39" i="8"/>
  <c r="AU38" i="8"/>
  <c r="AS38" i="8"/>
  <c r="W38" i="8"/>
  <c r="U38" i="8"/>
  <c r="AU37" i="8"/>
  <c r="AS37" i="8"/>
  <c r="W37" i="8"/>
  <c r="U37" i="8"/>
  <c r="AU36" i="8"/>
  <c r="AS36" i="8"/>
  <c r="W36" i="8"/>
  <c r="U36" i="8"/>
  <c r="AU35" i="8"/>
  <c r="AS35" i="8"/>
  <c r="W35" i="8"/>
  <c r="U35" i="8"/>
  <c r="AU34" i="8"/>
  <c r="AS34" i="8"/>
  <c r="W34" i="8"/>
  <c r="U34" i="8"/>
  <c r="AU33" i="8"/>
  <c r="AS33" i="8"/>
  <c r="W33" i="8"/>
  <c r="U33" i="8"/>
  <c r="AU32" i="8"/>
  <c r="AS32" i="8"/>
  <c r="W32" i="8"/>
  <c r="U32" i="8"/>
  <c r="AU31" i="8"/>
  <c r="AS31" i="8"/>
  <c r="W31" i="8"/>
  <c r="U31" i="8"/>
  <c r="AU30" i="8"/>
  <c r="AS30" i="8"/>
  <c r="W30" i="8"/>
  <c r="U30" i="8"/>
  <c r="AU29" i="8"/>
  <c r="AS29" i="8"/>
  <c r="W29" i="8"/>
  <c r="U29" i="8"/>
  <c r="AU28" i="8"/>
  <c r="AS28" i="8"/>
  <c r="W28" i="8"/>
  <c r="U28" i="8"/>
  <c r="AU27" i="8"/>
  <c r="AS27" i="8"/>
  <c r="W27" i="8"/>
  <c r="U27" i="8"/>
  <c r="AU26" i="8"/>
  <c r="AS26" i="8"/>
  <c r="W26" i="8"/>
  <c r="U26" i="8"/>
  <c r="AU25" i="8"/>
  <c r="AS25" i="8"/>
  <c r="W25" i="8"/>
  <c r="U25" i="8"/>
  <c r="AU24" i="8"/>
  <c r="AS24" i="8"/>
  <c r="W24" i="8"/>
  <c r="U24" i="8"/>
  <c r="AU23" i="8"/>
  <c r="AS23" i="8"/>
  <c r="W23" i="8"/>
  <c r="U23" i="8"/>
  <c r="AU22" i="8"/>
  <c r="AS22" i="8"/>
  <c r="W22" i="8"/>
  <c r="U22" i="8"/>
  <c r="AU21" i="8"/>
  <c r="AS21" i="8"/>
  <c r="W21" i="8"/>
  <c r="U21" i="8"/>
  <c r="AU20" i="8"/>
  <c r="Z6" i="8" s="1"/>
  <c r="AS20" i="8"/>
  <c r="W20" i="8"/>
  <c r="U20" i="8"/>
  <c r="AC12" i="8"/>
  <c r="AB12" i="8"/>
  <c r="AA12" i="8"/>
  <c r="Y12" i="8"/>
  <c r="E12" i="8"/>
  <c r="D12" i="8"/>
  <c r="C12" i="8"/>
  <c r="A12" i="8"/>
  <c r="AF9" i="8"/>
  <c r="H9" i="8"/>
  <c r="AC6" i="8"/>
  <c r="AB6" i="8"/>
  <c r="E6" i="8"/>
  <c r="D6" i="8"/>
  <c r="G6" i="8" s="1"/>
  <c r="A6" i="8" l="1"/>
  <c r="AD12" i="8"/>
  <c r="Y9" i="8" s="1"/>
  <c r="Z9" i="8" s="1"/>
  <c r="Z12" i="8" s="1"/>
  <c r="AE6" i="8"/>
  <c r="F9" i="8"/>
  <c r="Y6" i="8"/>
  <c r="B6" i="8"/>
  <c r="AD9" i="8"/>
  <c r="E9" i="8"/>
  <c r="AC9" i="8"/>
  <c r="F6" i="8"/>
  <c r="C6" i="8" s="1"/>
  <c r="F12" i="8"/>
  <c r="AH16" i="9"/>
  <c r="AI16" i="9" s="1"/>
  <c r="J16" i="9"/>
  <c r="K16" i="9" s="1"/>
  <c r="AD6" i="8"/>
  <c r="AA6" i="8" s="1"/>
  <c r="Y12" i="7"/>
  <c r="AF9" i="7"/>
  <c r="AC6" i="7"/>
  <c r="AB6" i="7"/>
  <c r="AE6" i="7" s="1"/>
  <c r="Y9" i="7" s="1"/>
  <c r="A12" i="7"/>
  <c r="H9" i="7"/>
  <c r="E6" i="7"/>
  <c r="D6" i="7"/>
  <c r="G6" i="7" s="1"/>
  <c r="A9" i="7" s="1"/>
  <c r="AS536" i="7"/>
  <c r="U536" i="7"/>
  <c r="AU535" i="7"/>
  <c r="AS535" i="7"/>
  <c r="W535" i="7"/>
  <c r="U535" i="7"/>
  <c r="AU534" i="7"/>
  <c r="AS534" i="7"/>
  <c r="W534" i="7"/>
  <c r="U534" i="7"/>
  <c r="AU533" i="7"/>
  <c r="AS533" i="7"/>
  <c r="W533" i="7"/>
  <c r="U533" i="7"/>
  <c r="AU532" i="7"/>
  <c r="AS532" i="7"/>
  <c r="W532" i="7"/>
  <c r="U532" i="7"/>
  <c r="AU531" i="7"/>
  <c r="AS531" i="7"/>
  <c r="W531" i="7"/>
  <c r="U531" i="7"/>
  <c r="AU530" i="7"/>
  <c r="AS530" i="7"/>
  <c r="W530" i="7"/>
  <c r="U530" i="7"/>
  <c r="AU529" i="7"/>
  <c r="AS529" i="7"/>
  <c r="W529" i="7"/>
  <c r="U529" i="7"/>
  <c r="AU528" i="7"/>
  <c r="AS528" i="7"/>
  <c r="W528" i="7"/>
  <c r="U528" i="7"/>
  <c r="AU527" i="7"/>
  <c r="AS527" i="7"/>
  <c r="W527" i="7"/>
  <c r="U527" i="7"/>
  <c r="AU526" i="7"/>
  <c r="AS526" i="7"/>
  <c r="W526" i="7"/>
  <c r="U526" i="7"/>
  <c r="AU525" i="7"/>
  <c r="AS525" i="7"/>
  <c r="W525" i="7"/>
  <c r="U525" i="7"/>
  <c r="AU524" i="7"/>
  <c r="AS524" i="7"/>
  <c r="W524" i="7"/>
  <c r="U524" i="7"/>
  <c r="AU523" i="7"/>
  <c r="AS523" i="7"/>
  <c r="W523" i="7"/>
  <c r="U523" i="7"/>
  <c r="AU522" i="7"/>
  <c r="AS522" i="7"/>
  <c r="W522" i="7"/>
  <c r="U522" i="7"/>
  <c r="AU521" i="7"/>
  <c r="AS521" i="7"/>
  <c r="W521" i="7"/>
  <c r="U521" i="7"/>
  <c r="AU520" i="7"/>
  <c r="AS520" i="7"/>
  <c r="W520" i="7"/>
  <c r="U520" i="7"/>
  <c r="AU519" i="7"/>
  <c r="AS519" i="7"/>
  <c r="W519" i="7"/>
  <c r="U519" i="7"/>
  <c r="AU518" i="7"/>
  <c r="AS518" i="7"/>
  <c r="W518" i="7"/>
  <c r="U518" i="7"/>
  <c r="AU517" i="7"/>
  <c r="AS517" i="7"/>
  <c r="W517" i="7"/>
  <c r="U517" i="7"/>
  <c r="AU516" i="7"/>
  <c r="AS516" i="7"/>
  <c r="W516" i="7"/>
  <c r="U516" i="7"/>
  <c r="AU515" i="7"/>
  <c r="AS515" i="7"/>
  <c r="W515" i="7"/>
  <c r="U515" i="7"/>
  <c r="AU514" i="7"/>
  <c r="AS514" i="7"/>
  <c r="W514" i="7"/>
  <c r="U514" i="7"/>
  <c r="AU513" i="7"/>
  <c r="AS513" i="7"/>
  <c r="W513" i="7"/>
  <c r="U513" i="7"/>
  <c r="AU512" i="7"/>
  <c r="AS512" i="7"/>
  <c r="W512" i="7"/>
  <c r="U512" i="7"/>
  <c r="AU511" i="7"/>
  <c r="AS511" i="7"/>
  <c r="W511" i="7"/>
  <c r="U511" i="7"/>
  <c r="AU510" i="7"/>
  <c r="AS510" i="7"/>
  <c r="W510" i="7"/>
  <c r="U510" i="7"/>
  <c r="AU509" i="7"/>
  <c r="AS509" i="7"/>
  <c r="W509" i="7"/>
  <c r="U509" i="7"/>
  <c r="AU508" i="7"/>
  <c r="AS508" i="7"/>
  <c r="W508" i="7"/>
  <c r="U508" i="7"/>
  <c r="AU507" i="7"/>
  <c r="AS507" i="7"/>
  <c r="W507" i="7"/>
  <c r="U507" i="7"/>
  <c r="AU506" i="7"/>
  <c r="AS506" i="7"/>
  <c r="W506" i="7"/>
  <c r="U506" i="7"/>
  <c r="AU505" i="7"/>
  <c r="AS505" i="7"/>
  <c r="W505" i="7"/>
  <c r="U505" i="7"/>
  <c r="AU504" i="7"/>
  <c r="AS504" i="7"/>
  <c r="W504" i="7"/>
  <c r="U504" i="7"/>
  <c r="AU503" i="7"/>
  <c r="AS503" i="7"/>
  <c r="W503" i="7"/>
  <c r="U503" i="7"/>
  <c r="AU502" i="7"/>
  <c r="AS502" i="7"/>
  <c r="W502" i="7"/>
  <c r="U502" i="7"/>
  <c r="AU501" i="7"/>
  <c r="AS501" i="7"/>
  <c r="W501" i="7"/>
  <c r="U501" i="7"/>
  <c r="AU500" i="7"/>
  <c r="AS500" i="7"/>
  <c r="W500" i="7"/>
  <c r="U500" i="7"/>
  <c r="AU499" i="7"/>
  <c r="AS499" i="7"/>
  <c r="W499" i="7"/>
  <c r="U499" i="7"/>
  <c r="AU498" i="7"/>
  <c r="AS498" i="7"/>
  <c r="W498" i="7"/>
  <c r="U498" i="7"/>
  <c r="AU497" i="7"/>
  <c r="AS497" i="7"/>
  <c r="W497" i="7"/>
  <c r="U497" i="7"/>
  <c r="AU496" i="7"/>
  <c r="AS496" i="7"/>
  <c r="W496" i="7"/>
  <c r="U496" i="7"/>
  <c r="AU495" i="7"/>
  <c r="AS495" i="7"/>
  <c r="W495" i="7"/>
  <c r="U495" i="7"/>
  <c r="AU494" i="7"/>
  <c r="AS494" i="7"/>
  <c r="W494" i="7"/>
  <c r="U494" i="7"/>
  <c r="AU493" i="7"/>
  <c r="AS493" i="7"/>
  <c r="W493" i="7"/>
  <c r="U493" i="7"/>
  <c r="AU492" i="7"/>
  <c r="AS492" i="7"/>
  <c r="W492" i="7"/>
  <c r="U492" i="7"/>
  <c r="AU491" i="7"/>
  <c r="AS491" i="7"/>
  <c r="W491" i="7"/>
  <c r="U491" i="7"/>
  <c r="AU490" i="7"/>
  <c r="AS490" i="7"/>
  <c r="W490" i="7"/>
  <c r="U490" i="7"/>
  <c r="AU489" i="7"/>
  <c r="AS489" i="7"/>
  <c r="W489" i="7"/>
  <c r="U489" i="7"/>
  <c r="AU488" i="7"/>
  <c r="AS488" i="7"/>
  <c r="W488" i="7"/>
  <c r="U488" i="7"/>
  <c r="AU487" i="7"/>
  <c r="AS487" i="7"/>
  <c r="W487" i="7"/>
  <c r="U487" i="7"/>
  <c r="AU486" i="7"/>
  <c r="AS486" i="7"/>
  <c r="W486" i="7"/>
  <c r="U486" i="7"/>
  <c r="AU485" i="7"/>
  <c r="AS485" i="7"/>
  <c r="W485" i="7"/>
  <c r="U485" i="7"/>
  <c r="AU484" i="7"/>
  <c r="AS484" i="7"/>
  <c r="W484" i="7"/>
  <c r="U484" i="7"/>
  <c r="AU483" i="7"/>
  <c r="AS483" i="7"/>
  <c r="W483" i="7"/>
  <c r="U483" i="7"/>
  <c r="AU482" i="7"/>
  <c r="AS482" i="7"/>
  <c r="W482" i="7"/>
  <c r="U482" i="7"/>
  <c r="AU481" i="7"/>
  <c r="AS481" i="7"/>
  <c r="W481" i="7"/>
  <c r="U481" i="7"/>
  <c r="AU480" i="7"/>
  <c r="AS480" i="7"/>
  <c r="W480" i="7"/>
  <c r="U480" i="7"/>
  <c r="AU479" i="7"/>
  <c r="AS479" i="7"/>
  <c r="W479" i="7"/>
  <c r="U479" i="7"/>
  <c r="AU478" i="7"/>
  <c r="AS478" i="7"/>
  <c r="W478" i="7"/>
  <c r="U478" i="7"/>
  <c r="AU477" i="7"/>
  <c r="AS477" i="7"/>
  <c r="W477" i="7"/>
  <c r="U477" i="7"/>
  <c r="AU476" i="7"/>
  <c r="AS476" i="7"/>
  <c r="W476" i="7"/>
  <c r="U476" i="7"/>
  <c r="AU475" i="7"/>
  <c r="AS475" i="7"/>
  <c r="W475" i="7"/>
  <c r="U475" i="7"/>
  <c r="AU474" i="7"/>
  <c r="AS474" i="7"/>
  <c r="W474" i="7"/>
  <c r="U474" i="7"/>
  <c r="AU473" i="7"/>
  <c r="AS473" i="7"/>
  <c r="W473" i="7"/>
  <c r="U473" i="7"/>
  <c r="AU472" i="7"/>
  <c r="AS472" i="7"/>
  <c r="W472" i="7"/>
  <c r="U472" i="7"/>
  <c r="AU471" i="7"/>
  <c r="AS471" i="7"/>
  <c r="W471" i="7"/>
  <c r="U471" i="7"/>
  <c r="AU470" i="7"/>
  <c r="AS470" i="7"/>
  <c r="W470" i="7"/>
  <c r="U470" i="7"/>
  <c r="AU469" i="7"/>
  <c r="AS469" i="7"/>
  <c r="W469" i="7"/>
  <c r="U469" i="7"/>
  <c r="AU468" i="7"/>
  <c r="AS468" i="7"/>
  <c r="W468" i="7"/>
  <c r="U468" i="7"/>
  <c r="AU467" i="7"/>
  <c r="AS467" i="7"/>
  <c r="W467" i="7"/>
  <c r="U467" i="7"/>
  <c r="AU466" i="7"/>
  <c r="AS466" i="7"/>
  <c r="W466" i="7"/>
  <c r="U466" i="7"/>
  <c r="AU465" i="7"/>
  <c r="AS465" i="7"/>
  <c r="W465" i="7"/>
  <c r="U465" i="7"/>
  <c r="AU464" i="7"/>
  <c r="AS464" i="7"/>
  <c r="W464" i="7"/>
  <c r="U464" i="7"/>
  <c r="AU463" i="7"/>
  <c r="AS463" i="7"/>
  <c r="W463" i="7"/>
  <c r="U463" i="7"/>
  <c r="AU462" i="7"/>
  <c r="AS462" i="7"/>
  <c r="W462" i="7"/>
  <c r="U462" i="7"/>
  <c r="AU461" i="7"/>
  <c r="AS461" i="7"/>
  <c r="W461" i="7"/>
  <c r="U461" i="7"/>
  <c r="AU460" i="7"/>
  <c r="AS460" i="7"/>
  <c r="W460" i="7"/>
  <c r="U460" i="7"/>
  <c r="AU459" i="7"/>
  <c r="AS459" i="7"/>
  <c r="W459" i="7"/>
  <c r="U459" i="7"/>
  <c r="AU458" i="7"/>
  <c r="AS458" i="7"/>
  <c r="W458" i="7"/>
  <c r="U458" i="7"/>
  <c r="AU457" i="7"/>
  <c r="AS457" i="7"/>
  <c r="W457" i="7"/>
  <c r="U457" i="7"/>
  <c r="AU456" i="7"/>
  <c r="AS456" i="7"/>
  <c r="W456" i="7"/>
  <c r="U456" i="7"/>
  <c r="AU455" i="7"/>
  <c r="AS455" i="7"/>
  <c r="W455" i="7"/>
  <c r="U455" i="7"/>
  <c r="AU454" i="7"/>
  <c r="AS454" i="7"/>
  <c r="W454" i="7"/>
  <c r="U454" i="7"/>
  <c r="AU453" i="7"/>
  <c r="AS453" i="7"/>
  <c r="W453" i="7"/>
  <c r="U453" i="7"/>
  <c r="AU452" i="7"/>
  <c r="AS452" i="7"/>
  <c r="W452" i="7"/>
  <c r="U452" i="7"/>
  <c r="AU451" i="7"/>
  <c r="AS451" i="7"/>
  <c r="W451" i="7"/>
  <c r="U451" i="7"/>
  <c r="AU450" i="7"/>
  <c r="AS450" i="7"/>
  <c r="W450" i="7"/>
  <c r="U450" i="7"/>
  <c r="AU449" i="7"/>
  <c r="AS449" i="7"/>
  <c r="W449" i="7"/>
  <c r="U449" i="7"/>
  <c r="AU448" i="7"/>
  <c r="AS448" i="7"/>
  <c r="W448" i="7"/>
  <c r="U448" i="7"/>
  <c r="AU447" i="7"/>
  <c r="AS447" i="7"/>
  <c r="W447" i="7"/>
  <c r="U447" i="7"/>
  <c r="AU446" i="7"/>
  <c r="AS446" i="7"/>
  <c r="W446" i="7"/>
  <c r="U446" i="7"/>
  <c r="AU445" i="7"/>
  <c r="AS445" i="7"/>
  <c r="W445" i="7"/>
  <c r="U445" i="7"/>
  <c r="AU444" i="7"/>
  <c r="AS444" i="7"/>
  <c r="W444" i="7"/>
  <c r="U444" i="7"/>
  <c r="AU443" i="7"/>
  <c r="AS443" i="7"/>
  <c r="W443" i="7"/>
  <c r="U443" i="7"/>
  <c r="AU442" i="7"/>
  <c r="AS442" i="7"/>
  <c r="W442" i="7"/>
  <c r="U442" i="7"/>
  <c r="AU441" i="7"/>
  <c r="AS441" i="7"/>
  <c r="W441" i="7"/>
  <c r="U441" i="7"/>
  <c r="AU440" i="7"/>
  <c r="AS440" i="7"/>
  <c r="W440" i="7"/>
  <c r="U440" i="7"/>
  <c r="AU439" i="7"/>
  <c r="AS439" i="7"/>
  <c r="W439" i="7"/>
  <c r="U439" i="7"/>
  <c r="AU438" i="7"/>
  <c r="AS438" i="7"/>
  <c r="W438" i="7"/>
  <c r="U438" i="7"/>
  <c r="AU437" i="7"/>
  <c r="AS437" i="7"/>
  <c r="W437" i="7"/>
  <c r="U437" i="7"/>
  <c r="AU436" i="7"/>
  <c r="AS436" i="7"/>
  <c r="W436" i="7"/>
  <c r="U436" i="7"/>
  <c r="AU435" i="7"/>
  <c r="AS435" i="7"/>
  <c r="W435" i="7"/>
  <c r="U435" i="7"/>
  <c r="AU434" i="7"/>
  <c r="AS434" i="7"/>
  <c r="W434" i="7"/>
  <c r="U434" i="7"/>
  <c r="AU433" i="7"/>
  <c r="AS433" i="7"/>
  <c r="W433" i="7"/>
  <c r="U433" i="7"/>
  <c r="AU432" i="7"/>
  <c r="AS432" i="7"/>
  <c r="W432" i="7"/>
  <c r="U432" i="7"/>
  <c r="AU431" i="7"/>
  <c r="AS431" i="7"/>
  <c r="W431" i="7"/>
  <c r="U431" i="7"/>
  <c r="AU430" i="7"/>
  <c r="AS430" i="7"/>
  <c r="W430" i="7"/>
  <c r="U430" i="7"/>
  <c r="AU429" i="7"/>
  <c r="AS429" i="7"/>
  <c r="W429" i="7"/>
  <c r="U429" i="7"/>
  <c r="AU428" i="7"/>
  <c r="AS428" i="7"/>
  <c r="W428" i="7"/>
  <c r="U428" i="7"/>
  <c r="AU427" i="7"/>
  <c r="AS427" i="7"/>
  <c r="W427" i="7"/>
  <c r="U427" i="7"/>
  <c r="AU426" i="7"/>
  <c r="AS426" i="7"/>
  <c r="W426" i="7"/>
  <c r="U426" i="7"/>
  <c r="AU425" i="7"/>
  <c r="AS425" i="7"/>
  <c r="W425" i="7"/>
  <c r="U425" i="7"/>
  <c r="AU424" i="7"/>
  <c r="AS424" i="7"/>
  <c r="W424" i="7"/>
  <c r="U424" i="7"/>
  <c r="AU423" i="7"/>
  <c r="AS423" i="7"/>
  <c r="W423" i="7"/>
  <c r="U423" i="7"/>
  <c r="AU422" i="7"/>
  <c r="AS422" i="7"/>
  <c r="W422" i="7"/>
  <c r="U422" i="7"/>
  <c r="AU421" i="7"/>
  <c r="AS421" i="7"/>
  <c r="W421" i="7"/>
  <c r="U421" i="7"/>
  <c r="AU420" i="7"/>
  <c r="AS420" i="7"/>
  <c r="W420" i="7"/>
  <c r="U420" i="7"/>
  <c r="AU419" i="7"/>
  <c r="AS419" i="7"/>
  <c r="W419" i="7"/>
  <c r="U419" i="7"/>
  <c r="AU418" i="7"/>
  <c r="AS418" i="7"/>
  <c r="W418" i="7"/>
  <c r="U418" i="7"/>
  <c r="AU417" i="7"/>
  <c r="AS417" i="7"/>
  <c r="W417" i="7"/>
  <c r="U417" i="7"/>
  <c r="AU416" i="7"/>
  <c r="AS416" i="7"/>
  <c r="W416" i="7"/>
  <c r="U416" i="7"/>
  <c r="AU415" i="7"/>
  <c r="AS415" i="7"/>
  <c r="W415" i="7"/>
  <c r="U415" i="7"/>
  <c r="AU414" i="7"/>
  <c r="AS414" i="7"/>
  <c r="W414" i="7"/>
  <c r="U414" i="7"/>
  <c r="AU413" i="7"/>
  <c r="AS413" i="7"/>
  <c r="W413" i="7"/>
  <c r="U413" i="7"/>
  <c r="AU412" i="7"/>
  <c r="AS412" i="7"/>
  <c r="W412" i="7"/>
  <c r="U412" i="7"/>
  <c r="AU411" i="7"/>
  <c r="AS411" i="7"/>
  <c r="W411" i="7"/>
  <c r="U411" i="7"/>
  <c r="AU410" i="7"/>
  <c r="AS410" i="7"/>
  <c r="W410" i="7"/>
  <c r="U410" i="7"/>
  <c r="AU409" i="7"/>
  <c r="AS409" i="7"/>
  <c r="W409" i="7"/>
  <c r="U409" i="7"/>
  <c r="AU408" i="7"/>
  <c r="AS408" i="7"/>
  <c r="W408" i="7"/>
  <c r="U408" i="7"/>
  <c r="AU407" i="7"/>
  <c r="AS407" i="7"/>
  <c r="W407" i="7"/>
  <c r="U407" i="7"/>
  <c r="AU406" i="7"/>
  <c r="AS406" i="7"/>
  <c r="W406" i="7"/>
  <c r="U406" i="7"/>
  <c r="AU405" i="7"/>
  <c r="AS405" i="7"/>
  <c r="W405" i="7"/>
  <c r="U405" i="7"/>
  <c r="AU404" i="7"/>
  <c r="AS404" i="7"/>
  <c r="W404" i="7"/>
  <c r="U404" i="7"/>
  <c r="AU403" i="7"/>
  <c r="AS403" i="7"/>
  <c r="W403" i="7"/>
  <c r="U403" i="7"/>
  <c r="AU402" i="7"/>
  <c r="AS402" i="7"/>
  <c r="W402" i="7"/>
  <c r="U402" i="7"/>
  <c r="AU401" i="7"/>
  <c r="AS401" i="7"/>
  <c r="W401" i="7"/>
  <c r="U401" i="7"/>
  <c r="AU400" i="7"/>
  <c r="AS400" i="7"/>
  <c r="W400" i="7"/>
  <c r="U400" i="7"/>
  <c r="AU399" i="7"/>
  <c r="AS399" i="7"/>
  <c r="W399" i="7"/>
  <c r="U399" i="7"/>
  <c r="AU398" i="7"/>
  <c r="AS398" i="7"/>
  <c r="W398" i="7"/>
  <c r="U398" i="7"/>
  <c r="AU397" i="7"/>
  <c r="AS397" i="7"/>
  <c r="W397" i="7"/>
  <c r="U397" i="7"/>
  <c r="AU396" i="7"/>
  <c r="AS396" i="7"/>
  <c r="W396" i="7"/>
  <c r="U396" i="7"/>
  <c r="AU395" i="7"/>
  <c r="AS395" i="7"/>
  <c r="W395" i="7"/>
  <c r="U395" i="7"/>
  <c r="AU394" i="7"/>
  <c r="AS394" i="7"/>
  <c r="W394" i="7"/>
  <c r="U394" i="7"/>
  <c r="AU393" i="7"/>
  <c r="AS393" i="7"/>
  <c r="W393" i="7"/>
  <c r="U393" i="7"/>
  <c r="AU392" i="7"/>
  <c r="AS392" i="7"/>
  <c r="W392" i="7"/>
  <c r="U392" i="7"/>
  <c r="AU391" i="7"/>
  <c r="AS391" i="7"/>
  <c r="W391" i="7"/>
  <c r="U391" i="7"/>
  <c r="AU390" i="7"/>
  <c r="AS390" i="7"/>
  <c r="W390" i="7"/>
  <c r="U390" i="7"/>
  <c r="AU389" i="7"/>
  <c r="AS389" i="7"/>
  <c r="W389" i="7"/>
  <c r="U389" i="7"/>
  <c r="AU388" i="7"/>
  <c r="AS388" i="7"/>
  <c r="W388" i="7"/>
  <c r="U388" i="7"/>
  <c r="AU387" i="7"/>
  <c r="AS387" i="7"/>
  <c r="W387" i="7"/>
  <c r="U387" i="7"/>
  <c r="AU386" i="7"/>
  <c r="AS386" i="7"/>
  <c r="W386" i="7"/>
  <c r="U386" i="7"/>
  <c r="AU385" i="7"/>
  <c r="AS385" i="7"/>
  <c r="W385" i="7"/>
  <c r="U385" i="7"/>
  <c r="AU384" i="7"/>
  <c r="AS384" i="7"/>
  <c r="W384" i="7"/>
  <c r="U384" i="7"/>
  <c r="AU383" i="7"/>
  <c r="AS383" i="7"/>
  <c r="W383" i="7"/>
  <c r="U383" i="7"/>
  <c r="AU382" i="7"/>
  <c r="AS382" i="7"/>
  <c r="W382" i="7"/>
  <c r="U382" i="7"/>
  <c r="AU381" i="7"/>
  <c r="AS381" i="7"/>
  <c r="W381" i="7"/>
  <c r="U381" i="7"/>
  <c r="AU380" i="7"/>
  <c r="AS380" i="7"/>
  <c r="W380" i="7"/>
  <c r="U380" i="7"/>
  <c r="AU379" i="7"/>
  <c r="AS379" i="7"/>
  <c r="W379" i="7"/>
  <c r="U379" i="7"/>
  <c r="AU378" i="7"/>
  <c r="AS378" i="7"/>
  <c r="W378" i="7"/>
  <c r="U378" i="7"/>
  <c r="AU377" i="7"/>
  <c r="AS377" i="7"/>
  <c r="W377" i="7"/>
  <c r="U377" i="7"/>
  <c r="AU376" i="7"/>
  <c r="AS376" i="7"/>
  <c r="W376" i="7"/>
  <c r="U376" i="7"/>
  <c r="AU375" i="7"/>
  <c r="AS375" i="7"/>
  <c r="W375" i="7"/>
  <c r="U375" i="7"/>
  <c r="AU374" i="7"/>
  <c r="AS374" i="7"/>
  <c r="W374" i="7"/>
  <c r="U374" i="7"/>
  <c r="AU373" i="7"/>
  <c r="AS373" i="7"/>
  <c r="W373" i="7"/>
  <c r="U373" i="7"/>
  <c r="AU372" i="7"/>
  <c r="AS372" i="7"/>
  <c r="W372" i="7"/>
  <c r="U372" i="7"/>
  <c r="AU371" i="7"/>
  <c r="AS371" i="7"/>
  <c r="W371" i="7"/>
  <c r="U371" i="7"/>
  <c r="AU370" i="7"/>
  <c r="AS370" i="7"/>
  <c r="W370" i="7"/>
  <c r="U370" i="7"/>
  <c r="AU369" i="7"/>
  <c r="AS369" i="7"/>
  <c r="W369" i="7"/>
  <c r="U369" i="7"/>
  <c r="AU368" i="7"/>
  <c r="AS368" i="7"/>
  <c r="W368" i="7"/>
  <c r="U368" i="7"/>
  <c r="AU367" i="7"/>
  <c r="AS367" i="7"/>
  <c r="W367" i="7"/>
  <c r="U367" i="7"/>
  <c r="AU366" i="7"/>
  <c r="AS366" i="7"/>
  <c r="W366" i="7"/>
  <c r="U366" i="7"/>
  <c r="AU365" i="7"/>
  <c r="AS365" i="7"/>
  <c r="W365" i="7"/>
  <c r="U365" i="7"/>
  <c r="AU364" i="7"/>
  <c r="AS364" i="7"/>
  <c r="W364" i="7"/>
  <c r="U364" i="7"/>
  <c r="AU363" i="7"/>
  <c r="AS363" i="7"/>
  <c r="W363" i="7"/>
  <c r="U363" i="7"/>
  <c r="AU362" i="7"/>
  <c r="AS362" i="7"/>
  <c r="W362" i="7"/>
  <c r="U362" i="7"/>
  <c r="AU361" i="7"/>
  <c r="AS361" i="7"/>
  <c r="W361" i="7"/>
  <c r="U361" i="7"/>
  <c r="AU360" i="7"/>
  <c r="AS360" i="7"/>
  <c r="W360" i="7"/>
  <c r="U360" i="7"/>
  <c r="AU359" i="7"/>
  <c r="AS359" i="7"/>
  <c r="W359" i="7"/>
  <c r="U359" i="7"/>
  <c r="AU358" i="7"/>
  <c r="AS358" i="7"/>
  <c r="W358" i="7"/>
  <c r="U358" i="7"/>
  <c r="AU357" i="7"/>
  <c r="AS357" i="7"/>
  <c r="W357" i="7"/>
  <c r="U357" i="7"/>
  <c r="AU356" i="7"/>
  <c r="AS356" i="7"/>
  <c r="W356" i="7"/>
  <c r="U356" i="7"/>
  <c r="AU355" i="7"/>
  <c r="AS355" i="7"/>
  <c r="W355" i="7"/>
  <c r="U355" i="7"/>
  <c r="AU354" i="7"/>
  <c r="AS354" i="7"/>
  <c r="W354" i="7"/>
  <c r="U354" i="7"/>
  <c r="AU353" i="7"/>
  <c r="AS353" i="7"/>
  <c r="W353" i="7"/>
  <c r="U353" i="7"/>
  <c r="AU352" i="7"/>
  <c r="AS352" i="7"/>
  <c r="W352" i="7"/>
  <c r="U352" i="7"/>
  <c r="AU351" i="7"/>
  <c r="AS351" i="7"/>
  <c r="W351" i="7"/>
  <c r="U351" i="7"/>
  <c r="AU350" i="7"/>
  <c r="AS350" i="7"/>
  <c r="W350" i="7"/>
  <c r="U350" i="7"/>
  <c r="AU349" i="7"/>
  <c r="AS349" i="7"/>
  <c r="W349" i="7"/>
  <c r="U349" i="7"/>
  <c r="AU348" i="7"/>
  <c r="AS348" i="7"/>
  <c r="W348" i="7"/>
  <c r="U348" i="7"/>
  <c r="AU347" i="7"/>
  <c r="AS347" i="7"/>
  <c r="W347" i="7"/>
  <c r="U347" i="7"/>
  <c r="AU346" i="7"/>
  <c r="AS346" i="7"/>
  <c r="W346" i="7"/>
  <c r="U346" i="7"/>
  <c r="AU345" i="7"/>
  <c r="AS345" i="7"/>
  <c r="W345" i="7"/>
  <c r="U345" i="7"/>
  <c r="AU344" i="7"/>
  <c r="AS344" i="7"/>
  <c r="W344" i="7"/>
  <c r="U344" i="7"/>
  <c r="AU343" i="7"/>
  <c r="AS343" i="7"/>
  <c r="W343" i="7"/>
  <c r="U343" i="7"/>
  <c r="AU342" i="7"/>
  <c r="AS342" i="7"/>
  <c r="W342" i="7"/>
  <c r="U342" i="7"/>
  <c r="AU341" i="7"/>
  <c r="AS341" i="7"/>
  <c r="W341" i="7"/>
  <c r="U341" i="7"/>
  <c r="AU340" i="7"/>
  <c r="AS340" i="7"/>
  <c r="W340" i="7"/>
  <c r="U340" i="7"/>
  <c r="AU339" i="7"/>
  <c r="AS339" i="7"/>
  <c r="W339" i="7"/>
  <c r="U339" i="7"/>
  <c r="AU338" i="7"/>
  <c r="AS338" i="7"/>
  <c r="W338" i="7"/>
  <c r="U338" i="7"/>
  <c r="AU337" i="7"/>
  <c r="AS337" i="7"/>
  <c r="W337" i="7"/>
  <c r="U337" i="7"/>
  <c r="AU336" i="7"/>
  <c r="AS336" i="7"/>
  <c r="W336" i="7"/>
  <c r="U336" i="7"/>
  <c r="AU335" i="7"/>
  <c r="AS335" i="7"/>
  <c r="W335" i="7"/>
  <c r="U335" i="7"/>
  <c r="AU334" i="7"/>
  <c r="AS334" i="7"/>
  <c r="W334" i="7"/>
  <c r="U334" i="7"/>
  <c r="AU333" i="7"/>
  <c r="AS333" i="7"/>
  <c r="W333" i="7"/>
  <c r="U333" i="7"/>
  <c r="AU332" i="7"/>
  <c r="AS332" i="7"/>
  <c r="W332" i="7"/>
  <c r="U332" i="7"/>
  <c r="AU331" i="7"/>
  <c r="AS331" i="7"/>
  <c r="W331" i="7"/>
  <c r="U331" i="7"/>
  <c r="AU330" i="7"/>
  <c r="AS330" i="7"/>
  <c r="W330" i="7"/>
  <c r="U330" i="7"/>
  <c r="AU329" i="7"/>
  <c r="AS329" i="7"/>
  <c r="W329" i="7"/>
  <c r="U329" i="7"/>
  <c r="AU328" i="7"/>
  <c r="AS328" i="7"/>
  <c r="W328" i="7"/>
  <c r="U328" i="7"/>
  <c r="AU327" i="7"/>
  <c r="AS327" i="7"/>
  <c r="W327" i="7"/>
  <c r="U327" i="7"/>
  <c r="AU326" i="7"/>
  <c r="AS326" i="7"/>
  <c r="W326" i="7"/>
  <c r="U326" i="7"/>
  <c r="AU325" i="7"/>
  <c r="AS325" i="7"/>
  <c r="W325" i="7"/>
  <c r="U325" i="7"/>
  <c r="AU324" i="7"/>
  <c r="AS324" i="7"/>
  <c r="W324" i="7"/>
  <c r="U324" i="7"/>
  <c r="AU323" i="7"/>
  <c r="AS323" i="7"/>
  <c r="W323" i="7"/>
  <c r="U323" i="7"/>
  <c r="AU322" i="7"/>
  <c r="AS322" i="7"/>
  <c r="W322" i="7"/>
  <c r="U322" i="7"/>
  <c r="AU321" i="7"/>
  <c r="AS321" i="7"/>
  <c r="W321" i="7"/>
  <c r="U321" i="7"/>
  <c r="AU320" i="7"/>
  <c r="AS320" i="7"/>
  <c r="W320" i="7"/>
  <c r="U320" i="7"/>
  <c r="AU319" i="7"/>
  <c r="AS319" i="7"/>
  <c r="W319" i="7"/>
  <c r="U319" i="7"/>
  <c r="AU318" i="7"/>
  <c r="AS318" i="7"/>
  <c r="W318" i="7"/>
  <c r="U318" i="7"/>
  <c r="AU317" i="7"/>
  <c r="AS317" i="7"/>
  <c r="W317" i="7"/>
  <c r="U317" i="7"/>
  <c r="AU316" i="7"/>
  <c r="AS316" i="7"/>
  <c r="W316" i="7"/>
  <c r="U316" i="7"/>
  <c r="AU315" i="7"/>
  <c r="AS315" i="7"/>
  <c r="W315" i="7"/>
  <c r="U315" i="7"/>
  <c r="AU314" i="7"/>
  <c r="AS314" i="7"/>
  <c r="W314" i="7"/>
  <c r="U314" i="7"/>
  <c r="AU313" i="7"/>
  <c r="AS313" i="7"/>
  <c r="W313" i="7"/>
  <c r="U313" i="7"/>
  <c r="AU312" i="7"/>
  <c r="AS312" i="7"/>
  <c r="W312" i="7"/>
  <c r="U312" i="7"/>
  <c r="AU311" i="7"/>
  <c r="AS311" i="7"/>
  <c r="W311" i="7"/>
  <c r="U311" i="7"/>
  <c r="AU310" i="7"/>
  <c r="AS310" i="7"/>
  <c r="W310" i="7"/>
  <c r="U310" i="7"/>
  <c r="AU309" i="7"/>
  <c r="AS309" i="7"/>
  <c r="W309" i="7"/>
  <c r="U309" i="7"/>
  <c r="AU308" i="7"/>
  <c r="AS308" i="7"/>
  <c r="W308" i="7"/>
  <c r="U308" i="7"/>
  <c r="AU307" i="7"/>
  <c r="AS307" i="7"/>
  <c r="W307" i="7"/>
  <c r="U307" i="7"/>
  <c r="AU306" i="7"/>
  <c r="AS306" i="7"/>
  <c r="W306" i="7"/>
  <c r="U306" i="7"/>
  <c r="AU305" i="7"/>
  <c r="AS305" i="7"/>
  <c r="W305" i="7"/>
  <c r="U305" i="7"/>
  <c r="AU304" i="7"/>
  <c r="AS304" i="7"/>
  <c r="W304" i="7"/>
  <c r="U304" i="7"/>
  <c r="AU303" i="7"/>
  <c r="AS303" i="7"/>
  <c r="W303" i="7"/>
  <c r="U303" i="7"/>
  <c r="AU302" i="7"/>
  <c r="AS302" i="7"/>
  <c r="W302" i="7"/>
  <c r="U302" i="7"/>
  <c r="AU301" i="7"/>
  <c r="AS301" i="7"/>
  <c r="W301" i="7"/>
  <c r="U301" i="7"/>
  <c r="AU300" i="7"/>
  <c r="AS300" i="7"/>
  <c r="W300" i="7"/>
  <c r="U300" i="7"/>
  <c r="AU299" i="7"/>
  <c r="AS299" i="7"/>
  <c r="W299" i="7"/>
  <c r="U299" i="7"/>
  <c r="AU298" i="7"/>
  <c r="AS298" i="7"/>
  <c r="W298" i="7"/>
  <c r="U298" i="7"/>
  <c r="AU297" i="7"/>
  <c r="AS297" i="7"/>
  <c r="W297" i="7"/>
  <c r="U297" i="7"/>
  <c r="AU296" i="7"/>
  <c r="AS296" i="7"/>
  <c r="W296" i="7"/>
  <c r="U296" i="7"/>
  <c r="AU295" i="7"/>
  <c r="AS295" i="7"/>
  <c r="W295" i="7"/>
  <c r="U295" i="7"/>
  <c r="AU294" i="7"/>
  <c r="AS294" i="7"/>
  <c r="W294" i="7"/>
  <c r="U294" i="7"/>
  <c r="AU293" i="7"/>
  <c r="AS293" i="7"/>
  <c r="W293" i="7"/>
  <c r="U293" i="7"/>
  <c r="AU292" i="7"/>
  <c r="AS292" i="7"/>
  <c r="W292" i="7"/>
  <c r="U292" i="7"/>
  <c r="AU291" i="7"/>
  <c r="AS291" i="7"/>
  <c r="W291" i="7"/>
  <c r="U291" i="7"/>
  <c r="AU290" i="7"/>
  <c r="AS290" i="7"/>
  <c r="W290" i="7"/>
  <c r="U290" i="7"/>
  <c r="AU289" i="7"/>
  <c r="AS289" i="7"/>
  <c r="W289" i="7"/>
  <c r="U289" i="7"/>
  <c r="AU288" i="7"/>
  <c r="AS288" i="7"/>
  <c r="W288" i="7"/>
  <c r="U288" i="7"/>
  <c r="AU287" i="7"/>
  <c r="AS287" i="7"/>
  <c r="W287" i="7"/>
  <c r="U287" i="7"/>
  <c r="AU286" i="7"/>
  <c r="AS286" i="7"/>
  <c r="W286" i="7"/>
  <c r="U286" i="7"/>
  <c r="AU285" i="7"/>
  <c r="AS285" i="7"/>
  <c r="W285" i="7"/>
  <c r="U285" i="7"/>
  <c r="AU284" i="7"/>
  <c r="AS284" i="7"/>
  <c r="W284" i="7"/>
  <c r="U284" i="7"/>
  <c r="AU283" i="7"/>
  <c r="AS283" i="7"/>
  <c r="W283" i="7"/>
  <c r="U283" i="7"/>
  <c r="AU282" i="7"/>
  <c r="AS282" i="7"/>
  <c r="W282" i="7"/>
  <c r="U282" i="7"/>
  <c r="AU281" i="7"/>
  <c r="AS281" i="7"/>
  <c r="W281" i="7"/>
  <c r="U281" i="7"/>
  <c r="AU280" i="7"/>
  <c r="AS280" i="7"/>
  <c r="W280" i="7"/>
  <c r="U280" i="7"/>
  <c r="AU279" i="7"/>
  <c r="AS279" i="7"/>
  <c r="W279" i="7"/>
  <c r="U279" i="7"/>
  <c r="AU278" i="7"/>
  <c r="AS278" i="7"/>
  <c r="W278" i="7"/>
  <c r="U278" i="7"/>
  <c r="AU277" i="7"/>
  <c r="AS277" i="7"/>
  <c r="W277" i="7"/>
  <c r="U277" i="7"/>
  <c r="AU276" i="7"/>
  <c r="AS276" i="7"/>
  <c r="W276" i="7"/>
  <c r="U276" i="7"/>
  <c r="AU275" i="7"/>
  <c r="AS275" i="7"/>
  <c r="W275" i="7"/>
  <c r="U275" i="7"/>
  <c r="AU274" i="7"/>
  <c r="AS274" i="7"/>
  <c r="W274" i="7"/>
  <c r="U274" i="7"/>
  <c r="AU273" i="7"/>
  <c r="AS273" i="7"/>
  <c r="W273" i="7"/>
  <c r="U273" i="7"/>
  <c r="AU272" i="7"/>
  <c r="AS272" i="7"/>
  <c r="W272" i="7"/>
  <c r="U272" i="7"/>
  <c r="AU271" i="7"/>
  <c r="AS271" i="7"/>
  <c r="W271" i="7"/>
  <c r="U271" i="7"/>
  <c r="AU270" i="7"/>
  <c r="AS270" i="7"/>
  <c r="W270" i="7"/>
  <c r="U270" i="7"/>
  <c r="AU269" i="7"/>
  <c r="AS269" i="7"/>
  <c r="W269" i="7"/>
  <c r="U269" i="7"/>
  <c r="AU268" i="7"/>
  <c r="AS268" i="7"/>
  <c r="W268" i="7"/>
  <c r="U268" i="7"/>
  <c r="AU267" i="7"/>
  <c r="AS267" i="7"/>
  <c r="W267" i="7"/>
  <c r="U267" i="7"/>
  <c r="AU266" i="7"/>
  <c r="AS266" i="7"/>
  <c r="W266" i="7"/>
  <c r="U266" i="7"/>
  <c r="AU265" i="7"/>
  <c r="AS265" i="7"/>
  <c r="W265" i="7"/>
  <c r="U265" i="7"/>
  <c r="AU264" i="7"/>
  <c r="AS264" i="7"/>
  <c r="W264" i="7"/>
  <c r="U264" i="7"/>
  <c r="AU263" i="7"/>
  <c r="AS263" i="7"/>
  <c r="W263" i="7"/>
  <c r="U263" i="7"/>
  <c r="AU262" i="7"/>
  <c r="AS262" i="7"/>
  <c r="W262" i="7"/>
  <c r="U262" i="7"/>
  <c r="AU261" i="7"/>
  <c r="AS261" i="7"/>
  <c r="W261" i="7"/>
  <c r="U261" i="7"/>
  <c r="AU260" i="7"/>
  <c r="AS260" i="7"/>
  <c r="W260" i="7"/>
  <c r="U260" i="7"/>
  <c r="AU259" i="7"/>
  <c r="AS259" i="7"/>
  <c r="W259" i="7"/>
  <c r="U259" i="7"/>
  <c r="AU258" i="7"/>
  <c r="AS258" i="7"/>
  <c r="W258" i="7"/>
  <c r="U258" i="7"/>
  <c r="AU257" i="7"/>
  <c r="AS257" i="7"/>
  <c r="W257" i="7"/>
  <c r="U257" i="7"/>
  <c r="AU256" i="7"/>
  <c r="AS256" i="7"/>
  <c r="W256" i="7"/>
  <c r="U256" i="7"/>
  <c r="AU255" i="7"/>
  <c r="AS255" i="7"/>
  <c r="W255" i="7"/>
  <c r="U255" i="7"/>
  <c r="AU254" i="7"/>
  <c r="AS254" i="7"/>
  <c r="W254" i="7"/>
  <c r="U254" i="7"/>
  <c r="AU253" i="7"/>
  <c r="AS253" i="7"/>
  <c r="W253" i="7"/>
  <c r="U253" i="7"/>
  <c r="AU252" i="7"/>
  <c r="AS252" i="7"/>
  <c r="W252" i="7"/>
  <c r="U252" i="7"/>
  <c r="AU251" i="7"/>
  <c r="AS251" i="7"/>
  <c r="W251" i="7"/>
  <c r="U251" i="7"/>
  <c r="AU250" i="7"/>
  <c r="AS250" i="7"/>
  <c r="W250" i="7"/>
  <c r="U250" i="7"/>
  <c r="AU249" i="7"/>
  <c r="AS249" i="7"/>
  <c r="W249" i="7"/>
  <c r="U249" i="7"/>
  <c r="AU248" i="7"/>
  <c r="AS248" i="7"/>
  <c r="W248" i="7"/>
  <c r="U248" i="7"/>
  <c r="AU247" i="7"/>
  <c r="AS247" i="7"/>
  <c r="W247" i="7"/>
  <c r="U247" i="7"/>
  <c r="AU246" i="7"/>
  <c r="AS246" i="7"/>
  <c r="W246" i="7"/>
  <c r="U246" i="7"/>
  <c r="AU245" i="7"/>
  <c r="AS245" i="7"/>
  <c r="W245" i="7"/>
  <c r="U245" i="7"/>
  <c r="AU244" i="7"/>
  <c r="AS244" i="7"/>
  <c r="W244" i="7"/>
  <c r="U244" i="7"/>
  <c r="AU243" i="7"/>
  <c r="AS243" i="7"/>
  <c r="W243" i="7"/>
  <c r="U243" i="7"/>
  <c r="AU242" i="7"/>
  <c r="AS242" i="7"/>
  <c r="W242" i="7"/>
  <c r="U242" i="7"/>
  <c r="AU241" i="7"/>
  <c r="AS241" i="7"/>
  <c r="W241" i="7"/>
  <c r="U241" i="7"/>
  <c r="AU240" i="7"/>
  <c r="AS240" i="7"/>
  <c r="W240" i="7"/>
  <c r="U240" i="7"/>
  <c r="AU239" i="7"/>
  <c r="AS239" i="7"/>
  <c r="W239" i="7"/>
  <c r="U239" i="7"/>
  <c r="AU238" i="7"/>
  <c r="AS238" i="7"/>
  <c r="W238" i="7"/>
  <c r="U238" i="7"/>
  <c r="AU237" i="7"/>
  <c r="AS237" i="7"/>
  <c r="W237" i="7"/>
  <c r="U237" i="7"/>
  <c r="AU236" i="7"/>
  <c r="AS236" i="7"/>
  <c r="W236" i="7"/>
  <c r="U236" i="7"/>
  <c r="AU235" i="7"/>
  <c r="AS235" i="7"/>
  <c r="W235" i="7"/>
  <c r="U235" i="7"/>
  <c r="AU234" i="7"/>
  <c r="AS234" i="7"/>
  <c r="W234" i="7"/>
  <c r="U234" i="7"/>
  <c r="AU233" i="7"/>
  <c r="AS233" i="7"/>
  <c r="W233" i="7"/>
  <c r="U233" i="7"/>
  <c r="AU232" i="7"/>
  <c r="AS232" i="7"/>
  <c r="W232" i="7"/>
  <c r="U232" i="7"/>
  <c r="AU231" i="7"/>
  <c r="AS231" i="7"/>
  <c r="W231" i="7"/>
  <c r="U231" i="7"/>
  <c r="AU230" i="7"/>
  <c r="AS230" i="7"/>
  <c r="W230" i="7"/>
  <c r="U230" i="7"/>
  <c r="AU229" i="7"/>
  <c r="AS229" i="7"/>
  <c r="W229" i="7"/>
  <c r="U229" i="7"/>
  <c r="AU228" i="7"/>
  <c r="AS228" i="7"/>
  <c r="W228" i="7"/>
  <c r="U228" i="7"/>
  <c r="AU227" i="7"/>
  <c r="AS227" i="7"/>
  <c r="W227" i="7"/>
  <c r="U227" i="7"/>
  <c r="AU226" i="7"/>
  <c r="AS226" i="7"/>
  <c r="W226" i="7"/>
  <c r="U226" i="7"/>
  <c r="AU225" i="7"/>
  <c r="AS225" i="7"/>
  <c r="W225" i="7"/>
  <c r="U225" i="7"/>
  <c r="AU224" i="7"/>
  <c r="AS224" i="7"/>
  <c r="W224" i="7"/>
  <c r="U224" i="7"/>
  <c r="AU223" i="7"/>
  <c r="AS223" i="7"/>
  <c r="W223" i="7"/>
  <c r="U223" i="7"/>
  <c r="AU222" i="7"/>
  <c r="AS222" i="7"/>
  <c r="W222" i="7"/>
  <c r="U222" i="7"/>
  <c r="AU221" i="7"/>
  <c r="AS221" i="7"/>
  <c r="W221" i="7"/>
  <c r="U221" i="7"/>
  <c r="AU220" i="7"/>
  <c r="AS220" i="7"/>
  <c r="W220" i="7"/>
  <c r="U220" i="7"/>
  <c r="AU219" i="7"/>
  <c r="AS219" i="7"/>
  <c r="W219" i="7"/>
  <c r="U219" i="7"/>
  <c r="AU218" i="7"/>
  <c r="AS218" i="7"/>
  <c r="W218" i="7"/>
  <c r="U218" i="7"/>
  <c r="AU217" i="7"/>
  <c r="AS217" i="7"/>
  <c r="W217" i="7"/>
  <c r="U217" i="7"/>
  <c r="AU216" i="7"/>
  <c r="AS216" i="7"/>
  <c r="W216" i="7"/>
  <c r="U216" i="7"/>
  <c r="AU215" i="7"/>
  <c r="AS215" i="7"/>
  <c r="W215" i="7"/>
  <c r="U215" i="7"/>
  <c r="AU214" i="7"/>
  <c r="AS214" i="7"/>
  <c r="W214" i="7"/>
  <c r="U214" i="7"/>
  <c r="AU213" i="7"/>
  <c r="AS213" i="7"/>
  <c r="W213" i="7"/>
  <c r="U213" i="7"/>
  <c r="AU212" i="7"/>
  <c r="AS212" i="7"/>
  <c r="W212" i="7"/>
  <c r="U212" i="7"/>
  <c r="AU211" i="7"/>
  <c r="AS211" i="7"/>
  <c r="W211" i="7"/>
  <c r="U211" i="7"/>
  <c r="AU210" i="7"/>
  <c r="AS210" i="7"/>
  <c r="W210" i="7"/>
  <c r="U210" i="7"/>
  <c r="AU209" i="7"/>
  <c r="AS209" i="7"/>
  <c r="W209" i="7"/>
  <c r="U209" i="7"/>
  <c r="AU208" i="7"/>
  <c r="AS208" i="7"/>
  <c r="W208" i="7"/>
  <c r="U208" i="7"/>
  <c r="AU207" i="7"/>
  <c r="AS207" i="7"/>
  <c r="W207" i="7"/>
  <c r="U207" i="7"/>
  <c r="AU206" i="7"/>
  <c r="AS206" i="7"/>
  <c r="W206" i="7"/>
  <c r="U206" i="7"/>
  <c r="AU205" i="7"/>
  <c r="AS205" i="7"/>
  <c r="W205" i="7"/>
  <c r="U205" i="7"/>
  <c r="AU204" i="7"/>
  <c r="AS204" i="7"/>
  <c r="W204" i="7"/>
  <c r="U204" i="7"/>
  <c r="AU203" i="7"/>
  <c r="AS203" i="7"/>
  <c r="W203" i="7"/>
  <c r="U203" i="7"/>
  <c r="AU202" i="7"/>
  <c r="AS202" i="7"/>
  <c r="W202" i="7"/>
  <c r="U202" i="7"/>
  <c r="AU201" i="7"/>
  <c r="AS201" i="7"/>
  <c r="W201" i="7"/>
  <c r="U201" i="7"/>
  <c r="AU200" i="7"/>
  <c r="AS200" i="7"/>
  <c r="W200" i="7"/>
  <c r="U200" i="7"/>
  <c r="AU199" i="7"/>
  <c r="AS199" i="7"/>
  <c r="W199" i="7"/>
  <c r="U199" i="7"/>
  <c r="AU198" i="7"/>
  <c r="AS198" i="7"/>
  <c r="W198" i="7"/>
  <c r="U198" i="7"/>
  <c r="AU197" i="7"/>
  <c r="AS197" i="7"/>
  <c r="W197" i="7"/>
  <c r="U197" i="7"/>
  <c r="AU196" i="7"/>
  <c r="AS196" i="7"/>
  <c r="W196" i="7"/>
  <c r="U196" i="7"/>
  <c r="AU195" i="7"/>
  <c r="AS195" i="7"/>
  <c r="W195" i="7"/>
  <c r="U195" i="7"/>
  <c r="AU194" i="7"/>
  <c r="AS194" i="7"/>
  <c r="W194" i="7"/>
  <c r="U194" i="7"/>
  <c r="AU193" i="7"/>
  <c r="AS193" i="7"/>
  <c r="W193" i="7"/>
  <c r="U193" i="7"/>
  <c r="AU192" i="7"/>
  <c r="AS192" i="7"/>
  <c r="W192" i="7"/>
  <c r="U192" i="7"/>
  <c r="AU191" i="7"/>
  <c r="AS191" i="7"/>
  <c r="W191" i="7"/>
  <c r="U191" i="7"/>
  <c r="AU190" i="7"/>
  <c r="AS190" i="7"/>
  <c r="W190" i="7"/>
  <c r="U190" i="7"/>
  <c r="AU189" i="7"/>
  <c r="AS189" i="7"/>
  <c r="W189" i="7"/>
  <c r="U189" i="7"/>
  <c r="AU188" i="7"/>
  <c r="AS188" i="7"/>
  <c r="W188" i="7"/>
  <c r="U188" i="7"/>
  <c r="AU187" i="7"/>
  <c r="AS187" i="7"/>
  <c r="W187" i="7"/>
  <c r="U187" i="7"/>
  <c r="AU186" i="7"/>
  <c r="AS186" i="7"/>
  <c r="W186" i="7"/>
  <c r="U186" i="7"/>
  <c r="AU185" i="7"/>
  <c r="AS185" i="7"/>
  <c r="W185" i="7"/>
  <c r="U185" i="7"/>
  <c r="AU184" i="7"/>
  <c r="AS184" i="7"/>
  <c r="W184" i="7"/>
  <c r="U184" i="7"/>
  <c r="AU183" i="7"/>
  <c r="AS183" i="7"/>
  <c r="W183" i="7"/>
  <c r="U183" i="7"/>
  <c r="AU182" i="7"/>
  <c r="AS182" i="7"/>
  <c r="W182" i="7"/>
  <c r="U182" i="7"/>
  <c r="AU181" i="7"/>
  <c r="AS181" i="7"/>
  <c r="W181" i="7"/>
  <c r="U181" i="7"/>
  <c r="AU180" i="7"/>
  <c r="AS180" i="7"/>
  <c r="W180" i="7"/>
  <c r="U180" i="7"/>
  <c r="AU179" i="7"/>
  <c r="AS179" i="7"/>
  <c r="W179" i="7"/>
  <c r="U179" i="7"/>
  <c r="AU178" i="7"/>
  <c r="AS178" i="7"/>
  <c r="W178" i="7"/>
  <c r="U178" i="7"/>
  <c r="AU177" i="7"/>
  <c r="AS177" i="7"/>
  <c r="W177" i="7"/>
  <c r="U177" i="7"/>
  <c r="AU176" i="7"/>
  <c r="AS176" i="7"/>
  <c r="W176" i="7"/>
  <c r="U176" i="7"/>
  <c r="AU175" i="7"/>
  <c r="AS175" i="7"/>
  <c r="W175" i="7"/>
  <c r="U175" i="7"/>
  <c r="AU174" i="7"/>
  <c r="AS174" i="7"/>
  <c r="W174" i="7"/>
  <c r="U174" i="7"/>
  <c r="AU173" i="7"/>
  <c r="AS173" i="7"/>
  <c r="W173" i="7"/>
  <c r="U173" i="7"/>
  <c r="AU172" i="7"/>
  <c r="AS172" i="7"/>
  <c r="W172" i="7"/>
  <c r="U172" i="7"/>
  <c r="AU171" i="7"/>
  <c r="AS171" i="7"/>
  <c r="W171" i="7"/>
  <c r="U171" i="7"/>
  <c r="AU170" i="7"/>
  <c r="AS170" i="7"/>
  <c r="W170" i="7"/>
  <c r="U170" i="7"/>
  <c r="AU169" i="7"/>
  <c r="AS169" i="7"/>
  <c r="W169" i="7"/>
  <c r="U169" i="7"/>
  <c r="AU168" i="7"/>
  <c r="AS168" i="7"/>
  <c r="W168" i="7"/>
  <c r="U168" i="7"/>
  <c r="AU167" i="7"/>
  <c r="AS167" i="7"/>
  <c r="W167" i="7"/>
  <c r="U167" i="7"/>
  <c r="AU166" i="7"/>
  <c r="AS166" i="7"/>
  <c r="W166" i="7"/>
  <c r="U166" i="7"/>
  <c r="AU165" i="7"/>
  <c r="AS165" i="7"/>
  <c r="W165" i="7"/>
  <c r="U165" i="7"/>
  <c r="AU164" i="7"/>
  <c r="AS164" i="7"/>
  <c r="W164" i="7"/>
  <c r="U164" i="7"/>
  <c r="AU163" i="7"/>
  <c r="AS163" i="7"/>
  <c r="W163" i="7"/>
  <c r="U163" i="7"/>
  <c r="AU162" i="7"/>
  <c r="AS162" i="7"/>
  <c r="W162" i="7"/>
  <c r="U162" i="7"/>
  <c r="AU161" i="7"/>
  <c r="AS161" i="7"/>
  <c r="W161" i="7"/>
  <c r="U161" i="7"/>
  <c r="AU160" i="7"/>
  <c r="AS160" i="7"/>
  <c r="W160" i="7"/>
  <c r="U160" i="7"/>
  <c r="AU159" i="7"/>
  <c r="AS159" i="7"/>
  <c r="W159" i="7"/>
  <c r="U159" i="7"/>
  <c r="AU158" i="7"/>
  <c r="AS158" i="7"/>
  <c r="W158" i="7"/>
  <c r="U158" i="7"/>
  <c r="AU157" i="7"/>
  <c r="AS157" i="7"/>
  <c r="W157" i="7"/>
  <c r="U157" i="7"/>
  <c r="AU156" i="7"/>
  <c r="AS156" i="7"/>
  <c r="W156" i="7"/>
  <c r="U156" i="7"/>
  <c r="AU155" i="7"/>
  <c r="AS155" i="7"/>
  <c r="W155" i="7"/>
  <c r="U155" i="7"/>
  <c r="AU154" i="7"/>
  <c r="AS154" i="7"/>
  <c r="W154" i="7"/>
  <c r="U154" i="7"/>
  <c r="AU153" i="7"/>
  <c r="AS153" i="7"/>
  <c r="W153" i="7"/>
  <c r="U153" i="7"/>
  <c r="AU152" i="7"/>
  <c r="AS152" i="7"/>
  <c r="W152" i="7"/>
  <c r="U152" i="7"/>
  <c r="AU151" i="7"/>
  <c r="AS151" i="7"/>
  <c r="W151" i="7"/>
  <c r="U151" i="7"/>
  <c r="AU150" i="7"/>
  <c r="AS150" i="7"/>
  <c r="W150" i="7"/>
  <c r="U150" i="7"/>
  <c r="AU149" i="7"/>
  <c r="AS149" i="7"/>
  <c r="W149" i="7"/>
  <c r="U149" i="7"/>
  <c r="AU148" i="7"/>
  <c r="AS148" i="7"/>
  <c r="W148" i="7"/>
  <c r="U148" i="7"/>
  <c r="AU147" i="7"/>
  <c r="AS147" i="7"/>
  <c r="W147" i="7"/>
  <c r="U147" i="7"/>
  <c r="AU146" i="7"/>
  <c r="AS146" i="7"/>
  <c r="W146" i="7"/>
  <c r="U146" i="7"/>
  <c r="AU145" i="7"/>
  <c r="AS145" i="7"/>
  <c r="W145" i="7"/>
  <c r="U145" i="7"/>
  <c r="AU144" i="7"/>
  <c r="AS144" i="7"/>
  <c r="W144" i="7"/>
  <c r="U144" i="7"/>
  <c r="AU143" i="7"/>
  <c r="AS143" i="7"/>
  <c r="W143" i="7"/>
  <c r="U143" i="7"/>
  <c r="AU142" i="7"/>
  <c r="AS142" i="7"/>
  <c r="W142" i="7"/>
  <c r="U142" i="7"/>
  <c r="AU141" i="7"/>
  <c r="AS141" i="7"/>
  <c r="W141" i="7"/>
  <c r="U141" i="7"/>
  <c r="AU140" i="7"/>
  <c r="AS140" i="7"/>
  <c r="W140" i="7"/>
  <c r="U140" i="7"/>
  <c r="AU139" i="7"/>
  <c r="AS139" i="7"/>
  <c r="W139" i="7"/>
  <c r="U139" i="7"/>
  <c r="AU138" i="7"/>
  <c r="AS138" i="7"/>
  <c r="W138" i="7"/>
  <c r="U138" i="7"/>
  <c r="AU137" i="7"/>
  <c r="AS137" i="7"/>
  <c r="W137" i="7"/>
  <c r="U137" i="7"/>
  <c r="AU136" i="7"/>
  <c r="AS136" i="7"/>
  <c r="W136" i="7"/>
  <c r="U136" i="7"/>
  <c r="AU135" i="7"/>
  <c r="AS135" i="7"/>
  <c r="W135" i="7"/>
  <c r="U135" i="7"/>
  <c r="AU134" i="7"/>
  <c r="AS134" i="7"/>
  <c r="W134" i="7"/>
  <c r="U134" i="7"/>
  <c r="AU133" i="7"/>
  <c r="AS133" i="7"/>
  <c r="W133" i="7"/>
  <c r="U133" i="7"/>
  <c r="AU132" i="7"/>
  <c r="AS132" i="7"/>
  <c r="W132" i="7"/>
  <c r="U132" i="7"/>
  <c r="AU131" i="7"/>
  <c r="AS131" i="7"/>
  <c r="W131" i="7"/>
  <c r="U131" i="7"/>
  <c r="AU130" i="7"/>
  <c r="AS130" i="7"/>
  <c r="W130" i="7"/>
  <c r="U130" i="7"/>
  <c r="AU129" i="7"/>
  <c r="AS129" i="7"/>
  <c r="W129" i="7"/>
  <c r="U129" i="7"/>
  <c r="AU128" i="7"/>
  <c r="AS128" i="7"/>
  <c r="W128" i="7"/>
  <c r="U128" i="7"/>
  <c r="AU127" i="7"/>
  <c r="AS127" i="7"/>
  <c r="W127" i="7"/>
  <c r="U127" i="7"/>
  <c r="AU126" i="7"/>
  <c r="AS126" i="7"/>
  <c r="W126" i="7"/>
  <c r="U126" i="7"/>
  <c r="AU125" i="7"/>
  <c r="AS125" i="7"/>
  <c r="W125" i="7"/>
  <c r="U125" i="7"/>
  <c r="AU124" i="7"/>
  <c r="AS124" i="7"/>
  <c r="W124" i="7"/>
  <c r="U124" i="7"/>
  <c r="AU123" i="7"/>
  <c r="AS123" i="7"/>
  <c r="W123" i="7"/>
  <c r="U123" i="7"/>
  <c r="AU122" i="7"/>
  <c r="AS122" i="7"/>
  <c r="W122" i="7"/>
  <c r="U122" i="7"/>
  <c r="AU121" i="7"/>
  <c r="AS121" i="7"/>
  <c r="W121" i="7"/>
  <c r="U121" i="7"/>
  <c r="AU120" i="7"/>
  <c r="AS120" i="7"/>
  <c r="W120" i="7"/>
  <c r="U120" i="7"/>
  <c r="AU119" i="7"/>
  <c r="AS119" i="7"/>
  <c r="W119" i="7"/>
  <c r="U119" i="7"/>
  <c r="AU118" i="7"/>
  <c r="AS118" i="7"/>
  <c r="W118" i="7"/>
  <c r="U118" i="7"/>
  <c r="AU117" i="7"/>
  <c r="AS117" i="7"/>
  <c r="W117" i="7"/>
  <c r="U117" i="7"/>
  <c r="AU116" i="7"/>
  <c r="AS116" i="7"/>
  <c r="W116" i="7"/>
  <c r="U116" i="7"/>
  <c r="AU115" i="7"/>
  <c r="AS115" i="7"/>
  <c r="W115" i="7"/>
  <c r="U115" i="7"/>
  <c r="AU114" i="7"/>
  <c r="AS114" i="7"/>
  <c r="W114" i="7"/>
  <c r="U114" i="7"/>
  <c r="AU113" i="7"/>
  <c r="AS113" i="7"/>
  <c r="W113" i="7"/>
  <c r="U113" i="7"/>
  <c r="AU112" i="7"/>
  <c r="AS112" i="7"/>
  <c r="W112" i="7"/>
  <c r="U112" i="7"/>
  <c r="AU111" i="7"/>
  <c r="AS111" i="7"/>
  <c r="W111" i="7"/>
  <c r="U111" i="7"/>
  <c r="AU110" i="7"/>
  <c r="AS110" i="7"/>
  <c r="W110" i="7"/>
  <c r="U110" i="7"/>
  <c r="AU109" i="7"/>
  <c r="AS109" i="7"/>
  <c r="W109" i="7"/>
  <c r="U109" i="7"/>
  <c r="AU108" i="7"/>
  <c r="AS108" i="7"/>
  <c r="W108" i="7"/>
  <c r="U108" i="7"/>
  <c r="AU107" i="7"/>
  <c r="AS107" i="7"/>
  <c r="W107" i="7"/>
  <c r="U107" i="7"/>
  <c r="AU106" i="7"/>
  <c r="AS106" i="7"/>
  <c r="W106" i="7"/>
  <c r="U106" i="7"/>
  <c r="AU105" i="7"/>
  <c r="AS105" i="7"/>
  <c r="W105" i="7"/>
  <c r="U105" i="7"/>
  <c r="AU104" i="7"/>
  <c r="AS104" i="7"/>
  <c r="W104" i="7"/>
  <c r="U104" i="7"/>
  <c r="AU103" i="7"/>
  <c r="AS103" i="7"/>
  <c r="W103" i="7"/>
  <c r="U103" i="7"/>
  <c r="AU102" i="7"/>
  <c r="AS102" i="7"/>
  <c r="W102" i="7"/>
  <c r="U102" i="7"/>
  <c r="AU101" i="7"/>
  <c r="AS101" i="7"/>
  <c r="W101" i="7"/>
  <c r="U101" i="7"/>
  <c r="AU100" i="7"/>
  <c r="AS100" i="7"/>
  <c r="W100" i="7"/>
  <c r="U100" i="7"/>
  <c r="AU99" i="7"/>
  <c r="AS99" i="7"/>
  <c r="W99" i="7"/>
  <c r="U99" i="7"/>
  <c r="AU98" i="7"/>
  <c r="AS98" i="7"/>
  <c r="W98" i="7"/>
  <c r="U98" i="7"/>
  <c r="AU97" i="7"/>
  <c r="AS97" i="7"/>
  <c r="W97" i="7"/>
  <c r="U97" i="7"/>
  <c r="AU96" i="7"/>
  <c r="AS96" i="7"/>
  <c r="W96" i="7"/>
  <c r="U96" i="7"/>
  <c r="AU95" i="7"/>
  <c r="AS95" i="7"/>
  <c r="W95" i="7"/>
  <c r="U95" i="7"/>
  <c r="AU94" i="7"/>
  <c r="AS94" i="7"/>
  <c r="W94" i="7"/>
  <c r="U94" i="7"/>
  <c r="AU93" i="7"/>
  <c r="AS93" i="7"/>
  <c r="W93" i="7"/>
  <c r="U93" i="7"/>
  <c r="AU92" i="7"/>
  <c r="AS92" i="7"/>
  <c r="W92" i="7"/>
  <c r="U92" i="7"/>
  <c r="AU91" i="7"/>
  <c r="AS91" i="7"/>
  <c r="W91" i="7"/>
  <c r="U91" i="7"/>
  <c r="AU90" i="7"/>
  <c r="AS90" i="7"/>
  <c r="W90" i="7"/>
  <c r="U90" i="7"/>
  <c r="AU89" i="7"/>
  <c r="AS89" i="7"/>
  <c r="W89" i="7"/>
  <c r="U89" i="7"/>
  <c r="AU88" i="7"/>
  <c r="AS88" i="7"/>
  <c r="W88" i="7"/>
  <c r="U88" i="7"/>
  <c r="AU87" i="7"/>
  <c r="AS87" i="7"/>
  <c r="W87" i="7"/>
  <c r="U87" i="7"/>
  <c r="AU86" i="7"/>
  <c r="AS86" i="7"/>
  <c r="W86" i="7"/>
  <c r="U86" i="7"/>
  <c r="AU85" i="7"/>
  <c r="AS85" i="7"/>
  <c r="W85" i="7"/>
  <c r="U85" i="7"/>
  <c r="AU84" i="7"/>
  <c r="AS84" i="7"/>
  <c r="W84" i="7"/>
  <c r="U84" i="7"/>
  <c r="AU83" i="7"/>
  <c r="AS83" i="7"/>
  <c r="W83" i="7"/>
  <c r="U83" i="7"/>
  <c r="AU82" i="7"/>
  <c r="AS82" i="7"/>
  <c r="W82" i="7"/>
  <c r="U82" i="7"/>
  <c r="AU81" i="7"/>
  <c r="AS81" i="7"/>
  <c r="W81" i="7"/>
  <c r="U81" i="7"/>
  <c r="AU80" i="7"/>
  <c r="AS80" i="7"/>
  <c r="W80" i="7"/>
  <c r="U80" i="7"/>
  <c r="AU79" i="7"/>
  <c r="AS79" i="7"/>
  <c r="W79" i="7"/>
  <c r="U79" i="7"/>
  <c r="AU78" i="7"/>
  <c r="AS78" i="7"/>
  <c r="W78" i="7"/>
  <c r="U78" i="7"/>
  <c r="AU77" i="7"/>
  <c r="AS77" i="7"/>
  <c r="W77" i="7"/>
  <c r="U77" i="7"/>
  <c r="AU76" i="7"/>
  <c r="AS76" i="7"/>
  <c r="W76" i="7"/>
  <c r="U76" i="7"/>
  <c r="AU75" i="7"/>
  <c r="AS75" i="7"/>
  <c r="W75" i="7"/>
  <c r="U75" i="7"/>
  <c r="AU74" i="7"/>
  <c r="AS74" i="7"/>
  <c r="W74" i="7"/>
  <c r="U74" i="7"/>
  <c r="AU73" i="7"/>
  <c r="AS73" i="7"/>
  <c r="W73" i="7"/>
  <c r="U73" i="7"/>
  <c r="AU72" i="7"/>
  <c r="AS72" i="7"/>
  <c r="W72" i="7"/>
  <c r="U72" i="7"/>
  <c r="AU71" i="7"/>
  <c r="AS71" i="7"/>
  <c r="W71" i="7"/>
  <c r="U71" i="7"/>
  <c r="AU70" i="7"/>
  <c r="AS70" i="7"/>
  <c r="W70" i="7"/>
  <c r="U70" i="7"/>
  <c r="AU69" i="7"/>
  <c r="AS69" i="7"/>
  <c r="W69" i="7"/>
  <c r="U69" i="7"/>
  <c r="AU68" i="7"/>
  <c r="AS68" i="7"/>
  <c r="W68" i="7"/>
  <c r="U68" i="7"/>
  <c r="AU67" i="7"/>
  <c r="AS67" i="7"/>
  <c r="W67" i="7"/>
  <c r="U67" i="7"/>
  <c r="AU66" i="7"/>
  <c r="AS66" i="7"/>
  <c r="W66" i="7"/>
  <c r="U66" i="7"/>
  <c r="AU65" i="7"/>
  <c r="AS65" i="7"/>
  <c r="W65" i="7"/>
  <c r="U65" i="7"/>
  <c r="AU64" i="7"/>
  <c r="AS64" i="7"/>
  <c r="W64" i="7"/>
  <c r="U64" i="7"/>
  <c r="AU63" i="7"/>
  <c r="AS63" i="7"/>
  <c r="W63" i="7"/>
  <c r="U63" i="7"/>
  <c r="AU62" i="7"/>
  <c r="AS62" i="7"/>
  <c r="W62" i="7"/>
  <c r="U62" i="7"/>
  <c r="AU61" i="7"/>
  <c r="AS61" i="7"/>
  <c r="W61" i="7"/>
  <c r="U61" i="7"/>
  <c r="AU60" i="7"/>
  <c r="AS60" i="7"/>
  <c r="W60" i="7"/>
  <c r="U60" i="7"/>
  <c r="AU59" i="7"/>
  <c r="AS59" i="7"/>
  <c r="W59" i="7"/>
  <c r="U59" i="7"/>
  <c r="AU58" i="7"/>
  <c r="AS58" i="7"/>
  <c r="W58" i="7"/>
  <c r="U58" i="7"/>
  <c r="AU57" i="7"/>
  <c r="AS57" i="7"/>
  <c r="W57" i="7"/>
  <c r="U57" i="7"/>
  <c r="AU56" i="7"/>
  <c r="AS56" i="7"/>
  <c r="W56" i="7"/>
  <c r="U56" i="7"/>
  <c r="AU55" i="7"/>
  <c r="AS55" i="7"/>
  <c r="W55" i="7"/>
  <c r="U55" i="7"/>
  <c r="AU54" i="7"/>
  <c r="AS54" i="7"/>
  <c r="W54" i="7"/>
  <c r="U54" i="7"/>
  <c r="AU53" i="7"/>
  <c r="AS53" i="7"/>
  <c r="W53" i="7"/>
  <c r="U53" i="7"/>
  <c r="AU52" i="7"/>
  <c r="AS52" i="7"/>
  <c r="W52" i="7"/>
  <c r="U52" i="7"/>
  <c r="AU51" i="7"/>
  <c r="AS51" i="7"/>
  <c r="W51" i="7"/>
  <c r="U51" i="7"/>
  <c r="AU50" i="7"/>
  <c r="AS50" i="7"/>
  <c r="W50" i="7"/>
  <c r="U50" i="7"/>
  <c r="AU49" i="7"/>
  <c r="AS49" i="7"/>
  <c r="W49" i="7"/>
  <c r="U49" i="7"/>
  <c r="AU48" i="7"/>
  <c r="AS48" i="7"/>
  <c r="W48" i="7"/>
  <c r="U48" i="7"/>
  <c r="AU47" i="7"/>
  <c r="AS47" i="7"/>
  <c r="W47" i="7"/>
  <c r="U47" i="7"/>
  <c r="AU46" i="7"/>
  <c r="AS46" i="7"/>
  <c r="W46" i="7"/>
  <c r="U46" i="7"/>
  <c r="AU45" i="7"/>
  <c r="AS45" i="7"/>
  <c r="W45" i="7"/>
  <c r="U45" i="7"/>
  <c r="AU44" i="7"/>
  <c r="AS44" i="7"/>
  <c r="W44" i="7"/>
  <c r="U44" i="7"/>
  <c r="AU43" i="7"/>
  <c r="AS43" i="7"/>
  <c r="W43" i="7"/>
  <c r="U43" i="7"/>
  <c r="AU42" i="7"/>
  <c r="AS42" i="7"/>
  <c r="W42" i="7"/>
  <c r="U42" i="7"/>
  <c r="AU41" i="7"/>
  <c r="AS41" i="7"/>
  <c r="W41" i="7"/>
  <c r="U41" i="7"/>
  <c r="AU40" i="7"/>
  <c r="AS40" i="7"/>
  <c r="W40" i="7"/>
  <c r="U40" i="7"/>
  <c r="AU39" i="7"/>
  <c r="AS39" i="7"/>
  <c r="W39" i="7"/>
  <c r="U39" i="7"/>
  <c r="AU38" i="7"/>
  <c r="AS38" i="7"/>
  <c r="W38" i="7"/>
  <c r="U38" i="7"/>
  <c r="AU37" i="7"/>
  <c r="AS37" i="7"/>
  <c r="W37" i="7"/>
  <c r="U37" i="7"/>
  <c r="AU36" i="7"/>
  <c r="AS36" i="7"/>
  <c r="W36" i="7"/>
  <c r="U36" i="7"/>
  <c r="AU35" i="7"/>
  <c r="AS35" i="7"/>
  <c r="W35" i="7"/>
  <c r="U35" i="7"/>
  <c r="AU34" i="7"/>
  <c r="AS34" i="7"/>
  <c r="W34" i="7"/>
  <c r="U34" i="7"/>
  <c r="AU33" i="7"/>
  <c r="AS33" i="7"/>
  <c r="W33" i="7"/>
  <c r="U33" i="7"/>
  <c r="AU32" i="7"/>
  <c r="AS32" i="7"/>
  <c r="W32" i="7"/>
  <c r="U32" i="7"/>
  <c r="AU31" i="7"/>
  <c r="AS31" i="7"/>
  <c r="W31" i="7"/>
  <c r="U31" i="7"/>
  <c r="AU30" i="7"/>
  <c r="AS30" i="7"/>
  <c r="W30" i="7"/>
  <c r="U30" i="7"/>
  <c r="AU29" i="7"/>
  <c r="AS29" i="7"/>
  <c r="W29" i="7"/>
  <c r="U29" i="7"/>
  <c r="AU28" i="7"/>
  <c r="AS28" i="7"/>
  <c r="W28" i="7"/>
  <c r="U28" i="7"/>
  <c r="AU27" i="7"/>
  <c r="AS27" i="7"/>
  <c r="W27" i="7"/>
  <c r="U27" i="7"/>
  <c r="AU26" i="7"/>
  <c r="AS26" i="7"/>
  <c r="W26" i="7"/>
  <c r="U26" i="7"/>
  <c r="AU25" i="7"/>
  <c r="AS25" i="7"/>
  <c r="W25" i="7"/>
  <c r="U25" i="7"/>
  <c r="AU24" i="7"/>
  <c r="AS24" i="7"/>
  <c r="W24" i="7"/>
  <c r="U24" i="7"/>
  <c r="AU23" i="7"/>
  <c r="AS23" i="7"/>
  <c r="W23" i="7"/>
  <c r="U23" i="7"/>
  <c r="AU22" i="7"/>
  <c r="AS22" i="7"/>
  <c r="W22" i="7"/>
  <c r="U22" i="7"/>
  <c r="AU21" i="7"/>
  <c r="AS21" i="7"/>
  <c r="W21" i="7"/>
  <c r="U21" i="7"/>
  <c r="AU20" i="7"/>
  <c r="AS20" i="7"/>
  <c r="W20" i="7"/>
  <c r="U20" i="7"/>
  <c r="E9" i="7" s="1"/>
  <c r="AC12" i="7"/>
  <c r="AB12" i="7"/>
  <c r="AA12" i="7"/>
  <c r="E12" i="7"/>
  <c r="D12" i="7"/>
  <c r="C12" i="7"/>
  <c r="C9" i="8" l="1"/>
  <c r="D9" i="8" s="1"/>
  <c r="G9" i="8"/>
  <c r="AE9" i="8"/>
  <c r="A9" i="8"/>
  <c r="B9" i="8" s="1"/>
  <c r="AE12" i="8"/>
  <c r="Z9" i="18"/>
  <c r="AA9" i="18" s="1"/>
  <c r="B9" i="18"/>
  <c r="C9" i="18" s="1"/>
  <c r="AA9" i="8"/>
  <c r="AB9" i="8" s="1"/>
  <c r="AC9" i="7"/>
  <c r="Z6" i="7"/>
  <c r="AD12" i="7"/>
  <c r="Z9" i="7" s="1"/>
  <c r="Z12" i="7" s="1"/>
  <c r="AD9" i="7"/>
  <c r="Y6" i="7"/>
  <c r="B6" i="7"/>
  <c r="F6" i="7"/>
  <c r="C6" i="7" s="1"/>
  <c r="A6" i="7"/>
  <c r="F12" i="7"/>
  <c r="B9" i="7" s="1"/>
  <c r="F9" i="7"/>
  <c r="AD6" i="7"/>
  <c r="AA6" i="7" s="1"/>
  <c r="B12" i="8" l="1"/>
  <c r="G12" i="8"/>
  <c r="AF12" i="8"/>
  <c r="C9" i="7"/>
  <c r="D9" i="7" s="1"/>
  <c r="G9" i="7"/>
  <c r="AF12" i="7"/>
  <c r="AE12" i="7"/>
  <c r="AA9" i="7"/>
  <c r="AB9" i="7" s="1"/>
  <c r="B12" i="7"/>
  <c r="G12" i="7"/>
  <c r="AE9" i="7"/>
  <c r="U140" i="3" l="1"/>
  <c r="W140" i="3"/>
  <c r="AS140" i="3"/>
  <c r="AU140" i="3"/>
  <c r="U141" i="3"/>
  <c r="W141" i="3"/>
  <c r="AS141" i="3"/>
  <c r="AU141" i="3"/>
  <c r="U30" i="3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S39" i="4"/>
  <c r="AS40" i="4"/>
  <c r="AS41" i="4"/>
  <c r="AS42" i="4"/>
  <c r="AS43" i="4"/>
  <c r="AS44" i="4"/>
  <c r="AS45" i="4"/>
  <c r="AS46" i="4"/>
  <c r="AS47" i="4"/>
  <c r="AS48" i="4"/>
  <c r="AS49" i="4"/>
  <c r="AS50" i="4"/>
  <c r="AS51" i="4"/>
  <c r="AS52" i="4"/>
  <c r="AS53" i="4"/>
  <c r="AS54" i="4"/>
  <c r="AS55" i="4"/>
  <c r="AS56" i="4"/>
  <c r="AS57" i="4"/>
  <c r="AS58" i="4"/>
  <c r="AS59" i="4"/>
  <c r="AS60" i="4"/>
  <c r="AS61" i="4"/>
  <c r="AS62" i="4"/>
  <c r="AS63" i="4"/>
  <c r="AS64" i="4"/>
  <c r="AS65" i="4"/>
  <c r="AS66" i="4"/>
  <c r="AS67" i="4"/>
  <c r="AS68" i="4"/>
  <c r="AS69" i="4"/>
  <c r="AS70" i="4"/>
  <c r="AS71" i="4"/>
  <c r="AS72" i="4"/>
  <c r="AS73" i="4"/>
  <c r="AS74" i="4"/>
  <c r="AS75" i="4"/>
  <c r="AS76" i="4"/>
  <c r="AS77" i="4"/>
  <c r="AS78" i="4"/>
  <c r="AS79" i="4"/>
  <c r="AS80" i="4"/>
  <c r="AS81" i="4"/>
  <c r="AS82" i="4"/>
  <c r="AS83" i="4"/>
  <c r="AS84" i="4"/>
  <c r="AS85" i="4"/>
  <c r="AS86" i="4"/>
  <c r="AS87" i="4"/>
  <c r="AS88" i="4"/>
  <c r="AS89" i="4"/>
  <c r="AS90" i="4"/>
  <c r="AS91" i="4"/>
  <c r="AS92" i="4"/>
  <c r="AS93" i="4"/>
  <c r="AS94" i="4"/>
  <c r="AS95" i="4"/>
  <c r="AS96" i="4"/>
  <c r="AS97" i="4"/>
  <c r="AS98" i="4"/>
  <c r="AS99" i="4"/>
  <c r="AS100" i="4"/>
  <c r="AS101" i="4"/>
  <c r="AS102" i="4"/>
  <c r="AS103" i="4"/>
  <c r="AS104" i="4"/>
  <c r="AS105" i="4"/>
  <c r="AS106" i="4"/>
  <c r="AS107" i="4"/>
  <c r="AS108" i="4"/>
  <c r="AS109" i="4"/>
  <c r="AS110" i="4"/>
  <c r="AS111" i="4"/>
  <c r="AS112" i="4"/>
  <c r="AS113" i="4"/>
  <c r="AS114" i="4"/>
  <c r="AS115" i="4"/>
  <c r="AS116" i="4"/>
  <c r="AS117" i="4"/>
  <c r="AS118" i="4"/>
  <c r="AS119" i="4"/>
  <c r="AS120" i="4"/>
  <c r="AS121" i="4"/>
  <c r="AS122" i="4"/>
  <c r="AS123" i="4"/>
  <c r="AS124" i="4"/>
  <c r="AS125" i="4"/>
  <c r="AS126" i="4"/>
  <c r="AS127" i="4"/>
  <c r="AS128" i="4"/>
  <c r="AS129" i="4"/>
  <c r="AS130" i="4"/>
  <c r="AS131" i="4"/>
  <c r="AS132" i="4"/>
  <c r="AS133" i="4"/>
  <c r="AS134" i="4"/>
  <c r="AS135" i="4"/>
  <c r="AS136" i="4"/>
  <c r="AS137" i="4"/>
  <c r="AS138" i="4"/>
  <c r="AS139" i="4"/>
  <c r="AS140" i="4"/>
  <c r="AS141" i="4"/>
  <c r="AS142" i="4"/>
  <c r="AS143" i="4"/>
  <c r="AS144" i="4"/>
  <c r="AS145" i="4"/>
  <c r="AS146" i="4"/>
  <c r="AS147" i="4"/>
  <c r="AS148" i="4"/>
  <c r="AS149" i="4"/>
  <c r="AS150" i="4"/>
  <c r="AS151" i="4"/>
  <c r="AS152" i="4"/>
  <c r="AS153" i="4"/>
  <c r="AS154" i="4"/>
  <c r="AS155" i="4"/>
  <c r="AS156" i="4"/>
  <c r="AS157" i="4"/>
  <c r="AS158" i="4"/>
  <c r="AS159" i="4"/>
  <c r="AS160" i="4"/>
  <c r="AS161" i="4"/>
  <c r="AS162" i="4"/>
  <c r="AS163" i="4"/>
  <c r="AS164" i="4"/>
  <c r="AS165" i="4"/>
  <c r="AS166" i="4"/>
  <c r="AS167" i="4"/>
  <c r="AS168" i="4"/>
  <c r="AS169" i="4"/>
  <c r="AS170" i="4"/>
  <c r="AS171" i="4"/>
  <c r="AS172" i="4"/>
  <c r="AS173" i="4"/>
  <c r="AS174" i="4"/>
  <c r="AS175" i="4"/>
  <c r="AS176" i="4"/>
  <c r="AS177" i="4"/>
  <c r="AS178" i="4"/>
  <c r="AS179" i="4"/>
  <c r="AS180" i="4"/>
  <c r="AS181" i="4"/>
  <c r="AS182" i="4"/>
  <c r="AS183" i="4"/>
  <c r="AS184" i="4"/>
  <c r="AS185" i="4"/>
  <c r="AS186" i="4"/>
  <c r="AS187" i="4"/>
  <c r="AS188" i="4"/>
  <c r="AS189" i="4"/>
  <c r="AS190" i="4"/>
  <c r="AS191" i="4"/>
  <c r="AS192" i="4"/>
  <c r="AS193" i="4"/>
  <c r="AS194" i="4"/>
  <c r="AS195" i="4"/>
  <c r="AS196" i="4"/>
  <c r="AS197" i="4"/>
  <c r="AS198" i="4"/>
  <c r="AS199" i="4"/>
  <c r="AS200" i="4"/>
  <c r="AS201" i="4"/>
  <c r="AS202" i="4"/>
  <c r="AS203" i="4"/>
  <c r="AS204" i="4"/>
  <c r="AS205" i="4"/>
  <c r="AS206" i="4"/>
  <c r="AS207" i="4"/>
  <c r="AS208" i="4"/>
  <c r="AS209" i="4"/>
  <c r="AS210" i="4"/>
  <c r="AS211" i="4"/>
  <c r="AS212" i="4"/>
  <c r="AS213" i="4"/>
  <c r="AS214" i="4"/>
  <c r="AS215" i="4"/>
  <c r="AS216" i="4"/>
  <c r="AS217" i="4"/>
  <c r="AS218" i="4"/>
  <c r="AS219" i="4"/>
  <c r="AS220" i="4"/>
  <c r="AS221" i="4"/>
  <c r="AS222" i="4"/>
  <c r="AS223" i="4"/>
  <c r="AS224" i="4"/>
  <c r="AS225" i="4"/>
  <c r="AS226" i="4"/>
  <c r="AS227" i="4"/>
  <c r="AS228" i="4"/>
  <c r="AS229" i="4"/>
  <c r="AS230" i="4"/>
  <c r="AS231" i="4"/>
  <c r="AS232" i="4"/>
  <c r="AS233" i="4"/>
  <c r="AS234" i="4"/>
  <c r="AS235" i="4"/>
  <c r="AS236" i="4"/>
  <c r="AS237" i="4"/>
  <c r="AS238" i="4"/>
  <c r="AS239" i="4"/>
  <c r="AS240" i="4"/>
  <c r="AS241" i="4"/>
  <c r="AS242" i="4"/>
  <c r="AS243" i="4"/>
  <c r="AS244" i="4"/>
  <c r="AS245" i="4"/>
  <c r="AS246" i="4"/>
  <c r="AS247" i="4"/>
  <c r="AS248" i="4"/>
  <c r="AS249" i="4"/>
  <c r="AS250" i="4"/>
  <c r="AS251" i="4"/>
  <c r="AS252" i="4"/>
  <c r="AS253" i="4"/>
  <c r="AS254" i="4"/>
  <c r="AS255" i="4"/>
  <c r="AS256" i="4"/>
  <c r="AS257" i="4"/>
  <c r="AS258" i="4"/>
  <c r="AS259" i="4"/>
  <c r="AS260" i="4"/>
  <c r="AS261" i="4"/>
  <c r="AS262" i="4"/>
  <c r="AS263" i="4"/>
  <c r="AS264" i="4"/>
  <c r="AS265" i="4"/>
  <c r="AS266" i="4"/>
  <c r="AS267" i="4"/>
  <c r="AS268" i="4"/>
  <c r="AS269" i="4"/>
  <c r="AS270" i="4"/>
  <c r="AS271" i="4"/>
  <c r="AS272" i="4"/>
  <c r="AS273" i="4"/>
  <c r="AS274" i="4"/>
  <c r="AS275" i="4"/>
  <c r="AS276" i="4"/>
  <c r="AS277" i="4"/>
  <c r="AS278" i="4"/>
  <c r="AS279" i="4"/>
  <c r="AS280" i="4"/>
  <c r="AS281" i="4"/>
  <c r="AS282" i="4"/>
  <c r="AS283" i="4"/>
  <c r="AS284" i="4"/>
  <c r="AS285" i="4"/>
  <c r="AS286" i="4"/>
  <c r="AS287" i="4"/>
  <c r="AS288" i="4"/>
  <c r="AS289" i="4"/>
  <c r="AS290" i="4"/>
  <c r="AS291" i="4"/>
  <c r="AS292" i="4"/>
  <c r="AS293" i="4"/>
  <c r="AS294" i="4"/>
  <c r="AS295" i="4"/>
  <c r="AS296" i="4"/>
  <c r="AS297" i="4"/>
  <c r="AS298" i="4"/>
  <c r="AS299" i="4"/>
  <c r="AS300" i="4"/>
  <c r="AS301" i="4"/>
  <c r="AS302" i="4"/>
  <c r="AS303" i="4"/>
  <c r="AS304" i="4"/>
  <c r="AS305" i="4"/>
  <c r="AS306" i="4"/>
  <c r="AS307" i="4"/>
  <c r="AS308" i="4"/>
  <c r="AS309" i="4"/>
  <c r="AS310" i="4"/>
  <c r="AS311" i="4"/>
  <c r="AS312" i="4"/>
  <c r="AS313" i="4"/>
  <c r="AS314" i="4"/>
  <c r="AS315" i="4"/>
  <c r="AS316" i="4"/>
  <c r="AS317" i="4"/>
  <c r="AS318" i="4"/>
  <c r="AS319" i="4"/>
  <c r="AS320" i="4"/>
  <c r="AS321" i="4"/>
  <c r="AS322" i="4"/>
  <c r="AS323" i="4"/>
  <c r="AS324" i="4"/>
  <c r="AS325" i="4"/>
  <c r="AS326" i="4"/>
  <c r="AS327" i="4"/>
  <c r="AS328" i="4"/>
  <c r="AS329" i="4"/>
  <c r="AS330" i="4"/>
  <c r="AS331" i="4"/>
  <c r="AS332" i="4"/>
  <c r="AS333" i="4"/>
  <c r="AS334" i="4"/>
  <c r="AS335" i="4"/>
  <c r="AS336" i="4"/>
  <c r="AS337" i="4"/>
  <c r="AS338" i="4"/>
  <c r="AS339" i="4"/>
  <c r="AS340" i="4"/>
  <c r="AS341" i="4"/>
  <c r="AS342" i="4"/>
  <c r="AS343" i="4"/>
  <c r="AS344" i="4"/>
  <c r="AS345" i="4"/>
  <c r="AS346" i="4"/>
  <c r="AS347" i="4"/>
  <c r="AS348" i="4"/>
  <c r="AS349" i="4"/>
  <c r="AS350" i="4"/>
  <c r="AS351" i="4"/>
  <c r="AS352" i="4"/>
  <c r="AS353" i="4"/>
  <c r="AS354" i="4"/>
  <c r="AS355" i="4"/>
  <c r="AS356" i="4"/>
  <c r="AS357" i="4"/>
  <c r="AS358" i="4"/>
  <c r="AS359" i="4"/>
  <c r="AS360" i="4"/>
  <c r="AS361" i="4"/>
  <c r="AS362" i="4"/>
  <c r="AS363" i="4"/>
  <c r="AS364" i="4"/>
  <c r="AS365" i="4"/>
  <c r="AS366" i="4"/>
  <c r="AS367" i="4"/>
  <c r="AS368" i="4"/>
  <c r="AS369" i="4"/>
  <c r="AS370" i="4"/>
  <c r="AS371" i="4"/>
  <c r="AS372" i="4"/>
  <c r="AS373" i="4"/>
  <c r="AS374" i="4"/>
  <c r="AS375" i="4"/>
  <c r="AS376" i="4"/>
  <c r="AS377" i="4"/>
  <c r="AS378" i="4"/>
  <c r="AS379" i="4"/>
  <c r="AS380" i="4"/>
  <c r="AS381" i="4"/>
  <c r="AS382" i="4"/>
  <c r="AS383" i="4"/>
  <c r="AS384" i="4"/>
  <c r="AS385" i="4"/>
  <c r="AS386" i="4"/>
  <c r="AS387" i="4"/>
  <c r="AS388" i="4"/>
  <c r="AS389" i="4"/>
  <c r="AS390" i="4"/>
  <c r="AS391" i="4"/>
  <c r="AS392" i="4"/>
  <c r="AS393" i="4"/>
  <c r="AS394" i="4"/>
  <c r="AS395" i="4"/>
  <c r="AS396" i="4"/>
  <c r="AS397" i="4"/>
  <c r="AS398" i="4"/>
  <c r="AS399" i="4"/>
  <c r="AS400" i="4"/>
  <c r="AS401" i="4"/>
  <c r="AS402" i="4"/>
  <c r="AS403" i="4"/>
  <c r="AS404" i="4"/>
  <c r="AS405" i="4"/>
  <c r="AS406" i="4"/>
  <c r="AS407" i="4"/>
  <c r="AS408" i="4"/>
  <c r="AS409" i="4"/>
  <c r="AS410" i="4"/>
  <c r="AS411" i="4"/>
  <c r="AS412" i="4"/>
  <c r="AS413" i="4"/>
  <c r="AS414" i="4"/>
  <c r="AS415" i="4"/>
  <c r="AS416" i="4"/>
  <c r="AS417" i="4"/>
  <c r="AS418" i="4"/>
  <c r="AS419" i="4"/>
  <c r="AS420" i="4"/>
  <c r="AS421" i="4"/>
  <c r="AS422" i="4"/>
  <c r="AS423" i="4"/>
  <c r="AS424" i="4"/>
  <c r="AS425" i="4"/>
  <c r="AS426" i="4"/>
  <c r="AS427" i="4"/>
  <c r="AS428" i="4"/>
  <c r="AS429" i="4"/>
  <c r="AS430" i="4"/>
  <c r="AS431" i="4"/>
  <c r="AS432" i="4"/>
  <c r="AS433" i="4"/>
  <c r="AS434" i="4"/>
  <c r="AS435" i="4"/>
  <c r="AS436" i="4"/>
  <c r="AS437" i="4"/>
  <c r="AS438" i="4"/>
  <c r="AS439" i="4"/>
  <c r="AS440" i="4"/>
  <c r="AS441" i="4"/>
  <c r="AS442" i="4"/>
  <c r="AS443" i="4"/>
  <c r="AS444" i="4"/>
  <c r="AS445" i="4"/>
  <c r="AS446" i="4"/>
  <c r="AS447" i="4"/>
  <c r="AS448" i="4"/>
  <c r="AS449" i="4"/>
  <c r="AS450" i="4"/>
  <c r="AS451" i="4"/>
  <c r="AS452" i="4"/>
  <c r="AS453" i="4"/>
  <c r="AS454" i="4"/>
  <c r="AS455" i="4"/>
  <c r="AS456" i="4"/>
  <c r="AS457" i="4"/>
  <c r="AS458" i="4"/>
  <c r="AS459" i="4"/>
  <c r="AS460" i="4"/>
  <c r="AS461" i="4"/>
  <c r="AS462" i="4"/>
  <c r="AS463" i="4"/>
  <c r="AS464" i="4"/>
  <c r="AS465" i="4"/>
  <c r="AS466" i="4"/>
  <c r="AS467" i="4"/>
  <c r="AS468" i="4"/>
  <c r="AS469" i="4"/>
  <c r="AS470" i="4"/>
  <c r="AS471" i="4"/>
  <c r="AS472" i="4"/>
  <c r="AS473" i="4"/>
  <c r="AS474" i="4"/>
  <c r="AS475" i="4"/>
  <c r="AS476" i="4"/>
  <c r="AS477" i="4"/>
  <c r="AS478" i="4"/>
  <c r="AS479" i="4"/>
  <c r="AS480" i="4"/>
  <c r="AS481" i="4"/>
  <c r="AS482" i="4"/>
  <c r="AS483" i="4"/>
  <c r="AS484" i="4"/>
  <c r="AS485" i="4"/>
  <c r="AS486" i="4"/>
  <c r="AS487" i="4"/>
  <c r="AS488" i="4"/>
  <c r="AS489" i="4"/>
  <c r="AS490" i="4"/>
  <c r="AS491" i="4"/>
  <c r="AS492" i="4"/>
  <c r="AS493" i="4"/>
  <c r="AS494" i="4"/>
  <c r="AS495" i="4"/>
  <c r="AS496" i="4"/>
  <c r="AS497" i="4"/>
  <c r="AS498" i="4"/>
  <c r="AS499" i="4"/>
  <c r="AS500" i="4"/>
  <c r="AS501" i="4"/>
  <c r="AS502" i="4"/>
  <c r="AS503" i="4"/>
  <c r="AS504" i="4"/>
  <c r="AS505" i="4"/>
  <c r="AS506" i="4"/>
  <c r="AS507" i="4"/>
  <c r="AS508" i="4"/>
  <c r="AS509" i="4"/>
  <c r="AS510" i="4"/>
  <c r="AS511" i="4"/>
  <c r="AS512" i="4"/>
  <c r="AS513" i="4"/>
  <c r="AS514" i="4"/>
  <c r="AS515" i="4"/>
  <c r="AS516" i="4"/>
  <c r="AS517" i="4"/>
  <c r="AS518" i="4"/>
  <c r="AS519" i="4"/>
  <c r="AS520" i="4"/>
  <c r="AS521" i="4"/>
  <c r="AS522" i="4"/>
  <c r="AS523" i="4"/>
  <c r="AS524" i="4"/>
  <c r="AS525" i="4"/>
  <c r="AS526" i="4"/>
  <c r="AS527" i="4"/>
  <c r="AS528" i="4"/>
  <c r="AS529" i="4"/>
  <c r="AS530" i="4"/>
  <c r="AS531" i="4"/>
  <c r="AS532" i="4"/>
  <c r="AS533" i="4"/>
  <c r="AS534" i="4"/>
  <c r="AS535" i="4"/>
  <c r="AS536" i="4"/>
  <c r="AS537" i="4"/>
  <c r="AS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22" i="4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03" i="2"/>
  <c r="AS104" i="2"/>
  <c r="AS105" i="2"/>
  <c r="AS106" i="2"/>
  <c r="AS107" i="2"/>
  <c r="AS108" i="2"/>
  <c r="AS109" i="2"/>
  <c r="AS110" i="2"/>
  <c r="AS111" i="2"/>
  <c r="AS112" i="2"/>
  <c r="AS113" i="2"/>
  <c r="AS114" i="2"/>
  <c r="AS115" i="2"/>
  <c r="AS116" i="2"/>
  <c r="AS117" i="2"/>
  <c r="AS118" i="2"/>
  <c r="AS119" i="2"/>
  <c r="AS120" i="2"/>
  <c r="AS121" i="2"/>
  <c r="AS122" i="2"/>
  <c r="AS123" i="2"/>
  <c r="AS124" i="2"/>
  <c r="AS125" i="2"/>
  <c r="AS126" i="2"/>
  <c r="AS127" i="2"/>
  <c r="AS128" i="2"/>
  <c r="AS129" i="2"/>
  <c r="AS130" i="2"/>
  <c r="AS131" i="2"/>
  <c r="AS132" i="2"/>
  <c r="AS133" i="2"/>
  <c r="AS134" i="2"/>
  <c r="AS135" i="2"/>
  <c r="AS136" i="2"/>
  <c r="AS137" i="2"/>
  <c r="AS138" i="2"/>
  <c r="AS139" i="2"/>
  <c r="AS140" i="2"/>
  <c r="AS141" i="2"/>
  <c r="AS142" i="2"/>
  <c r="AS143" i="2"/>
  <c r="AS144" i="2"/>
  <c r="AS145" i="2"/>
  <c r="AS146" i="2"/>
  <c r="AS147" i="2"/>
  <c r="AS148" i="2"/>
  <c r="AS149" i="2"/>
  <c r="AS150" i="2"/>
  <c r="AS151" i="2"/>
  <c r="AS152" i="2"/>
  <c r="AS153" i="2"/>
  <c r="AS154" i="2"/>
  <c r="AS155" i="2"/>
  <c r="AS156" i="2"/>
  <c r="AS157" i="2"/>
  <c r="AS158" i="2"/>
  <c r="AS159" i="2"/>
  <c r="AS160" i="2"/>
  <c r="AS161" i="2"/>
  <c r="AS162" i="2"/>
  <c r="AS163" i="2"/>
  <c r="AS164" i="2"/>
  <c r="AS165" i="2"/>
  <c r="AS166" i="2"/>
  <c r="AS167" i="2"/>
  <c r="AS168" i="2"/>
  <c r="AS169" i="2"/>
  <c r="AS170" i="2"/>
  <c r="AS171" i="2"/>
  <c r="AS172" i="2"/>
  <c r="AS173" i="2"/>
  <c r="AS174" i="2"/>
  <c r="AS175" i="2"/>
  <c r="AS176" i="2"/>
  <c r="AS177" i="2"/>
  <c r="AS178" i="2"/>
  <c r="AS179" i="2"/>
  <c r="AS180" i="2"/>
  <c r="AS181" i="2"/>
  <c r="AS182" i="2"/>
  <c r="AS183" i="2"/>
  <c r="AS184" i="2"/>
  <c r="AS185" i="2"/>
  <c r="AS186" i="2"/>
  <c r="AS187" i="2"/>
  <c r="AS188" i="2"/>
  <c r="AS189" i="2"/>
  <c r="AS190" i="2"/>
  <c r="AS191" i="2"/>
  <c r="AS192" i="2"/>
  <c r="AS193" i="2"/>
  <c r="AS194" i="2"/>
  <c r="AS195" i="2"/>
  <c r="AS196" i="2"/>
  <c r="AS197" i="2"/>
  <c r="AS198" i="2"/>
  <c r="AS199" i="2"/>
  <c r="AS200" i="2"/>
  <c r="AS201" i="2"/>
  <c r="AS202" i="2"/>
  <c r="AS203" i="2"/>
  <c r="AS204" i="2"/>
  <c r="AS205" i="2"/>
  <c r="AS206" i="2"/>
  <c r="AS207" i="2"/>
  <c r="AS208" i="2"/>
  <c r="AS209" i="2"/>
  <c r="AS210" i="2"/>
  <c r="AS211" i="2"/>
  <c r="AS212" i="2"/>
  <c r="AS213" i="2"/>
  <c r="AS214" i="2"/>
  <c r="AS215" i="2"/>
  <c r="AS216" i="2"/>
  <c r="AS217" i="2"/>
  <c r="AS218" i="2"/>
  <c r="AS219" i="2"/>
  <c r="AS220" i="2"/>
  <c r="AS221" i="2"/>
  <c r="AS222" i="2"/>
  <c r="AS223" i="2"/>
  <c r="AS224" i="2"/>
  <c r="AS225" i="2"/>
  <c r="AS226" i="2"/>
  <c r="AS227" i="2"/>
  <c r="AS228" i="2"/>
  <c r="AS229" i="2"/>
  <c r="AS230" i="2"/>
  <c r="AS231" i="2"/>
  <c r="AS232" i="2"/>
  <c r="AS233" i="2"/>
  <c r="AS234" i="2"/>
  <c r="AS235" i="2"/>
  <c r="AS236" i="2"/>
  <c r="AS237" i="2"/>
  <c r="AS238" i="2"/>
  <c r="AS239" i="2"/>
  <c r="AS240" i="2"/>
  <c r="AS241" i="2"/>
  <c r="AS242" i="2"/>
  <c r="AS243" i="2"/>
  <c r="AS244" i="2"/>
  <c r="AS245" i="2"/>
  <c r="AS246" i="2"/>
  <c r="AS247" i="2"/>
  <c r="AS248" i="2"/>
  <c r="AS249" i="2"/>
  <c r="AS250" i="2"/>
  <c r="AS251" i="2"/>
  <c r="AS252" i="2"/>
  <c r="AS253" i="2"/>
  <c r="AS254" i="2"/>
  <c r="AS255" i="2"/>
  <c r="AS256" i="2"/>
  <c r="AS257" i="2"/>
  <c r="AS258" i="2"/>
  <c r="AS259" i="2"/>
  <c r="AS260" i="2"/>
  <c r="AS261" i="2"/>
  <c r="AS262" i="2"/>
  <c r="AS263" i="2"/>
  <c r="AS264" i="2"/>
  <c r="AS265" i="2"/>
  <c r="AS266" i="2"/>
  <c r="AS267" i="2"/>
  <c r="AS268" i="2"/>
  <c r="AS269" i="2"/>
  <c r="AS270" i="2"/>
  <c r="AS271" i="2"/>
  <c r="AS272" i="2"/>
  <c r="AS273" i="2"/>
  <c r="AS274" i="2"/>
  <c r="AS275" i="2"/>
  <c r="AS276" i="2"/>
  <c r="AS277" i="2"/>
  <c r="AS278" i="2"/>
  <c r="AS279" i="2"/>
  <c r="AS280" i="2"/>
  <c r="AS281" i="2"/>
  <c r="AS282" i="2"/>
  <c r="AS283" i="2"/>
  <c r="AS284" i="2"/>
  <c r="AS285" i="2"/>
  <c r="AS286" i="2"/>
  <c r="AS287" i="2"/>
  <c r="AS288" i="2"/>
  <c r="AS289" i="2"/>
  <c r="AS290" i="2"/>
  <c r="AS291" i="2"/>
  <c r="AS292" i="2"/>
  <c r="AS293" i="2"/>
  <c r="AS294" i="2"/>
  <c r="AS295" i="2"/>
  <c r="AS296" i="2"/>
  <c r="AS297" i="2"/>
  <c r="AS298" i="2"/>
  <c r="AS299" i="2"/>
  <c r="AS300" i="2"/>
  <c r="AS301" i="2"/>
  <c r="AS302" i="2"/>
  <c r="AS303" i="2"/>
  <c r="AS304" i="2"/>
  <c r="AS305" i="2"/>
  <c r="AS306" i="2"/>
  <c r="AS307" i="2"/>
  <c r="AS308" i="2"/>
  <c r="AS309" i="2"/>
  <c r="AS310" i="2"/>
  <c r="AS311" i="2"/>
  <c r="AS312" i="2"/>
  <c r="AS313" i="2"/>
  <c r="AS314" i="2"/>
  <c r="AS315" i="2"/>
  <c r="AS316" i="2"/>
  <c r="AS317" i="2"/>
  <c r="AS318" i="2"/>
  <c r="AS319" i="2"/>
  <c r="AS320" i="2"/>
  <c r="AS321" i="2"/>
  <c r="AS322" i="2"/>
  <c r="AS323" i="2"/>
  <c r="AS324" i="2"/>
  <c r="AS325" i="2"/>
  <c r="AS326" i="2"/>
  <c r="AS327" i="2"/>
  <c r="AS328" i="2"/>
  <c r="AS329" i="2"/>
  <c r="AS330" i="2"/>
  <c r="AS331" i="2"/>
  <c r="AS332" i="2"/>
  <c r="AS333" i="2"/>
  <c r="AS334" i="2"/>
  <c r="AS335" i="2"/>
  <c r="AS336" i="2"/>
  <c r="AS337" i="2"/>
  <c r="AS338" i="2"/>
  <c r="AS339" i="2"/>
  <c r="AS340" i="2"/>
  <c r="AS341" i="2"/>
  <c r="AS342" i="2"/>
  <c r="AS343" i="2"/>
  <c r="AS344" i="2"/>
  <c r="AS345" i="2"/>
  <c r="AS346" i="2"/>
  <c r="AS347" i="2"/>
  <c r="AS348" i="2"/>
  <c r="AS349" i="2"/>
  <c r="AS350" i="2"/>
  <c r="AS351" i="2"/>
  <c r="AS352" i="2"/>
  <c r="AS353" i="2"/>
  <c r="AS354" i="2"/>
  <c r="AS355" i="2"/>
  <c r="AS356" i="2"/>
  <c r="AS357" i="2"/>
  <c r="AS358" i="2"/>
  <c r="AS359" i="2"/>
  <c r="AS360" i="2"/>
  <c r="AS361" i="2"/>
  <c r="AS362" i="2"/>
  <c r="AS363" i="2"/>
  <c r="AS364" i="2"/>
  <c r="AS365" i="2"/>
  <c r="AS366" i="2"/>
  <c r="AS367" i="2"/>
  <c r="AS368" i="2"/>
  <c r="AS369" i="2"/>
  <c r="AS370" i="2"/>
  <c r="AS371" i="2"/>
  <c r="AS372" i="2"/>
  <c r="AS373" i="2"/>
  <c r="AS374" i="2"/>
  <c r="AS375" i="2"/>
  <c r="AS376" i="2"/>
  <c r="AS377" i="2"/>
  <c r="AS378" i="2"/>
  <c r="AS379" i="2"/>
  <c r="AS380" i="2"/>
  <c r="AS381" i="2"/>
  <c r="AS382" i="2"/>
  <c r="AS383" i="2"/>
  <c r="AS384" i="2"/>
  <c r="AS385" i="2"/>
  <c r="AS386" i="2"/>
  <c r="AS387" i="2"/>
  <c r="AS388" i="2"/>
  <c r="AS389" i="2"/>
  <c r="AS390" i="2"/>
  <c r="AS391" i="2"/>
  <c r="AS392" i="2"/>
  <c r="AS393" i="2"/>
  <c r="AS394" i="2"/>
  <c r="AS395" i="2"/>
  <c r="AS396" i="2"/>
  <c r="AS397" i="2"/>
  <c r="AS398" i="2"/>
  <c r="AS399" i="2"/>
  <c r="AS400" i="2"/>
  <c r="AS401" i="2"/>
  <c r="AS402" i="2"/>
  <c r="AS403" i="2"/>
  <c r="AS404" i="2"/>
  <c r="AS405" i="2"/>
  <c r="AS406" i="2"/>
  <c r="AS407" i="2"/>
  <c r="AS408" i="2"/>
  <c r="AS409" i="2"/>
  <c r="AS410" i="2"/>
  <c r="AS411" i="2"/>
  <c r="AS412" i="2"/>
  <c r="AS413" i="2"/>
  <c r="AS414" i="2"/>
  <c r="AS415" i="2"/>
  <c r="AS416" i="2"/>
  <c r="AS417" i="2"/>
  <c r="AS418" i="2"/>
  <c r="AS419" i="2"/>
  <c r="AS420" i="2"/>
  <c r="AS421" i="2"/>
  <c r="AS422" i="2"/>
  <c r="AS423" i="2"/>
  <c r="AS424" i="2"/>
  <c r="AS425" i="2"/>
  <c r="AS426" i="2"/>
  <c r="AS427" i="2"/>
  <c r="AS428" i="2"/>
  <c r="AS429" i="2"/>
  <c r="AS430" i="2"/>
  <c r="AS431" i="2"/>
  <c r="AS432" i="2"/>
  <c r="AS433" i="2"/>
  <c r="AS434" i="2"/>
  <c r="AS435" i="2"/>
  <c r="AS436" i="2"/>
  <c r="AS437" i="2"/>
  <c r="AS438" i="2"/>
  <c r="AS439" i="2"/>
  <c r="AS440" i="2"/>
  <c r="AS441" i="2"/>
  <c r="AS442" i="2"/>
  <c r="AS443" i="2"/>
  <c r="AS444" i="2"/>
  <c r="AS445" i="2"/>
  <c r="AS446" i="2"/>
  <c r="AS447" i="2"/>
  <c r="AS448" i="2"/>
  <c r="AS449" i="2"/>
  <c r="AS450" i="2"/>
  <c r="AS451" i="2"/>
  <c r="AS452" i="2"/>
  <c r="AS453" i="2"/>
  <c r="AS454" i="2"/>
  <c r="AS455" i="2"/>
  <c r="AS456" i="2"/>
  <c r="AS457" i="2"/>
  <c r="AS458" i="2"/>
  <c r="AS459" i="2"/>
  <c r="AS460" i="2"/>
  <c r="AS461" i="2"/>
  <c r="AS462" i="2"/>
  <c r="AS463" i="2"/>
  <c r="AS464" i="2"/>
  <c r="AS465" i="2"/>
  <c r="AS466" i="2"/>
  <c r="AS467" i="2"/>
  <c r="AS468" i="2"/>
  <c r="AS469" i="2"/>
  <c r="AS470" i="2"/>
  <c r="AS471" i="2"/>
  <c r="AS472" i="2"/>
  <c r="AS473" i="2"/>
  <c r="AS474" i="2"/>
  <c r="AS475" i="2"/>
  <c r="AS476" i="2"/>
  <c r="AS477" i="2"/>
  <c r="AS478" i="2"/>
  <c r="AS479" i="2"/>
  <c r="AS480" i="2"/>
  <c r="AS481" i="2"/>
  <c r="AS482" i="2"/>
  <c r="AS483" i="2"/>
  <c r="AS484" i="2"/>
  <c r="AS485" i="2"/>
  <c r="AS486" i="2"/>
  <c r="AS487" i="2"/>
  <c r="AS488" i="2"/>
  <c r="AS489" i="2"/>
  <c r="AS490" i="2"/>
  <c r="AS491" i="2"/>
  <c r="AS492" i="2"/>
  <c r="AS493" i="2"/>
  <c r="AS494" i="2"/>
  <c r="AS495" i="2"/>
  <c r="AS496" i="2"/>
  <c r="AS497" i="2"/>
  <c r="AS498" i="2"/>
  <c r="AS499" i="2"/>
  <c r="AS500" i="2"/>
  <c r="AS501" i="2"/>
  <c r="AS502" i="2"/>
  <c r="AS503" i="2"/>
  <c r="AS504" i="2"/>
  <c r="AS505" i="2"/>
  <c r="AS506" i="2"/>
  <c r="AS507" i="2"/>
  <c r="AS508" i="2"/>
  <c r="AS509" i="2"/>
  <c r="AS510" i="2"/>
  <c r="AS511" i="2"/>
  <c r="AS512" i="2"/>
  <c r="AS513" i="2"/>
  <c r="AS514" i="2"/>
  <c r="AS515" i="2"/>
  <c r="AS516" i="2"/>
  <c r="AS517" i="2"/>
  <c r="AS518" i="2"/>
  <c r="AS519" i="2"/>
  <c r="AS520" i="2"/>
  <c r="AS521" i="2"/>
  <c r="AS522" i="2"/>
  <c r="AS523" i="2"/>
  <c r="AS524" i="2"/>
  <c r="AS525" i="2"/>
  <c r="AS526" i="2"/>
  <c r="AS527" i="2"/>
  <c r="AS528" i="2"/>
  <c r="AS529" i="2"/>
  <c r="AS530" i="2"/>
  <c r="AS531" i="2"/>
  <c r="AS532" i="2"/>
  <c r="AS533" i="2"/>
  <c r="AS534" i="2"/>
  <c r="AS535" i="2"/>
  <c r="AS536" i="2"/>
  <c r="AS537" i="2"/>
  <c r="AS538" i="2"/>
  <c r="AS539" i="2"/>
  <c r="AS540" i="2"/>
  <c r="AS541" i="2"/>
  <c r="AS542" i="2"/>
  <c r="AS543" i="2"/>
  <c r="AS544" i="2"/>
  <c r="AS545" i="2"/>
  <c r="AS546" i="2"/>
  <c r="AS547" i="2"/>
  <c r="AS548" i="2"/>
  <c r="AS549" i="2"/>
  <c r="AS550" i="2"/>
  <c r="AS551" i="2"/>
  <c r="AS552" i="2"/>
  <c r="AS553" i="2"/>
  <c r="AS554" i="2"/>
  <c r="AS555" i="2"/>
  <c r="AS556" i="2"/>
  <c r="AS557" i="2"/>
  <c r="AS558" i="2"/>
  <c r="AS559" i="2"/>
  <c r="AS560" i="2"/>
  <c r="AS561" i="2"/>
  <c r="AS562" i="2"/>
  <c r="AS563" i="2"/>
  <c r="AS564" i="2"/>
  <c r="AS565" i="2"/>
  <c r="AS566" i="2"/>
  <c r="AS567" i="2"/>
  <c r="AS568" i="2"/>
  <c r="AS569" i="2"/>
  <c r="AS570" i="2"/>
  <c r="AS571" i="2"/>
  <c r="AS572" i="2"/>
  <c r="AS573" i="2"/>
  <c r="AS574" i="2"/>
  <c r="AS575" i="2"/>
  <c r="AS576" i="2"/>
  <c r="AS577" i="2"/>
  <c r="AS578" i="2"/>
  <c r="AS579" i="2"/>
  <c r="AS580" i="2"/>
  <c r="AS581" i="2"/>
  <c r="AS582" i="2"/>
  <c r="AS583" i="2"/>
  <c r="AS584" i="2"/>
  <c r="AS585" i="2"/>
  <c r="AS586" i="2"/>
  <c r="AS587" i="2"/>
  <c r="AS588" i="2"/>
  <c r="AS589" i="2"/>
  <c r="AS590" i="2"/>
  <c r="AS591" i="2"/>
  <c r="AS592" i="2"/>
  <c r="AS593" i="2"/>
  <c r="AS594" i="2"/>
  <c r="AS595" i="2"/>
  <c r="AS596" i="2"/>
  <c r="AS597" i="2"/>
  <c r="AS598" i="2"/>
  <c r="AS599" i="2"/>
  <c r="AS600" i="2"/>
  <c r="AS601" i="2"/>
  <c r="AS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22" i="2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22" i="1"/>
  <c r="AU22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Y12" i="4"/>
  <c r="A12" i="4"/>
  <c r="AS538" i="4"/>
  <c r="AU537" i="4"/>
  <c r="AU536" i="4"/>
  <c r="AU535" i="4"/>
  <c r="AU534" i="4"/>
  <c r="AU533" i="4"/>
  <c r="AU532" i="4"/>
  <c r="AU531" i="4"/>
  <c r="AU530" i="4"/>
  <c r="AU529" i="4"/>
  <c r="AU528" i="4"/>
  <c r="AU527" i="4"/>
  <c r="AU526" i="4"/>
  <c r="AU525" i="4"/>
  <c r="AU524" i="4"/>
  <c r="AU523" i="4"/>
  <c r="AU522" i="4"/>
  <c r="AU521" i="4"/>
  <c r="AU520" i="4"/>
  <c r="AU519" i="4"/>
  <c r="AU518" i="4"/>
  <c r="AU517" i="4"/>
  <c r="AU516" i="4"/>
  <c r="AU515" i="4"/>
  <c r="AU514" i="4"/>
  <c r="AU513" i="4"/>
  <c r="AU512" i="4"/>
  <c r="AU511" i="4"/>
  <c r="AU510" i="4"/>
  <c r="AU509" i="4"/>
  <c r="AU508" i="4"/>
  <c r="AU507" i="4"/>
  <c r="AU506" i="4"/>
  <c r="AU505" i="4"/>
  <c r="AU504" i="4"/>
  <c r="AU503" i="4"/>
  <c r="AU502" i="4"/>
  <c r="AU501" i="4"/>
  <c r="AU500" i="4"/>
  <c r="AU499" i="4"/>
  <c r="AU498" i="4"/>
  <c r="AU497" i="4"/>
  <c r="AU496" i="4"/>
  <c r="AU495" i="4"/>
  <c r="AU494" i="4"/>
  <c r="AU493" i="4"/>
  <c r="AU492" i="4"/>
  <c r="AU491" i="4"/>
  <c r="AU490" i="4"/>
  <c r="AU489" i="4"/>
  <c r="AU488" i="4"/>
  <c r="AU487" i="4"/>
  <c r="AU486" i="4"/>
  <c r="AU485" i="4"/>
  <c r="AU484" i="4"/>
  <c r="AU483" i="4"/>
  <c r="AU482" i="4"/>
  <c r="AU481" i="4"/>
  <c r="AU480" i="4"/>
  <c r="AU479" i="4"/>
  <c r="AU478" i="4"/>
  <c r="AU477" i="4"/>
  <c r="AU476" i="4"/>
  <c r="AU475" i="4"/>
  <c r="AU474" i="4"/>
  <c r="AU473" i="4"/>
  <c r="AU472" i="4"/>
  <c r="AU471" i="4"/>
  <c r="AU470" i="4"/>
  <c r="AU469" i="4"/>
  <c r="AU468" i="4"/>
  <c r="AU467" i="4"/>
  <c r="AU466" i="4"/>
  <c r="AU465" i="4"/>
  <c r="AU464" i="4"/>
  <c r="AU463" i="4"/>
  <c r="AU462" i="4"/>
  <c r="AU461" i="4"/>
  <c r="AU460" i="4"/>
  <c r="AU459" i="4"/>
  <c r="AU458" i="4"/>
  <c r="AU457" i="4"/>
  <c r="AU456" i="4"/>
  <c r="AU455" i="4"/>
  <c r="AU454" i="4"/>
  <c r="AU453" i="4"/>
  <c r="AU452" i="4"/>
  <c r="AU451" i="4"/>
  <c r="AU450" i="4"/>
  <c r="AU449" i="4"/>
  <c r="AU448" i="4"/>
  <c r="AU447" i="4"/>
  <c r="AU446" i="4"/>
  <c r="AU445" i="4"/>
  <c r="AU444" i="4"/>
  <c r="AU443" i="4"/>
  <c r="AU442" i="4"/>
  <c r="AU441" i="4"/>
  <c r="AU440" i="4"/>
  <c r="AU439" i="4"/>
  <c r="AU438" i="4"/>
  <c r="AU437" i="4"/>
  <c r="AU436" i="4"/>
  <c r="AU435" i="4"/>
  <c r="AU434" i="4"/>
  <c r="AU433" i="4"/>
  <c r="AU432" i="4"/>
  <c r="AU431" i="4"/>
  <c r="AU430" i="4"/>
  <c r="AU429" i="4"/>
  <c r="AU428" i="4"/>
  <c r="AU427" i="4"/>
  <c r="AU426" i="4"/>
  <c r="AU425" i="4"/>
  <c r="AU424" i="4"/>
  <c r="AU423" i="4"/>
  <c r="AU422" i="4"/>
  <c r="AU421" i="4"/>
  <c r="AU420" i="4"/>
  <c r="AU419" i="4"/>
  <c r="AU418" i="4"/>
  <c r="AU417" i="4"/>
  <c r="AU416" i="4"/>
  <c r="AU415" i="4"/>
  <c r="AU414" i="4"/>
  <c r="AU413" i="4"/>
  <c r="AU412" i="4"/>
  <c r="AU411" i="4"/>
  <c r="AU410" i="4"/>
  <c r="AU409" i="4"/>
  <c r="AU408" i="4"/>
  <c r="AU407" i="4"/>
  <c r="AU406" i="4"/>
  <c r="AU405" i="4"/>
  <c r="AU404" i="4"/>
  <c r="AU403" i="4"/>
  <c r="AU402" i="4"/>
  <c r="AU401" i="4"/>
  <c r="AU400" i="4"/>
  <c r="AU399" i="4"/>
  <c r="AU398" i="4"/>
  <c r="AU397" i="4"/>
  <c r="AU396" i="4"/>
  <c r="AU395" i="4"/>
  <c r="AU394" i="4"/>
  <c r="AU393" i="4"/>
  <c r="AU392" i="4"/>
  <c r="AU391" i="4"/>
  <c r="AU390" i="4"/>
  <c r="AU389" i="4"/>
  <c r="AU388" i="4"/>
  <c r="AU387" i="4"/>
  <c r="AU386" i="4"/>
  <c r="AU385" i="4"/>
  <c r="AU384" i="4"/>
  <c r="AU383" i="4"/>
  <c r="AU382" i="4"/>
  <c r="AU381" i="4"/>
  <c r="AU380" i="4"/>
  <c r="AU379" i="4"/>
  <c r="AU378" i="4"/>
  <c r="AU377" i="4"/>
  <c r="AU376" i="4"/>
  <c r="AU375" i="4"/>
  <c r="AU374" i="4"/>
  <c r="AU373" i="4"/>
  <c r="AU372" i="4"/>
  <c r="AU371" i="4"/>
  <c r="AU370" i="4"/>
  <c r="AU369" i="4"/>
  <c r="AU368" i="4"/>
  <c r="AU367" i="4"/>
  <c r="AU366" i="4"/>
  <c r="AU365" i="4"/>
  <c r="AU364" i="4"/>
  <c r="AU363" i="4"/>
  <c r="AU362" i="4"/>
  <c r="AU361" i="4"/>
  <c r="AU360" i="4"/>
  <c r="AU359" i="4"/>
  <c r="AU358" i="4"/>
  <c r="AU357" i="4"/>
  <c r="AU356" i="4"/>
  <c r="AU355" i="4"/>
  <c r="AU354" i="4"/>
  <c r="AU353" i="4"/>
  <c r="AU352" i="4"/>
  <c r="AU351" i="4"/>
  <c r="AU350" i="4"/>
  <c r="AU349" i="4"/>
  <c r="AU348" i="4"/>
  <c r="AU347" i="4"/>
  <c r="AU346" i="4"/>
  <c r="AU345" i="4"/>
  <c r="AU344" i="4"/>
  <c r="AU343" i="4"/>
  <c r="AU342" i="4"/>
  <c r="AU341" i="4"/>
  <c r="AU340" i="4"/>
  <c r="AU339" i="4"/>
  <c r="AU338" i="4"/>
  <c r="AU337" i="4"/>
  <c r="AU336" i="4"/>
  <c r="AU335" i="4"/>
  <c r="AU334" i="4"/>
  <c r="AU333" i="4"/>
  <c r="AU332" i="4"/>
  <c r="AU331" i="4"/>
  <c r="AU330" i="4"/>
  <c r="AU329" i="4"/>
  <c r="AU328" i="4"/>
  <c r="AU327" i="4"/>
  <c r="AU326" i="4"/>
  <c r="AU325" i="4"/>
  <c r="AU324" i="4"/>
  <c r="AU323" i="4"/>
  <c r="AU322" i="4"/>
  <c r="AU321" i="4"/>
  <c r="AU320" i="4"/>
  <c r="AU319" i="4"/>
  <c r="AU318" i="4"/>
  <c r="AU317" i="4"/>
  <c r="AU316" i="4"/>
  <c r="AU315" i="4"/>
  <c r="AU314" i="4"/>
  <c r="AU313" i="4"/>
  <c r="AU312" i="4"/>
  <c r="AU311" i="4"/>
  <c r="AU310" i="4"/>
  <c r="AU309" i="4"/>
  <c r="AU308" i="4"/>
  <c r="AU307" i="4"/>
  <c r="AU306" i="4"/>
  <c r="AU305" i="4"/>
  <c r="AU304" i="4"/>
  <c r="AU303" i="4"/>
  <c r="AU302" i="4"/>
  <c r="AU301" i="4"/>
  <c r="AU300" i="4"/>
  <c r="AU299" i="4"/>
  <c r="AU298" i="4"/>
  <c r="AU297" i="4"/>
  <c r="AU296" i="4"/>
  <c r="AU295" i="4"/>
  <c r="AU294" i="4"/>
  <c r="AU293" i="4"/>
  <c r="AU292" i="4"/>
  <c r="AU291" i="4"/>
  <c r="AU290" i="4"/>
  <c r="AU289" i="4"/>
  <c r="AU288" i="4"/>
  <c r="AU287" i="4"/>
  <c r="AU286" i="4"/>
  <c r="AU285" i="4"/>
  <c r="AU284" i="4"/>
  <c r="AU283" i="4"/>
  <c r="AU282" i="4"/>
  <c r="AU281" i="4"/>
  <c r="AU280" i="4"/>
  <c r="AU279" i="4"/>
  <c r="AU278" i="4"/>
  <c r="AU277" i="4"/>
  <c r="AU276" i="4"/>
  <c r="AU275" i="4"/>
  <c r="AU274" i="4"/>
  <c r="AU273" i="4"/>
  <c r="AU272" i="4"/>
  <c r="AU271" i="4"/>
  <c r="AU270" i="4"/>
  <c r="AU269" i="4"/>
  <c r="AU268" i="4"/>
  <c r="AU267" i="4"/>
  <c r="AU266" i="4"/>
  <c r="AU265" i="4"/>
  <c r="AU264" i="4"/>
  <c r="AU263" i="4"/>
  <c r="AU262" i="4"/>
  <c r="AU261" i="4"/>
  <c r="AU260" i="4"/>
  <c r="AU259" i="4"/>
  <c r="AU258" i="4"/>
  <c r="AU257" i="4"/>
  <c r="AU256" i="4"/>
  <c r="AU255" i="4"/>
  <c r="AU254" i="4"/>
  <c r="AU253" i="4"/>
  <c r="AU252" i="4"/>
  <c r="AU251" i="4"/>
  <c r="AU250" i="4"/>
  <c r="AU249" i="4"/>
  <c r="AU248" i="4"/>
  <c r="AU247" i="4"/>
  <c r="AU246" i="4"/>
  <c r="AU245" i="4"/>
  <c r="AU244" i="4"/>
  <c r="AU243" i="4"/>
  <c r="AU242" i="4"/>
  <c r="AU241" i="4"/>
  <c r="AU240" i="4"/>
  <c r="AU239" i="4"/>
  <c r="AU238" i="4"/>
  <c r="AU237" i="4"/>
  <c r="AU236" i="4"/>
  <c r="AU235" i="4"/>
  <c r="AU234" i="4"/>
  <c r="AU233" i="4"/>
  <c r="AU232" i="4"/>
  <c r="AU231" i="4"/>
  <c r="AU230" i="4"/>
  <c r="AU229" i="4"/>
  <c r="AU228" i="4"/>
  <c r="AU227" i="4"/>
  <c r="AU226" i="4"/>
  <c r="AU225" i="4"/>
  <c r="AU224" i="4"/>
  <c r="AU223" i="4"/>
  <c r="AU222" i="4"/>
  <c r="AU221" i="4"/>
  <c r="AU220" i="4"/>
  <c r="AU219" i="4"/>
  <c r="AU218" i="4"/>
  <c r="AU217" i="4"/>
  <c r="AU216" i="4"/>
  <c r="AU215" i="4"/>
  <c r="AU214" i="4"/>
  <c r="AU213" i="4"/>
  <c r="AU212" i="4"/>
  <c r="AU211" i="4"/>
  <c r="AU210" i="4"/>
  <c r="AU209" i="4"/>
  <c r="AU208" i="4"/>
  <c r="AU207" i="4"/>
  <c r="AU206" i="4"/>
  <c r="AU205" i="4"/>
  <c r="AU204" i="4"/>
  <c r="AU203" i="4"/>
  <c r="AU202" i="4"/>
  <c r="AU201" i="4"/>
  <c r="AU200" i="4"/>
  <c r="AU199" i="4"/>
  <c r="AU198" i="4"/>
  <c r="AU197" i="4"/>
  <c r="AU196" i="4"/>
  <c r="AU195" i="4"/>
  <c r="AU194" i="4"/>
  <c r="AU193" i="4"/>
  <c r="AU192" i="4"/>
  <c r="AU191" i="4"/>
  <c r="AU190" i="4"/>
  <c r="AU189" i="4"/>
  <c r="AU188" i="4"/>
  <c r="AU187" i="4"/>
  <c r="AU186" i="4"/>
  <c r="AU185" i="4"/>
  <c r="AU184" i="4"/>
  <c r="AU183" i="4"/>
  <c r="AU182" i="4"/>
  <c r="AU181" i="4"/>
  <c r="AU180" i="4"/>
  <c r="AU179" i="4"/>
  <c r="AU178" i="4"/>
  <c r="AU177" i="4"/>
  <c r="AU176" i="4"/>
  <c r="AU175" i="4"/>
  <c r="AU174" i="4"/>
  <c r="AU173" i="4"/>
  <c r="AU172" i="4"/>
  <c r="AU171" i="4"/>
  <c r="AU170" i="4"/>
  <c r="AU169" i="4"/>
  <c r="AU168" i="4"/>
  <c r="AU167" i="4"/>
  <c r="AU166" i="4"/>
  <c r="AU165" i="4"/>
  <c r="AU164" i="4"/>
  <c r="AU163" i="4"/>
  <c r="AU162" i="4"/>
  <c r="AU161" i="4"/>
  <c r="AU160" i="4"/>
  <c r="AU159" i="4"/>
  <c r="AU158" i="4"/>
  <c r="AU157" i="4"/>
  <c r="AU156" i="4"/>
  <c r="AU155" i="4"/>
  <c r="AU154" i="4"/>
  <c r="AU153" i="4"/>
  <c r="AU152" i="4"/>
  <c r="AU151" i="4"/>
  <c r="AU150" i="4"/>
  <c r="AU149" i="4"/>
  <c r="AU148" i="4"/>
  <c r="AU147" i="4"/>
  <c r="AU146" i="4"/>
  <c r="AU145" i="4"/>
  <c r="AU144" i="4"/>
  <c r="AU143" i="4"/>
  <c r="AU142" i="4"/>
  <c r="AU141" i="4"/>
  <c r="AU140" i="4"/>
  <c r="AU139" i="4"/>
  <c r="AU138" i="4"/>
  <c r="AU137" i="4"/>
  <c r="AU136" i="4"/>
  <c r="AU135" i="4"/>
  <c r="AU134" i="4"/>
  <c r="AU133" i="4"/>
  <c r="AU132" i="4"/>
  <c r="AU131" i="4"/>
  <c r="AU130" i="4"/>
  <c r="AU129" i="4"/>
  <c r="AU128" i="4"/>
  <c r="AU127" i="4"/>
  <c r="AU126" i="4"/>
  <c r="AU125" i="4"/>
  <c r="AU124" i="4"/>
  <c r="AU123" i="4"/>
  <c r="AU122" i="4"/>
  <c r="AU121" i="4"/>
  <c r="AU120" i="4"/>
  <c r="AU119" i="4"/>
  <c r="AU118" i="4"/>
  <c r="AU117" i="4"/>
  <c r="AU116" i="4"/>
  <c r="AU115" i="4"/>
  <c r="AU114" i="4"/>
  <c r="AU113" i="4"/>
  <c r="AU112" i="4"/>
  <c r="AU111" i="4"/>
  <c r="AU110" i="4"/>
  <c r="AU109" i="4"/>
  <c r="AU108" i="4"/>
  <c r="AU107" i="4"/>
  <c r="AU106" i="4"/>
  <c r="AU105" i="4"/>
  <c r="AU104" i="4"/>
  <c r="AU103" i="4"/>
  <c r="AU102" i="4"/>
  <c r="AU101" i="4"/>
  <c r="AU100" i="4"/>
  <c r="AU99" i="4"/>
  <c r="AU98" i="4"/>
  <c r="AU97" i="4"/>
  <c r="AU96" i="4"/>
  <c r="AU95" i="4"/>
  <c r="AU94" i="4"/>
  <c r="AU93" i="4"/>
  <c r="AU92" i="4"/>
  <c r="AU91" i="4"/>
  <c r="AU90" i="4"/>
  <c r="AU89" i="4"/>
  <c r="AU88" i="4"/>
  <c r="AU87" i="4"/>
  <c r="AU86" i="4"/>
  <c r="AU85" i="4"/>
  <c r="AU84" i="4"/>
  <c r="AU83" i="4"/>
  <c r="AU82" i="4"/>
  <c r="AU81" i="4"/>
  <c r="AU80" i="4"/>
  <c r="AU79" i="4"/>
  <c r="AU78" i="4"/>
  <c r="AU77" i="4"/>
  <c r="AU76" i="4"/>
  <c r="AU75" i="4"/>
  <c r="AU74" i="4"/>
  <c r="AU73" i="4"/>
  <c r="AU72" i="4"/>
  <c r="AU71" i="4"/>
  <c r="AU70" i="4"/>
  <c r="AU69" i="4"/>
  <c r="AU68" i="4"/>
  <c r="AU67" i="4"/>
  <c r="AU66" i="4"/>
  <c r="AU65" i="4"/>
  <c r="AU64" i="4"/>
  <c r="AU63" i="4"/>
  <c r="AU62" i="4"/>
  <c r="AU61" i="4"/>
  <c r="AU60" i="4"/>
  <c r="AU59" i="4"/>
  <c r="AU58" i="4"/>
  <c r="AU57" i="4"/>
  <c r="AU56" i="4"/>
  <c r="AU55" i="4"/>
  <c r="AU54" i="4"/>
  <c r="AU53" i="4"/>
  <c r="AU52" i="4"/>
  <c r="AU51" i="4"/>
  <c r="AU50" i="4"/>
  <c r="AU49" i="4"/>
  <c r="AU48" i="4"/>
  <c r="AU47" i="4"/>
  <c r="AU46" i="4"/>
  <c r="AU45" i="4"/>
  <c r="AU44" i="4"/>
  <c r="AU43" i="4"/>
  <c r="AU42" i="4"/>
  <c r="AU41" i="4"/>
  <c r="AU40" i="4"/>
  <c r="AU39" i="4"/>
  <c r="AU38" i="4"/>
  <c r="AU37" i="4"/>
  <c r="AU36" i="4"/>
  <c r="AU35" i="4"/>
  <c r="AU34" i="4"/>
  <c r="AU33" i="4"/>
  <c r="AU32" i="4"/>
  <c r="AU31" i="4"/>
  <c r="AU30" i="4"/>
  <c r="AU29" i="4"/>
  <c r="AU28" i="4"/>
  <c r="AU27" i="4"/>
  <c r="AU26" i="4"/>
  <c r="AU25" i="4"/>
  <c r="AU24" i="4"/>
  <c r="AU23" i="4"/>
  <c r="AU22" i="4"/>
  <c r="AC12" i="4"/>
  <c r="AB12" i="4"/>
  <c r="AA12" i="4"/>
  <c r="AF9" i="4"/>
  <c r="AC6" i="4"/>
  <c r="AB6" i="4"/>
  <c r="AE6" i="4" s="1"/>
  <c r="AU533" i="3"/>
  <c r="AS533" i="3"/>
  <c r="AU532" i="3"/>
  <c r="AS532" i="3"/>
  <c r="AU531" i="3"/>
  <c r="AS531" i="3"/>
  <c r="AU530" i="3"/>
  <c r="AS530" i="3"/>
  <c r="AU529" i="3"/>
  <c r="AS529" i="3"/>
  <c r="AU528" i="3"/>
  <c r="AS528" i="3"/>
  <c r="AU527" i="3"/>
  <c r="AS527" i="3"/>
  <c r="AU526" i="3"/>
  <c r="AS526" i="3"/>
  <c r="AU525" i="3"/>
  <c r="AS525" i="3"/>
  <c r="AU524" i="3"/>
  <c r="AS524" i="3"/>
  <c r="AU523" i="3"/>
  <c r="AS523" i="3"/>
  <c r="AU522" i="3"/>
  <c r="AS522" i="3"/>
  <c r="AU521" i="3"/>
  <c r="AS521" i="3"/>
  <c r="AU520" i="3"/>
  <c r="AS520" i="3"/>
  <c r="AU519" i="3"/>
  <c r="AS519" i="3"/>
  <c r="AU518" i="3"/>
  <c r="AS518" i="3"/>
  <c r="AU517" i="3"/>
  <c r="AS517" i="3"/>
  <c r="AU516" i="3"/>
  <c r="AS516" i="3"/>
  <c r="AU515" i="3"/>
  <c r="AS515" i="3"/>
  <c r="AU514" i="3"/>
  <c r="AS514" i="3"/>
  <c r="AU513" i="3"/>
  <c r="AS513" i="3"/>
  <c r="AU512" i="3"/>
  <c r="AS512" i="3"/>
  <c r="AU511" i="3"/>
  <c r="AS511" i="3"/>
  <c r="AU510" i="3"/>
  <c r="AS510" i="3"/>
  <c r="AU509" i="3"/>
  <c r="AS509" i="3"/>
  <c r="AU508" i="3"/>
  <c r="AS508" i="3"/>
  <c r="AU507" i="3"/>
  <c r="AS507" i="3"/>
  <c r="AU506" i="3"/>
  <c r="AS506" i="3"/>
  <c r="AU505" i="3"/>
  <c r="AS505" i="3"/>
  <c r="AU504" i="3"/>
  <c r="AS504" i="3"/>
  <c r="AU503" i="3"/>
  <c r="AS503" i="3"/>
  <c r="AU502" i="3"/>
  <c r="AS502" i="3"/>
  <c r="AU501" i="3"/>
  <c r="AS501" i="3"/>
  <c r="AU500" i="3"/>
  <c r="AS500" i="3"/>
  <c r="AU499" i="3"/>
  <c r="AS499" i="3"/>
  <c r="AU498" i="3"/>
  <c r="AS498" i="3"/>
  <c r="AU497" i="3"/>
  <c r="AS497" i="3"/>
  <c r="AU496" i="3"/>
  <c r="AS496" i="3"/>
  <c r="AU495" i="3"/>
  <c r="AS495" i="3"/>
  <c r="AU494" i="3"/>
  <c r="AS494" i="3"/>
  <c r="AU493" i="3"/>
  <c r="AS493" i="3"/>
  <c r="AU492" i="3"/>
  <c r="AS492" i="3"/>
  <c r="AU491" i="3"/>
  <c r="AS491" i="3"/>
  <c r="AU490" i="3"/>
  <c r="AS490" i="3"/>
  <c r="AU489" i="3"/>
  <c r="AS489" i="3"/>
  <c r="AU488" i="3"/>
  <c r="AS488" i="3"/>
  <c r="AU487" i="3"/>
  <c r="AS487" i="3"/>
  <c r="AU486" i="3"/>
  <c r="AS486" i="3"/>
  <c r="AU485" i="3"/>
  <c r="AS485" i="3"/>
  <c r="AU484" i="3"/>
  <c r="AS484" i="3"/>
  <c r="AU483" i="3"/>
  <c r="AS483" i="3"/>
  <c r="AU482" i="3"/>
  <c r="AS482" i="3"/>
  <c r="AU481" i="3"/>
  <c r="AS481" i="3"/>
  <c r="AU480" i="3"/>
  <c r="AS480" i="3"/>
  <c r="AU479" i="3"/>
  <c r="AS479" i="3"/>
  <c r="AU478" i="3"/>
  <c r="AS478" i="3"/>
  <c r="AU477" i="3"/>
  <c r="AS477" i="3"/>
  <c r="AU476" i="3"/>
  <c r="AS476" i="3"/>
  <c r="AU475" i="3"/>
  <c r="AS475" i="3"/>
  <c r="AU474" i="3"/>
  <c r="AS474" i="3"/>
  <c r="AU473" i="3"/>
  <c r="AS473" i="3"/>
  <c r="AU472" i="3"/>
  <c r="AS472" i="3"/>
  <c r="AU471" i="3"/>
  <c r="AS471" i="3"/>
  <c r="AU470" i="3"/>
  <c r="AS470" i="3"/>
  <c r="AU469" i="3"/>
  <c r="AS469" i="3"/>
  <c r="AU468" i="3"/>
  <c r="AS468" i="3"/>
  <c r="AU467" i="3"/>
  <c r="AS467" i="3"/>
  <c r="AU466" i="3"/>
  <c r="AS466" i="3"/>
  <c r="AU465" i="3"/>
  <c r="AS465" i="3"/>
  <c r="AU464" i="3"/>
  <c r="AS464" i="3"/>
  <c r="AU463" i="3"/>
  <c r="AS463" i="3"/>
  <c r="AU462" i="3"/>
  <c r="AS462" i="3"/>
  <c r="AU461" i="3"/>
  <c r="AS461" i="3"/>
  <c r="AU460" i="3"/>
  <c r="AS460" i="3"/>
  <c r="AU459" i="3"/>
  <c r="AS459" i="3"/>
  <c r="AU458" i="3"/>
  <c r="AS458" i="3"/>
  <c r="AU457" i="3"/>
  <c r="AS457" i="3"/>
  <c r="AU456" i="3"/>
  <c r="AS456" i="3"/>
  <c r="AU455" i="3"/>
  <c r="AS455" i="3"/>
  <c r="AU454" i="3"/>
  <c r="AS454" i="3"/>
  <c r="AU453" i="3"/>
  <c r="AS453" i="3"/>
  <c r="AU452" i="3"/>
  <c r="AS452" i="3"/>
  <c r="AU451" i="3"/>
  <c r="AS451" i="3"/>
  <c r="AU450" i="3"/>
  <c r="AS450" i="3"/>
  <c r="AU449" i="3"/>
  <c r="AS449" i="3"/>
  <c r="AU448" i="3"/>
  <c r="AS448" i="3"/>
  <c r="AU447" i="3"/>
  <c r="AS447" i="3"/>
  <c r="AU446" i="3"/>
  <c r="AS446" i="3"/>
  <c r="AU445" i="3"/>
  <c r="AS445" i="3"/>
  <c r="AU444" i="3"/>
  <c r="AS444" i="3"/>
  <c r="AU443" i="3"/>
  <c r="AS443" i="3"/>
  <c r="AU442" i="3"/>
  <c r="AS442" i="3"/>
  <c r="AU441" i="3"/>
  <c r="AS441" i="3"/>
  <c r="AU440" i="3"/>
  <c r="AS440" i="3"/>
  <c r="AU439" i="3"/>
  <c r="AS439" i="3"/>
  <c r="AU438" i="3"/>
  <c r="AS438" i="3"/>
  <c r="AU437" i="3"/>
  <c r="AS437" i="3"/>
  <c r="AU436" i="3"/>
  <c r="AS436" i="3"/>
  <c r="AU435" i="3"/>
  <c r="AS435" i="3"/>
  <c r="AU434" i="3"/>
  <c r="AS434" i="3"/>
  <c r="AU433" i="3"/>
  <c r="AS433" i="3"/>
  <c r="AU432" i="3"/>
  <c r="AS432" i="3"/>
  <c r="AU431" i="3"/>
  <c r="AS431" i="3"/>
  <c r="AU430" i="3"/>
  <c r="AS430" i="3"/>
  <c r="AU429" i="3"/>
  <c r="AS429" i="3"/>
  <c r="AU428" i="3"/>
  <c r="AS428" i="3"/>
  <c r="AU427" i="3"/>
  <c r="AS427" i="3"/>
  <c r="AU426" i="3"/>
  <c r="AS426" i="3"/>
  <c r="AU425" i="3"/>
  <c r="AS425" i="3"/>
  <c r="AU424" i="3"/>
  <c r="AS424" i="3"/>
  <c r="AU423" i="3"/>
  <c r="AS423" i="3"/>
  <c r="AU422" i="3"/>
  <c r="AS422" i="3"/>
  <c r="AU421" i="3"/>
  <c r="AS421" i="3"/>
  <c r="AU420" i="3"/>
  <c r="AS420" i="3"/>
  <c r="AU419" i="3"/>
  <c r="AS419" i="3"/>
  <c r="AU418" i="3"/>
  <c r="AS418" i="3"/>
  <c r="AU417" i="3"/>
  <c r="AS417" i="3"/>
  <c r="AU416" i="3"/>
  <c r="AS416" i="3"/>
  <c r="AU415" i="3"/>
  <c r="AS415" i="3"/>
  <c r="AU414" i="3"/>
  <c r="AS414" i="3"/>
  <c r="AU413" i="3"/>
  <c r="AS413" i="3"/>
  <c r="AU412" i="3"/>
  <c r="AS412" i="3"/>
  <c r="AU411" i="3"/>
  <c r="AS411" i="3"/>
  <c r="AU410" i="3"/>
  <c r="AS410" i="3"/>
  <c r="AU409" i="3"/>
  <c r="AS409" i="3"/>
  <c r="AU408" i="3"/>
  <c r="AS408" i="3"/>
  <c r="AU407" i="3"/>
  <c r="AS407" i="3"/>
  <c r="AU406" i="3"/>
  <c r="AS406" i="3"/>
  <c r="AU405" i="3"/>
  <c r="AS405" i="3"/>
  <c r="AU404" i="3"/>
  <c r="AS404" i="3"/>
  <c r="AU403" i="3"/>
  <c r="AS403" i="3"/>
  <c r="AU402" i="3"/>
  <c r="AS402" i="3"/>
  <c r="AU401" i="3"/>
  <c r="AS401" i="3"/>
  <c r="AU400" i="3"/>
  <c r="AS400" i="3"/>
  <c r="AU399" i="3"/>
  <c r="AS399" i="3"/>
  <c r="AU398" i="3"/>
  <c r="AS398" i="3"/>
  <c r="AU397" i="3"/>
  <c r="AS397" i="3"/>
  <c r="AU396" i="3"/>
  <c r="AS396" i="3"/>
  <c r="AU395" i="3"/>
  <c r="AS395" i="3"/>
  <c r="AU394" i="3"/>
  <c r="AS394" i="3"/>
  <c r="AU393" i="3"/>
  <c r="AS393" i="3"/>
  <c r="AU392" i="3"/>
  <c r="AS392" i="3"/>
  <c r="AU391" i="3"/>
  <c r="AS391" i="3"/>
  <c r="AU390" i="3"/>
  <c r="AS390" i="3"/>
  <c r="AU389" i="3"/>
  <c r="AS389" i="3"/>
  <c r="AU388" i="3"/>
  <c r="AS388" i="3"/>
  <c r="AU387" i="3"/>
  <c r="AS387" i="3"/>
  <c r="AU386" i="3"/>
  <c r="AS386" i="3"/>
  <c r="AU385" i="3"/>
  <c r="AS385" i="3"/>
  <c r="AU384" i="3"/>
  <c r="AS384" i="3"/>
  <c r="AU383" i="3"/>
  <c r="AS383" i="3"/>
  <c r="AU382" i="3"/>
  <c r="AS382" i="3"/>
  <c r="AU381" i="3"/>
  <c r="AS381" i="3"/>
  <c r="AU380" i="3"/>
  <c r="AS380" i="3"/>
  <c r="AU379" i="3"/>
  <c r="AS379" i="3"/>
  <c r="AU378" i="3"/>
  <c r="AS378" i="3"/>
  <c r="AU377" i="3"/>
  <c r="AS377" i="3"/>
  <c r="AU376" i="3"/>
  <c r="AS376" i="3"/>
  <c r="AU375" i="3"/>
  <c r="AS375" i="3"/>
  <c r="AU374" i="3"/>
  <c r="AS374" i="3"/>
  <c r="AU373" i="3"/>
  <c r="AS373" i="3"/>
  <c r="AU372" i="3"/>
  <c r="AS372" i="3"/>
  <c r="AU371" i="3"/>
  <c r="AS371" i="3"/>
  <c r="AU370" i="3"/>
  <c r="AS370" i="3"/>
  <c r="AU369" i="3"/>
  <c r="AS369" i="3"/>
  <c r="AU368" i="3"/>
  <c r="AS368" i="3"/>
  <c r="AU367" i="3"/>
  <c r="AS367" i="3"/>
  <c r="AU366" i="3"/>
  <c r="AS366" i="3"/>
  <c r="AU365" i="3"/>
  <c r="AS365" i="3"/>
  <c r="AU364" i="3"/>
  <c r="AS364" i="3"/>
  <c r="AU363" i="3"/>
  <c r="AS363" i="3"/>
  <c r="AU362" i="3"/>
  <c r="AS362" i="3"/>
  <c r="AU361" i="3"/>
  <c r="AS361" i="3"/>
  <c r="AU360" i="3"/>
  <c r="AS360" i="3"/>
  <c r="AU359" i="3"/>
  <c r="AS359" i="3"/>
  <c r="AU358" i="3"/>
  <c r="AS358" i="3"/>
  <c r="AU357" i="3"/>
  <c r="AS357" i="3"/>
  <c r="AU356" i="3"/>
  <c r="AS356" i="3"/>
  <c r="AU355" i="3"/>
  <c r="AS355" i="3"/>
  <c r="AU354" i="3"/>
  <c r="AS354" i="3"/>
  <c r="AU353" i="3"/>
  <c r="AS353" i="3"/>
  <c r="AU352" i="3"/>
  <c r="AS352" i="3"/>
  <c r="AU351" i="3"/>
  <c r="AS351" i="3"/>
  <c r="AU350" i="3"/>
  <c r="AS350" i="3"/>
  <c r="AU349" i="3"/>
  <c r="AS349" i="3"/>
  <c r="AU348" i="3"/>
  <c r="AS348" i="3"/>
  <c r="AU347" i="3"/>
  <c r="AS347" i="3"/>
  <c r="AU346" i="3"/>
  <c r="AS346" i="3"/>
  <c r="AU345" i="3"/>
  <c r="AS345" i="3"/>
  <c r="AU344" i="3"/>
  <c r="AS344" i="3"/>
  <c r="AU343" i="3"/>
  <c r="AS343" i="3"/>
  <c r="AU342" i="3"/>
  <c r="AS342" i="3"/>
  <c r="AU341" i="3"/>
  <c r="AS341" i="3"/>
  <c r="AU340" i="3"/>
  <c r="AS340" i="3"/>
  <c r="AU339" i="3"/>
  <c r="AS339" i="3"/>
  <c r="AU338" i="3"/>
  <c r="AS338" i="3"/>
  <c r="AU337" i="3"/>
  <c r="AS337" i="3"/>
  <c r="AU336" i="3"/>
  <c r="AS336" i="3"/>
  <c r="AU335" i="3"/>
  <c r="AS335" i="3"/>
  <c r="AU334" i="3"/>
  <c r="AS334" i="3"/>
  <c r="AU333" i="3"/>
  <c r="AS333" i="3"/>
  <c r="AU332" i="3"/>
  <c r="AS332" i="3"/>
  <c r="AU331" i="3"/>
  <c r="AS331" i="3"/>
  <c r="AU330" i="3"/>
  <c r="AS330" i="3"/>
  <c r="AU329" i="3"/>
  <c r="AS329" i="3"/>
  <c r="AU328" i="3"/>
  <c r="AS328" i="3"/>
  <c r="AU327" i="3"/>
  <c r="AS327" i="3"/>
  <c r="AU326" i="3"/>
  <c r="AS326" i="3"/>
  <c r="AU325" i="3"/>
  <c r="AS325" i="3"/>
  <c r="AU324" i="3"/>
  <c r="AS324" i="3"/>
  <c r="AU323" i="3"/>
  <c r="AS323" i="3"/>
  <c r="AU322" i="3"/>
  <c r="AS322" i="3"/>
  <c r="AU321" i="3"/>
  <c r="AS321" i="3"/>
  <c r="AU320" i="3"/>
  <c r="AS320" i="3"/>
  <c r="AU319" i="3"/>
  <c r="AS319" i="3"/>
  <c r="AU318" i="3"/>
  <c r="AS318" i="3"/>
  <c r="AU317" i="3"/>
  <c r="AS317" i="3"/>
  <c r="AU316" i="3"/>
  <c r="AS316" i="3"/>
  <c r="AU315" i="3"/>
  <c r="AS315" i="3"/>
  <c r="AU314" i="3"/>
  <c r="AS314" i="3"/>
  <c r="AU313" i="3"/>
  <c r="AS313" i="3"/>
  <c r="AU312" i="3"/>
  <c r="AS312" i="3"/>
  <c r="AU311" i="3"/>
  <c r="AS311" i="3"/>
  <c r="AU310" i="3"/>
  <c r="AS310" i="3"/>
  <c r="AU309" i="3"/>
  <c r="AS309" i="3"/>
  <c r="AU308" i="3"/>
  <c r="AS308" i="3"/>
  <c r="AU307" i="3"/>
  <c r="AS307" i="3"/>
  <c r="AU306" i="3"/>
  <c r="AS306" i="3"/>
  <c r="AU305" i="3"/>
  <c r="AS305" i="3"/>
  <c r="AU304" i="3"/>
  <c r="AS304" i="3"/>
  <c r="AU303" i="3"/>
  <c r="AS303" i="3"/>
  <c r="AU302" i="3"/>
  <c r="AS302" i="3"/>
  <c r="AU301" i="3"/>
  <c r="AS301" i="3"/>
  <c r="AU300" i="3"/>
  <c r="AS300" i="3"/>
  <c r="AU299" i="3"/>
  <c r="AS299" i="3"/>
  <c r="AU298" i="3"/>
  <c r="AS298" i="3"/>
  <c r="AU297" i="3"/>
  <c r="AS297" i="3"/>
  <c r="AU296" i="3"/>
  <c r="AS296" i="3"/>
  <c r="AU295" i="3"/>
  <c r="AS295" i="3"/>
  <c r="AU294" i="3"/>
  <c r="AS294" i="3"/>
  <c r="AU293" i="3"/>
  <c r="AS293" i="3"/>
  <c r="AU292" i="3"/>
  <c r="AS292" i="3"/>
  <c r="AU291" i="3"/>
  <c r="AS291" i="3"/>
  <c r="AU290" i="3"/>
  <c r="AS290" i="3"/>
  <c r="AU289" i="3"/>
  <c r="AS289" i="3"/>
  <c r="AU288" i="3"/>
  <c r="AS288" i="3"/>
  <c r="AU287" i="3"/>
  <c r="AS287" i="3"/>
  <c r="AU286" i="3"/>
  <c r="AS286" i="3"/>
  <c r="AU285" i="3"/>
  <c r="AS285" i="3"/>
  <c r="AU284" i="3"/>
  <c r="AS284" i="3"/>
  <c r="AU283" i="3"/>
  <c r="AS283" i="3"/>
  <c r="AU282" i="3"/>
  <c r="AS282" i="3"/>
  <c r="AU281" i="3"/>
  <c r="AS281" i="3"/>
  <c r="AU280" i="3"/>
  <c r="AS280" i="3"/>
  <c r="AU279" i="3"/>
  <c r="AS279" i="3"/>
  <c r="AU278" i="3"/>
  <c r="AS278" i="3"/>
  <c r="AU277" i="3"/>
  <c r="AS277" i="3"/>
  <c r="AU276" i="3"/>
  <c r="AS276" i="3"/>
  <c r="AU275" i="3"/>
  <c r="AS275" i="3"/>
  <c r="AU274" i="3"/>
  <c r="AS274" i="3"/>
  <c r="AU273" i="3"/>
  <c r="AS273" i="3"/>
  <c r="AU272" i="3"/>
  <c r="AS272" i="3"/>
  <c r="AU271" i="3"/>
  <c r="AS271" i="3"/>
  <c r="AU270" i="3"/>
  <c r="AS270" i="3"/>
  <c r="AU269" i="3"/>
  <c r="AS269" i="3"/>
  <c r="AU268" i="3"/>
  <c r="AS268" i="3"/>
  <c r="AU267" i="3"/>
  <c r="AS267" i="3"/>
  <c r="AU266" i="3"/>
  <c r="AS266" i="3"/>
  <c r="AU265" i="3"/>
  <c r="AS265" i="3"/>
  <c r="AU264" i="3"/>
  <c r="AS264" i="3"/>
  <c r="AU263" i="3"/>
  <c r="AS263" i="3"/>
  <c r="AU262" i="3"/>
  <c r="AS262" i="3"/>
  <c r="AU261" i="3"/>
  <c r="AS261" i="3"/>
  <c r="AU260" i="3"/>
  <c r="AS260" i="3"/>
  <c r="AU259" i="3"/>
  <c r="AS259" i="3"/>
  <c r="AU258" i="3"/>
  <c r="AS258" i="3"/>
  <c r="AU257" i="3"/>
  <c r="AS257" i="3"/>
  <c r="AU256" i="3"/>
  <c r="AS256" i="3"/>
  <c r="AU255" i="3"/>
  <c r="AS255" i="3"/>
  <c r="AU254" i="3"/>
  <c r="AS254" i="3"/>
  <c r="AU253" i="3"/>
  <c r="AS253" i="3"/>
  <c r="AU252" i="3"/>
  <c r="AS252" i="3"/>
  <c r="AU251" i="3"/>
  <c r="AS251" i="3"/>
  <c r="AU250" i="3"/>
  <c r="AS250" i="3"/>
  <c r="AU249" i="3"/>
  <c r="AS249" i="3"/>
  <c r="AU248" i="3"/>
  <c r="AS248" i="3"/>
  <c r="AU247" i="3"/>
  <c r="AS247" i="3"/>
  <c r="AU246" i="3"/>
  <c r="AS246" i="3"/>
  <c r="AU245" i="3"/>
  <c r="AS245" i="3"/>
  <c r="AU244" i="3"/>
  <c r="AS244" i="3"/>
  <c r="AU243" i="3"/>
  <c r="AS243" i="3"/>
  <c r="AU242" i="3"/>
  <c r="AS242" i="3"/>
  <c r="AU241" i="3"/>
  <c r="AS241" i="3"/>
  <c r="AU240" i="3"/>
  <c r="AS240" i="3"/>
  <c r="AU239" i="3"/>
  <c r="AS239" i="3"/>
  <c r="AU238" i="3"/>
  <c r="AS238" i="3"/>
  <c r="AU237" i="3"/>
  <c r="AS237" i="3"/>
  <c r="AU236" i="3"/>
  <c r="AS236" i="3"/>
  <c r="AU235" i="3"/>
  <c r="AS235" i="3"/>
  <c r="AU234" i="3"/>
  <c r="AS234" i="3"/>
  <c r="AU233" i="3"/>
  <c r="AS233" i="3"/>
  <c r="AU232" i="3"/>
  <c r="AS232" i="3"/>
  <c r="AU231" i="3"/>
  <c r="AS231" i="3"/>
  <c r="AU230" i="3"/>
  <c r="AS230" i="3"/>
  <c r="AU229" i="3"/>
  <c r="AS229" i="3"/>
  <c r="AU228" i="3"/>
  <c r="AS228" i="3"/>
  <c r="AU227" i="3"/>
  <c r="AS227" i="3"/>
  <c r="AU226" i="3"/>
  <c r="AS226" i="3"/>
  <c r="AU225" i="3"/>
  <c r="AS225" i="3"/>
  <c r="AU224" i="3"/>
  <c r="AS224" i="3"/>
  <c r="AU223" i="3"/>
  <c r="AS223" i="3"/>
  <c r="AU222" i="3"/>
  <c r="AS222" i="3"/>
  <c r="AU221" i="3"/>
  <c r="AS221" i="3"/>
  <c r="AU220" i="3"/>
  <c r="AS220" i="3"/>
  <c r="AU219" i="3"/>
  <c r="AS219" i="3"/>
  <c r="AU218" i="3"/>
  <c r="AS218" i="3"/>
  <c r="AU217" i="3"/>
  <c r="AS217" i="3"/>
  <c r="AU216" i="3"/>
  <c r="AS216" i="3"/>
  <c r="AU215" i="3"/>
  <c r="AS215" i="3"/>
  <c r="AU214" i="3"/>
  <c r="AS214" i="3"/>
  <c r="AU213" i="3"/>
  <c r="AS213" i="3"/>
  <c r="AU212" i="3"/>
  <c r="AS212" i="3"/>
  <c r="AU211" i="3"/>
  <c r="AS211" i="3"/>
  <c r="AU210" i="3"/>
  <c r="AS210" i="3"/>
  <c r="AU209" i="3"/>
  <c r="AS209" i="3"/>
  <c r="AU208" i="3"/>
  <c r="AS208" i="3"/>
  <c r="AU207" i="3"/>
  <c r="AS207" i="3"/>
  <c r="AU206" i="3"/>
  <c r="AS206" i="3"/>
  <c r="AU205" i="3"/>
  <c r="AS205" i="3"/>
  <c r="AU204" i="3"/>
  <c r="AS204" i="3"/>
  <c r="AU203" i="3"/>
  <c r="AS203" i="3"/>
  <c r="AU202" i="3"/>
  <c r="AS202" i="3"/>
  <c r="AU201" i="3"/>
  <c r="AS201" i="3"/>
  <c r="AU200" i="3"/>
  <c r="AS200" i="3"/>
  <c r="AU199" i="3"/>
  <c r="AS199" i="3"/>
  <c r="AU198" i="3"/>
  <c r="AS198" i="3"/>
  <c r="AU197" i="3"/>
  <c r="AS197" i="3"/>
  <c r="AU196" i="3"/>
  <c r="AS196" i="3"/>
  <c r="AU195" i="3"/>
  <c r="AS195" i="3"/>
  <c r="AU194" i="3"/>
  <c r="AS194" i="3"/>
  <c r="AU193" i="3"/>
  <c r="AS193" i="3"/>
  <c r="AU192" i="3"/>
  <c r="AS192" i="3"/>
  <c r="AU191" i="3"/>
  <c r="AS191" i="3"/>
  <c r="AU190" i="3"/>
  <c r="AS190" i="3"/>
  <c r="AU189" i="3"/>
  <c r="AS189" i="3"/>
  <c r="AU188" i="3"/>
  <c r="AS188" i="3"/>
  <c r="AU187" i="3"/>
  <c r="AS187" i="3"/>
  <c r="AU186" i="3"/>
  <c r="AS186" i="3"/>
  <c r="AU185" i="3"/>
  <c r="AS185" i="3"/>
  <c r="AU184" i="3"/>
  <c r="AS184" i="3"/>
  <c r="AU183" i="3"/>
  <c r="AS183" i="3"/>
  <c r="AU182" i="3"/>
  <c r="AS182" i="3"/>
  <c r="AU181" i="3"/>
  <c r="AS181" i="3"/>
  <c r="AU180" i="3"/>
  <c r="AS180" i="3"/>
  <c r="AU179" i="3"/>
  <c r="AS179" i="3"/>
  <c r="AU178" i="3"/>
  <c r="AS178" i="3"/>
  <c r="AU177" i="3"/>
  <c r="AS177" i="3"/>
  <c r="AU176" i="3"/>
  <c r="AS176" i="3"/>
  <c r="AU175" i="3"/>
  <c r="AS175" i="3"/>
  <c r="AU174" i="3"/>
  <c r="AS174" i="3"/>
  <c r="AU173" i="3"/>
  <c r="AS173" i="3"/>
  <c r="AU172" i="3"/>
  <c r="AS172" i="3"/>
  <c r="AU171" i="3"/>
  <c r="AS171" i="3"/>
  <c r="AU170" i="3"/>
  <c r="AS170" i="3"/>
  <c r="AU169" i="3"/>
  <c r="AS169" i="3"/>
  <c r="AU168" i="3"/>
  <c r="AS168" i="3"/>
  <c r="AU167" i="3"/>
  <c r="AS167" i="3"/>
  <c r="AU166" i="3"/>
  <c r="AS166" i="3"/>
  <c r="AU165" i="3"/>
  <c r="AS165" i="3"/>
  <c r="AU164" i="3"/>
  <c r="AS164" i="3"/>
  <c r="AU163" i="3"/>
  <c r="AS163" i="3"/>
  <c r="AU162" i="3"/>
  <c r="AS162" i="3"/>
  <c r="AU161" i="3"/>
  <c r="AS161" i="3"/>
  <c r="AU160" i="3"/>
  <c r="AS160" i="3"/>
  <c r="AU159" i="3"/>
  <c r="AS159" i="3"/>
  <c r="AU158" i="3"/>
  <c r="AS158" i="3"/>
  <c r="AU157" i="3"/>
  <c r="AS157" i="3"/>
  <c r="AU156" i="3"/>
  <c r="AS156" i="3"/>
  <c r="AU155" i="3"/>
  <c r="AS155" i="3"/>
  <c r="AU154" i="3"/>
  <c r="AS154" i="3"/>
  <c r="AU153" i="3"/>
  <c r="AS153" i="3"/>
  <c r="AU152" i="3"/>
  <c r="AS152" i="3"/>
  <c r="AU151" i="3"/>
  <c r="AS151" i="3"/>
  <c r="AU150" i="3"/>
  <c r="AS150" i="3"/>
  <c r="AU149" i="3"/>
  <c r="AS149" i="3"/>
  <c r="AU148" i="3"/>
  <c r="AS148" i="3"/>
  <c r="AU147" i="3"/>
  <c r="AS147" i="3"/>
  <c r="AU146" i="3"/>
  <c r="AS146" i="3"/>
  <c r="AU145" i="3"/>
  <c r="AS145" i="3"/>
  <c r="AU144" i="3"/>
  <c r="AS144" i="3"/>
  <c r="AU143" i="3"/>
  <c r="AS143" i="3"/>
  <c r="AU142" i="3"/>
  <c r="AS142" i="3"/>
  <c r="AU139" i="3"/>
  <c r="AS139" i="3"/>
  <c r="AU138" i="3"/>
  <c r="AS138" i="3"/>
  <c r="AU137" i="3"/>
  <c r="AS137" i="3"/>
  <c r="AU136" i="3"/>
  <c r="AS136" i="3"/>
  <c r="AU135" i="3"/>
  <c r="AS135" i="3"/>
  <c r="AU134" i="3"/>
  <c r="AS134" i="3"/>
  <c r="AU133" i="3"/>
  <c r="AS133" i="3"/>
  <c r="AU132" i="3"/>
  <c r="AS132" i="3"/>
  <c r="AU131" i="3"/>
  <c r="AS131" i="3"/>
  <c r="AU130" i="3"/>
  <c r="AS130" i="3"/>
  <c r="AU129" i="3"/>
  <c r="AS129" i="3"/>
  <c r="AU128" i="3"/>
  <c r="AS128" i="3"/>
  <c r="AU127" i="3"/>
  <c r="AS127" i="3"/>
  <c r="AU126" i="3"/>
  <c r="AS126" i="3"/>
  <c r="AU125" i="3"/>
  <c r="AS125" i="3"/>
  <c r="AU124" i="3"/>
  <c r="AS124" i="3"/>
  <c r="AU123" i="3"/>
  <c r="AS123" i="3"/>
  <c r="AU122" i="3"/>
  <c r="AS122" i="3"/>
  <c r="AU121" i="3"/>
  <c r="AS121" i="3"/>
  <c r="AU120" i="3"/>
  <c r="AS120" i="3"/>
  <c r="AU119" i="3"/>
  <c r="AS119" i="3"/>
  <c r="AU118" i="3"/>
  <c r="AS118" i="3"/>
  <c r="AU117" i="3"/>
  <c r="AS117" i="3"/>
  <c r="AU116" i="3"/>
  <c r="AS116" i="3"/>
  <c r="AU115" i="3"/>
  <c r="AS115" i="3"/>
  <c r="AU114" i="3"/>
  <c r="AS114" i="3"/>
  <c r="AU113" i="3"/>
  <c r="AS113" i="3"/>
  <c r="AU112" i="3"/>
  <c r="AS112" i="3"/>
  <c r="AU111" i="3"/>
  <c r="AS111" i="3"/>
  <c r="AU110" i="3"/>
  <c r="AS110" i="3"/>
  <c r="AU109" i="3"/>
  <c r="AS109" i="3"/>
  <c r="AU108" i="3"/>
  <c r="AS108" i="3"/>
  <c r="AU107" i="3"/>
  <c r="AS107" i="3"/>
  <c r="AU106" i="3"/>
  <c r="AS106" i="3"/>
  <c r="AU105" i="3"/>
  <c r="AS105" i="3"/>
  <c r="AU104" i="3"/>
  <c r="AS104" i="3"/>
  <c r="AU103" i="3"/>
  <c r="AS103" i="3"/>
  <c r="AU102" i="3"/>
  <c r="AS102" i="3"/>
  <c r="AU101" i="3"/>
  <c r="AS101" i="3"/>
  <c r="AU100" i="3"/>
  <c r="AS100" i="3"/>
  <c r="AU99" i="3"/>
  <c r="AS99" i="3"/>
  <c r="AU98" i="3"/>
  <c r="AS98" i="3"/>
  <c r="AU97" i="3"/>
  <c r="AS97" i="3"/>
  <c r="AU96" i="3"/>
  <c r="AS96" i="3"/>
  <c r="AU95" i="3"/>
  <c r="AS95" i="3"/>
  <c r="AU94" i="3"/>
  <c r="AS94" i="3"/>
  <c r="AU93" i="3"/>
  <c r="AS93" i="3"/>
  <c r="AU92" i="3"/>
  <c r="AS92" i="3"/>
  <c r="AU91" i="3"/>
  <c r="AS91" i="3"/>
  <c r="AU90" i="3"/>
  <c r="AS90" i="3"/>
  <c r="AU89" i="3"/>
  <c r="AS89" i="3"/>
  <c r="AU88" i="3"/>
  <c r="AS88" i="3"/>
  <c r="AU87" i="3"/>
  <c r="AS87" i="3"/>
  <c r="AU86" i="3"/>
  <c r="AS86" i="3"/>
  <c r="AU85" i="3"/>
  <c r="AS85" i="3"/>
  <c r="AU84" i="3"/>
  <c r="AS84" i="3"/>
  <c r="AU83" i="3"/>
  <c r="AS83" i="3"/>
  <c r="AU82" i="3"/>
  <c r="AS82" i="3"/>
  <c r="AU81" i="3"/>
  <c r="AS81" i="3"/>
  <c r="AU80" i="3"/>
  <c r="AS80" i="3"/>
  <c r="AU79" i="3"/>
  <c r="AS79" i="3"/>
  <c r="AU78" i="3"/>
  <c r="AS78" i="3"/>
  <c r="AU77" i="3"/>
  <c r="AS77" i="3"/>
  <c r="AU76" i="3"/>
  <c r="AS76" i="3"/>
  <c r="AU75" i="3"/>
  <c r="AS75" i="3"/>
  <c r="AU74" i="3"/>
  <c r="AS74" i="3"/>
  <c r="AU73" i="3"/>
  <c r="AS73" i="3"/>
  <c r="AU72" i="3"/>
  <c r="AS72" i="3"/>
  <c r="AU71" i="3"/>
  <c r="AS71" i="3"/>
  <c r="AU70" i="3"/>
  <c r="AS70" i="3"/>
  <c r="AU69" i="3"/>
  <c r="AS69" i="3"/>
  <c r="AU68" i="3"/>
  <c r="AS68" i="3"/>
  <c r="AU67" i="3"/>
  <c r="AS67" i="3"/>
  <c r="AU66" i="3"/>
  <c r="AS66" i="3"/>
  <c r="AU65" i="3"/>
  <c r="AS65" i="3"/>
  <c r="AU64" i="3"/>
  <c r="AS64" i="3"/>
  <c r="AU63" i="3"/>
  <c r="AS63" i="3"/>
  <c r="AU62" i="3"/>
  <c r="AS62" i="3"/>
  <c r="AU61" i="3"/>
  <c r="AS61" i="3"/>
  <c r="AU60" i="3"/>
  <c r="AS60" i="3"/>
  <c r="AU59" i="3"/>
  <c r="AS59" i="3"/>
  <c r="AU58" i="3"/>
  <c r="AS58" i="3"/>
  <c r="AU57" i="3"/>
  <c r="AS57" i="3"/>
  <c r="AU56" i="3"/>
  <c r="AS56" i="3"/>
  <c r="AU55" i="3"/>
  <c r="AS55" i="3"/>
  <c r="AU54" i="3"/>
  <c r="AS54" i="3"/>
  <c r="AU53" i="3"/>
  <c r="AS53" i="3"/>
  <c r="AU52" i="3"/>
  <c r="AS52" i="3"/>
  <c r="AU51" i="3"/>
  <c r="AS51" i="3"/>
  <c r="AU50" i="3"/>
  <c r="AS50" i="3"/>
  <c r="AU49" i="3"/>
  <c r="AS49" i="3"/>
  <c r="AU48" i="3"/>
  <c r="AS48" i="3"/>
  <c r="AU47" i="3"/>
  <c r="AS47" i="3"/>
  <c r="AU46" i="3"/>
  <c r="AS46" i="3"/>
  <c r="AU45" i="3"/>
  <c r="AS45" i="3"/>
  <c r="AU44" i="3"/>
  <c r="AS44" i="3"/>
  <c r="AU43" i="3"/>
  <c r="AS43" i="3"/>
  <c r="AU42" i="3"/>
  <c r="AS42" i="3"/>
  <c r="AU41" i="3"/>
  <c r="AS41" i="3"/>
  <c r="AU40" i="3"/>
  <c r="AS40" i="3"/>
  <c r="AU39" i="3"/>
  <c r="AS39" i="3"/>
  <c r="AU38" i="3"/>
  <c r="AS38" i="3"/>
  <c r="AU37" i="3"/>
  <c r="AS37" i="3"/>
  <c r="AU36" i="3"/>
  <c r="AS36" i="3"/>
  <c r="AU35" i="3"/>
  <c r="AS35" i="3"/>
  <c r="AU34" i="3"/>
  <c r="AS34" i="3"/>
  <c r="AU33" i="3"/>
  <c r="AS33" i="3"/>
  <c r="AU32" i="3"/>
  <c r="AS32" i="3"/>
  <c r="AU31" i="3"/>
  <c r="AS31" i="3"/>
  <c r="AU30" i="3"/>
  <c r="AS30" i="3"/>
  <c r="AU29" i="3"/>
  <c r="AS29" i="3"/>
  <c r="AU28" i="3"/>
  <c r="AS28" i="3"/>
  <c r="AU27" i="3"/>
  <c r="AS27" i="3"/>
  <c r="AU26" i="3"/>
  <c r="AS26" i="3"/>
  <c r="AU25" i="3"/>
  <c r="AS25" i="3"/>
  <c r="AU24" i="3"/>
  <c r="AS24" i="3"/>
  <c r="AU23" i="3"/>
  <c r="AS23" i="3"/>
  <c r="AU22" i="3"/>
  <c r="AS22" i="3"/>
  <c r="AB12" i="3"/>
  <c r="AA12" i="3"/>
  <c r="Y12" i="3"/>
  <c r="AF9" i="3"/>
  <c r="AD6" i="3"/>
  <c r="AC6" i="3"/>
  <c r="AU602" i="2"/>
  <c r="AS602" i="2"/>
  <c r="AU601" i="2"/>
  <c r="AU600" i="2"/>
  <c r="AU599" i="2"/>
  <c r="AU598" i="2"/>
  <c r="AU597" i="2"/>
  <c r="AU596" i="2"/>
  <c r="AU595" i="2"/>
  <c r="AU594" i="2"/>
  <c r="AU593" i="2"/>
  <c r="AU592" i="2"/>
  <c r="AU591" i="2"/>
  <c r="AU590" i="2"/>
  <c r="AU589" i="2"/>
  <c r="AU588" i="2"/>
  <c r="AU587" i="2"/>
  <c r="AU586" i="2"/>
  <c r="AU585" i="2"/>
  <c r="AU584" i="2"/>
  <c r="AU583" i="2"/>
  <c r="AU582" i="2"/>
  <c r="AU581" i="2"/>
  <c r="AU580" i="2"/>
  <c r="AU579" i="2"/>
  <c r="AU578" i="2"/>
  <c r="AU577" i="2"/>
  <c r="AU576" i="2"/>
  <c r="AU575" i="2"/>
  <c r="AU574" i="2"/>
  <c r="AU573" i="2"/>
  <c r="AU572" i="2"/>
  <c r="AU571" i="2"/>
  <c r="AU570" i="2"/>
  <c r="AU569" i="2"/>
  <c r="AU568" i="2"/>
  <c r="AU567" i="2"/>
  <c r="AU566" i="2"/>
  <c r="AU565" i="2"/>
  <c r="AU564" i="2"/>
  <c r="AU563" i="2"/>
  <c r="AU562" i="2"/>
  <c r="AU561" i="2"/>
  <c r="AU560" i="2"/>
  <c r="AU559" i="2"/>
  <c r="AU558" i="2"/>
  <c r="AU557" i="2"/>
  <c r="AU556" i="2"/>
  <c r="AU555" i="2"/>
  <c r="AU554" i="2"/>
  <c r="AU553" i="2"/>
  <c r="AU552" i="2"/>
  <c r="AU551" i="2"/>
  <c r="AU550" i="2"/>
  <c r="AU549" i="2"/>
  <c r="AU548" i="2"/>
  <c r="AU547" i="2"/>
  <c r="AU546" i="2"/>
  <c r="AU545" i="2"/>
  <c r="AU544" i="2"/>
  <c r="AU543" i="2"/>
  <c r="AU542" i="2"/>
  <c r="AU541" i="2"/>
  <c r="AU540" i="2"/>
  <c r="AU539" i="2"/>
  <c r="AU538" i="2"/>
  <c r="AU537" i="2"/>
  <c r="AU536" i="2"/>
  <c r="AU535" i="2"/>
  <c r="AU534" i="2"/>
  <c r="AU533" i="2"/>
  <c r="AU532" i="2"/>
  <c r="AU531" i="2"/>
  <c r="AU530" i="2"/>
  <c r="AU529" i="2"/>
  <c r="AU528" i="2"/>
  <c r="AU527" i="2"/>
  <c r="AU526" i="2"/>
  <c r="AU525" i="2"/>
  <c r="AU524" i="2"/>
  <c r="AU523" i="2"/>
  <c r="AU522" i="2"/>
  <c r="AU521" i="2"/>
  <c r="AU520" i="2"/>
  <c r="AU519" i="2"/>
  <c r="AU518" i="2"/>
  <c r="AU517" i="2"/>
  <c r="AU516" i="2"/>
  <c r="AU515" i="2"/>
  <c r="AU514" i="2"/>
  <c r="AU513" i="2"/>
  <c r="AU512" i="2"/>
  <c r="AU511" i="2"/>
  <c r="AU510" i="2"/>
  <c r="AU509" i="2"/>
  <c r="AU508" i="2"/>
  <c r="AU507" i="2"/>
  <c r="AU506" i="2"/>
  <c r="AU505" i="2"/>
  <c r="AU504" i="2"/>
  <c r="AU503" i="2"/>
  <c r="AU502" i="2"/>
  <c r="AU501" i="2"/>
  <c r="AU500" i="2"/>
  <c r="AU499" i="2"/>
  <c r="AU498" i="2"/>
  <c r="AU497" i="2"/>
  <c r="AU496" i="2"/>
  <c r="AU495" i="2"/>
  <c r="AU494" i="2"/>
  <c r="AU493" i="2"/>
  <c r="AU492" i="2"/>
  <c r="AU491" i="2"/>
  <c r="AU490" i="2"/>
  <c r="AU489" i="2"/>
  <c r="AU488" i="2"/>
  <c r="AU487" i="2"/>
  <c r="AU486" i="2"/>
  <c r="AU485" i="2"/>
  <c r="AU484" i="2"/>
  <c r="AU483" i="2"/>
  <c r="AU482" i="2"/>
  <c r="AU481" i="2"/>
  <c r="AU480" i="2"/>
  <c r="AU479" i="2"/>
  <c r="AU478" i="2"/>
  <c r="AU477" i="2"/>
  <c r="AU476" i="2"/>
  <c r="AU475" i="2"/>
  <c r="AU474" i="2"/>
  <c r="AU473" i="2"/>
  <c r="AU472" i="2"/>
  <c r="AU471" i="2"/>
  <c r="AU470" i="2"/>
  <c r="AU469" i="2"/>
  <c r="AU468" i="2"/>
  <c r="AU467" i="2"/>
  <c r="AU466" i="2"/>
  <c r="AU465" i="2"/>
  <c r="AU464" i="2"/>
  <c r="AU463" i="2"/>
  <c r="AU462" i="2"/>
  <c r="AU461" i="2"/>
  <c r="AU460" i="2"/>
  <c r="AU459" i="2"/>
  <c r="AU458" i="2"/>
  <c r="AU457" i="2"/>
  <c r="AU456" i="2"/>
  <c r="AU455" i="2"/>
  <c r="AU454" i="2"/>
  <c r="AU453" i="2"/>
  <c r="AU452" i="2"/>
  <c r="AU451" i="2"/>
  <c r="AU450" i="2"/>
  <c r="AU449" i="2"/>
  <c r="AU448" i="2"/>
  <c r="AU447" i="2"/>
  <c r="AU446" i="2"/>
  <c r="AU445" i="2"/>
  <c r="AU444" i="2"/>
  <c r="AU443" i="2"/>
  <c r="AU442" i="2"/>
  <c r="AU441" i="2"/>
  <c r="AU440" i="2"/>
  <c r="AU439" i="2"/>
  <c r="AU438" i="2"/>
  <c r="AU437" i="2"/>
  <c r="AU436" i="2"/>
  <c r="AU435" i="2"/>
  <c r="AU434" i="2"/>
  <c r="AU433" i="2"/>
  <c r="AU432" i="2"/>
  <c r="AU431" i="2"/>
  <c r="AU430" i="2"/>
  <c r="AU429" i="2"/>
  <c r="AU428" i="2"/>
  <c r="AU427" i="2"/>
  <c r="AU426" i="2"/>
  <c r="AU425" i="2"/>
  <c r="AU424" i="2"/>
  <c r="AU423" i="2"/>
  <c r="AU422" i="2"/>
  <c r="AU421" i="2"/>
  <c r="AU420" i="2"/>
  <c r="AU419" i="2"/>
  <c r="AU418" i="2"/>
  <c r="AU417" i="2"/>
  <c r="AU416" i="2"/>
  <c r="AU415" i="2"/>
  <c r="AU414" i="2"/>
  <c r="AU413" i="2"/>
  <c r="AU412" i="2"/>
  <c r="AU411" i="2"/>
  <c r="AU410" i="2"/>
  <c r="AU409" i="2"/>
  <c r="AU408" i="2"/>
  <c r="AU407" i="2"/>
  <c r="AU406" i="2"/>
  <c r="AU405" i="2"/>
  <c r="AU404" i="2"/>
  <c r="AU403" i="2"/>
  <c r="AU402" i="2"/>
  <c r="AU401" i="2"/>
  <c r="AU400" i="2"/>
  <c r="AU399" i="2"/>
  <c r="AU398" i="2"/>
  <c r="AU397" i="2"/>
  <c r="AU396" i="2"/>
  <c r="AU395" i="2"/>
  <c r="AU394" i="2"/>
  <c r="AU393" i="2"/>
  <c r="AU392" i="2"/>
  <c r="AU391" i="2"/>
  <c r="AU390" i="2"/>
  <c r="AU389" i="2"/>
  <c r="AU388" i="2"/>
  <c r="AU387" i="2"/>
  <c r="AU386" i="2"/>
  <c r="AU385" i="2"/>
  <c r="AU384" i="2"/>
  <c r="AU383" i="2"/>
  <c r="AU382" i="2"/>
  <c r="AU381" i="2"/>
  <c r="AU380" i="2"/>
  <c r="AU379" i="2"/>
  <c r="AU378" i="2"/>
  <c r="AU377" i="2"/>
  <c r="AU376" i="2"/>
  <c r="AU375" i="2"/>
  <c r="AU374" i="2"/>
  <c r="AU373" i="2"/>
  <c r="AU372" i="2"/>
  <c r="AU371" i="2"/>
  <c r="AU370" i="2"/>
  <c r="AU369" i="2"/>
  <c r="AU368" i="2"/>
  <c r="AU367" i="2"/>
  <c r="AU366" i="2"/>
  <c r="AU365" i="2"/>
  <c r="AU364" i="2"/>
  <c r="AU363" i="2"/>
  <c r="AU362" i="2"/>
  <c r="AU361" i="2"/>
  <c r="AU360" i="2"/>
  <c r="AU359" i="2"/>
  <c r="AU358" i="2"/>
  <c r="AU357" i="2"/>
  <c r="AU356" i="2"/>
  <c r="AU355" i="2"/>
  <c r="AU354" i="2"/>
  <c r="AU353" i="2"/>
  <c r="AU352" i="2"/>
  <c r="AU351" i="2"/>
  <c r="AU350" i="2"/>
  <c r="AU349" i="2"/>
  <c r="AU348" i="2"/>
  <c r="AU347" i="2"/>
  <c r="AU346" i="2"/>
  <c r="AU345" i="2"/>
  <c r="AU344" i="2"/>
  <c r="AU343" i="2"/>
  <c r="AU342" i="2"/>
  <c r="AU341" i="2"/>
  <c r="AU340" i="2"/>
  <c r="AU339" i="2"/>
  <c r="AU338" i="2"/>
  <c r="AU337" i="2"/>
  <c r="AU336" i="2"/>
  <c r="AU335" i="2"/>
  <c r="AU334" i="2"/>
  <c r="AU333" i="2"/>
  <c r="AU332" i="2"/>
  <c r="AU331" i="2"/>
  <c r="AU330" i="2"/>
  <c r="AU329" i="2"/>
  <c r="AU328" i="2"/>
  <c r="AU327" i="2"/>
  <c r="AU326" i="2"/>
  <c r="AU325" i="2"/>
  <c r="AU324" i="2"/>
  <c r="AU323" i="2"/>
  <c r="AU322" i="2"/>
  <c r="AU321" i="2"/>
  <c r="AU320" i="2"/>
  <c r="AU319" i="2"/>
  <c r="AU318" i="2"/>
  <c r="AU317" i="2"/>
  <c r="AU316" i="2"/>
  <c r="AU315" i="2"/>
  <c r="AU314" i="2"/>
  <c r="AU313" i="2"/>
  <c r="AU312" i="2"/>
  <c r="AU311" i="2"/>
  <c r="AU310" i="2"/>
  <c r="AU309" i="2"/>
  <c r="AU308" i="2"/>
  <c r="AU307" i="2"/>
  <c r="AU306" i="2"/>
  <c r="AU305" i="2"/>
  <c r="AU304" i="2"/>
  <c r="AU303" i="2"/>
  <c r="AU302" i="2"/>
  <c r="AU301" i="2"/>
  <c r="AU300" i="2"/>
  <c r="AU299" i="2"/>
  <c r="AU298" i="2"/>
  <c r="AU297" i="2"/>
  <c r="AU296" i="2"/>
  <c r="AU295" i="2"/>
  <c r="AU294" i="2"/>
  <c r="AU293" i="2"/>
  <c r="AU292" i="2"/>
  <c r="AU291" i="2"/>
  <c r="AU290" i="2"/>
  <c r="AU289" i="2"/>
  <c r="AU288" i="2"/>
  <c r="AU287" i="2"/>
  <c r="AU286" i="2"/>
  <c r="AU285" i="2"/>
  <c r="AU284" i="2"/>
  <c r="AU283" i="2"/>
  <c r="AU282" i="2"/>
  <c r="AU281" i="2"/>
  <c r="AU280" i="2"/>
  <c r="AU279" i="2"/>
  <c r="AU278" i="2"/>
  <c r="AU277" i="2"/>
  <c r="AU276" i="2"/>
  <c r="AU275" i="2"/>
  <c r="AU274" i="2"/>
  <c r="AU273" i="2"/>
  <c r="AU272" i="2"/>
  <c r="AU271" i="2"/>
  <c r="AU270" i="2"/>
  <c r="AU269" i="2"/>
  <c r="AU268" i="2"/>
  <c r="AU267" i="2"/>
  <c r="AU266" i="2"/>
  <c r="AU265" i="2"/>
  <c r="AU264" i="2"/>
  <c r="AU263" i="2"/>
  <c r="AU262" i="2"/>
  <c r="AU261" i="2"/>
  <c r="AU260" i="2"/>
  <c r="AU259" i="2"/>
  <c r="AU258" i="2"/>
  <c r="AU257" i="2"/>
  <c r="AU256" i="2"/>
  <c r="AU255" i="2"/>
  <c r="AU254" i="2"/>
  <c r="AU253" i="2"/>
  <c r="AU252" i="2"/>
  <c r="AU251" i="2"/>
  <c r="AU250" i="2"/>
  <c r="AU249" i="2"/>
  <c r="AU248" i="2"/>
  <c r="AU247" i="2"/>
  <c r="AU246" i="2"/>
  <c r="AU245" i="2"/>
  <c r="AU244" i="2"/>
  <c r="AU243" i="2"/>
  <c r="AU242" i="2"/>
  <c r="AU241" i="2"/>
  <c r="AU240" i="2"/>
  <c r="AU239" i="2"/>
  <c r="AU238" i="2"/>
  <c r="AU237" i="2"/>
  <c r="AU236" i="2"/>
  <c r="AU235" i="2"/>
  <c r="AU234" i="2"/>
  <c r="AU233" i="2"/>
  <c r="AU232" i="2"/>
  <c r="AU231" i="2"/>
  <c r="AU230" i="2"/>
  <c r="AU229" i="2"/>
  <c r="AU228" i="2"/>
  <c r="AU227" i="2"/>
  <c r="AU226" i="2"/>
  <c r="AU225" i="2"/>
  <c r="AU224" i="2"/>
  <c r="AU223" i="2"/>
  <c r="AU222" i="2"/>
  <c r="AU221" i="2"/>
  <c r="AU220" i="2"/>
  <c r="AU219" i="2"/>
  <c r="AU218" i="2"/>
  <c r="AU217" i="2"/>
  <c r="AU216" i="2"/>
  <c r="AU215" i="2"/>
  <c r="AU214" i="2"/>
  <c r="AU213" i="2"/>
  <c r="AU212" i="2"/>
  <c r="AU211" i="2"/>
  <c r="AU210" i="2"/>
  <c r="AU209" i="2"/>
  <c r="AU208" i="2"/>
  <c r="AU207" i="2"/>
  <c r="AU206" i="2"/>
  <c r="AU205" i="2"/>
  <c r="AU204" i="2"/>
  <c r="AU203" i="2"/>
  <c r="AU202" i="2"/>
  <c r="AU201" i="2"/>
  <c r="AU200" i="2"/>
  <c r="AU199" i="2"/>
  <c r="AU198" i="2"/>
  <c r="AU197" i="2"/>
  <c r="AU196" i="2"/>
  <c r="AU195" i="2"/>
  <c r="AU194" i="2"/>
  <c r="AU193" i="2"/>
  <c r="AU192" i="2"/>
  <c r="AU191" i="2"/>
  <c r="AU190" i="2"/>
  <c r="AU189" i="2"/>
  <c r="AU188" i="2"/>
  <c r="AU187" i="2"/>
  <c r="AU186" i="2"/>
  <c r="AU185" i="2"/>
  <c r="AU184" i="2"/>
  <c r="AU183" i="2"/>
  <c r="AU182" i="2"/>
  <c r="AU181" i="2"/>
  <c r="AU180" i="2"/>
  <c r="AU179" i="2"/>
  <c r="AU178" i="2"/>
  <c r="AU177" i="2"/>
  <c r="AU176" i="2"/>
  <c r="AU175" i="2"/>
  <c r="AU174" i="2"/>
  <c r="AU173" i="2"/>
  <c r="AU172" i="2"/>
  <c r="AU171" i="2"/>
  <c r="AU170" i="2"/>
  <c r="AU169" i="2"/>
  <c r="AU168" i="2"/>
  <c r="AU167" i="2"/>
  <c r="AU166" i="2"/>
  <c r="AU165" i="2"/>
  <c r="AU164" i="2"/>
  <c r="AU163" i="2"/>
  <c r="AU162" i="2"/>
  <c r="AU161" i="2"/>
  <c r="AU160" i="2"/>
  <c r="AU159" i="2"/>
  <c r="AU158" i="2"/>
  <c r="AU157" i="2"/>
  <c r="AU156" i="2"/>
  <c r="AU155" i="2"/>
  <c r="AU154" i="2"/>
  <c r="AU153" i="2"/>
  <c r="AU152" i="2"/>
  <c r="AU151" i="2"/>
  <c r="AU150" i="2"/>
  <c r="AU149" i="2"/>
  <c r="AU148" i="2"/>
  <c r="AU147" i="2"/>
  <c r="AU146" i="2"/>
  <c r="AU145" i="2"/>
  <c r="AU144" i="2"/>
  <c r="AU143" i="2"/>
  <c r="AU142" i="2"/>
  <c r="AU141" i="2"/>
  <c r="AU140" i="2"/>
  <c r="AU139" i="2"/>
  <c r="AU138" i="2"/>
  <c r="AU137" i="2"/>
  <c r="AU136" i="2"/>
  <c r="AU135" i="2"/>
  <c r="AU134" i="2"/>
  <c r="AU133" i="2"/>
  <c r="AU132" i="2"/>
  <c r="AU131" i="2"/>
  <c r="AU130" i="2"/>
  <c r="AU129" i="2"/>
  <c r="AU128" i="2"/>
  <c r="AU127" i="2"/>
  <c r="AU126" i="2"/>
  <c r="AU125" i="2"/>
  <c r="AU124" i="2"/>
  <c r="AU123" i="2"/>
  <c r="AU122" i="2"/>
  <c r="AU121" i="2"/>
  <c r="AU120" i="2"/>
  <c r="AU119" i="2"/>
  <c r="AU118" i="2"/>
  <c r="AU117" i="2"/>
  <c r="AU116" i="2"/>
  <c r="AU115" i="2"/>
  <c r="AU114" i="2"/>
  <c r="AU113" i="2"/>
  <c r="AU112" i="2"/>
  <c r="AU111" i="2"/>
  <c r="AU110" i="2"/>
  <c r="AU109" i="2"/>
  <c r="AU108" i="2"/>
  <c r="AU107" i="2"/>
  <c r="AU106" i="2"/>
  <c r="AU105" i="2"/>
  <c r="AU104" i="2"/>
  <c r="AU103" i="2"/>
  <c r="AU102" i="2"/>
  <c r="AU101" i="2"/>
  <c r="AU100" i="2"/>
  <c r="AU99" i="2"/>
  <c r="AU98" i="2"/>
  <c r="AU97" i="2"/>
  <c r="AU96" i="2"/>
  <c r="AU95" i="2"/>
  <c r="AU94" i="2"/>
  <c r="AU93" i="2"/>
  <c r="AU92" i="2"/>
  <c r="AU91" i="2"/>
  <c r="AU90" i="2"/>
  <c r="AU89" i="2"/>
  <c r="AU88" i="2"/>
  <c r="AU87" i="2"/>
  <c r="AU86" i="2"/>
  <c r="AU85" i="2"/>
  <c r="AU84" i="2"/>
  <c r="AU83" i="2"/>
  <c r="AU82" i="2"/>
  <c r="AU81" i="2"/>
  <c r="AU80" i="2"/>
  <c r="AU79" i="2"/>
  <c r="AU78" i="2"/>
  <c r="AU77" i="2"/>
  <c r="AU76" i="2"/>
  <c r="AU75" i="2"/>
  <c r="AU74" i="2"/>
  <c r="AU73" i="2"/>
  <c r="AU72" i="2"/>
  <c r="AU71" i="2"/>
  <c r="AU70" i="2"/>
  <c r="AU69" i="2"/>
  <c r="AU68" i="2"/>
  <c r="AU67" i="2"/>
  <c r="AU66" i="2"/>
  <c r="AU65" i="2"/>
  <c r="AU64" i="2"/>
  <c r="AU63" i="2"/>
  <c r="AU62" i="2"/>
  <c r="AU61" i="2"/>
  <c r="AU60" i="2"/>
  <c r="AU59" i="2"/>
  <c r="AU58" i="2"/>
  <c r="AU57" i="2"/>
  <c r="AU56" i="2"/>
  <c r="AU55" i="2"/>
  <c r="AU54" i="2"/>
  <c r="AU53" i="2"/>
  <c r="AU52" i="2"/>
  <c r="AU51" i="2"/>
  <c r="AU50" i="2"/>
  <c r="AU49" i="2"/>
  <c r="AU48" i="2"/>
  <c r="AU47" i="2"/>
  <c r="AU46" i="2"/>
  <c r="AU45" i="2"/>
  <c r="AU44" i="2"/>
  <c r="AU43" i="2"/>
  <c r="AU42" i="2"/>
  <c r="AU41" i="2"/>
  <c r="AU40" i="2"/>
  <c r="AU39" i="2"/>
  <c r="AU38" i="2"/>
  <c r="AU37" i="2"/>
  <c r="AU36" i="2"/>
  <c r="AU35" i="2"/>
  <c r="AU34" i="2"/>
  <c r="AU33" i="2"/>
  <c r="AU32" i="2"/>
  <c r="AU31" i="2"/>
  <c r="AU30" i="2"/>
  <c r="AU29" i="2"/>
  <c r="AU28" i="2"/>
  <c r="AU27" i="2"/>
  <c r="AU26" i="2"/>
  <c r="AU25" i="2"/>
  <c r="AU24" i="2"/>
  <c r="AU23" i="2"/>
  <c r="AU22" i="2"/>
  <c r="AC12" i="2"/>
  <c r="AB12" i="2"/>
  <c r="AA12" i="2"/>
  <c r="Y12" i="2"/>
  <c r="AF9" i="2"/>
  <c r="AC6" i="2"/>
  <c r="AB6" i="2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B12" i="1"/>
  <c r="AA12" i="1"/>
  <c r="Z12" i="1"/>
  <c r="AF9" i="1"/>
  <c r="AC6" i="1"/>
  <c r="AB6" i="1"/>
  <c r="AE6" i="1" s="1"/>
  <c r="E12" i="4"/>
  <c r="D12" i="4"/>
  <c r="C12" i="4"/>
  <c r="H9" i="4"/>
  <c r="E6" i="4"/>
  <c r="D6" i="4"/>
  <c r="G6" i="4" s="1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22" i="4"/>
  <c r="U538" i="4"/>
  <c r="D12" i="3"/>
  <c r="C12" i="3"/>
  <c r="A12" i="3"/>
  <c r="H9" i="3"/>
  <c r="F6" i="3"/>
  <c r="E6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22" i="3"/>
  <c r="U23" i="3"/>
  <c r="U24" i="3"/>
  <c r="U25" i="3"/>
  <c r="U26" i="3"/>
  <c r="U27" i="3"/>
  <c r="U28" i="3"/>
  <c r="U29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22" i="3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22" i="2"/>
  <c r="U602" i="2"/>
  <c r="E12" i="2"/>
  <c r="D12" i="2"/>
  <c r="C12" i="2"/>
  <c r="A12" i="2"/>
  <c r="H9" i="2"/>
  <c r="E6" i="2"/>
  <c r="D6" i="2"/>
  <c r="G6" i="2" s="1"/>
  <c r="D12" i="1"/>
  <c r="C12" i="1"/>
  <c r="B12" i="1"/>
  <c r="H9" i="1"/>
  <c r="E6" i="1"/>
  <c r="D6" i="1"/>
  <c r="G6" i="1" s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U157" i="1"/>
  <c r="W22" i="1"/>
  <c r="AC12" i="3" l="1"/>
  <c r="E12" i="3"/>
  <c r="AB6" i="3"/>
  <c r="AA6" i="3" s="1"/>
  <c r="S48" i="5" s="1"/>
  <c r="D6" i="3"/>
  <c r="G6" i="3" s="1"/>
  <c r="AD3" i="3"/>
  <c r="F3" i="3"/>
  <c r="F12" i="2"/>
  <c r="A9" i="2" s="1"/>
  <c r="B9" i="2" s="1"/>
  <c r="AD12" i="4"/>
  <c r="Y9" i="4" s="1"/>
  <c r="Z9" i="4" s="1"/>
  <c r="S51" i="5" s="1"/>
  <c r="F12" i="4"/>
  <c r="A9" i="4" s="1"/>
  <c r="B9" i="4" s="1"/>
  <c r="AD12" i="2"/>
  <c r="Y9" i="2" s="1"/>
  <c r="Z9" i="2" s="1"/>
  <c r="Z6" i="2"/>
  <c r="E12" i="1"/>
  <c r="A9" i="1" s="1"/>
  <c r="B9" i="1" s="1"/>
  <c r="AC12" i="1"/>
  <c r="Y9" i="1" s="1"/>
  <c r="Z9" i="1" s="1"/>
  <c r="Y6" i="2"/>
  <c r="AD9" i="2"/>
  <c r="Z6" i="3"/>
  <c r="AC9" i="3"/>
  <c r="AD9" i="3"/>
  <c r="AD6" i="4"/>
  <c r="AE9" i="4" s="1"/>
  <c r="Z6" i="4"/>
  <c r="AD9" i="4"/>
  <c r="Y6" i="4"/>
  <c r="S49" i="5" s="1"/>
  <c r="AC9" i="4"/>
  <c r="Y6" i="3"/>
  <c r="AC9" i="2"/>
  <c r="AD6" i="2"/>
  <c r="AE9" i="2" s="1"/>
  <c r="AE6" i="2"/>
  <c r="AC9" i="1"/>
  <c r="AD9" i="1"/>
  <c r="Z6" i="1"/>
  <c r="AD6" i="1"/>
  <c r="Y6" i="1"/>
  <c r="Y12" i="1" l="1"/>
  <c r="AE12" i="1"/>
  <c r="AF12" i="1"/>
  <c r="S12" i="5"/>
  <c r="AE12" i="2"/>
  <c r="Z12" i="2"/>
  <c r="AF12" i="2"/>
  <c r="S13" i="5"/>
  <c r="AE15" i="4"/>
  <c r="AE12" i="4"/>
  <c r="Z15" i="4"/>
  <c r="Z12" i="4"/>
  <c r="AF12" i="4"/>
  <c r="S10" i="5"/>
  <c r="AD12" i="1"/>
  <c r="S11" i="5"/>
  <c r="S32" i="5"/>
  <c r="AE6" i="3"/>
  <c r="Y9" i="3" s="1"/>
  <c r="Z9" i="3" s="1"/>
  <c r="AA9" i="3"/>
  <c r="AB9" i="3" s="1"/>
  <c r="AE9" i="3"/>
  <c r="AA6" i="4"/>
  <c r="AA9" i="4"/>
  <c r="AB9" i="4" s="1"/>
  <c r="AA6" i="2"/>
  <c r="AA9" i="2"/>
  <c r="AB9" i="2" s="1"/>
  <c r="AA6" i="1"/>
  <c r="AE9" i="1"/>
  <c r="AA9" i="1"/>
  <c r="AB9" i="1" s="1"/>
  <c r="Z12" i="3" l="1"/>
  <c r="AD12" i="3"/>
  <c r="S50" i="5"/>
  <c r="S52" i="5" s="1"/>
  <c r="S53" i="5" s="1"/>
  <c r="S54" i="5" s="1"/>
  <c r="AF15" i="4" s="1"/>
  <c r="S34" i="5"/>
  <c r="S33" i="5"/>
  <c r="S35" i="5" s="1"/>
  <c r="S14" i="5"/>
  <c r="F9" i="4"/>
  <c r="F9" i="3"/>
  <c r="E9" i="4"/>
  <c r="E9" i="3"/>
  <c r="S15" i="5" l="1"/>
  <c r="S16" i="5" s="1"/>
  <c r="AF6" i="1" s="1"/>
  <c r="S36" i="5"/>
  <c r="F9" i="2"/>
  <c r="E9" i="2"/>
  <c r="S37" i="5" l="1"/>
  <c r="S38" i="5" s="1"/>
  <c r="AF6" i="2"/>
  <c r="F9" i="1"/>
  <c r="E9" i="1"/>
  <c r="AF6" i="4" l="1"/>
  <c r="AF6" i="3"/>
  <c r="C9" i="3"/>
  <c r="G9" i="3"/>
  <c r="A9" i="3"/>
  <c r="B9" i="3" s="1"/>
  <c r="C6" i="3"/>
  <c r="M48" i="5" s="1"/>
  <c r="B6" i="3"/>
  <c r="B6" i="4"/>
  <c r="A6" i="4"/>
  <c r="A6" i="3"/>
  <c r="B6" i="2"/>
  <c r="A6" i="2"/>
  <c r="F6" i="4"/>
  <c r="F6" i="2"/>
  <c r="M49" i="5" l="1"/>
  <c r="M51" i="5" s="1"/>
  <c r="B15" i="4"/>
  <c r="G15" i="4" s="1"/>
  <c r="B12" i="2"/>
  <c r="G12" i="2" s="1"/>
  <c r="F12" i="1"/>
  <c r="B12" i="3"/>
  <c r="F12" i="3" s="1"/>
  <c r="D9" i="3"/>
  <c r="M50" i="5"/>
  <c r="AF12" i="3"/>
  <c r="C6" i="4"/>
  <c r="B12" i="4" s="1"/>
  <c r="G12" i="4" s="1"/>
  <c r="C9" i="4"/>
  <c r="D9" i="4" s="1"/>
  <c r="G9" i="4"/>
  <c r="M32" i="5"/>
  <c r="M34" i="5" s="1"/>
  <c r="C6" i="2"/>
  <c r="G9" i="2"/>
  <c r="C9" i="2"/>
  <c r="D9" i="2" s="1"/>
  <c r="M11" i="5"/>
  <c r="M13" i="5" s="1"/>
  <c r="M52" i="5" l="1"/>
  <c r="M53" i="5" s="1"/>
  <c r="M54" i="5" s="1"/>
  <c r="H15" i="4" s="1"/>
  <c r="AG6" i="4"/>
  <c r="AG6" i="3"/>
  <c r="M33" i="5"/>
  <c r="M35" i="5" s="1"/>
  <c r="M36" i="5" s="1"/>
  <c r="M37" i="5" l="1"/>
  <c r="M38" i="5" s="1"/>
  <c r="H6" i="4" s="1"/>
  <c r="F6" i="1"/>
  <c r="C9" i="1" s="1"/>
  <c r="D9" i="1" s="1"/>
  <c r="B6" i="1"/>
  <c r="A6" i="1"/>
  <c r="A12" i="1" s="1"/>
  <c r="G12" i="1" s="1"/>
  <c r="H6" i="3" l="1"/>
  <c r="AG6" i="1"/>
  <c r="AG6" i="2"/>
  <c r="M10" i="5"/>
  <c r="M12" i="5" s="1"/>
  <c r="G9" i="1"/>
  <c r="C6" i="1"/>
  <c r="M14" i="5" l="1"/>
  <c r="M15" i="5" l="1"/>
  <c r="M16" i="5" s="1"/>
  <c r="H6" i="2" l="1"/>
  <c r="H6" i="1"/>
  <c r="A6" i="23"/>
  <c r="C6" i="23" l="1"/>
  <c r="G6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Darren Wood</author>
  </authors>
  <commentList>
    <comment ref="G5" authorId="0" shapeId="0" xr:uid="{DC7A4E14-B26E-4EA5-B46D-8976F183A6A8}">
      <text>
        <r>
          <rPr>
            <b/>
            <sz val="9"/>
            <color indexed="81"/>
            <rFont val="Tahoma"/>
            <family val="2"/>
          </rPr>
          <t>Darren Wood:</t>
        </r>
        <r>
          <rPr>
            <sz val="9"/>
            <color indexed="81"/>
            <rFont val="Tahoma"/>
            <family val="2"/>
          </rPr>
          <t xml:space="preserve">
Manually copy the taskDuration from the taskSummary in the raw data and subtract required times per Duration calculation</t>
        </r>
      </text>
    </comment>
    <comment ref="G8" authorId="0" shapeId="0" xr:uid="{519537F8-4BBC-487E-860E-73C12A49CF40}">
      <text>
        <r>
          <rPr>
            <b/>
            <sz val="9"/>
            <color indexed="81"/>
            <rFont val="Tahoma"/>
            <family val="2"/>
          </rPr>
          <t>Darren Wood:</t>
        </r>
        <r>
          <rPr>
            <sz val="9"/>
            <color indexed="81"/>
            <rFont val="Tahoma"/>
            <family val="2"/>
          </rPr>
          <t xml:space="preserve">
Manually copy the taskDuration from the taskSummary in the raw data and subtract required times per Duration calculation</t>
        </r>
      </text>
    </comment>
    <comment ref="G11" authorId="0" shapeId="0" xr:uid="{0955C6DF-25AD-4F21-ADA0-272AFBB38D1F}">
      <text>
        <r>
          <rPr>
            <b/>
            <sz val="9"/>
            <color indexed="81"/>
            <rFont val="Tahoma"/>
            <family val="2"/>
          </rPr>
          <t>Darren Wood:</t>
        </r>
        <r>
          <rPr>
            <sz val="9"/>
            <color indexed="81"/>
            <rFont val="Tahoma"/>
            <family val="2"/>
          </rPr>
          <t xml:space="preserve">
Manually copy the taskDuration from the taskSummary in the raw data and subtract required times per Duration calculation</t>
        </r>
      </text>
    </comment>
    <comment ref="G18" authorId="0" shapeId="0" xr:uid="{49BD079C-EFEF-4F2A-AA77-1492DD1AB941}">
      <text>
        <r>
          <rPr>
            <b/>
            <sz val="9"/>
            <color indexed="81"/>
            <rFont val="Tahoma"/>
            <family val="2"/>
          </rPr>
          <t>Darren Wood:</t>
        </r>
        <r>
          <rPr>
            <sz val="9"/>
            <color indexed="81"/>
            <rFont val="Tahoma"/>
            <family val="2"/>
          </rPr>
          <t xml:space="preserve">
Manually copy the taskDuration from the taskSummary in the raw data and subtract required times per Duration calculation</t>
        </r>
      </text>
    </comment>
    <comment ref="G21" authorId="0" shapeId="0" xr:uid="{C9202D6C-816F-45B2-B53C-9AF7BE1E48DC}">
      <text>
        <r>
          <rPr>
            <b/>
            <sz val="9"/>
            <color indexed="81"/>
            <rFont val="Tahoma"/>
            <family val="2"/>
          </rPr>
          <t>Darren Wood:</t>
        </r>
        <r>
          <rPr>
            <sz val="9"/>
            <color indexed="81"/>
            <rFont val="Tahoma"/>
            <family val="2"/>
          </rPr>
          <t xml:space="preserve">
Manually copy the taskDuration from the taskSummary in the raw data and subtract required times per Duration calculation</t>
        </r>
      </text>
    </comment>
    <comment ref="G24" authorId="0" shapeId="0" xr:uid="{558ED27F-7B16-4FAA-B0D3-E6AD1A1BAEFC}">
      <text>
        <r>
          <rPr>
            <b/>
            <sz val="9"/>
            <color indexed="81"/>
            <rFont val="Tahoma"/>
            <family val="2"/>
          </rPr>
          <t>Darren Wood:</t>
        </r>
        <r>
          <rPr>
            <sz val="9"/>
            <color indexed="81"/>
            <rFont val="Tahoma"/>
            <family val="2"/>
          </rPr>
          <t xml:space="preserve">
Manually copy the taskDuration from the taskSummary in the raw data and subtract required times per Duration calculation</t>
        </r>
      </text>
    </comment>
  </commentList>
</comments>
</file>

<file path=xl/sharedStrings.xml><?xml version="1.0" encoding="utf-8"?>
<sst xmlns="http://schemas.openxmlformats.org/spreadsheetml/2006/main" count="4939" uniqueCount="243">
  <si>
    <t>ReactionTime</t>
  </si>
  <si>
    <t>RTVariability</t>
  </si>
  <si>
    <t>Accuracy</t>
  </si>
  <si>
    <t>TotalCorrect</t>
  </si>
  <si>
    <t>TotalErrors</t>
  </si>
  <si>
    <t>TotalResponses</t>
  </si>
  <si>
    <t>TotalTrials</t>
  </si>
  <si>
    <t>Log10RT</t>
  </si>
  <si>
    <t>One Back Manual Calculations</t>
  </si>
  <si>
    <t>Detection Manual Calculations</t>
  </si>
  <si>
    <t>Identification Manual Calculations</t>
  </si>
  <si>
    <t>OCL2 Manual Calculations</t>
  </si>
  <si>
    <t>PsyAttStdScr</t>
  </si>
  <si>
    <t>LearnWMStdScr</t>
  </si>
  <si>
    <t>Age Range</t>
  </si>
  <si>
    <t>Mean</t>
  </si>
  <si>
    <t>SD</t>
  </si>
  <si>
    <t>WSD*√2</t>
  </si>
  <si>
    <t>WSD</t>
  </si>
  <si>
    <t>18-34</t>
  </si>
  <si>
    <t>35-49</t>
  </si>
  <si>
    <t>50-59</t>
  </si>
  <si>
    <t>60-69</t>
  </si>
  <si>
    <t>70-79</t>
  </si>
  <si>
    <t>80-89</t>
  </si>
  <si>
    <t>90-99</t>
  </si>
  <si>
    <r>
      <t>Figure 50: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Normative Data for the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Detection Task</t>
    </r>
  </si>
  <si>
    <r>
      <t>Figure 51: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Normative Data for the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Identification Task</t>
    </r>
  </si>
  <si>
    <r>
      <t>Figure 52: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Normative Data for the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One Card Learning Task</t>
    </r>
  </si>
  <si>
    <t>Age</t>
  </si>
  <si>
    <t>Range</t>
  </si>
  <si>
    <r>
      <t>Figure 54: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Normative Data for the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Psychomotor Function and Attention Composite</t>
    </r>
  </si>
  <si>
    <t>T-Score Mean</t>
  </si>
  <si>
    <t>T-Score SD</t>
  </si>
  <si>
    <t>z-Score SD</t>
  </si>
  <si>
    <t>Select Age Range:</t>
  </si>
  <si>
    <t>Select</t>
  </si>
  <si>
    <t>Standardise RT for IDN</t>
  </si>
  <si>
    <t>Standardise RT for DET</t>
  </si>
  <si>
    <t>Convert DET to T-Score</t>
  </si>
  <si>
    <t>Convert IDN to T-Score</t>
  </si>
  <si>
    <t>Average T-Scores</t>
  </si>
  <si>
    <t>Standardise Composite</t>
  </si>
  <si>
    <t>Conver to T_Score</t>
  </si>
  <si>
    <t>Standardise Acc for OCL</t>
  </si>
  <si>
    <t>Convert OCL to T-Score</t>
  </si>
  <si>
    <t>Convert OBK to T-Score</t>
  </si>
  <si>
    <t>Completion</t>
  </si>
  <si>
    <t>Performance</t>
  </si>
  <si>
    <t>RawReactionTime</t>
  </si>
  <si>
    <t>RawRTVariability</t>
  </si>
  <si>
    <t>RawAccuracy</t>
  </si>
  <si>
    <t>RuleBreakErrors</t>
  </si>
  <si>
    <t>StandardScore</t>
  </si>
  <si>
    <t>TotalAnticipatory</t>
  </si>
  <si>
    <t>TotalPost</t>
  </si>
  <si>
    <t>TotalMaxOut</t>
  </si>
  <si>
    <t>Untransformed Reaction Time</t>
  </si>
  <si>
    <t xml:space="preserve">LegalErrors </t>
  </si>
  <si>
    <t>TotalResponsesFirstOnly</t>
  </si>
  <si>
    <t>Baseline</t>
  </si>
  <si>
    <t>Follow Up</t>
  </si>
  <si>
    <t>ChangeScore</t>
  </si>
  <si>
    <t>TestCompletionPass</t>
  </si>
  <si>
    <t>TestPerformancePass</t>
  </si>
  <si>
    <t>StandardScoreZ</t>
  </si>
  <si>
    <t>TotalCorrectExclPant</t>
  </si>
  <si>
    <t>TestIntegrityPass</t>
  </si>
  <si>
    <t>StandardScoreT</t>
  </si>
  <si>
    <t>PsyAttChange</t>
  </si>
  <si>
    <t>LearnWMChange</t>
  </si>
  <si>
    <r>
      <t>Figure 53: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Normative Data for the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One Back Task (Accuracy)</t>
    </r>
  </si>
  <si>
    <r>
      <t>Figure 53: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Normative Data for the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One Back Task (Reaction Time)</t>
    </r>
  </si>
  <si>
    <t>AltStandardScoreZ</t>
  </si>
  <si>
    <t>AltStandardScoreT</t>
  </si>
  <si>
    <t>Standardise Acc for OBK</t>
  </si>
  <si>
    <r>
      <t>Figure 55: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Normative Data for the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Learning and Working Memory Composite (One Back Reaction Time)</t>
    </r>
  </si>
  <si>
    <r>
      <t>Figure 55: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Normative Data for the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Learning and Working Memory Composite (One Back Accuracy)</t>
    </r>
  </si>
  <si>
    <t>Usage Notes</t>
  </si>
  <si>
    <t>1. Response Data for must be separated per response and be contained in one line (search and replace all }, with a newline \n)</t>
  </si>
  <si>
    <t>2. Age range for the subject must be selected and the "Click to format data into cells" button clicked</t>
  </si>
  <si>
    <t>4. Change score formulas may need to be adjusted manually when tests fail completion criteria.</t>
  </si>
  <si>
    <t>3. Completion and Performance checks in the calculations are at the default settings, formulas will need to be adjusted if the completed assessment did not use the default values</t>
  </si>
  <si>
    <t>SECT Manual Calculations</t>
  </si>
  <si>
    <t>TestDuration</t>
  </si>
  <si>
    <t>Two Back Manual Calculations</t>
  </si>
  <si>
    <t>AltLearnWMStdScr</t>
  </si>
  <si>
    <t>Standardise RT for OBK</t>
  </si>
  <si>
    <t>Round 1</t>
  </si>
  <si>
    <t>Round 2</t>
  </si>
  <si>
    <t>Round 3</t>
  </si>
  <si>
    <t>Total</t>
  </si>
  <si>
    <t>TruePositive</t>
  </si>
  <si>
    <t>Retraction</t>
  </si>
  <si>
    <t>Repetition</t>
  </si>
  <si>
    <t>Finish</t>
  </si>
  <si>
    <t>Continue</t>
  </si>
  <si>
    <t>Display</t>
  </si>
  <si>
    <t>Row Labels</t>
  </si>
  <si>
    <t>(blank)</t>
  </si>
  <si>
    <t>Grand Total</t>
  </si>
  <si>
    <t>Column Labels</t>
  </si>
  <si>
    <t>Count of Column18</t>
  </si>
  <si>
    <t>Intrusion?</t>
  </si>
  <si>
    <t>Repetition?</t>
  </si>
  <si>
    <t>Retraction?</t>
  </si>
  <si>
    <t/>
  </si>
  <si>
    <t>1 Total</t>
  </si>
  <si>
    <t>2 Total</t>
  </si>
  <si>
    <t>3 Total</t>
  </si>
  <si>
    <t>Total Correct</t>
  </si>
  <si>
    <t>Total Errors</t>
  </si>
  <si>
    <t>TURNIP</t>
  </si>
  <si>
    <r>
      <t>Normative Data for the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ISLT Immediate</t>
    </r>
  </si>
  <si>
    <r>
      <t>Normative Data for the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ISLT Delayed</t>
    </r>
  </si>
  <si>
    <t>WATERMELON</t>
  </si>
  <si>
    <t>PRETZELS</t>
  </si>
  <si>
    <t>RAISINS</t>
  </si>
  <si>
    <t>SODA</t>
  </si>
  <si>
    <t>SHRIMP</t>
  </si>
  <si>
    <t>TOMATOES</t>
  </si>
  <si>
    <t>GARLIC</t>
  </si>
  <si>
    <t>OATMEAL</t>
  </si>
  <si>
    <t>MARGARINE</t>
  </si>
  <si>
    <t>APRICOTS</t>
  </si>
  <si>
    <t>CREAM</t>
  </si>
  <si>
    <t>(blank) Total</t>
  </si>
  <si>
    <t>Correct?</t>
  </si>
  <si>
    <t>International Shopping List - Immediate Manual Calculations</t>
  </si>
  <si>
    <t>International Shopping List - Delayed Manual Calculations</t>
  </si>
  <si>
    <t>International Shopping List - Recognition Manual Calculations</t>
  </si>
  <si>
    <t>Error?</t>
  </si>
  <si>
    <t>CorrectFoil?</t>
  </si>
  <si>
    <t>TotalCorrectFoils</t>
  </si>
  <si>
    <t>No Norms</t>
  </si>
  <si>
    <t>`</t>
  </si>
  <si>
    <t>GMLT - Learning Rounds Manual Calculations</t>
  </si>
  <si>
    <t>Round 4</t>
  </si>
  <si>
    <t>Round 5</t>
  </si>
  <si>
    <t>ReturnToHead</t>
  </si>
  <si>
    <t>MovesPerSecond</t>
  </si>
  <si>
    <t>LegalErrors</t>
  </si>
  <si>
    <t>PerseverativeErrors</t>
  </si>
  <si>
    <t>Normative Data for GMLT</t>
  </si>
  <si>
    <t>WithinSearchErrors</t>
  </si>
  <si>
    <t>GMLT - Delayed Recall Manual Calculations</t>
  </si>
  <si>
    <t>GMLT - Reverse Delayed Manual Calculations</t>
  </si>
  <si>
    <t>–</t>
  </si>
  <si>
    <t>Normative Data for GMLT - Delayed Recall</t>
  </si>
  <si>
    <t>Chase Manual Calculations</t>
  </si>
  <si>
    <t>taskDuration :</t>
  </si>
  <si>
    <t>Round 6</t>
  </si>
  <si>
    <t>Round 7</t>
  </si>
  <si>
    <t>TestPerformancePass (Value)</t>
  </si>
  <si>
    <t>TestCompletionPass (Value)</t>
  </si>
  <si>
    <t>CPAL Manual Calculations</t>
  </si>
  <si>
    <t>CPAL - Delayed Manual Calculations</t>
  </si>
  <si>
    <t>NULL</t>
  </si>
  <si>
    <t>FTLeft Round 1</t>
  </si>
  <si>
    <t>FTLeft Round 2</t>
  </si>
  <si>
    <t>FTLeft Round 3</t>
  </si>
  <si>
    <t>FTLeft Total</t>
  </si>
  <si>
    <t>Log10</t>
  </si>
  <si>
    <t>Untransformed RT</t>
  </si>
  <si>
    <t>Finger Tapping Manual Calculations</t>
  </si>
  <si>
    <t>FTRight Round 1</t>
  </si>
  <si>
    <t>FTRight Round 2</t>
  </si>
  <si>
    <t>FTRight Round 3</t>
  </si>
  <si>
    <t>FTRight Total</t>
  </si>
  <si>
    <t>FTReal Total</t>
  </si>
  <si>
    <t>{"round"</t>
  </si>
  <si>
    <t>trial</t>
  </si>
  <si>
    <t>stimulusDetails</t>
  </si>
  <si>
    <t>GJ</t>
  </si>
  <si>
    <t>stimulusType</t>
  </si>
  <si>
    <t>Probe</t>
  </si>
  <si>
    <t>onsetTime</t>
  </si>
  <si>
    <t>logTime</t>
  </si>
  <si>
    <t>reactionTime</t>
  </si>
  <si>
    <t>responseDetails</t>
  </si>
  <si>
    <t>K</t>
  </si>
  <si>
    <t>responseType</t>
  </si>
  <si>
    <t>Anticipatory</t>
  </si>
  <si>
    <t>RJ</t>
  </si>
  <si>
    <t>BJ</t>
  </si>
  <si>
    <t>Foil</t>
  </si>
  <si>
    <t>FalsePositive</t>
  </si>
  <si>
    <t>D</t>
  </si>
  <si>
    <t>TrueNegative</t>
  </si>
  <si>
    <t>FalseNegative</t>
  </si>
  <si>
    <t>Post</t>
  </si>
  <si>
    <t>3D</t>
  </si>
  <si>
    <t>6C</t>
  </si>
  <si>
    <t>7S</t>
  </si>
  <si>
    <t>AS</t>
  </si>
  <si>
    <t>QH</t>
  </si>
  <si>
    <t>4H</t>
  </si>
  <si>
    <t>7H</t>
  </si>
  <si>
    <t>Distractor</t>
  </si>
  <si>
    <t>9H</t>
  </si>
  <si>
    <t>5S</t>
  </si>
  <si>
    <t>2C</t>
  </si>
  <si>
    <t>AD</t>
  </si>
  <si>
    <t>8S</t>
  </si>
  <si>
    <t>5C</t>
  </si>
  <si>
    <t>TS</t>
  </si>
  <si>
    <t>AH</t>
  </si>
  <si>
    <t>TH</t>
  </si>
  <si>
    <t>5H</t>
  </si>
  <si>
    <t>KC</t>
  </si>
  <si>
    <t>2D</t>
  </si>
  <si>
    <t>9D</t>
  </si>
  <si>
    <t>3C</t>
  </si>
  <si>
    <t>JC</t>
  </si>
  <si>
    <t>3S</t>
  </si>
  <si>
    <t>JS</t>
  </si>
  <si>
    <t>3H</t>
  </si>
  <si>
    <t>QD</t>
  </si>
  <si>
    <t>6H</t>
  </si>
  <si>
    <t>QC</t>
  </si>
  <si>
    <t>6D</t>
  </si>
  <si>
    <t>QS</t>
  </si>
  <si>
    <t>8C</t>
  </si>
  <si>
    <t>KD</t>
  </si>
  <si>
    <t>9S</t>
  </si>
  <si>
    <t>9C</t>
  </si>
  <si>
    <t>8H</t>
  </si>
  <si>
    <t>2S</t>
  </si>
  <si>
    <t>4C</t>
  </si>
  <si>
    <t>KH</t>
  </si>
  <si>
    <t>TD</t>
  </si>
  <si>
    <t>6S</t>
  </si>
  <si>
    <t>4S</t>
  </si>
  <si>
    <t>8D</t>
  </si>
  <si>
    <t>4D</t>
  </si>
  <si>
    <t>7C</t>
  </si>
  <si>
    <t>TC</t>
  </si>
  <si>
    <t>5D</t>
  </si>
  <si>
    <t>JH</t>
  </si>
  <si>
    <t>7D</t>
  </si>
  <si>
    <t>2H</t>
  </si>
  <si>
    <t>JD</t>
  </si>
  <si>
    <t>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</si>
</sst>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0000000"/>
    <numFmt numFmtId="165" formatCode="0.000000"/>
    <numFmt numFmtId="166" formatCode="0.00000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 val="double"/>
      <sz val="1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0"/>
      <color theme="0"/>
      <name val="Verdana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b/>
      <i/>
      <u/>
      <sz val="14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3" fillId="0" borderId="0" xfId="0" applyFont="1"/>
    <xf numFmtId="0" fontId="2" fillId="0" borderId="0" xfId="0" applyFont="1"/>
    <xf numFmtId="0" fontId="1" fillId="2" borderId="0" xfId="0" applyFont="1" applyFill="1"/>
    <xf numFmtId="0" fontId="0" fillId="2" borderId="0" xfId="0" applyFill="1"/>
    <xf numFmtId="0" fontId="0" fillId="0" borderId="0" xfId="0" applyBorder="1"/>
    <xf numFmtId="0" fontId="4" fillId="0" borderId="0" xfId="0" applyFont="1"/>
    <xf numFmtId="0" fontId="6" fillId="4" borderId="6" xfId="0" applyFont="1" applyFill="1" applyBorder="1" applyAlignment="1">
      <alignment vertical="center" wrapText="1"/>
    </xf>
    <xf numFmtId="0" fontId="6" fillId="4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8" fillId="3" borderId="4" xfId="0" applyFont="1" applyFill="1" applyBorder="1" applyAlignment="1">
      <alignment vertical="center" wrapText="1"/>
    </xf>
    <xf numFmtId="0" fontId="8" fillId="3" borderId="5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8" fillId="3" borderId="5" xfId="0" applyFont="1" applyFill="1" applyBorder="1" applyAlignment="1">
      <alignment vertical="center" wrapText="1"/>
    </xf>
    <xf numFmtId="0" fontId="8" fillId="3" borderId="8" xfId="0" applyFont="1" applyFill="1" applyBorder="1" applyAlignment="1">
      <alignment vertical="center" wrapText="1"/>
    </xf>
    <xf numFmtId="0" fontId="8" fillId="3" borderId="6" xfId="0" applyFont="1" applyFill="1" applyBorder="1" applyAlignment="1">
      <alignment vertical="center" wrapText="1"/>
    </xf>
    <xf numFmtId="164" fontId="0" fillId="0" borderId="0" xfId="0" applyNumberFormat="1"/>
    <xf numFmtId="0" fontId="2" fillId="2" borderId="0" xfId="0" applyFont="1" applyFill="1"/>
    <xf numFmtId="0" fontId="0" fillId="2" borderId="0" xfId="0" applyFill="1" applyBorder="1"/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0" xfId="0" applyBorder="1"/>
    <xf numFmtId="0" fontId="0" fillId="0" borderId="3" xfId="0" applyBorder="1"/>
    <xf numFmtId="0" fontId="0" fillId="0" borderId="0" xfId="0"/>
    <xf numFmtId="0" fontId="0" fillId="2" borderId="0" xfId="0" applyFill="1"/>
    <xf numFmtId="0" fontId="0" fillId="0" borderId="0" xfId="0" applyFont="1"/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Fill="1"/>
    <xf numFmtId="0" fontId="10" fillId="2" borderId="11" xfId="0" applyFont="1" applyFill="1" applyBorder="1"/>
    <xf numFmtId="0" fontId="0" fillId="2" borderId="12" xfId="0" applyFill="1" applyBorder="1"/>
    <xf numFmtId="0" fontId="1" fillId="2" borderId="3" xfId="0" applyFont="1" applyFill="1" applyBorder="1"/>
    <xf numFmtId="0" fontId="2" fillId="0" borderId="3" xfId="0" applyFont="1" applyBorder="1"/>
    <xf numFmtId="164" fontId="0" fillId="0" borderId="3" xfId="0" applyNumberFormat="1" applyBorder="1"/>
    <xf numFmtId="0" fontId="0" fillId="0" borderId="3" xfId="0" applyFont="1" applyBorder="1"/>
    <xf numFmtId="0" fontId="2" fillId="0" borderId="0" xfId="0" applyFont="1" applyFill="1"/>
    <xf numFmtId="0" fontId="2" fillId="0" borderId="3" xfId="0" applyFont="1" applyFill="1" applyBorder="1"/>
    <xf numFmtId="164" fontId="0" fillId="0" borderId="3" xfId="0" applyNumberFormat="1" applyFill="1" applyBorder="1"/>
    <xf numFmtId="164" fontId="0" fillId="0" borderId="0" xfId="0" applyNumberFormat="1" applyFill="1"/>
    <xf numFmtId="0" fontId="0" fillId="0" borderId="3" xfId="0" applyFill="1" applyBorder="1"/>
    <xf numFmtId="0" fontId="0" fillId="0" borderId="3" xfId="0" applyFont="1" applyFill="1" applyBorder="1"/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11" fillId="0" borderId="0" xfId="0" applyFont="1"/>
    <xf numFmtId="0" fontId="11" fillId="0" borderId="3" xfId="0" applyFont="1" applyBorder="1"/>
    <xf numFmtId="0" fontId="11" fillId="0" borderId="3" xfId="0" applyFont="1" applyFill="1" applyBorder="1"/>
    <xf numFmtId="0" fontId="12" fillId="0" borderId="0" xfId="0" applyFont="1"/>
    <xf numFmtId="0" fontId="13" fillId="0" borderId="9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6" fillId="4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6" fillId="4" borderId="15" xfId="0" applyFont="1" applyFill="1" applyBorder="1" applyAlignment="1">
      <alignment vertical="center" wrapText="1"/>
    </xf>
    <xf numFmtId="0" fontId="14" fillId="0" borderId="9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vertical="center" wrapText="1"/>
    </xf>
    <xf numFmtId="0" fontId="10" fillId="0" borderId="0" xfId="0" applyFont="1"/>
    <xf numFmtId="0" fontId="0" fillId="0" borderId="3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Protection="1">
      <protection locked="0"/>
    </xf>
    <xf numFmtId="0" fontId="11" fillId="0" borderId="0" xfId="0" applyFont="1" applyFill="1"/>
    <xf numFmtId="0" fontId="1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0" fillId="2" borderId="18" xfId="0" applyFont="1" applyFill="1" applyBorder="1"/>
    <xf numFmtId="0" fontId="0" fillId="2" borderId="19" xfId="0" applyFill="1" applyBorder="1"/>
    <xf numFmtId="0" fontId="1" fillId="2" borderId="0" xfId="0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2" fillId="0" borderId="0" xfId="0" applyFont="1" applyAlignment="1">
      <alignment horizontal="center" wrapText="1"/>
    </xf>
    <xf numFmtId="0" fontId="15" fillId="0" borderId="3" xfId="0" applyFont="1" applyBorder="1"/>
    <xf numFmtId="0" fontId="0" fillId="0" borderId="18" xfId="0" applyBorder="1"/>
    <xf numFmtId="0" fontId="15" fillId="0" borderId="0" xfId="0" applyFont="1" applyFill="1"/>
    <xf numFmtId="0" fontId="15" fillId="0" borderId="3" xfId="0" applyFont="1" applyFill="1" applyBorder="1"/>
    <xf numFmtId="0" fontId="0" fillId="0" borderId="0" xfId="0" quotePrefix="1" applyFill="1"/>
    <xf numFmtId="0" fontId="16" fillId="0" borderId="0" xfId="0" applyFont="1" applyFill="1"/>
    <xf numFmtId="0" fontId="2" fillId="0" borderId="20" xfId="0" applyFont="1" applyBorder="1"/>
    <xf numFmtId="0" fontId="2" fillId="0" borderId="0" xfId="0" applyFont="1" applyAlignment="1">
      <alignment horizontal="left"/>
    </xf>
    <xf numFmtId="0" fontId="0" fillId="0" borderId="1" xfId="0" applyBorder="1"/>
    <xf numFmtId="0" fontId="8" fillId="3" borderId="16" xfId="0" applyFont="1" applyFill="1" applyBorder="1" applyAlignment="1">
      <alignment vertical="center" wrapText="1"/>
    </xf>
    <xf numFmtId="0" fontId="14" fillId="0" borderId="10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vertical="center" wrapText="1"/>
    </xf>
    <xf numFmtId="0" fontId="14" fillId="0" borderId="9" xfId="0" applyFont="1" applyBorder="1" applyAlignment="1">
      <alignment horizontal="center" vertical="center" wrapText="1"/>
    </xf>
    <xf numFmtId="0" fontId="0" fillId="0" borderId="0" xfId="0" applyFill="1" applyBorder="1"/>
    <xf numFmtId="0" fontId="15" fillId="0" borderId="0" xfId="0" applyFont="1" applyFill="1" applyBorder="1"/>
    <xf numFmtId="0" fontId="2" fillId="0" borderId="0" xfId="0" applyFont="1" applyFill="1" applyBorder="1"/>
    <xf numFmtId="0" fontId="0" fillId="0" borderId="2" xfId="0" applyBorder="1"/>
    <xf numFmtId="164" fontId="0" fillId="0" borderId="0" xfId="0" applyNumberFormat="1" applyFill="1" applyBorder="1"/>
    <xf numFmtId="0" fontId="0" fillId="0" borderId="22" xfId="0" applyBorder="1"/>
    <xf numFmtId="0" fontId="0" fillId="0" borderId="21" xfId="0" applyBorder="1"/>
    <xf numFmtId="0" fontId="0" fillId="0" borderId="21" xfId="0" applyBorder="1" applyProtection="1">
      <protection locked="0"/>
    </xf>
    <xf numFmtId="165" fontId="0" fillId="0" borderId="0" xfId="0" applyNumberFormat="1" applyFill="1"/>
    <xf numFmtId="0" fontId="0" fillId="0" borderId="0" xfId="0" applyFont="1" applyFill="1"/>
    <xf numFmtId="0" fontId="4" fillId="0" borderId="1" xfId="0" applyFont="1" applyBorder="1"/>
    <xf numFmtId="0" fontId="4" fillId="0" borderId="0" xfId="0" applyFont="1" applyBorder="1"/>
    <xf numFmtId="0" fontId="0" fillId="2" borderId="23" xfId="0" applyFill="1" applyBorder="1"/>
    <xf numFmtId="166" fontId="2" fillId="0" borderId="0" xfId="0" applyNumberFormat="1" applyFont="1" applyFill="1"/>
    <xf numFmtId="166" fontId="15" fillId="0" borderId="0" xfId="0" applyNumberFormat="1" applyFont="1" applyFill="1"/>
    <xf numFmtId="166" fontId="0" fillId="0" borderId="0" xfId="0" applyNumberFormat="1" applyFill="1"/>
    <xf numFmtId="0" fontId="8" fillId="3" borderId="8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331"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PivotTable Style 1" table="0" count="0" xr9:uid="{00000000-0011-0000-FFFF-FFFF00000000}"/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19050</xdr:rowOff>
        </xdr:from>
        <xdr:to>
          <xdr:col>12</xdr:col>
          <xdr:colOff>0</xdr:colOff>
          <xdr:row>1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857250</xdr:colOff>
          <xdr:row>0</xdr:row>
          <xdr:rowOff>19050</xdr:rowOff>
        </xdr:from>
        <xdr:to>
          <xdr:col>12</xdr:col>
          <xdr:colOff>0</xdr:colOff>
          <xdr:row>1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847725</xdr:colOff>
          <xdr:row>0</xdr:row>
          <xdr:rowOff>19050</xdr:rowOff>
        </xdr:from>
        <xdr:to>
          <xdr:col>12</xdr:col>
          <xdr:colOff>0</xdr:colOff>
          <xdr:row>1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857250</xdr:colOff>
          <xdr:row>0</xdr:row>
          <xdr:rowOff>9525</xdr:rowOff>
        </xdr:from>
        <xdr:to>
          <xdr:col>12</xdr:col>
          <xdr:colOff>0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0</xdr:row>
          <xdr:rowOff>19050</xdr:rowOff>
        </xdr:from>
        <xdr:to>
          <xdr:col>14</xdr:col>
          <xdr:colOff>0</xdr:colOff>
          <xdr:row>1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857250</xdr:colOff>
          <xdr:row>0</xdr:row>
          <xdr:rowOff>19050</xdr:rowOff>
        </xdr:from>
        <xdr:to>
          <xdr:col>12</xdr:col>
          <xdr:colOff>0</xdr:colOff>
          <xdr:row>1</xdr:row>
          <xdr:rowOff>123825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857250</xdr:colOff>
          <xdr:row>0</xdr:row>
          <xdr:rowOff>19050</xdr:rowOff>
        </xdr:from>
        <xdr:to>
          <xdr:col>12</xdr:col>
          <xdr:colOff>0</xdr:colOff>
          <xdr:row>1</xdr:row>
          <xdr:rowOff>123825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0</xdr:row>
          <xdr:rowOff>19050</xdr:rowOff>
        </xdr:from>
        <xdr:to>
          <xdr:col>14</xdr:col>
          <xdr:colOff>0</xdr:colOff>
          <xdr:row>1</xdr:row>
          <xdr:rowOff>123825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7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0</xdr:row>
          <xdr:rowOff>19050</xdr:rowOff>
        </xdr:from>
        <xdr:to>
          <xdr:col>14</xdr:col>
          <xdr:colOff>0</xdr:colOff>
          <xdr:row>1</xdr:row>
          <xdr:rowOff>123825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0</xdr:row>
          <xdr:rowOff>19050</xdr:rowOff>
        </xdr:from>
        <xdr:to>
          <xdr:col>14</xdr:col>
          <xdr:colOff>0</xdr:colOff>
          <xdr:row>1</xdr:row>
          <xdr:rowOff>123825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0</xdr:row>
          <xdr:rowOff>19050</xdr:rowOff>
        </xdr:from>
        <xdr:to>
          <xdr:col>14</xdr:col>
          <xdr:colOff>0</xdr:colOff>
          <xdr:row>1</xdr:row>
          <xdr:rowOff>123825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857250</xdr:colOff>
          <xdr:row>0</xdr:row>
          <xdr:rowOff>9525</xdr:rowOff>
        </xdr:from>
        <xdr:to>
          <xdr:col>12</xdr:col>
          <xdr:colOff>0</xdr:colOff>
          <xdr:row>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857250</xdr:colOff>
          <xdr:row>0</xdr:row>
          <xdr:rowOff>9525</xdr:rowOff>
        </xdr:from>
        <xdr:to>
          <xdr:col>12</xdr:col>
          <xdr:colOff>0</xdr:colOff>
          <xdr:row>1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857250</xdr:colOff>
          <xdr:row>0</xdr:row>
          <xdr:rowOff>9525</xdr:rowOff>
        </xdr:from>
        <xdr:to>
          <xdr:col>12</xdr:col>
          <xdr:colOff>0</xdr:colOff>
          <xdr:row>1</xdr:row>
          <xdr:rowOff>114300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E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857250</xdr:colOff>
          <xdr:row>0</xdr:row>
          <xdr:rowOff>9525</xdr:rowOff>
        </xdr:from>
        <xdr:to>
          <xdr:col>12</xdr:col>
          <xdr:colOff>0</xdr:colOff>
          <xdr:row>1</xdr:row>
          <xdr:rowOff>114300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857250</xdr:colOff>
          <xdr:row>0</xdr:row>
          <xdr:rowOff>9525</xdr:rowOff>
        </xdr:from>
        <xdr:to>
          <xdr:col>11</xdr:col>
          <xdr:colOff>0</xdr:colOff>
          <xdr:row>1</xdr:row>
          <xdr:rowOff>114300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format data into cells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anual%20Calculations%20Template%20MD-Adult2.0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ren Wood" refreshedDate="43131.697987731481" createdVersion="6" refreshedVersion="6" minRefreshableVersion="3" recordCount="613" xr:uid="{00000000-000A-0000-FFFF-FFFF00000000}">
  <cacheSource type="worksheet">
    <worksheetSource ref="A21:S633" sheet="ISLT- Immediate" r:id="rId2"/>
  </cacheSource>
  <cacheFields count="18">
    <cacheField name="Column1" numFmtId="0">
      <sharedItems containsBlank="1"/>
    </cacheField>
    <cacheField name="Column2" numFmtId="0">
      <sharedItems containsString="0" containsBlank="1" containsNumber="1" containsInteger="1" minValue="1" maxValue="3" count="4">
        <n v="1"/>
        <n v="2"/>
        <n v="3"/>
        <m/>
      </sharedItems>
    </cacheField>
    <cacheField name="Column3" numFmtId="0">
      <sharedItems containsBlank="1"/>
    </cacheField>
    <cacheField name="Column4" numFmtId="0">
      <sharedItems containsString="0" containsBlank="1" containsNumber="1" containsInteger="1" minValue="-1" maxValue="12"/>
    </cacheField>
    <cacheField name="Column5" numFmtId="0">
      <sharedItems containsBlank="1"/>
    </cacheField>
    <cacheField name="Column6" numFmtId="0">
      <sharedItems containsBlank="1" count="37">
        <s v="WATERMELON"/>
        <s v="PRETZELS"/>
        <s v="RAISINS"/>
        <s v="SODA"/>
        <s v="SHRIMP"/>
        <s v="TOMATOES"/>
        <s v="GARLIC"/>
        <s v="OATMEAL"/>
        <s v="MARGARINE"/>
        <s v="TURNIP"/>
        <s v="APRICOTS"/>
        <s v="CREAM"/>
        <m/>
        <s v="CEREAL" u="1"/>
        <s v="PANCAKES" u="1"/>
        <s v="PARSLEY" u="1"/>
        <s v="SAUCE" u="1"/>
        <s v="JELLY" u="1"/>
        <s v="TISSUES" u="1"/>
        <s v="AVOCADO" u="1"/>
        <s v="TEA" u="1"/>
        <s v="CLAMS" u="1"/>
        <s v="KETCHUP" u="1"/>
        <s v="MOUTHWASH" u="1"/>
        <s v="PEAS" u="1"/>
        <s v="NUTS" u="1"/>
        <s v="WATER" u="1"/>
        <s v="TUNA" u="1"/>
        <s v="TACOS" u="1"/>
        <s v="COOKIES" u="1"/>
        <s v="OtherWord" u="1"/>
        <s v="BAGELS" u="1"/>
        <s v="RICE" u="1"/>
        <s v="BACON" u="1"/>
        <s v="TURKEY" u="1"/>
        <s v="PEACH" u="1"/>
        <s v="LEMONS" u="1"/>
      </sharedItems>
    </cacheField>
    <cacheField name="Column7" numFmtId="0">
      <sharedItems containsBlank="1"/>
    </cacheField>
    <cacheField name="Column8" numFmtId="0">
      <sharedItems containsBlank="1"/>
    </cacheField>
    <cacheField name="Column9" numFmtId="0">
      <sharedItems containsBlank="1"/>
    </cacheField>
    <cacheField name="Column10" numFmtId="0">
      <sharedItems containsString="0" containsBlank="1" containsNumber="1" containsInteger="1" minValue="-1" maxValue="-1"/>
    </cacheField>
    <cacheField name="Column11" numFmtId="0">
      <sharedItems containsBlank="1"/>
    </cacheField>
    <cacheField name="Column12" numFmtId="0">
      <sharedItems containsString="0" containsBlank="1" containsNumber="1" containsInteger="1" minValue="0" maxValue="22011"/>
    </cacheField>
    <cacheField name="Column13" numFmtId="0">
      <sharedItems containsBlank="1"/>
    </cacheField>
    <cacheField name="Column14" numFmtId="0">
      <sharedItems containsString="0" containsBlank="1" containsNumber="1" containsInteger="1" minValue="-1" maxValue="1"/>
    </cacheField>
    <cacheField name="Column15" numFmtId="0">
      <sharedItems containsBlank="1"/>
    </cacheField>
    <cacheField name="Column16" numFmtId="0">
      <sharedItems containsBlank="1"/>
    </cacheField>
    <cacheField name="Column17" numFmtId="0">
      <sharedItems containsBlank="1"/>
    </cacheField>
    <cacheField name="Column18" numFmtId="0">
      <sharedItems containsBlank="1" count="8">
        <s v="Display"/>
        <s v="TruePositive"/>
        <s v="Repetition"/>
        <s v="Retraction"/>
        <s v="Finish"/>
        <s v="Continue"/>
        <m/>
        <s v="Intrus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3">
  <r>
    <s v="{&quot;round&quot;"/>
    <x v="0"/>
    <s v="trial"/>
    <n v="1"/>
    <s v="stimulusDetails"/>
    <x v="0"/>
    <s v="stimulusType"/>
    <s v="Probe"/>
    <s v="onsetTime"/>
    <n v="-1"/>
    <s v="logTime"/>
    <n v="0"/>
    <s v="reactionTime"/>
    <n v="0"/>
    <s v="responseDetails"/>
    <s v="13,7"/>
    <s v="responseType"/>
    <x v="0"/>
  </r>
  <r>
    <s v="{&quot;round&quot;"/>
    <x v="0"/>
    <s v="trial"/>
    <n v="2"/>
    <s v="stimulusDetails"/>
    <x v="1"/>
    <s v="stimulusType"/>
    <s v="Probe"/>
    <s v="onsetTime"/>
    <n v="-1"/>
    <s v="logTime"/>
    <n v="2001"/>
    <s v="reactionTime"/>
    <n v="0"/>
    <s v="responseDetails"/>
    <s v="6,6"/>
    <s v="responseType"/>
    <x v="0"/>
  </r>
  <r>
    <s v="{&quot;round&quot;"/>
    <x v="0"/>
    <s v="trial"/>
    <n v="3"/>
    <s v="stimulusDetails"/>
    <x v="2"/>
    <s v="stimulusType"/>
    <s v="Probe"/>
    <s v="onsetTime"/>
    <n v="-1"/>
    <s v="logTime"/>
    <n v="4002"/>
    <s v="reactionTime"/>
    <n v="0"/>
    <s v="responseDetails"/>
    <s v="3,4"/>
    <s v="responseType"/>
    <x v="0"/>
  </r>
  <r>
    <s v="{&quot;round&quot;"/>
    <x v="0"/>
    <s v="trial"/>
    <n v="4"/>
    <s v="stimulusDetails"/>
    <x v="3"/>
    <s v="stimulusType"/>
    <s v="Probe"/>
    <s v="onsetTime"/>
    <n v="-1"/>
    <s v="logTime"/>
    <n v="6003"/>
    <s v="reactionTime"/>
    <n v="0"/>
    <s v="responseDetails"/>
    <s v="0,4"/>
    <s v="responseType"/>
    <x v="0"/>
  </r>
  <r>
    <s v="{&quot;round&quot;"/>
    <x v="0"/>
    <s v="trial"/>
    <n v="5"/>
    <s v="stimulusDetails"/>
    <x v="4"/>
    <s v="stimulusType"/>
    <s v="Probe"/>
    <s v="onsetTime"/>
    <n v="-1"/>
    <s v="logTime"/>
    <n v="8004"/>
    <s v="reactionTime"/>
    <n v="0"/>
    <s v="responseDetails"/>
    <s v="15,3"/>
    <s v="responseType"/>
    <x v="0"/>
  </r>
  <r>
    <s v="{&quot;round&quot;"/>
    <x v="0"/>
    <s v="trial"/>
    <n v="6"/>
    <s v="stimulusDetails"/>
    <x v="5"/>
    <s v="stimulusType"/>
    <s v="Probe"/>
    <s v="onsetTime"/>
    <n v="-1"/>
    <s v="logTime"/>
    <n v="10004"/>
    <s v="reactionTime"/>
    <n v="0"/>
    <s v="responseDetails"/>
    <s v="1,1"/>
    <s v="responseType"/>
    <x v="0"/>
  </r>
  <r>
    <s v="{&quot;round&quot;"/>
    <x v="0"/>
    <s v="trial"/>
    <n v="7"/>
    <s v="stimulusDetails"/>
    <x v="6"/>
    <s v="stimulusType"/>
    <s v="Probe"/>
    <s v="onsetTime"/>
    <n v="-1"/>
    <s v="logTime"/>
    <n v="12006"/>
    <s v="reactionTime"/>
    <n v="0"/>
    <s v="responseDetails"/>
    <s v="10,6"/>
    <s v="responseType"/>
    <x v="0"/>
  </r>
  <r>
    <s v="{&quot;round&quot;"/>
    <x v="0"/>
    <s v="trial"/>
    <n v="8"/>
    <s v="stimulusDetails"/>
    <x v="7"/>
    <s v="stimulusType"/>
    <s v="Probe"/>
    <s v="onsetTime"/>
    <n v="-1"/>
    <s v="logTime"/>
    <n v="14007"/>
    <s v="reactionTime"/>
    <n v="0"/>
    <s v="responseDetails"/>
    <s v="8,2"/>
    <s v="responseType"/>
    <x v="0"/>
  </r>
  <r>
    <s v="{&quot;round&quot;"/>
    <x v="0"/>
    <s v="trial"/>
    <n v="9"/>
    <s v="stimulusDetails"/>
    <x v="8"/>
    <s v="stimulusType"/>
    <s v="Probe"/>
    <s v="onsetTime"/>
    <n v="-1"/>
    <s v="logTime"/>
    <n v="16008"/>
    <s v="reactionTime"/>
    <n v="0"/>
    <s v="responseDetails"/>
    <s v="7,3"/>
    <s v="responseType"/>
    <x v="0"/>
  </r>
  <r>
    <s v="{&quot;round&quot;"/>
    <x v="0"/>
    <s v="trial"/>
    <n v="10"/>
    <s v="stimulusDetails"/>
    <x v="9"/>
    <s v="stimulusType"/>
    <s v="Probe"/>
    <s v="onsetTime"/>
    <n v="-1"/>
    <s v="logTime"/>
    <n v="18008"/>
    <s v="reactionTime"/>
    <n v="0"/>
    <s v="responseDetails"/>
    <s v="12,2"/>
    <s v="responseType"/>
    <x v="0"/>
  </r>
  <r>
    <s v="{&quot;round&quot;"/>
    <x v="0"/>
    <s v="trial"/>
    <n v="11"/>
    <s v="stimulusDetails"/>
    <x v="10"/>
    <s v="stimulusType"/>
    <s v="Probe"/>
    <s v="onsetTime"/>
    <n v="-1"/>
    <s v="logTime"/>
    <n v="20008"/>
    <s v="reactionTime"/>
    <n v="0"/>
    <s v="responseDetails"/>
    <s v="2,7"/>
    <s v="responseType"/>
    <x v="0"/>
  </r>
  <r>
    <s v="{&quot;round&quot;"/>
    <x v="0"/>
    <s v="trial"/>
    <n v="12"/>
    <s v="stimulusDetails"/>
    <x v="11"/>
    <s v="stimulusType"/>
    <s v="Probe"/>
    <s v="onsetTime"/>
    <n v="-1"/>
    <s v="logTime"/>
    <n v="22011"/>
    <s v="reactionTime"/>
    <n v="1"/>
    <s v="responseDetails"/>
    <s v="5,4"/>
    <s v="responseType"/>
    <x v="0"/>
  </r>
  <r>
    <s v="{&quot;round&quot;"/>
    <x v="0"/>
    <s v="trial"/>
    <n v="1"/>
    <s v="stimulusDetails"/>
    <x v="0"/>
    <s v="stimulusType"/>
    <s v="Probe"/>
    <s v="onsetTime"/>
    <n v="-1"/>
    <s v="logTime"/>
    <n v="3836"/>
    <s v="reactionTime"/>
    <n v="-1"/>
    <s v="responseDetails"/>
    <s v="13,7"/>
    <s v="responseType"/>
    <x v="1"/>
  </r>
  <r>
    <s v="{&quot;round&quot;"/>
    <x v="0"/>
    <s v="trial"/>
    <n v="3"/>
    <s v="stimulusDetails"/>
    <x v="2"/>
    <s v="stimulusType"/>
    <s v="Probe"/>
    <s v="onsetTime"/>
    <n v="-1"/>
    <s v="logTime"/>
    <n v="4368"/>
    <s v="reactionTime"/>
    <n v="-1"/>
    <s v="responseDetails"/>
    <s v="3,4"/>
    <s v="responseType"/>
    <x v="1"/>
  </r>
  <r>
    <s v="{&quot;round&quot;"/>
    <x v="0"/>
    <s v="trial"/>
    <n v="5"/>
    <s v="stimulusDetails"/>
    <x v="4"/>
    <s v="stimulusType"/>
    <s v="Probe"/>
    <s v="onsetTime"/>
    <n v="-1"/>
    <s v="logTime"/>
    <n v="4703"/>
    <s v="reactionTime"/>
    <n v="-1"/>
    <s v="responseDetails"/>
    <s v="15,3"/>
    <s v="responseType"/>
    <x v="1"/>
  </r>
  <r>
    <s v="{&quot;round&quot;"/>
    <x v="0"/>
    <s v="trial"/>
    <n v="7"/>
    <s v="stimulusDetails"/>
    <x v="6"/>
    <s v="stimulusType"/>
    <s v="Probe"/>
    <s v="onsetTime"/>
    <n v="-1"/>
    <s v="logTime"/>
    <n v="4985"/>
    <s v="reactionTime"/>
    <n v="-1"/>
    <s v="responseDetails"/>
    <s v="10,6"/>
    <s v="responseType"/>
    <x v="1"/>
  </r>
  <r>
    <s v="{&quot;round&quot;"/>
    <x v="0"/>
    <s v="trial"/>
    <n v="9"/>
    <s v="stimulusDetails"/>
    <x v="8"/>
    <s v="stimulusType"/>
    <s v="Probe"/>
    <s v="onsetTime"/>
    <n v="-1"/>
    <s v="logTime"/>
    <n v="5305"/>
    <s v="reactionTime"/>
    <n v="-1"/>
    <s v="responseDetails"/>
    <s v="7,3"/>
    <s v="responseType"/>
    <x v="1"/>
  </r>
  <r>
    <s v="{&quot;round&quot;"/>
    <x v="0"/>
    <s v="trial"/>
    <n v="11"/>
    <s v="stimulusDetails"/>
    <x v="10"/>
    <s v="stimulusType"/>
    <s v="Probe"/>
    <s v="onsetTime"/>
    <n v="-1"/>
    <s v="logTime"/>
    <n v="5573"/>
    <s v="reactionTime"/>
    <n v="-1"/>
    <s v="responseDetails"/>
    <s v="2,7"/>
    <s v="responseType"/>
    <x v="1"/>
  </r>
  <r>
    <s v="{&quot;round&quot;"/>
    <x v="0"/>
    <s v="trial"/>
    <n v="12"/>
    <s v="stimulusDetails"/>
    <x v="11"/>
    <s v="stimulusType"/>
    <s v="Probe"/>
    <s v="onsetTime"/>
    <n v="-1"/>
    <s v="logTime"/>
    <n v="6047"/>
    <s v="reactionTime"/>
    <n v="-1"/>
    <s v="responseDetails"/>
    <s v="5,4"/>
    <s v="responseType"/>
    <x v="1"/>
  </r>
  <r>
    <s v="{&quot;round&quot;"/>
    <x v="0"/>
    <s v="trial"/>
    <n v="10"/>
    <s v="stimulusDetails"/>
    <x v="9"/>
    <s v="stimulusType"/>
    <s v="Probe"/>
    <s v="onsetTime"/>
    <n v="-1"/>
    <s v="logTime"/>
    <n v="6305"/>
    <s v="reactionTime"/>
    <n v="-1"/>
    <s v="responseDetails"/>
    <s v="12,2"/>
    <s v="responseType"/>
    <x v="1"/>
  </r>
  <r>
    <s v="{&quot;round&quot;"/>
    <x v="0"/>
    <s v="trial"/>
    <n v="8"/>
    <s v="stimulusDetails"/>
    <x v="7"/>
    <s v="stimulusType"/>
    <s v="Probe"/>
    <s v="onsetTime"/>
    <n v="-1"/>
    <s v="logTime"/>
    <n v="6586"/>
    <s v="reactionTime"/>
    <n v="-1"/>
    <s v="responseDetails"/>
    <s v="8,2"/>
    <s v="responseType"/>
    <x v="1"/>
  </r>
  <r>
    <s v="{&quot;round&quot;"/>
    <x v="0"/>
    <s v="trial"/>
    <n v="6"/>
    <s v="stimulusDetails"/>
    <x v="5"/>
    <s v="stimulusType"/>
    <s v="Probe"/>
    <s v="onsetTime"/>
    <n v="-1"/>
    <s v="logTime"/>
    <n v="6875"/>
    <s v="reactionTime"/>
    <n v="-1"/>
    <s v="responseDetails"/>
    <s v="1,1"/>
    <s v="responseType"/>
    <x v="1"/>
  </r>
  <r>
    <s v="{&quot;round&quot;"/>
    <x v="0"/>
    <s v="trial"/>
    <n v="4"/>
    <s v="stimulusDetails"/>
    <x v="3"/>
    <s v="stimulusType"/>
    <s v="Probe"/>
    <s v="onsetTime"/>
    <n v="-1"/>
    <s v="logTime"/>
    <n v="7141"/>
    <s v="reactionTime"/>
    <n v="-1"/>
    <s v="responseDetails"/>
    <s v="0,4"/>
    <s v="responseType"/>
    <x v="1"/>
  </r>
  <r>
    <s v="{&quot;round&quot;"/>
    <x v="0"/>
    <s v="trial"/>
    <n v="2"/>
    <s v="stimulusDetails"/>
    <x v="1"/>
    <s v="stimulusType"/>
    <s v="Probe"/>
    <s v="onsetTime"/>
    <n v="-1"/>
    <s v="logTime"/>
    <n v="7431"/>
    <s v="reactionTime"/>
    <n v="-1"/>
    <s v="responseDetails"/>
    <s v="6,6"/>
    <s v="responseType"/>
    <x v="1"/>
  </r>
  <r>
    <s v="{&quot;round&quot;"/>
    <x v="0"/>
    <s v="trial"/>
    <n v="5"/>
    <s v="stimulusDetails"/>
    <x v="4"/>
    <s v="stimulusType"/>
    <s v="Probe"/>
    <s v="onsetTime"/>
    <n v="-1"/>
    <s v="logTime"/>
    <n v="8665"/>
    <s v="reactionTime"/>
    <n v="-1"/>
    <s v="responseDetails"/>
    <s v="15,3"/>
    <s v="responseType"/>
    <x v="2"/>
  </r>
  <r>
    <s v="{&quot;round&quot;"/>
    <x v="0"/>
    <s v="trial"/>
    <n v="10"/>
    <s v="stimulusDetails"/>
    <x v="9"/>
    <s v="stimulusType"/>
    <s v="Probe"/>
    <s v="onsetTime"/>
    <n v="-1"/>
    <s v="logTime"/>
    <n v="10633"/>
    <s v="reactionTime"/>
    <n v="-1"/>
    <s v="responseDetails"/>
    <s v="12,2"/>
    <s v="responseType"/>
    <x v="2"/>
  </r>
  <r>
    <s v="{&quot;round&quot;"/>
    <x v="0"/>
    <s v="trial"/>
    <n v="-1"/>
    <s v="stimulusDetails"/>
    <x v="4"/>
    <s v="stimulusType"/>
    <m/>
    <s v="onsetTime"/>
    <n v="-1"/>
    <s v="logTime"/>
    <n v="12055"/>
    <s v="reactionTime"/>
    <n v="-1"/>
    <s v="responseDetails"/>
    <s v="15,3"/>
    <s v="responseType"/>
    <x v="3"/>
  </r>
  <r>
    <s v="{&quot;round&quot;"/>
    <x v="0"/>
    <s v="trial"/>
    <n v="-1"/>
    <s v="stimulusDetails"/>
    <x v="12"/>
    <s v="stimulusType"/>
    <m/>
    <s v="onsetTime"/>
    <n v="-1"/>
    <s v="logTime"/>
    <n v="13579"/>
    <s v="reactionTime"/>
    <n v="-1"/>
    <s v="responseDetails"/>
    <m/>
    <s v="responseType"/>
    <x v="4"/>
  </r>
  <r>
    <s v="{&quot;round&quot;"/>
    <x v="0"/>
    <s v="trial"/>
    <n v="-1"/>
    <s v="stimulusDetails"/>
    <x v="12"/>
    <s v="stimulusType"/>
    <m/>
    <s v="onsetTime"/>
    <n v="-1"/>
    <s v="logTime"/>
    <n v="14469"/>
    <s v="reactionTime"/>
    <n v="-1"/>
    <s v="responseDetails"/>
    <m/>
    <s v="responseType"/>
    <x v="5"/>
  </r>
  <r>
    <s v="{&quot;round&quot;"/>
    <x v="1"/>
    <s v="trial"/>
    <n v="1"/>
    <s v="stimulusDetails"/>
    <x v="0"/>
    <s v="stimulusType"/>
    <s v="Probe"/>
    <s v="onsetTime"/>
    <n v="-1"/>
    <s v="logTime"/>
    <n v="0"/>
    <s v="reactionTime"/>
    <n v="0"/>
    <s v="responseDetails"/>
    <s v="13,7"/>
    <s v="responseType"/>
    <x v="0"/>
  </r>
  <r>
    <s v="{&quot;round&quot;"/>
    <x v="1"/>
    <s v="trial"/>
    <n v="2"/>
    <s v="stimulusDetails"/>
    <x v="1"/>
    <s v="stimulusType"/>
    <s v="Probe"/>
    <s v="onsetTime"/>
    <n v="-1"/>
    <s v="logTime"/>
    <n v="2001"/>
    <s v="reactionTime"/>
    <n v="0"/>
    <s v="responseDetails"/>
    <s v="6,6"/>
    <s v="responseType"/>
    <x v="0"/>
  </r>
  <r>
    <s v="{&quot;round&quot;"/>
    <x v="1"/>
    <s v="trial"/>
    <n v="3"/>
    <s v="stimulusDetails"/>
    <x v="2"/>
    <s v="stimulusType"/>
    <s v="Probe"/>
    <s v="onsetTime"/>
    <n v="-1"/>
    <s v="logTime"/>
    <n v="4002"/>
    <s v="reactionTime"/>
    <n v="0"/>
    <s v="responseDetails"/>
    <s v="3,4"/>
    <s v="responseType"/>
    <x v="0"/>
  </r>
  <r>
    <s v="{&quot;round&quot;"/>
    <x v="1"/>
    <s v="trial"/>
    <n v="4"/>
    <s v="stimulusDetails"/>
    <x v="3"/>
    <s v="stimulusType"/>
    <s v="Probe"/>
    <s v="onsetTime"/>
    <n v="-1"/>
    <s v="logTime"/>
    <n v="6003"/>
    <s v="reactionTime"/>
    <n v="0"/>
    <s v="responseDetails"/>
    <s v="0,4"/>
    <s v="responseType"/>
    <x v="0"/>
  </r>
  <r>
    <s v="{&quot;round&quot;"/>
    <x v="1"/>
    <s v="trial"/>
    <n v="5"/>
    <s v="stimulusDetails"/>
    <x v="4"/>
    <s v="stimulusType"/>
    <s v="Probe"/>
    <s v="onsetTime"/>
    <n v="-1"/>
    <s v="logTime"/>
    <n v="8004"/>
    <s v="reactionTime"/>
    <n v="0"/>
    <s v="responseDetails"/>
    <s v="15,3"/>
    <s v="responseType"/>
    <x v="0"/>
  </r>
  <r>
    <s v="{&quot;round&quot;"/>
    <x v="1"/>
    <s v="trial"/>
    <n v="6"/>
    <s v="stimulusDetails"/>
    <x v="5"/>
    <s v="stimulusType"/>
    <s v="Probe"/>
    <s v="onsetTime"/>
    <n v="-1"/>
    <s v="logTime"/>
    <n v="10005"/>
    <s v="reactionTime"/>
    <n v="0"/>
    <s v="responseDetails"/>
    <s v="1,1"/>
    <s v="responseType"/>
    <x v="0"/>
  </r>
  <r>
    <s v="{&quot;round&quot;"/>
    <x v="1"/>
    <s v="trial"/>
    <n v="7"/>
    <s v="stimulusDetails"/>
    <x v="6"/>
    <s v="stimulusType"/>
    <s v="Probe"/>
    <s v="onsetTime"/>
    <n v="-1"/>
    <s v="logTime"/>
    <n v="12006"/>
    <s v="reactionTime"/>
    <n v="0"/>
    <s v="responseDetails"/>
    <s v="10,6"/>
    <s v="responseType"/>
    <x v="0"/>
  </r>
  <r>
    <s v="{&quot;round&quot;"/>
    <x v="1"/>
    <s v="trial"/>
    <n v="8"/>
    <s v="stimulusDetails"/>
    <x v="7"/>
    <s v="stimulusType"/>
    <s v="Probe"/>
    <s v="onsetTime"/>
    <n v="-1"/>
    <s v="logTime"/>
    <n v="14008"/>
    <s v="reactionTime"/>
    <n v="1"/>
    <s v="responseDetails"/>
    <s v="8,2"/>
    <s v="responseType"/>
    <x v="0"/>
  </r>
  <r>
    <s v="{&quot;round&quot;"/>
    <x v="1"/>
    <s v="trial"/>
    <n v="9"/>
    <s v="stimulusDetails"/>
    <x v="8"/>
    <s v="stimulusType"/>
    <s v="Probe"/>
    <s v="onsetTime"/>
    <n v="-1"/>
    <s v="logTime"/>
    <n v="16009"/>
    <s v="reactionTime"/>
    <n v="0"/>
    <s v="responseDetails"/>
    <s v="7,3"/>
    <s v="responseType"/>
    <x v="0"/>
  </r>
  <r>
    <s v="{&quot;round&quot;"/>
    <x v="1"/>
    <s v="trial"/>
    <n v="10"/>
    <s v="stimulusDetails"/>
    <x v="9"/>
    <s v="stimulusType"/>
    <s v="Probe"/>
    <s v="onsetTime"/>
    <n v="-1"/>
    <s v="logTime"/>
    <n v="18009"/>
    <s v="reactionTime"/>
    <n v="0"/>
    <s v="responseDetails"/>
    <s v="12,2"/>
    <s v="responseType"/>
    <x v="0"/>
  </r>
  <r>
    <s v="{&quot;round&quot;"/>
    <x v="1"/>
    <s v="trial"/>
    <n v="11"/>
    <s v="stimulusDetails"/>
    <x v="10"/>
    <s v="stimulusType"/>
    <s v="Probe"/>
    <s v="onsetTime"/>
    <n v="-1"/>
    <s v="logTime"/>
    <n v="20010"/>
    <s v="reactionTime"/>
    <n v="0"/>
    <s v="responseDetails"/>
    <s v="2,7"/>
    <s v="responseType"/>
    <x v="0"/>
  </r>
  <r>
    <s v="{&quot;round&quot;"/>
    <x v="1"/>
    <s v="trial"/>
    <n v="12"/>
    <s v="stimulusDetails"/>
    <x v="11"/>
    <s v="stimulusType"/>
    <s v="Probe"/>
    <s v="onsetTime"/>
    <n v="-1"/>
    <s v="logTime"/>
    <n v="22011"/>
    <s v="reactionTime"/>
    <n v="0"/>
    <s v="responseDetails"/>
    <s v="5,4"/>
    <s v="responseType"/>
    <x v="0"/>
  </r>
  <r>
    <s v="{&quot;round&quot;"/>
    <x v="1"/>
    <s v="trial"/>
    <n v="1"/>
    <s v="stimulusDetails"/>
    <x v="0"/>
    <s v="stimulusType"/>
    <s v="Probe"/>
    <s v="onsetTime"/>
    <n v="-1"/>
    <s v="logTime"/>
    <n v="947"/>
    <s v="reactionTime"/>
    <n v="-1"/>
    <s v="responseDetails"/>
    <s v="13,7"/>
    <s v="responseType"/>
    <x v="1"/>
  </r>
  <r>
    <s v="{&quot;round&quot;"/>
    <x v="1"/>
    <s v="trial"/>
    <n v="3"/>
    <s v="stimulusDetails"/>
    <x v="2"/>
    <s v="stimulusType"/>
    <s v="Probe"/>
    <s v="onsetTime"/>
    <n v="-1"/>
    <s v="logTime"/>
    <n v="1244"/>
    <s v="reactionTime"/>
    <n v="-1"/>
    <s v="responseDetails"/>
    <s v="3,4"/>
    <s v="responseType"/>
    <x v="1"/>
  </r>
  <r>
    <s v="{&quot;round&quot;"/>
    <x v="1"/>
    <s v="trial"/>
    <n v="5"/>
    <s v="stimulusDetails"/>
    <x v="4"/>
    <s v="stimulusType"/>
    <s v="Probe"/>
    <s v="onsetTime"/>
    <n v="-1"/>
    <s v="logTime"/>
    <n v="1517"/>
    <s v="reactionTime"/>
    <n v="-1"/>
    <s v="responseDetails"/>
    <s v="15,3"/>
    <s v="responseType"/>
    <x v="1"/>
  </r>
  <r>
    <s v="{&quot;round&quot;"/>
    <x v="1"/>
    <s v="trial"/>
    <n v="7"/>
    <s v="stimulusDetails"/>
    <x v="6"/>
    <s v="stimulusType"/>
    <s v="Probe"/>
    <s v="onsetTime"/>
    <n v="-1"/>
    <s v="logTime"/>
    <n v="1759"/>
    <s v="reactionTime"/>
    <n v="-1"/>
    <s v="responseDetails"/>
    <s v="10,6"/>
    <s v="responseType"/>
    <x v="1"/>
  </r>
  <r>
    <s v="{&quot;round&quot;"/>
    <x v="1"/>
    <s v="trial"/>
    <n v="9"/>
    <s v="stimulusDetails"/>
    <x v="8"/>
    <s v="stimulusType"/>
    <s v="Probe"/>
    <s v="onsetTime"/>
    <n v="-1"/>
    <s v="logTime"/>
    <n v="2696"/>
    <s v="reactionTime"/>
    <n v="-1"/>
    <s v="responseDetails"/>
    <s v="7,3"/>
    <s v="responseType"/>
    <x v="1"/>
  </r>
  <r>
    <s v="{&quot;round&quot;"/>
    <x v="1"/>
    <s v="trial"/>
    <n v="11"/>
    <s v="stimulusDetails"/>
    <x v="10"/>
    <s v="stimulusType"/>
    <s v="Probe"/>
    <s v="onsetTime"/>
    <n v="-1"/>
    <s v="logTime"/>
    <n v="3025"/>
    <s v="reactionTime"/>
    <n v="-1"/>
    <s v="responseDetails"/>
    <s v="2,7"/>
    <s v="responseType"/>
    <x v="1"/>
  </r>
  <r>
    <s v="{&quot;round&quot;"/>
    <x v="1"/>
    <s v="trial"/>
    <n v="12"/>
    <s v="stimulusDetails"/>
    <x v="11"/>
    <s v="stimulusType"/>
    <s v="Probe"/>
    <s v="onsetTime"/>
    <n v="-1"/>
    <s v="logTime"/>
    <n v="3431"/>
    <s v="reactionTime"/>
    <n v="-1"/>
    <s v="responseDetails"/>
    <s v="5,4"/>
    <s v="responseType"/>
    <x v="1"/>
  </r>
  <r>
    <s v="{&quot;round&quot;"/>
    <x v="1"/>
    <s v="trial"/>
    <n v="10"/>
    <s v="stimulusDetails"/>
    <x v="9"/>
    <s v="stimulusType"/>
    <s v="Probe"/>
    <s v="onsetTime"/>
    <n v="-1"/>
    <s v="logTime"/>
    <n v="3704"/>
    <s v="reactionTime"/>
    <n v="-1"/>
    <s v="responseDetails"/>
    <s v="12,2"/>
    <s v="responseType"/>
    <x v="1"/>
  </r>
  <r>
    <s v="{&quot;round&quot;"/>
    <x v="1"/>
    <s v="trial"/>
    <n v="8"/>
    <s v="stimulusDetails"/>
    <x v="7"/>
    <s v="stimulusType"/>
    <s v="Probe"/>
    <s v="onsetTime"/>
    <n v="-1"/>
    <s v="logTime"/>
    <n v="3970"/>
    <s v="reactionTime"/>
    <n v="-1"/>
    <s v="responseDetails"/>
    <s v="8,2"/>
    <s v="responseType"/>
    <x v="1"/>
  </r>
  <r>
    <s v="{&quot;round&quot;"/>
    <x v="1"/>
    <s v="trial"/>
    <n v="6"/>
    <s v="stimulusDetails"/>
    <x v="5"/>
    <s v="stimulusType"/>
    <s v="Probe"/>
    <s v="onsetTime"/>
    <n v="-1"/>
    <s v="logTime"/>
    <n v="4243"/>
    <s v="reactionTime"/>
    <n v="-1"/>
    <s v="responseDetails"/>
    <s v="1,1"/>
    <s v="responseType"/>
    <x v="1"/>
  </r>
  <r>
    <s v="{&quot;round&quot;"/>
    <x v="1"/>
    <s v="trial"/>
    <n v="-1"/>
    <s v="stimulusDetails"/>
    <x v="12"/>
    <s v="stimulusType"/>
    <m/>
    <s v="onsetTime"/>
    <n v="-1"/>
    <s v="logTime"/>
    <n v="4767"/>
    <s v="reactionTime"/>
    <n v="-1"/>
    <s v="responseDetails"/>
    <m/>
    <s v="responseType"/>
    <x v="4"/>
  </r>
  <r>
    <s v="{&quot;round&quot;"/>
    <x v="1"/>
    <s v="trial"/>
    <n v="-1"/>
    <s v="stimulusDetails"/>
    <x v="12"/>
    <s v="stimulusType"/>
    <m/>
    <s v="onsetTime"/>
    <n v="-1"/>
    <s v="logTime"/>
    <n v="5579"/>
    <s v="reactionTime"/>
    <n v="-1"/>
    <s v="responseDetails"/>
    <m/>
    <s v="responseType"/>
    <x v="5"/>
  </r>
  <r>
    <s v="{&quot;round&quot;"/>
    <x v="2"/>
    <s v="trial"/>
    <n v="1"/>
    <s v="stimulusDetails"/>
    <x v="0"/>
    <s v="stimulusType"/>
    <s v="Probe"/>
    <s v="onsetTime"/>
    <n v="-1"/>
    <s v="logTime"/>
    <n v="0"/>
    <s v="reactionTime"/>
    <n v="0"/>
    <s v="responseDetails"/>
    <s v="13,7"/>
    <s v="responseType"/>
    <x v="0"/>
  </r>
  <r>
    <s v="{&quot;round&quot;"/>
    <x v="2"/>
    <s v="trial"/>
    <n v="2"/>
    <s v="stimulusDetails"/>
    <x v="1"/>
    <s v="stimulusType"/>
    <s v="Probe"/>
    <s v="onsetTime"/>
    <n v="-1"/>
    <s v="logTime"/>
    <n v="2002"/>
    <s v="reactionTime"/>
    <n v="0"/>
    <s v="responseDetails"/>
    <s v="6,6"/>
    <s v="responseType"/>
    <x v="0"/>
  </r>
  <r>
    <s v="{&quot;round&quot;"/>
    <x v="2"/>
    <s v="trial"/>
    <n v="3"/>
    <s v="stimulusDetails"/>
    <x v="2"/>
    <s v="stimulusType"/>
    <s v="Probe"/>
    <s v="onsetTime"/>
    <n v="-1"/>
    <s v="logTime"/>
    <n v="4002"/>
    <s v="reactionTime"/>
    <n v="0"/>
    <s v="responseDetails"/>
    <s v="3,4"/>
    <s v="responseType"/>
    <x v="0"/>
  </r>
  <r>
    <s v="{&quot;round&quot;"/>
    <x v="2"/>
    <s v="trial"/>
    <n v="4"/>
    <s v="stimulusDetails"/>
    <x v="3"/>
    <s v="stimulusType"/>
    <s v="Probe"/>
    <s v="onsetTime"/>
    <n v="-1"/>
    <s v="logTime"/>
    <n v="6003"/>
    <s v="reactionTime"/>
    <n v="0"/>
    <s v="responseDetails"/>
    <s v="0,4"/>
    <s v="responseType"/>
    <x v="0"/>
  </r>
  <r>
    <s v="{&quot;round&quot;"/>
    <x v="2"/>
    <s v="trial"/>
    <n v="5"/>
    <s v="stimulusDetails"/>
    <x v="4"/>
    <s v="stimulusType"/>
    <s v="Probe"/>
    <s v="onsetTime"/>
    <n v="-1"/>
    <s v="logTime"/>
    <n v="8004"/>
    <s v="reactionTime"/>
    <n v="0"/>
    <s v="responseDetails"/>
    <s v="15,3"/>
    <s v="responseType"/>
    <x v="0"/>
  </r>
  <r>
    <s v="{&quot;round&quot;"/>
    <x v="2"/>
    <s v="trial"/>
    <n v="6"/>
    <s v="stimulusDetails"/>
    <x v="5"/>
    <s v="stimulusType"/>
    <s v="Probe"/>
    <s v="onsetTime"/>
    <n v="-1"/>
    <s v="logTime"/>
    <n v="10004"/>
    <s v="reactionTime"/>
    <n v="0"/>
    <s v="responseDetails"/>
    <s v="1,1"/>
    <s v="responseType"/>
    <x v="0"/>
  </r>
  <r>
    <s v="{&quot;round&quot;"/>
    <x v="2"/>
    <s v="trial"/>
    <n v="7"/>
    <s v="stimulusDetails"/>
    <x v="6"/>
    <s v="stimulusType"/>
    <s v="Probe"/>
    <s v="onsetTime"/>
    <n v="-1"/>
    <s v="logTime"/>
    <n v="12005"/>
    <s v="reactionTime"/>
    <n v="0"/>
    <s v="responseDetails"/>
    <s v="10,6"/>
    <s v="responseType"/>
    <x v="0"/>
  </r>
  <r>
    <s v="{&quot;round&quot;"/>
    <x v="2"/>
    <s v="trial"/>
    <n v="8"/>
    <s v="stimulusDetails"/>
    <x v="7"/>
    <s v="stimulusType"/>
    <s v="Probe"/>
    <s v="onsetTime"/>
    <n v="-1"/>
    <s v="logTime"/>
    <n v="14007"/>
    <s v="reactionTime"/>
    <n v="0"/>
    <s v="responseDetails"/>
    <s v="8,2"/>
    <s v="responseType"/>
    <x v="0"/>
  </r>
  <r>
    <s v="{&quot;round&quot;"/>
    <x v="2"/>
    <s v="trial"/>
    <n v="9"/>
    <s v="stimulusDetails"/>
    <x v="8"/>
    <s v="stimulusType"/>
    <s v="Probe"/>
    <s v="onsetTime"/>
    <n v="-1"/>
    <s v="logTime"/>
    <n v="16007"/>
    <s v="reactionTime"/>
    <n v="0"/>
    <s v="responseDetails"/>
    <s v="7,3"/>
    <s v="responseType"/>
    <x v="0"/>
  </r>
  <r>
    <s v="{&quot;round&quot;"/>
    <x v="2"/>
    <s v="trial"/>
    <n v="10"/>
    <s v="stimulusDetails"/>
    <x v="9"/>
    <s v="stimulusType"/>
    <s v="Probe"/>
    <s v="onsetTime"/>
    <n v="-1"/>
    <s v="logTime"/>
    <n v="18007"/>
    <s v="reactionTime"/>
    <n v="0"/>
    <s v="responseDetails"/>
    <s v="12,2"/>
    <s v="responseType"/>
    <x v="0"/>
  </r>
  <r>
    <s v="{&quot;round&quot;"/>
    <x v="2"/>
    <s v="trial"/>
    <n v="11"/>
    <s v="stimulusDetails"/>
    <x v="10"/>
    <s v="stimulusType"/>
    <s v="Probe"/>
    <s v="onsetTime"/>
    <n v="-1"/>
    <s v="logTime"/>
    <n v="20009"/>
    <s v="reactionTime"/>
    <n v="0"/>
    <s v="responseDetails"/>
    <s v="2,7"/>
    <s v="responseType"/>
    <x v="0"/>
  </r>
  <r>
    <s v="{&quot;round&quot;"/>
    <x v="2"/>
    <s v="trial"/>
    <n v="12"/>
    <s v="stimulusDetails"/>
    <x v="11"/>
    <s v="stimulusType"/>
    <s v="Probe"/>
    <s v="onsetTime"/>
    <n v="-1"/>
    <s v="logTime"/>
    <n v="22011"/>
    <s v="reactionTime"/>
    <n v="0"/>
    <s v="responseDetails"/>
    <s v="5,4"/>
    <s v="responseType"/>
    <x v="0"/>
  </r>
  <r>
    <s v="round"/>
    <x v="2"/>
    <s v="trial"/>
    <n v="11"/>
    <s v="stimulusDetails"/>
    <x v="10"/>
    <s v="stimulusType"/>
    <s v="Probe"/>
    <s v="onsetTime"/>
    <n v="-1"/>
    <s v="logTime"/>
    <n v="850"/>
    <s v="reactionTime"/>
    <n v="-1"/>
    <s v="responseDetails"/>
    <s v="2,7"/>
    <s v="responseType"/>
    <x v="1"/>
  </r>
  <r>
    <s v="{&quot;round&quot;"/>
    <x v="2"/>
    <s v="trial"/>
    <n v="9"/>
    <s v="stimulusDetails"/>
    <x v="8"/>
    <s v="stimulusType"/>
    <s v="Probe"/>
    <s v="onsetTime"/>
    <n v="-1"/>
    <s v="logTime"/>
    <n v="1100"/>
    <s v="reactionTime"/>
    <n v="-1"/>
    <s v="responseDetails"/>
    <s v="7,3"/>
    <s v="responseType"/>
    <x v="1"/>
  </r>
  <r>
    <s v="{&quot;round&quot;"/>
    <x v="2"/>
    <s v="trial"/>
    <n v="3"/>
    <s v="stimulusDetails"/>
    <x v="2"/>
    <s v="stimulusType"/>
    <s v="Probe"/>
    <s v="onsetTime"/>
    <n v="-1"/>
    <s v="logTime"/>
    <n v="2389"/>
    <s v="reactionTime"/>
    <n v="-1"/>
    <s v="responseDetails"/>
    <s v="3,4"/>
    <s v="responseType"/>
    <x v="1"/>
  </r>
  <r>
    <s v="{&quot;round&quot;"/>
    <x v="2"/>
    <s v="trial"/>
    <n v="1"/>
    <s v="stimulusDetails"/>
    <x v="0"/>
    <s v="stimulusType"/>
    <s v="Probe"/>
    <s v="onsetTime"/>
    <n v="-1"/>
    <s v="logTime"/>
    <n v="2670"/>
    <s v="reactionTime"/>
    <n v="-1"/>
    <s v="responseDetails"/>
    <s v="13,7"/>
    <s v="responseType"/>
    <x v="1"/>
  </r>
  <r>
    <s v="{&quot;round&quot;"/>
    <x v="2"/>
    <s v="trial"/>
    <n v="2"/>
    <s v="stimulusDetails"/>
    <x v="1"/>
    <s v="stimulusType"/>
    <s v="Probe"/>
    <s v="onsetTime"/>
    <n v="-1"/>
    <s v="logTime"/>
    <n v="2983"/>
    <s v="reactionTime"/>
    <n v="-1"/>
    <s v="responseDetails"/>
    <s v="6,6"/>
    <s v="responseType"/>
    <x v="1"/>
  </r>
  <r>
    <s v="{&quot;round&quot;"/>
    <x v="2"/>
    <s v="trial"/>
    <n v="4"/>
    <s v="stimulusDetails"/>
    <x v="3"/>
    <s v="stimulusType"/>
    <s v="Probe"/>
    <s v="onsetTime"/>
    <n v="-1"/>
    <s v="logTime"/>
    <n v="3272"/>
    <s v="reactionTime"/>
    <n v="-1"/>
    <s v="responseDetails"/>
    <s v="0,4"/>
    <s v="responseType"/>
    <x v="1"/>
  </r>
  <r>
    <s v="{&quot;round&quot;"/>
    <x v="2"/>
    <s v="trial"/>
    <n v="6"/>
    <s v="stimulusDetails"/>
    <x v="5"/>
    <s v="stimulusType"/>
    <s v="Probe"/>
    <s v="onsetTime"/>
    <n v="-1"/>
    <s v="logTime"/>
    <n v="3537"/>
    <s v="reactionTime"/>
    <n v="-1"/>
    <s v="responseDetails"/>
    <s v="1,1"/>
    <s v="responseType"/>
    <x v="1"/>
  </r>
  <r>
    <s v="{&quot;round&quot;"/>
    <x v="2"/>
    <s v="trial"/>
    <n v="8"/>
    <s v="stimulusDetails"/>
    <x v="7"/>
    <s v="stimulusType"/>
    <s v="Probe"/>
    <s v="onsetTime"/>
    <n v="-1"/>
    <s v="logTime"/>
    <n v="3826"/>
    <s v="reactionTime"/>
    <n v="-1"/>
    <s v="responseDetails"/>
    <s v="8,2"/>
    <s v="responseType"/>
    <x v="1"/>
  </r>
  <r>
    <s v="{&quot;round&quot;"/>
    <x v="2"/>
    <s v="trial"/>
    <n v="12"/>
    <s v="stimulusDetails"/>
    <x v="11"/>
    <s v="stimulusType"/>
    <s v="Probe"/>
    <s v="onsetTime"/>
    <n v="-1"/>
    <s v="logTime"/>
    <n v="4201"/>
    <s v="reactionTime"/>
    <n v="-1"/>
    <s v="responseDetails"/>
    <s v="5,4"/>
    <s v="responseType"/>
    <x v="1"/>
  </r>
  <r>
    <s v="{&quot;round&quot;"/>
    <x v="2"/>
    <s v="trial"/>
    <n v="-1"/>
    <s v="stimulusDetails"/>
    <x v="8"/>
    <s v="stimulusType"/>
    <m/>
    <s v="onsetTime"/>
    <n v="-1"/>
    <s v="logTime"/>
    <n v="6397"/>
    <s v="reactionTime"/>
    <n v="-1"/>
    <s v="responseDetails"/>
    <s v="7,3"/>
    <s v="responseType"/>
    <x v="3"/>
  </r>
  <r>
    <s v="{&quot;round&quot;"/>
    <x v="2"/>
    <s v="trial"/>
    <n v="9"/>
    <s v="stimulusDetails"/>
    <x v="8"/>
    <s v="stimulusType"/>
    <s v="Probe"/>
    <s v="onsetTime"/>
    <n v="-1"/>
    <s v="logTime"/>
    <n v="7514"/>
    <s v="reactionTime"/>
    <n v="-1"/>
    <s v="responseDetails"/>
    <s v="7,3"/>
    <s v="responseType"/>
    <x v="1"/>
  </r>
  <r>
    <s v="{&quot;round&quot;"/>
    <x v="2"/>
    <s v="trial"/>
    <n v="9"/>
    <s v="stimulusDetails"/>
    <x v="8"/>
    <s v="stimulusType"/>
    <s v="Probe"/>
    <s v="onsetTime"/>
    <n v="-1"/>
    <s v="logTime"/>
    <n v="7686"/>
    <s v="reactionTime"/>
    <n v="-1"/>
    <s v="responseDetails"/>
    <s v="7,3"/>
    <s v="responseType"/>
    <x v="2"/>
  </r>
  <r>
    <s v="{&quot;round&quot;"/>
    <x v="2"/>
    <s v="trial"/>
    <n v="-1"/>
    <s v="stimulusDetails"/>
    <x v="12"/>
    <s v="stimulusType"/>
    <m/>
    <s v="onsetTime"/>
    <n v="-1"/>
    <s v="logTime"/>
    <n v="8398"/>
    <s v="reactionTime"/>
    <n v="-1"/>
    <s v="responseDetails"/>
    <m/>
    <s v="responseType"/>
    <x v="4"/>
  </r>
  <r>
    <s v="{&quot;round&quot;"/>
    <x v="2"/>
    <s v="trial"/>
    <n v="-1"/>
    <s v="stimulusDetails"/>
    <x v="12"/>
    <s v="stimulusType"/>
    <m/>
    <s v="onsetTime"/>
    <n v="-1"/>
    <s v="logTime"/>
    <n v="9256"/>
    <s v="reactionTime"/>
    <n v="-1"/>
    <s v="responseDetails"/>
    <m/>
    <s v="responseType"/>
    <x v="5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  <r>
    <m/>
    <x v="3"/>
    <m/>
    <m/>
    <m/>
    <x v="12"/>
    <m/>
    <m/>
    <m/>
    <m/>
    <m/>
    <m/>
    <m/>
    <m/>
    <m/>
    <m/>
    <m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T13" firstHeaderRow="1" firstDataRow="3" firstDataCol="1"/>
  <pivotFields count="18">
    <pivotField subtotalTop="0" showAll="0"/>
    <pivotField name="Round No." axis="axisCol" subtotalTop="0" showAll="0">
      <items count="5">
        <item x="0"/>
        <item x="1"/>
        <item x="2"/>
        <item x="3"/>
        <item t="default"/>
      </items>
    </pivotField>
    <pivotField subtotalTop="0" showAll="0"/>
    <pivotField subtotalTop="0" showAll="0"/>
    <pivotField subtotalTop="0" showAll="0"/>
    <pivotField name="Word Displayed" axis="axisCol" subtotalTop="0" showAll="0">
      <items count="38">
        <item m="1" x="31"/>
        <item m="1" x="17"/>
        <item m="1" x="36"/>
        <item m="1" x="23"/>
        <item m="1" x="25"/>
        <item m="1" x="30"/>
        <item m="1" x="14"/>
        <item m="1" x="35"/>
        <item m="1" x="32"/>
        <item m="1" x="16"/>
        <item m="1" x="20"/>
        <item m="1" x="27"/>
        <item m="1" x="34"/>
        <item x="12"/>
        <item m="1" x="26"/>
        <item m="1" x="33"/>
        <item m="1" x="21"/>
        <item m="1" x="29"/>
        <item x="9"/>
        <item m="1" x="19"/>
        <item m="1" x="22"/>
        <item m="1" x="24"/>
        <item m="1" x="18"/>
        <item m="1" x="15"/>
        <item m="1" x="28"/>
        <item m="1" x="13"/>
        <item x="0"/>
        <item x="1"/>
        <item x="2"/>
        <item x="3"/>
        <item x="4"/>
        <item x="5"/>
        <item x="6"/>
        <item x="7"/>
        <item x="8"/>
        <item x="10"/>
        <item x="11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ame="Response" axis="axisRow" dataField="1" subtotalTop="0" showAll="0">
      <items count="9">
        <item x="5"/>
        <item x="0"/>
        <item x="4"/>
        <item m="1" x="7"/>
        <item x="2"/>
        <item x="3"/>
        <item x="1"/>
        <item x="6"/>
        <item t="default"/>
      </items>
    </pivotField>
  </pivotFields>
  <rowFields count="1">
    <field x="17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Fields count="2">
    <field x="1"/>
    <field x="5"/>
  </colFields>
  <colItems count="45">
    <i>
      <x/>
      <x v="13"/>
    </i>
    <i r="1">
      <x v="18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t="default">
      <x/>
    </i>
    <i>
      <x v="1"/>
      <x v="13"/>
    </i>
    <i r="1">
      <x v="18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t="default">
      <x v="1"/>
    </i>
    <i>
      <x v="2"/>
      <x v="13"/>
    </i>
    <i r="1">
      <x v="18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t="default">
      <x v="2"/>
    </i>
    <i>
      <x v="3"/>
      <x v="13"/>
    </i>
    <i t="default">
      <x v="3"/>
    </i>
    <i t="grand">
      <x/>
    </i>
  </colItems>
  <dataFields count="1">
    <dataField name="Count of Column18" fld="1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V655"/>
  <sheetViews>
    <sheetView zoomScale="90" zoomScaleNormal="90" workbookViewId="0">
      <pane ySplit="13" topLeftCell="A15" activePane="bottomLeft" state="frozen"/>
      <selection pane="bottomLeft" activeCell="E13" sqref="E13"/>
    </sheetView>
  </sheetViews>
  <sheetFormatPr defaultColWidth="9.140625" defaultRowHeight="15" x14ac:dyDescent="0.25"/>
  <cols>
    <col min="1" max="1" width="20.7109375" style="65" customWidth="1"/>
    <col min="2" max="2" width="16.42578125" style="65" bestFit="1" customWidth="1"/>
    <col min="3" max="3" width="21.42578125" style="65" customWidth="1"/>
    <col min="4" max="4" width="16.85546875" style="65" bestFit="1" customWidth="1"/>
    <col min="5" max="5" width="20.28515625" style="65" customWidth="1"/>
    <col min="6" max="6" width="16.140625" style="65" bestFit="1" customWidth="1"/>
    <col min="7" max="8" width="13" style="65" customWidth="1"/>
    <col min="9" max="9" width="15.28515625" style="65" bestFit="1" customWidth="1"/>
    <col min="10" max="10" width="7.5703125" style="65" customWidth="1"/>
    <col min="11" max="11" width="10.85546875" style="65" customWidth="1"/>
    <col min="12" max="12" width="7" style="65" customWidth="1"/>
    <col min="13" max="13" width="12.7109375" style="65" bestFit="1" customWidth="1"/>
    <col min="14" max="14" width="5" style="65" bestFit="1" customWidth="1"/>
    <col min="15" max="15" width="15.42578125" style="65" bestFit="1" customWidth="1"/>
    <col min="16" max="16" width="2.140625" style="65" bestFit="1" customWidth="1"/>
    <col min="17" max="17" width="13.5703125" style="65" bestFit="1" customWidth="1"/>
    <col min="18" max="18" width="12.140625" style="65" bestFit="1" customWidth="1"/>
    <col min="19" max="19" width="13" style="65" customWidth="1"/>
    <col min="20" max="20" width="12.5703125" style="65" customWidth="1"/>
    <col min="21" max="21" width="6.85546875" style="64" customWidth="1"/>
    <col min="22" max="22" width="7.28515625" style="65" customWidth="1"/>
    <col min="23" max="23" width="6.7109375" style="65" customWidth="1"/>
    <col min="24" max="24" width="9.140625" style="65"/>
    <col min="25" max="25" width="20.7109375" style="63" customWidth="1"/>
    <col min="26" max="26" width="16.28515625" style="65" customWidth="1"/>
    <col min="27" max="27" width="21.7109375" style="65" customWidth="1"/>
    <col min="28" max="28" width="12.5703125" style="65" bestFit="1" customWidth="1"/>
    <col min="29" max="29" width="21" style="65" customWidth="1"/>
    <col min="30" max="30" width="18" style="65" customWidth="1"/>
    <col min="31" max="31" width="13.85546875" style="65" customWidth="1"/>
    <col min="32" max="32" width="15.140625" style="65" customWidth="1"/>
    <col min="33" max="38" width="9.140625" style="65"/>
    <col min="39" max="39" width="15.42578125" style="65" bestFit="1" customWidth="1"/>
    <col min="40" max="40" width="2.140625" style="65" bestFit="1" customWidth="1"/>
    <col min="41" max="41" width="13.5703125" style="65" bestFit="1" customWidth="1"/>
    <col min="42" max="42" width="13.28515625" style="65" customWidth="1"/>
    <col min="43" max="16384" width="9.140625" style="65"/>
  </cols>
  <sheetData>
    <row r="1" spans="1:48" customFormat="1" ht="22.5" x14ac:dyDescent="0.3">
      <c r="C1" s="1" t="s">
        <v>9</v>
      </c>
      <c r="H1" s="5"/>
      <c r="I1" s="19"/>
      <c r="J1" s="19"/>
      <c r="K1" s="19"/>
      <c r="L1" s="4"/>
      <c r="M1" s="33"/>
      <c r="N1" s="33"/>
      <c r="O1" s="33"/>
      <c r="P1" s="33"/>
      <c r="Q1" s="33"/>
      <c r="R1" s="33"/>
      <c r="Y1" s="24"/>
    </row>
    <row r="2" spans="1:48" customFormat="1" ht="16.5" customHeight="1" x14ac:dyDescent="0.25">
      <c r="D2" s="2" t="s">
        <v>35</v>
      </c>
      <c r="E2" s="65" t="s">
        <v>20</v>
      </c>
      <c r="I2" s="4"/>
      <c r="J2" s="4"/>
      <c r="K2" s="4"/>
      <c r="L2" s="4"/>
      <c r="M2" s="33"/>
      <c r="N2" s="33"/>
      <c r="O2" s="33"/>
      <c r="P2" s="33"/>
      <c r="Q2" s="33"/>
      <c r="R2" s="33"/>
      <c r="Y2" s="24"/>
    </row>
    <row r="3" spans="1:48" customFormat="1" x14ac:dyDescent="0.25">
      <c r="I3" s="4"/>
      <c r="J3" s="4"/>
      <c r="K3" s="4"/>
      <c r="L3" s="4"/>
      <c r="M3" s="33"/>
      <c r="N3" s="33"/>
      <c r="O3" s="33"/>
      <c r="P3" s="33"/>
      <c r="Q3" s="33"/>
      <c r="R3" s="33"/>
      <c r="Y3" s="24"/>
    </row>
    <row r="4" spans="1:48" s="20" customFormat="1" x14ac:dyDescent="0.25">
      <c r="I4" s="22"/>
      <c r="J4" s="22"/>
      <c r="K4" s="22"/>
      <c r="L4" s="22"/>
      <c r="M4" s="33"/>
      <c r="N4" s="33"/>
      <c r="O4" s="33"/>
      <c r="P4" s="33"/>
      <c r="Q4" s="33"/>
      <c r="R4" s="33"/>
      <c r="Y4" s="24"/>
    </row>
    <row r="5" spans="1:48" customFormat="1" x14ac:dyDescent="0.25">
      <c r="A5" s="2" t="s">
        <v>0</v>
      </c>
      <c r="B5" s="2" t="s">
        <v>1</v>
      </c>
      <c r="C5" s="2" t="s">
        <v>2</v>
      </c>
      <c r="D5" s="2" t="s">
        <v>3</v>
      </c>
      <c r="E5" s="2" t="s">
        <v>4</v>
      </c>
      <c r="F5" s="2" t="s">
        <v>5</v>
      </c>
      <c r="G5" s="2" t="s">
        <v>6</v>
      </c>
      <c r="H5" s="2" t="s">
        <v>12</v>
      </c>
      <c r="I5" s="18"/>
      <c r="J5" s="4"/>
      <c r="K5" s="4"/>
      <c r="L5" s="4"/>
      <c r="M5" s="33"/>
      <c r="N5" s="33"/>
      <c r="O5" s="33"/>
      <c r="P5" s="33"/>
      <c r="Q5" s="33"/>
      <c r="R5" s="33"/>
      <c r="S5" s="2"/>
      <c r="T5" s="2"/>
      <c r="U5" s="23"/>
      <c r="Y5" s="37" t="s">
        <v>0</v>
      </c>
      <c r="Z5" s="29" t="s">
        <v>1</v>
      </c>
      <c r="AA5" s="29" t="s">
        <v>2</v>
      </c>
      <c r="AB5" s="29" t="s">
        <v>3</v>
      </c>
      <c r="AC5" s="29" t="s">
        <v>4</v>
      </c>
      <c r="AD5" s="29" t="s">
        <v>5</v>
      </c>
      <c r="AE5" s="29" t="s">
        <v>6</v>
      </c>
      <c r="AF5" s="29" t="s">
        <v>12</v>
      </c>
      <c r="AG5" s="40" t="s">
        <v>69</v>
      </c>
      <c r="AH5" s="33"/>
      <c r="AI5" s="33"/>
      <c r="AJ5" s="33"/>
      <c r="AK5" s="33"/>
      <c r="AL5" s="33"/>
      <c r="AM5" s="33"/>
      <c r="AN5" s="33"/>
      <c r="AO5" s="33"/>
      <c r="AP5" s="33"/>
      <c r="AQ5" s="29"/>
      <c r="AR5" s="29"/>
      <c r="AS5" s="23"/>
      <c r="AT5" s="28"/>
      <c r="AU5" s="28"/>
      <c r="AV5" s="28"/>
    </row>
    <row r="6" spans="1:48" customFormat="1" x14ac:dyDescent="0.25">
      <c r="A6" s="17">
        <f>AVERAGE(W22:W612)</f>
        <v>2.5031499012587335</v>
      </c>
      <c r="B6" s="17">
        <f>STDEV(W22:W612)</f>
        <v>0.10859179145372211</v>
      </c>
      <c r="C6" s="17">
        <f>ASIN(SQRT(D6/F6))</f>
        <v>1.1635754314646756</v>
      </c>
      <c r="D6" s="28">
        <f>COUNTIF(R22:R157,"TruePositive")</f>
        <v>43</v>
      </c>
      <c r="E6" s="28">
        <f>COUNTIF(R22:R157,"Anticipatory")+COUNTIF(R22:R157,"Post")+COUNTIF(R22:R157,"MaxOut")</f>
        <v>8</v>
      </c>
      <c r="F6" s="28">
        <f>SUM(D6+E6)</f>
        <v>51</v>
      </c>
      <c r="G6" s="28">
        <f>SUM(D6+(COUNTIF(R22:R157,"MaxOut")))</f>
        <v>43</v>
      </c>
      <c r="H6" s="28">
        <f>(Norms!M16)</f>
        <v>102.00204155349934</v>
      </c>
      <c r="I6" s="4"/>
      <c r="J6" s="4"/>
      <c r="K6" s="4"/>
      <c r="L6" s="4"/>
      <c r="M6" s="33"/>
      <c r="N6" s="33"/>
      <c r="O6" s="33"/>
      <c r="P6" s="33"/>
      <c r="Q6" s="33"/>
      <c r="R6" s="33"/>
      <c r="Y6" s="38" t="e">
        <f>AVERAGE(AU22:AU612)</f>
        <v>#DIV/0!</v>
      </c>
      <c r="Z6" s="17" t="e">
        <f>STDEV(AU22:AU612)</f>
        <v>#DIV/0!</v>
      </c>
      <c r="AA6" s="17" t="e">
        <f>ASIN(SQRT(AB6/AD6))</f>
        <v>#DIV/0!</v>
      </c>
      <c r="AB6" s="28">
        <f>COUNTIF(AP22:AP157,"TruePositive")</f>
        <v>0</v>
      </c>
      <c r="AC6" s="28">
        <f>COUNTIF(AP22:AP157,"Anticipatory")+COUNTIF(AP22:AP157,"Post")+COUNTIF(AP22:AP157,"MaxOut")</f>
        <v>0</v>
      </c>
      <c r="AD6" s="28">
        <f>SUM(AB6+AC6)</f>
        <v>0</v>
      </c>
      <c r="AE6" s="28">
        <f>SUM(AB6+(COUNTIF(AP22:AP157,"MaxOut")))</f>
        <v>0</v>
      </c>
      <c r="AF6" s="28" t="e">
        <f>(Norms!S16)</f>
        <v>#VALUE!</v>
      </c>
      <c r="AG6" s="33" t="e">
        <f>SUM((AF12+Identification!AF12)/2)/VLOOKUP(Detection!E2,Norms!A60:D66,4)</f>
        <v>#VALUE!</v>
      </c>
      <c r="AH6" s="33"/>
      <c r="AI6" s="33"/>
      <c r="AJ6" s="33"/>
      <c r="AK6" s="33"/>
      <c r="AL6" s="33"/>
      <c r="AM6" s="33"/>
      <c r="AN6" s="33"/>
      <c r="AO6" s="33"/>
      <c r="AP6" s="33"/>
      <c r="AQ6" s="28"/>
      <c r="AR6" s="28"/>
      <c r="AS6" s="28"/>
      <c r="AT6" s="28"/>
      <c r="AU6" s="28"/>
      <c r="AV6" s="28"/>
    </row>
    <row r="7" spans="1:48" s="20" customFormat="1" x14ac:dyDescent="0.25">
      <c r="A7" s="28"/>
      <c r="B7" s="28"/>
      <c r="C7" s="28"/>
      <c r="D7" s="28"/>
      <c r="E7" s="28"/>
      <c r="F7" s="28"/>
      <c r="G7" s="28"/>
      <c r="H7" s="28"/>
      <c r="I7" s="22"/>
      <c r="J7" s="22"/>
      <c r="K7" s="22"/>
      <c r="L7" s="22"/>
      <c r="M7" s="33"/>
      <c r="N7" s="33"/>
      <c r="O7" s="33"/>
      <c r="P7" s="33"/>
      <c r="Q7" s="33"/>
      <c r="R7" s="33"/>
      <c r="Y7" s="24"/>
      <c r="Z7" s="28"/>
      <c r="AA7" s="28"/>
      <c r="AB7" s="28"/>
      <c r="AC7" s="28"/>
      <c r="AD7" s="28"/>
      <c r="AE7" s="28"/>
      <c r="AF7" s="28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28"/>
      <c r="AR7" s="28"/>
      <c r="AS7" s="28"/>
      <c r="AT7" s="28"/>
      <c r="AU7" s="28"/>
      <c r="AV7" s="28"/>
    </row>
    <row r="8" spans="1:48" s="20" customFormat="1" x14ac:dyDescent="0.25">
      <c r="A8" s="48" t="s">
        <v>63</v>
      </c>
      <c r="B8" s="29" t="s">
        <v>47</v>
      </c>
      <c r="C8" s="29" t="s">
        <v>64</v>
      </c>
      <c r="D8" s="29" t="s">
        <v>48</v>
      </c>
      <c r="E8" s="29" t="s">
        <v>49</v>
      </c>
      <c r="F8" s="29" t="s">
        <v>50</v>
      </c>
      <c r="G8" s="29" t="s">
        <v>51</v>
      </c>
      <c r="H8" s="29" t="s">
        <v>52</v>
      </c>
      <c r="I8" s="22"/>
      <c r="J8" s="22"/>
      <c r="K8" s="22"/>
      <c r="L8" s="22"/>
      <c r="M8" s="33"/>
      <c r="N8" s="33"/>
      <c r="O8" s="33"/>
      <c r="P8" s="33"/>
      <c r="Q8" s="33"/>
      <c r="R8" s="33"/>
      <c r="Y8" s="49" t="s">
        <v>63</v>
      </c>
      <c r="Z8" s="29" t="s">
        <v>47</v>
      </c>
      <c r="AA8" s="29" t="s">
        <v>64</v>
      </c>
      <c r="AB8" s="29" t="s">
        <v>48</v>
      </c>
      <c r="AC8" s="29" t="s">
        <v>49</v>
      </c>
      <c r="AD8" s="29" t="s">
        <v>50</v>
      </c>
      <c r="AE8" s="29" t="s">
        <v>51</v>
      </c>
      <c r="AF8" s="29" t="s">
        <v>52</v>
      </c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28"/>
      <c r="AR8" s="28"/>
      <c r="AS8" s="28"/>
      <c r="AT8" s="28"/>
      <c r="AU8" s="28"/>
      <c r="AV8" s="28"/>
    </row>
    <row r="9" spans="1:48" customFormat="1" x14ac:dyDescent="0.25">
      <c r="A9" s="27">
        <f>(E12/35)*100</f>
        <v>100</v>
      </c>
      <c r="B9" s="28" t="str">
        <f>IF(A9&gt;=100,"Yes","No")</f>
        <v>Yes</v>
      </c>
      <c r="C9" s="28">
        <f>(D6/F6)*100</f>
        <v>84.313725490196077</v>
      </c>
      <c r="D9" s="28" t="str">
        <f>IF(B9="No","",IF(C9&gt;80,"Yes","No"))</f>
        <v>Yes</v>
      </c>
      <c r="E9" s="28">
        <f>AVERAGE(U22:U612)</f>
        <v>327.8857142857143</v>
      </c>
      <c r="F9" s="28">
        <f>STDEV(U22:U612)</f>
        <v>79.715217909672347</v>
      </c>
      <c r="G9" s="28">
        <f>D6/F6</f>
        <v>0.84313725490196079</v>
      </c>
      <c r="H9" s="28">
        <f>COUNTIF(R22:R157,"Anticipatory")+COUNTIF(R22:R157,"Post")+COUNTIF(R22:R157,"MaxOut")</f>
        <v>8</v>
      </c>
      <c r="I9" s="4"/>
      <c r="J9" s="4"/>
      <c r="K9" s="4"/>
      <c r="L9" s="4"/>
      <c r="M9" s="33"/>
      <c r="N9" s="33"/>
      <c r="O9" s="33"/>
      <c r="P9" s="33"/>
      <c r="Q9" s="33"/>
      <c r="R9" s="33"/>
      <c r="Y9" s="39">
        <f>(AC12/35)*100</f>
        <v>0</v>
      </c>
      <c r="Z9" s="28" t="str">
        <f>IF(Y9&gt;=100,"Yes","No")</f>
        <v>No</v>
      </c>
      <c r="AA9" s="28" t="e">
        <f>(AB6/AD6)*100</f>
        <v>#DIV/0!</v>
      </c>
      <c r="AB9" s="28" t="e">
        <f>IF(AA9&gt;80,"Yes","No")</f>
        <v>#DIV/0!</v>
      </c>
      <c r="AC9" s="28" t="e">
        <f>AVERAGE(AS22:AS612)</f>
        <v>#DIV/0!</v>
      </c>
      <c r="AD9" s="28" t="e">
        <f>STDEV(AS22:AS612)</f>
        <v>#DIV/0!</v>
      </c>
      <c r="AE9" s="28" t="e">
        <f>AB6/AD6</f>
        <v>#DIV/0!</v>
      </c>
      <c r="AF9" s="28">
        <f>COUNTIF(AP22:AP157,"Anticipatory")+COUNTIF(AP22:AP157,"Post")+COUNTIF(AP22:AP157,"MaxOut")</f>
        <v>0</v>
      </c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28"/>
      <c r="AR9" s="28"/>
      <c r="AS9" s="28"/>
      <c r="AT9" s="28"/>
      <c r="AU9" s="28"/>
      <c r="AV9" s="28"/>
    </row>
    <row r="10" spans="1:48" s="25" customFormat="1" x14ac:dyDescent="0.25">
      <c r="A10" s="27"/>
      <c r="B10" s="28"/>
      <c r="C10" s="28"/>
      <c r="D10" s="28"/>
      <c r="E10" s="28"/>
      <c r="F10" s="28"/>
      <c r="G10" s="28"/>
      <c r="H10" s="28"/>
      <c r="I10" s="26"/>
      <c r="J10" s="26"/>
      <c r="K10" s="26"/>
      <c r="L10" s="26"/>
      <c r="M10" s="33"/>
      <c r="N10" s="33"/>
      <c r="O10" s="33"/>
      <c r="P10" s="33"/>
      <c r="Q10" s="33"/>
      <c r="R10" s="33"/>
      <c r="Y10" s="39"/>
      <c r="Z10" s="28"/>
      <c r="AA10" s="28"/>
      <c r="AB10" s="28"/>
      <c r="AC10" s="28"/>
      <c r="AD10" s="28"/>
      <c r="AE10" s="28"/>
      <c r="AF10" s="28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28"/>
      <c r="AR10" s="28"/>
      <c r="AS10" s="28"/>
      <c r="AT10" s="28"/>
      <c r="AU10" s="28"/>
      <c r="AV10" s="28"/>
    </row>
    <row r="11" spans="1:48" s="25" customFormat="1" x14ac:dyDescent="0.25">
      <c r="A11" s="29" t="s">
        <v>65</v>
      </c>
      <c r="B11" s="29" t="s">
        <v>54</v>
      </c>
      <c r="C11" s="29" t="s">
        <v>55</v>
      </c>
      <c r="D11" s="29" t="s">
        <v>56</v>
      </c>
      <c r="E11" s="48" t="s">
        <v>66</v>
      </c>
      <c r="F11" s="48" t="s">
        <v>67</v>
      </c>
      <c r="G11" s="29" t="s">
        <v>68</v>
      </c>
      <c r="H11" s="28"/>
      <c r="I11" s="26"/>
      <c r="J11" s="26"/>
      <c r="K11" s="26"/>
      <c r="L11" s="26"/>
      <c r="M11" s="33"/>
      <c r="N11" s="33"/>
      <c r="O11" s="33"/>
      <c r="P11" s="33"/>
      <c r="Q11" s="33"/>
      <c r="R11" s="33"/>
      <c r="Y11" s="37" t="s">
        <v>65</v>
      </c>
      <c r="Z11" s="29" t="s">
        <v>54</v>
      </c>
      <c r="AA11" s="29" t="s">
        <v>55</v>
      </c>
      <c r="AB11" s="29" t="s">
        <v>56</v>
      </c>
      <c r="AC11" s="48" t="s">
        <v>66</v>
      </c>
      <c r="AD11" s="48" t="s">
        <v>67</v>
      </c>
      <c r="AE11" s="29" t="s">
        <v>68</v>
      </c>
      <c r="AF11" s="29" t="s">
        <v>62</v>
      </c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28"/>
      <c r="AR11" s="28"/>
      <c r="AS11" s="28"/>
      <c r="AT11" s="28"/>
      <c r="AU11" s="28"/>
      <c r="AV11" s="28"/>
    </row>
    <row r="12" spans="1:48" customFormat="1" x14ac:dyDescent="0.25">
      <c r="A12" s="28">
        <f>IF(B9="No","",((Detection!A6-VLOOKUP(Detection!E2,Norms!A4:E10,2,TRUE))*-1)/VLOOKUP(Detection!E2,Norms!A4:E10,3,TRUE))</f>
        <v>-0.32889460125200304</v>
      </c>
      <c r="B12" s="28">
        <f>SUM(COUNTIF(R22:R157,"Anticipatory"))</f>
        <v>8</v>
      </c>
      <c r="C12" s="28">
        <f>SUM(COUNTIF(R22:R157,"Post"))</f>
        <v>0</v>
      </c>
      <c r="D12" s="28">
        <f>SUM(COUNTIF(R22:R157,"MaxOut"))</f>
        <v>0</v>
      </c>
      <c r="E12" s="28">
        <f>SUM(D6)-COUNTIF(U22:U157,"Pant")</f>
        <v>35</v>
      </c>
      <c r="F12" s="28" t="str">
        <f>IF(B9="Yes",IF(Identification!B9="Yes",IF(A6&lt;Identification!A6,"Yes","No"),"NULL"),"NULL")</f>
        <v>Yes</v>
      </c>
      <c r="G12" s="28">
        <f>IF(B9="No","",SUM(A12*10)+100)</f>
        <v>96.711053987479971</v>
      </c>
      <c r="H12" s="28"/>
      <c r="M12" s="28"/>
      <c r="N12" s="28"/>
      <c r="O12" s="28"/>
      <c r="P12" s="28"/>
      <c r="Q12" s="28"/>
      <c r="R12" s="28"/>
      <c r="Y12" s="24" t="str">
        <f>IF(Z9="No","",((Detection!Y6-VLOOKUP(Detection!E2,Norms!A4:E10,2,TRUE))*-1)/VLOOKUP(Detection!E2,Norms!A4:E10,3,TRUE))</f>
        <v/>
      </c>
      <c r="Z12" s="28">
        <f>SUM(COUNTIF(AP22:AP157,"Anticipatory"))</f>
        <v>0</v>
      </c>
      <c r="AA12" s="28">
        <f>SUM(COUNTIF(AP22:AP157,"Post"))</f>
        <v>0</v>
      </c>
      <c r="AB12" s="28">
        <f>SUM(COUNTIF(AP22:AP157,"MaxOut"))</f>
        <v>0</v>
      </c>
      <c r="AC12" s="28">
        <f>SUM(AB6)-COUNTIF(AS22:AS157,"Pant")</f>
        <v>0</v>
      </c>
      <c r="AD12" s="28" t="str">
        <f>IF(Z9="Yes",IF(Identification!Z9="Yes",IF(Y6&lt;Identification!A6,"Yes","No"),"NULL"),"NULL")</f>
        <v>NULL</v>
      </c>
      <c r="AE12" s="28" t="str">
        <f>IF(Z9="No","",SUM(Y12*10)+100)</f>
        <v/>
      </c>
      <c r="AF12" s="28" t="str">
        <f>IF(OR(Z9="No",B9="No"),"",SUM((Y6-A6)*-1)/(VLOOKUP(E2,Norms!A4:E10,5)*SQRT(2)))</f>
        <v/>
      </c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</row>
    <row r="13" spans="1:48" customFormat="1" x14ac:dyDescent="0.25">
      <c r="M13" s="28"/>
      <c r="N13" s="28"/>
      <c r="O13" s="28"/>
      <c r="P13" s="28"/>
      <c r="Q13" s="28"/>
      <c r="R13" s="28"/>
      <c r="U13" s="29" t="s">
        <v>57</v>
      </c>
      <c r="W13" s="2" t="s">
        <v>7</v>
      </c>
      <c r="Y13" s="24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9" t="s">
        <v>57</v>
      </c>
      <c r="AT13" s="28"/>
      <c r="AU13" s="29" t="s">
        <v>7</v>
      </c>
      <c r="AV13" s="28"/>
    </row>
    <row r="14" spans="1:48" s="28" customFormat="1" x14ac:dyDescent="0.25">
      <c r="U14" s="29"/>
      <c r="W14" s="29"/>
      <c r="Y14" s="24"/>
      <c r="AS14" s="29"/>
      <c r="AU14" s="29"/>
    </row>
    <row r="15" spans="1:48" s="28" customFormat="1" x14ac:dyDescent="0.25">
      <c r="U15" s="29"/>
      <c r="W15" s="29"/>
      <c r="Y15" s="24"/>
      <c r="AS15" s="29"/>
      <c r="AU15" s="29"/>
    </row>
    <row r="16" spans="1:48" s="28" customFormat="1" x14ac:dyDescent="0.25">
      <c r="U16" s="29"/>
      <c r="W16" s="29"/>
      <c r="Y16" s="24"/>
      <c r="AS16" s="29"/>
      <c r="AU16" s="29"/>
    </row>
    <row r="17" spans="1:47" s="28" customFormat="1" x14ac:dyDescent="0.25">
      <c r="U17" s="29"/>
      <c r="W17" s="29"/>
      <c r="Y17" s="24"/>
      <c r="AS17" s="29"/>
      <c r="AU17" s="29"/>
    </row>
    <row r="18" spans="1:47" s="28" customFormat="1" x14ac:dyDescent="0.25">
      <c r="U18" s="29"/>
      <c r="W18" s="29"/>
      <c r="Y18" s="24"/>
      <c r="AS18" s="29"/>
      <c r="AU18" s="29"/>
    </row>
    <row r="19" spans="1:47" s="3" customFormat="1" x14ac:dyDescent="0.25">
      <c r="Y19" s="36"/>
    </row>
    <row r="20" spans="1:47" s="3" customFormat="1" x14ac:dyDescent="0.25">
      <c r="Y20" s="36"/>
    </row>
    <row r="21" spans="1:47" s="35" customFormat="1" ht="18.75" x14ac:dyDescent="0.3">
      <c r="A21" s="34" t="s">
        <v>60</v>
      </c>
      <c r="Y21" s="34" t="s">
        <v>61</v>
      </c>
    </row>
    <row r="22" spans="1:47" s="64" customFormat="1" x14ac:dyDescent="0.25">
      <c r="A22" s="63" t="s">
        <v>170</v>
      </c>
      <c r="B22" s="64">
        <v>1</v>
      </c>
      <c r="C22" s="64" t="s">
        <v>171</v>
      </c>
      <c r="D22" s="64">
        <v>1</v>
      </c>
      <c r="E22" s="64" t="s">
        <v>172</v>
      </c>
      <c r="F22" s="64" t="s">
        <v>173</v>
      </c>
      <c r="G22" s="64" t="s">
        <v>174</v>
      </c>
      <c r="H22" s="64" t="s">
        <v>175</v>
      </c>
      <c r="I22" s="64" t="s">
        <v>176</v>
      </c>
      <c r="J22" s="64">
        <v>1372</v>
      </c>
      <c r="K22" s="64" t="s">
        <v>177</v>
      </c>
      <c r="L22" s="64">
        <v>1749</v>
      </c>
      <c r="M22" s="64" t="s">
        <v>178</v>
      </c>
      <c r="N22" s="64">
        <v>377</v>
      </c>
      <c r="O22" s="64" t="s">
        <v>179</v>
      </c>
      <c r="P22" s="64" t="s">
        <v>180</v>
      </c>
      <c r="Q22" s="64" t="s">
        <v>181</v>
      </c>
      <c r="R22" s="64" t="s">
        <v>92</v>
      </c>
      <c r="U22" s="64">
        <f>IF(R22="TruePositive",IF(R21&lt;&gt;"Anticipatory",(N22),"Pant"),"Exclude")</f>
        <v>377</v>
      </c>
      <c r="W22" s="65">
        <f>IF(R22="TruePositive",IF(R21&lt;&gt;"Anticipatory",LOG10(N22),"Exclude"),"Exclude")</f>
        <v>2.576341350205793</v>
      </c>
      <c r="Y22" s="63"/>
      <c r="AS22" s="64" t="str">
        <f>IF(AP22="TruePositive",IF(AP21&lt;&gt;"Anticipatory",(AL22),"Pant"),"Exclude")</f>
        <v>Exclude</v>
      </c>
      <c r="AU22" s="65" t="str">
        <f>IF(AP22="TruePositive",IF(AP21&lt;&gt;"Anticipatory",LOG10(AL22),"Exclude"),"Exclude")</f>
        <v>Exclude</v>
      </c>
    </row>
    <row r="23" spans="1:47" s="64" customFormat="1" x14ac:dyDescent="0.25">
      <c r="A23" s="63" t="s">
        <v>170</v>
      </c>
      <c r="B23" s="64">
        <v>1</v>
      </c>
      <c r="C23" s="64" t="s">
        <v>171</v>
      </c>
      <c r="D23" s="64">
        <v>2</v>
      </c>
      <c r="E23" s="64" t="s">
        <v>172</v>
      </c>
      <c r="F23" s="64" t="s">
        <v>173</v>
      </c>
      <c r="G23" s="64" t="s">
        <v>174</v>
      </c>
      <c r="H23" s="64" t="s">
        <v>175</v>
      </c>
      <c r="I23" s="64" t="s">
        <v>176</v>
      </c>
      <c r="J23" s="64">
        <v>1062</v>
      </c>
      <c r="K23" s="64" t="s">
        <v>177</v>
      </c>
      <c r="L23" s="64">
        <v>3770</v>
      </c>
      <c r="M23" s="64" t="s">
        <v>178</v>
      </c>
      <c r="N23" s="64">
        <v>462</v>
      </c>
      <c r="O23" s="64" t="s">
        <v>179</v>
      </c>
      <c r="P23" s="64" t="s">
        <v>180</v>
      </c>
      <c r="Q23" s="64" t="s">
        <v>181</v>
      </c>
      <c r="R23" s="64" t="s">
        <v>92</v>
      </c>
      <c r="U23" s="64">
        <f t="shared" ref="U23:U86" si="0">IF(R23="TruePositive",IF(R22&lt;&gt;"Anticipatory",(N23),"Pant"),"Exclude")</f>
        <v>462</v>
      </c>
      <c r="W23" s="65">
        <f t="shared" ref="W23:W86" si="1">IF(R23="TruePositive",IF(R22&lt;&gt;"Anticipatory",LOG10(N23),"Exclude"),"Exclude")</f>
        <v>2.6646419755561257</v>
      </c>
      <c r="Y23" s="63"/>
      <c r="AS23" s="64" t="str">
        <f t="shared" ref="AS23:AS86" si="2">IF(AP23="TruePositive",IF(AP22&lt;&gt;"Anticipatory",(AL23),"Pant"),"Exclude")</f>
        <v>Exclude</v>
      </c>
      <c r="AU23" s="65" t="str">
        <f t="shared" ref="AU23:AU86" si="3">IF(AP23="TruePositive",IF(AP22&lt;&gt;"Anticipatory",LOG10(AL23),"Exclude"),"Exclude")</f>
        <v>Exclude</v>
      </c>
    </row>
    <row r="24" spans="1:47" s="64" customFormat="1" x14ac:dyDescent="0.25">
      <c r="A24" s="63" t="s">
        <v>170</v>
      </c>
      <c r="B24" s="64">
        <v>1</v>
      </c>
      <c r="C24" s="64" t="s">
        <v>171</v>
      </c>
      <c r="D24" s="64">
        <v>3</v>
      </c>
      <c r="E24" s="64" t="s">
        <v>172</v>
      </c>
      <c r="F24" s="64" t="s">
        <v>173</v>
      </c>
      <c r="G24" s="64" t="s">
        <v>174</v>
      </c>
      <c r="H24" s="64" t="s">
        <v>175</v>
      </c>
      <c r="I24" s="64" t="s">
        <v>176</v>
      </c>
      <c r="J24" s="64">
        <v>1266</v>
      </c>
      <c r="K24" s="64" t="s">
        <v>177</v>
      </c>
      <c r="L24" s="64">
        <v>5903</v>
      </c>
      <c r="M24" s="64" t="s">
        <v>178</v>
      </c>
      <c r="N24" s="64">
        <v>362</v>
      </c>
      <c r="O24" s="64" t="s">
        <v>179</v>
      </c>
      <c r="P24" s="64" t="s">
        <v>180</v>
      </c>
      <c r="Q24" s="64" t="s">
        <v>181</v>
      </c>
      <c r="R24" s="64" t="s">
        <v>92</v>
      </c>
      <c r="U24" s="64">
        <f t="shared" si="0"/>
        <v>362</v>
      </c>
      <c r="W24" s="65">
        <f t="shared" si="1"/>
        <v>2.5587085705331658</v>
      </c>
      <c r="Y24" s="63"/>
      <c r="AS24" s="64" t="str">
        <f t="shared" si="2"/>
        <v>Exclude</v>
      </c>
      <c r="AU24" s="65" t="str">
        <f t="shared" si="3"/>
        <v>Exclude</v>
      </c>
    </row>
    <row r="25" spans="1:47" s="64" customFormat="1" x14ac:dyDescent="0.25">
      <c r="A25" s="63" t="s">
        <v>170</v>
      </c>
      <c r="B25" s="64">
        <v>1</v>
      </c>
      <c r="C25" s="64" t="s">
        <v>171</v>
      </c>
      <c r="D25" s="64">
        <v>4</v>
      </c>
      <c r="E25" s="64" t="s">
        <v>172</v>
      </c>
      <c r="F25" s="64" t="s">
        <v>173</v>
      </c>
      <c r="G25" s="64" t="s">
        <v>174</v>
      </c>
      <c r="H25" s="64" t="s">
        <v>175</v>
      </c>
      <c r="I25" s="64" t="s">
        <v>176</v>
      </c>
      <c r="J25" s="64">
        <v>1474</v>
      </c>
      <c r="K25" s="64" t="s">
        <v>177</v>
      </c>
      <c r="L25" s="64">
        <v>8186</v>
      </c>
      <c r="M25" s="64" t="s">
        <v>178</v>
      </c>
      <c r="N25" s="64">
        <v>305</v>
      </c>
      <c r="O25" s="64" t="s">
        <v>179</v>
      </c>
      <c r="P25" s="64" t="s">
        <v>180</v>
      </c>
      <c r="Q25" s="64" t="s">
        <v>181</v>
      </c>
      <c r="R25" s="64" t="s">
        <v>92</v>
      </c>
      <c r="U25" s="64">
        <f t="shared" si="0"/>
        <v>305</v>
      </c>
      <c r="W25" s="65">
        <f t="shared" si="1"/>
        <v>2.4842998393467859</v>
      </c>
      <c r="Y25" s="63"/>
      <c r="AS25" s="64" t="str">
        <f t="shared" si="2"/>
        <v>Exclude</v>
      </c>
      <c r="AU25" s="65" t="str">
        <f t="shared" si="3"/>
        <v>Exclude</v>
      </c>
    </row>
    <row r="26" spans="1:47" s="64" customFormat="1" x14ac:dyDescent="0.25">
      <c r="A26" s="63" t="s">
        <v>170</v>
      </c>
      <c r="B26" s="64">
        <v>1</v>
      </c>
      <c r="C26" s="64" t="s">
        <v>171</v>
      </c>
      <c r="D26" s="64">
        <v>5</v>
      </c>
      <c r="E26" s="64" t="s">
        <v>172</v>
      </c>
      <c r="F26" s="64" t="s">
        <v>173</v>
      </c>
      <c r="G26" s="64" t="s">
        <v>174</v>
      </c>
      <c r="H26" s="64" t="s">
        <v>175</v>
      </c>
      <c r="I26" s="64" t="s">
        <v>176</v>
      </c>
      <c r="J26" s="64">
        <v>836</v>
      </c>
      <c r="K26" s="64" t="s">
        <v>177</v>
      </c>
      <c r="L26" s="64">
        <v>10067</v>
      </c>
      <c r="M26" s="64" t="s">
        <v>178</v>
      </c>
      <c r="N26" s="64">
        <v>542</v>
      </c>
      <c r="O26" s="64" t="s">
        <v>179</v>
      </c>
      <c r="P26" s="64" t="s">
        <v>180</v>
      </c>
      <c r="Q26" s="64" t="s">
        <v>181</v>
      </c>
      <c r="R26" s="64" t="s">
        <v>92</v>
      </c>
      <c r="U26" s="64">
        <f t="shared" si="0"/>
        <v>542</v>
      </c>
      <c r="W26" s="65">
        <f t="shared" si="1"/>
        <v>2.7339992865383871</v>
      </c>
      <c r="Y26" s="63"/>
      <c r="AS26" s="64" t="str">
        <f t="shared" si="2"/>
        <v>Exclude</v>
      </c>
      <c r="AU26" s="65" t="str">
        <f t="shared" si="3"/>
        <v>Exclude</v>
      </c>
    </row>
    <row r="27" spans="1:47" s="64" customFormat="1" x14ac:dyDescent="0.25">
      <c r="A27" s="63" t="s">
        <v>170</v>
      </c>
      <c r="B27" s="64">
        <v>1</v>
      </c>
      <c r="C27" s="64" t="s">
        <v>171</v>
      </c>
      <c r="D27" s="64">
        <v>6</v>
      </c>
      <c r="E27" s="64" t="s">
        <v>172</v>
      </c>
      <c r="F27" s="64" t="s">
        <v>173</v>
      </c>
      <c r="G27" s="64" t="s">
        <v>174</v>
      </c>
      <c r="H27" s="64" t="s">
        <v>175</v>
      </c>
      <c r="I27" s="64" t="s">
        <v>176</v>
      </c>
      <c r="J27" s="64">
        <v>669</v>
      </c>
      <c r="K27" s="64" t="s">
        <v>177</v>
      </c>
      <c r="L27" s="64">
        <v>11688</v>
      </c>
      <c r="M27" s="64" t="s">
        <v>178</v>
      </c>
      <c r="N27" s="64">
        <v>444</v>
      </c>
      <c r="O27" s="64" t="s">
        <v>179</v>
      </c>
      <c r="P27" s="64" t="s">
        <v>180</v>
      </c>
      <c r="Q27" s="64" t="s">
        <v>181</v>
      </c>
      <c r="R27" s="64" t="s">
        <v>92</v>
      </c>
      <c r="U27" s="64">
        <f t="shared" si="0"/>
        <v>444</v>
      </c>
      <c r="W27" s="65">
        <f t="shared" si="1"/>
        <v>2.6473829701146196</v>
      </c>
      <c r="Y27" s="63"/>
      <c r="AS27" s="64" t="str">
        <f t="shared" si="2"/>
        <v>Exclude</v>
      </c>
      <c r="AU27" s="65" t="str">
        <f t="shared" si="3"/>
        <v>Exclude</v>
      </c>
    </row>
    <row r="28" spans="1:47" s="64" customFormat="1" x14ac:dyDescent="0.25">
      <c r="A28" s="63" t="s">
        <v>170</v>
      </c>
      <c r="B28" s="64">
        <v>1</v>
      </c>
      <c r="C28" s="64" t="s">
        <v>171</v>
      </c>
      <c r="D28" s="64">
        <v>7</v>
      </c>
      <c r="E28" s="64" t="s">
        <v>172</v>
      </c>
      <c r="F28" s="64" t="s">
        <v>173</v>
      </c>
      <c r="G28" s="64" t="s">
        <v>174</v>
      </c>
      <c r="H28" s="64" t="s">
        <v>175</v>
      </c>
      <c r="I28" s="64" t="s">
        <v>176</v>
      </c>
      <c r="J28" s="64">
        <v>-1</v>
      </c>
      <c r="K28" s="64" t="s">
        <v>177</v>
      </c>
      <c r="L28" s="64">
        <v>12796</v>
      </c>
      <c r="M28" s="64" t="s">
        <v>178</v>
      </c>
      <c r="N28" s="64">
        <v>613</v>
      </c>
      <c r="O28" s="64" t="s">
        <v>179</v>
      </c>
      <c r="P28" s="64" t="s">
        <v>180</v>
      </c>
      <c r="Q28" s="64" t="s">
        <v>181</v>
      </c>
      <c r="R28" s="64" t="s">
        <v>182</v>
      </c>
      <c r="U28" s="64" t="str">
        <f t="shared" si="0"/>
        <v>Exclude</v>
      </c>
      <c r="W28" s="65" t="str">
        <f t="shared" si="1"/>
        <v>Exclude</v>
      </c>
      <c r="Y28" s="63"/>
      <c r="AS28" s="64" t="str">
        <f t="shared" si="2"/>
        <v>Exclude</v>
      </c>
      <c r="AU28" s="65" t="str">
        <f t="shared" si="3"/>
        <v>Exclude</v>
      </c>
    </row>
    <row r="29" spans="1:47" s="64" customFormat="1" x14ac:dyDescent="0.25">
      <c r="A29" s="63" t="s">
        <v>170</v>
      </c>
      <c r="B29" s="64">
        <v>1</v>
      </c>
      <c r="C29" s="64" t="s">
        <v>171</v>
      </c>
      <c r="D29" s="64">
        <v>7</v>
      </c>
      <c r="E29" s="64" t="s">
        <v>172</v>
      </c>
      <c r="F29" s="64" t="s">
        <v>173</v>
      </c>
      <c r="G29" s="64" t="s">
        <v>174</v>
      </c>
      <c r="H29" s="64" t="s">
        <v>175</v>
      </c>
      <c r="I29" s="64" t="s">
        <v>176</v>
      </c>
      <c r="J29" s="64">
        <v>1187</v>
      </c>
      <c r="K29" s="64" t="s">
        <v>177</v>
      </c>
      <c r="L29" s="64">
        <v>13664</v>
      </c>
      <c r="M29" s="64" t="s">
        <v>178</v>
      </c>
      <c r="N29" s="64">
        <v>294</v>
      </c>
      <c r="O29" s="64" t="s">
        <v>179</v>
      </c>
      <c r="P29" s="64" t="s">
        <v>180</v>
      </c>
      <c r="Q29" s="64" t="s">
        <v>181</v>
      </c>
      <c r="R29" s="64" t="s">
        <v>92</v>
      </c>
      <c r="U29" s="64" t="str">
        <f t="shared" si="0"/>
        <v>Pant</v>
      </c>
      <c r="W29" s="65" t="str">
        <f t="shared" si="1"/>
        <v>Exclude</v>
      </c>
      <c r="Y29" s="63"/>
      <c r="AS29" s="64" t="str">
        <f t="shared" si="2"/>
        <v>Exclude</v>
      </c>
      <c r="AU29" s="65" t="str">
        <f t="shared" si="3"/>
        <v>Exclude</v>
      </c>
    </row>
    <row r="30" spans="1:47" s="64" customFormat="1" x14ac:dyDescent="0.25">
      <c r="A30" s="63" t="s">
        <v>170</v>
      </c>
      <c r="B30" s="64">
        <v>1</v>
      </c>
      <c r="C30" s="64" t="s">
        <v>171</v>
      </c>
      <c r="D30" s="64">
        <v>8</v>
      </c>
      <c r="E30" s="64" t="s">
        <v>172</v>
      </c>
      <c r="F30" s="64" t="s">
        <v>173</v>
      </c>
      <c r="G30" s="64" t="s">
        <v>174</v>
      </c>
      <c r="H30" s="64" t="s">
        <v>175</v>
      </c>
      <c r="I30" s="64" t="s">
        <v>176</v>
      </c>
      <c r="J30" s="64">
        <v>1093</v>
      </c>
      <c r="K30" s="64" t="s">
        <v>177</v>
      </c>
      <c r="L30" s="64">
        <v>15605</v>
      </c>
      <c r="M30" s="64" t="s">
        <v>178</v>
      </c>
      <c r="N30" s="64">
        <v>352</v>
      </c>
      <c r="O30" s="64" t="s">
        <v>179</v>
      </c>
      <c r="P30" s="64" t="s">
        <v>180</v>
      </c>
      <c r="Q30" s="64" t="s">
        <v>181</v>
      </c>
      <c r="R30" s="64" t="s">
        <v>92</v>
      </c>
      <c r="U30" s="64">
        <f t="shared" si="0"/>
        <v>352</v>
      </c>
      <c r="W30" s="65">
        <f t="shared" si="1"/>
        <v>2.5465426634781312</v>
      </c>
      <c r="Y30" s="63"/>
      <c r="AS30" s="64" t="str">
        <f t="shared" si="2"/>
        <v>Exclude</v>
      </c>
      <c r="AU30" s="65" t="str">
        <f t="shared" si="3"/>
        <v>Exclude</v>
      </c>
    </row>
    <row r="31" spans="1:47" s="64" customFormat="1" x14ac:dyDescent="0.25">
      <c r="A31" s="63" t="s">
        <v>170</v>
      </c>
      <c r="B31" s="64">
        <v>1</v>
      </c>
      <c r="C31" s="64" t="s">
        <v>171</v>
      </c>
      <c r="D31" s="64">
        <v>9</v>
      </c>
      <c r="E31" s="64" t="s">
        <v>172</v>
      </c>
      <c r="F31" s="64" t="s">
        <v>173</v>
      </c>
      <c r="G31" s="64" t="s">
        <v>174</v>
      </c>
      <c r="H31" s="64" t="s">
        <v>175</v>
      </c>
      <c r="I31" s="64" t="s">
        <v>176</v>
      </c>
      <c r="J31" s="64">
        <v>1420</v>
      </c>
      <c r="K31" s="64" t="s">
        <v>177</v>
      </c>
      <c r="L31" s="64">
        <v>17808</v>
      </c>
      <c r="M31" s="64" t="s">
        <v>178</v>
      </c>
      <c r="N31" s="64">
        <v>296</v>
      </c>
      <c r="O31" s="64" t="s">
        <v>179</v>
      </c>
      <c r="P31" s="64" t="s">
        <v>180</v>
      </c>
      <c r="Q31" s="64" t="s">
        <v>181</v>
      </c>
      <c r="R31" s="64" t="s">
        <v>92</v>
      </c>
      <c r="U31" s="64">
        <f t="shared" si="0"/>
        <v>296</v>
      </c>
      <c r="W31" s="65">
        <f t="shared" si="1"/>
        <v>2.4712917110589387</v>
      </c>
      <c r="Y31" s="63"/>
      <c r="AS31" s="64" t="str">
        <f t="shared" si="2"/>
        <v>Exclude</v>
      </c>
      <c r="AU31" s="65" t="str">
        <f t="shared" si="3"/>
        <v>Exclude</v>
      </c>
    </row>
    <row r="32" spans="1:47" s="64" customFormat="1" x14ac:dyDescent="0.25">
      <c r="A32" s="63" t="s">
        <v>170</v>
      </c>
      <c r="B32" s="64">
        <v>1</v>
      </c>
      <c r="C32" s="64" t="s">
        <v>171</v>
      </c>
      <c r="D32" s="64">
        <v>10</v>
      </c>
      <c r="E32" s="64" t="s">
        <v>172</v>
      </c>
      <c r="F32" s="64" t="s">
        <v>173</v>
      </c>
      <c r="G32" s="64" t="s">
        <v>174</v>
      </c>
      <c r="H32" s="64" t="s">
        <v>175</v>
      </c>
      <c r="I32" s="64" t="s">
        <v>176</v>
      </c>
      <c r="J32" s="64">
        <v>538</v>
      </c>
      <c r="K32" s="64" t="s">
        <v>177</v>
      </c>
      <c r="L32" s="64">
        <v>19228</v>
      </c>
      <c r="M32" s="64" t="s">
        <v>178</v>
      </c>
      <c r="N32" s="64">
        <v>388</v>
      </c>
      <c r="O32" s="64" t="s">
        <v>179</v>
      </c>
      <c r="P32" s="64" t="s">
        <v>180</v>
      </c>
      <c r="Q32" s="64" t="s">
        <v>181</v>
      </c>
      <c r="R32" s="64" t="s">
        <v>92</v>
      </c>
      <c r="U32" s="64">
        <f t="shared" si="0"/>
        <v>388</v>
      </c>
      <c r="W32" s="65">
        <f t="shared" si="1"/>
        <v>2.5888317255942073</v>
      </c>
      <c r="Y32" s="63"/>
      <c r="AS32" s="64" t="str">
        <f t="shared" si="2"/>
        <v>Exclude</v>
      </c>
      <c r="AU32" s="65" t="str">
        <f t="shared" si="3"/>
        <v>Exclude</v>
      </c>
    </row>
    <row r="33" spans="1:47" s="64" customFormat="1" x14ac:dyDescent="0.25">
      <c r="A33" s="63" t="s">
        <v>170</v>
      </c>
      <c r="B33" s="64">
        <v>1</v>
      </c>
      <c r="C33" s="64" t="s">
        <v>171</v>
      </c>
      <c r="D33" s="64">
        <v>11</v>
      </c>
      <c r="E33" s="64" t="s">
        <v>172</v>
      </c>
      <c r="F33" s="64" t="s">
        <v>173</v>
      </c>
      <c r="G33" s="64" t="s">
        <v>174</v>
      </c>
      <c r="H33" s="64" t="s">
        <v>175</v>
      </c>
      <c r="I33" s="64" t="s">
        <v>176</v>
      </c>
      <c r="J33" s="64">
        <v>921</v>
      </c>
      <c r="K33" s="64" t="s">
        <v>177</v>
      </c>
      <c r="L33" s="64">
        <v>20944</v>
      </c>
      <c r="M33" s="64" t="s">
        <v>178</v>
      </c>
      <c r="N33" s="64">
        <v>299</v>
      </c>
      <c r="O33" s="64" t="s">
        <v>179</v>
      </c>
      <c r="P33" s="64" t="s">
        <v>180</v>
      </c>
      <c r="Q33" s="64" t="s">
        <v>181</v>
      </c>
      <c r="R33" s="64" t="s">
        <v>92</v>
      </c>
      <c r="U33" s="64">
        <f t="shared" si="0"/>
        <v>299</v>
      </c>
      <c r="W33" s="65">
        <f t="shared" si="1"/>
        <v>2.4756711883244296</v>
      </c>
      <c r="Y33" s="63"/>
      <c r="AS33" s="64" t="str">
        <f t="shared" si="2"/>
        <v>Exclude</v>
      </c>
      <c r="AU33" s="65" t="str">
        <f t="shared" si="3"/>
        <v>Exclude</v>
      </c>
    </row>
    <row r="34" spans="1:47" s="64" customFormat="1" x14ac:dyDescent="0.25">
      <c r="A34" s="63" t="s">
        <v>170</v>
      </c>
      <c r="B34" s="64">
        <v>1</v>
      </c>
      <c r="C34" s="64" t="s">
        <v>171</v>
      </c>
      <c r="D34" s="64">
        <v>12</v>
      </c>
      <c r="E34" s="64" t="s">
        <v>172</v>
      </c>
      <c r="F34" s="64" t="s">
        <v>173</v>
      </c>
      <c r="G34" s="64" t="s">
        <v>174</v>
      </c>
      <c r="H34" s="64" t="s">
        <v>175</v>
      </c>
      <c r="I34" s="64" t="s">
        <v>176</v>
      </c>
      <c r="J34" s="64">
        <v>-1</v>
      </c>
      <c r="K34" s="64" t="s">
        <v>177</v>
      </c>
      <c r="L34" s="64">
        <v>21808</v>
      </c>
      <c r="M34" s="64" t="s">
        <v>178</v>
      </c>
      <c r="N34" s="64">
        <v>370</v>
      </c>
      <c r="O34" s="64" t="s">
        <v>179</v>
      </c>
      <c r="P34" s="64" t="s">
        <v>180</v>
      </c>
      <c r="Q34" s="64" t="s">
        <v>181</v>
      </c>
      <c r="R34" s="64" t="s">
        <v>182</v>
      </c>
      <c r="U34" s="64" t="str">
        <f t="shared" si="0"/>
        <v>Exclude</v>
      </c>
      <c r="W34" s="65" t="str">
        <f t="shared" si="1"/>
        <v>Exclude</v>
      </c>
      <c r="Y34" s="63"/>
      <c r="AS34" s="64" t="str">
        <f t="shared" si="2"/>
        <v>Exclude</v>
      </c>
      <c r="AU34" s="65" t="str">
        <f t="shared" si="3"/>
        <v>Exclude</v>
      </c>
    </row>
    <row r="35" spans="1:47" s="64" customFormat="1" x14ac:dyDescent="0.25">
      <c r="A35" s="63" t="s">
        <v>170</v>
      </c>
      <c r="B35" s="64">
        <v>1</v>
      </c>
      <c r="C35" s="64" t="s">
        <v>171</v>
      </c>
      <c r="D35" s="64">
        <v>12</v>
      </c>
      <c r="E35" s="64" t="s">
        <v>172</v>
      </c>
      <c r="F35" s="64" t="s">
        <v>173</v>
      </c>
      <c r="G35" s="64" t="s">
        <v>174</v>
      </c>
      <c r="H35" s="64" t="s">
        <v>175</v>
      </c>
      <c r="I35" s="64" t="s">
        <v>176</v>
      </c>
      <c r="J35" s="64">
        <v>685</v>
      </c>
      <c r="K35" s="64" t="s">
        <v>177</v>
      </c>
      <c r="L35" s="64">
        <v>22479</v>
      </c>
      <c r="M35" s="64" t="s">
        <v>178</v>
      </c>
      <c r="N35" s="64">
        <v>356</v>
      </c>
      <c r="O35" s="64" t="s">
        <v>179</v>
      </c>
      <c r="P35" s="64" t="s">
        <v>180</v>
      </c>
      <c r="Q35" s="64" t="s">
        <v>181</v>
      </c>
      <c r="R35" s="64" t="s">
        <v>92</v>
      </c>
      <c r="U35" s="64" t="str">
        <f t="shared" si="0"/>
        <v>Pant</v>
      </c>
      <c r="W35" s="65" t="str">
        <f t="shared" si="1"/>
        <v>Exclude</v>
      </c>
      <c r="Y35" s="63"/>
      <c r="AS35" s="64" t="str">
        <f t="shared" si="2"/>
        <v>Exclude</v>
      </c>
      <c r="AU35" s="65" t="str">
        <f t="shared" si="3"/>
        <v>Exclude</v>
      </c>
    </row>
    <row r="36" spans="1:47" s="64" customFormat="1" x14ac:dyDescent="0.25">
      <c r="A36" s="63" t="s">
        <v>170</v>
      </c>
      <c r="B36" s="64">
        <v>1</v>
      </c>
      <c r="C36" s="64" t="s">
        <v>171</v>
      </c>
      <c r="D36" s="64">
        <v>13</v>
      </c>
      <c r="E36" s="64" t="s">
        <v>172</v>
      </c>
      <c r="F36" s="64" t="s">
        <v>173</v>
      </c>
      <c r="G36" s="64" t="s">
        <v>174</v>
      </c>
      <c r="H36" s="64" t="s">
        <v>175</v>
      </c>
      <c r="I36" s="64" t="s">
        <v>176</v>
      </c>
      <c r="J36" s="64">
        <v>646</v>
      </c>
      <c r="K36" s="64" t="s">
        <v>177</v>
      </c>
      <c r="L36" s="64">
        <v>23680</v>
      </c>
      <c r="M36" s="64" t="s">
        <v>178</v>
      </c>
      <c r="N36" s="64">
        <v>702</v>
      </c>
      <c r="O36" s="64" t="s">
        <v>179</v>
      </c>
      <c r="P36" s="64" t="s">
        <v>180</v>
      </c>
      <c r="Q36" s="64" t="s">
        <v>181</v>
      </c>
      <c r="R36" s="64" t="s">
        <v>182</v>
      </c>
      <c r="U36" s="64" t="str">
        <f t="shared" si="0"/>
        <v>Exclude</v>
      </c>
      <c r="W36" s="65" t="str">
        <f t="shared" si="1"/>
        <v>Exclude</v>
      </c>
      <c r="Y36" s="63"/>
      <c r="AS36" s="64" t="str">
        <f t="shared" si="2"/>
        <v>Exclude</v>
      </c>
      <c r="AU36" s="65" t="str">
        <f t="shared" si="3"/>
        <v>Exclude</v>
      </c>
    </row>
    <row r="37" spans="1:47" s="64" customFormat="1" x14ac:dyDescent="0.25">
      <c r="A37" s="63" t="s">
        <v>170</v>
      </c>
      <c r="B37" s="64">
        <v>1</v>
      </c>
      <c r="C37" s="64" t="s">
        <v>171</v>
      </c>
      <c r="D37" s="64">
        <v>13</v>
      </c>
      <c r="E37" s="64" t="s">
        <v>172</v>
      </c>
      <c r="F37" s="64" t="s">
        <v>173</v>
      </c>
      <c r="G37" s="64" t="s">
        <v>174</v>
      </c>
      <c r="H37" s="64" t="s">
        <v>175</v>
      </c>
      <c r="I37" s="64" t="s">
        <v>176</v>
      </c>
      <c r="J37" s="64">
        <v>646</v>
      </c>
      <c r="K37" s="64" t="s">
        <v>177</v>
      </c>
      <c r="L37" s="64">
        <v>24184</v>
      </c>
      <c r="M37" s="64" t="s">
        <v>178</v>
      </c>
      <c r="N37" s="64">
        <v>560</v>
      </c>
      <c r="O37" s="64" t="s">
        <v>179</v>
      </c>
      <c r="P37" s="64" t="s">
        <v>180</v>
      </c>
      <c r="Q37" s="64" t="s">
        <v>181</v>
      </c>
      <c r="R37" s="64" t="s">
        <v>92</v>
      </c>
      <c r="U37" s="64" t="str">
        <f t="shared" si="0"/>
        <v>Pant</v>
      </c>
      <c r="W37" s="65" t="str">
        <f t="shared" si="1"/>
        <v>Exclude</v>
      </c>
      <c r="Y37" s="63"/>
      <c r="AS37" s="64" t="str">
        <f t="shared" si="2"/>
        <v>Exclude</v>
      </c>
      <c r="AU37" s="65" t="str">
        <f t="shared" si="3"/>
        <v>Exclude</v>
      </c>
    </row>
    <row r="38" spans="1:47" s="64" customFormat="1" x14ac:dyDescent="0.25">
      <c r="A38" s="63" t="s">
        <v>170</v>
      </c>
      <c r="B38" s="64">
        <v>1</v>
      </c>
      <c r="C38" s="64" t="s">
        <v>171</v>
      </c>
      <c r="D38" s="64">
        <v>14</v>
      </c>
      <c r="E38" s="64" t="s">
        <v>172</v>
      </c>
      <c r="F38" s="64" t="s">
        <v>173</v>
      </c>
      <c r="G38" s="64" t="s">
        <v>174</v>
      </c>
      <c r="H38" s="64" t="s">
        <v>175</v>
      </c>
      <c r="I38" s="64" t="s">
        <v>176</v>
      </c>
      <c r="J38" s="64">
        <v>-1</v>
      </c>
      <c r="K38" s="64" t="s">
        <v>177</v>
      </c>
      <c r="L38" s="64">
        <v>25310</v>
      </c>
      <c r="M38" s="64" t="s">
        <v>178</v>
      </c>
      <c r="N38" s="64">
        <v>621</v>
      </c>
      <c r="O38" s="64" t="s">
        <v>179</v>
      </c>
      <c r="P38" s="64" t="s">
        <v>180</v>
      </c>
      <c r="Q38" s="64" t="s">
        <v>181</v>
      </c>
      <c r="R38" s="64" t="s">
        <v>182</v>
      </c>
      <c r="U38" s="64" t="str">
        <f t="shared" si="0"/>
        <v>Exclude</v>
      </c>
      <c r="W38" s="65" t="str">
        <f t="shared" si="1"/>
        <v>Exclude</v>
      </c>
      <c r="Y38" s="63"/>
      <c r="AS38" s="64" t="str">
        <f t="shared" si="2"/>
        <v>Exclude</v>
      </c>
      <c r="AU38" s="65" t="str">
        <f t="shared" si="3"/>
        <v>Exclude</v>
      </c>
    </row>
    <row r="39" spans="1:47" s="64" customFormat="1" x14ac:dyDescent="0.25">
      <c r="A39" s="63" t="s">
        <v>170</v>
      </c>
      <c r="B39" s="64">
        <v>1</v>
      </c>
      <c r="C39" s="64" t="s">
        <v>171</v>
      </c>
      <c r="D39" s="64">
        <v>14</v>
      </c>
      <c r="E39" s="64" t="s">
        <v>172</v>
      </c>
      <c r="F39" s="64" t="s">
        <v>173</v>
      </c>
      <c r="G39" s="64" t="s">
        <v>174</v>
      </c>
      <c r="H39" s="64" t="s">
        <v>175</v>
      </c>
      <c r="I39" s="64" t="s">
        <v>176</v>
      </c>
      <c r="J39" s="64">
        <v>851</v>
      </c>
      <c r="K39" s="64" t="s">
        <v>177</v>
      </c>
      <c r="L39" s="64">
        <v>25866</v>
      </c>
      <c r="M39" s="64" t="s">
        <v>178</v>
      </c>
      <c r="N39" s="64">
        <v>326</v>
      </c>
      <c r="O39" s="64" t="s">
        <v>179</v>
      </c>
      <c r="P39" s="64" t="s">
        <v>180</v>
      </c>
      <c r="Q39" s="64" t="s">
        <v>181</v>
      </c>
      <c r="R39" s="64" t="s">
        <v>92</v>
      </c>
      <c r="U39" s="64" t="str">
        <f t="shared" si="0"/>
        <v>Pant</v>
      </c>
      <c r="W39" s="65" t="str">
        <f t="shared" si="1"/>
        <v>Exclude</v>
      </c>
      <c r="Y39" s="63"/>
      <c r="AS39" s="64" t="str">
        <f t="shared" si="2"/>
        <v>Exclude</v>
      </c>
      <c r="AU39" s="65" t="str">
        <f t="shared" si="3"/>
        <v>Exclude</v>
      </c>
    </row>
    <row r="40" spans="1:47" s="64" customFormat="1" x14ac:dyDescent="0.25">
      <c r="A40" s="63" t="s">
        <v>170</v>
      </c>
      <c r="B40" s="64">
        <v>1</v>
      </c>
      <c r="C40" s="64" t="s">
        <v>171</v>
      </c>
      <c r="D40" s="64">
        <v>15</v>
      </c>
      <c r="E40" s="64" t="s">
        <v>172</v>
      </c>
      <c r="F40" s="64" t="s">
        <v>173</v>
      </c>
      <c r="G40" s="64" t="s">
        <v>174</v>
      </c>
      <c r="H40" s="64" t="s">
        <v>175</v>
      </c>
      <c r="I40" s="64" t="s">
        <v>176</v>
      </c>
      <c r="J40" s="64">
        <v>571</v>
      </c>
      <c r="K40" s="64" t="s">
        <v>177</v>
      </c>
      <c r="L40" s="64">
        <v>27217</v>
      </c>
      <c r="M40" s="64" t="s">
        <v>178</v>
      </c>
      <c r="N40" s="64">
        <v>285</v>
      </c>
      <c r="O40" s="64" t="s">
        <v>179</v>
      </c>
      <c r="P40" s="64" t="s">
        <v>180</v>
      </c>
      <c r="Q40" s="64" t="s">
        <v>181</v>
      </c>
      <c r="R40" s="64" t="s">
        <v>92</v>
      </c>
      <c r="U40" s="64">
        <f t="shared" si="0"/>
        <v>285</v>
      </c>
      <c r="W40" s="65">
        <f t="shared" si="1"/>
        <v>2.4548448600085102</v>
      </c>
      <c r="Y40" s="63"/>
      <c r="AS40" s="64" t="str">
        <f t="shared" si="2"/>
        <v>Exclude</v>
      </c>
      <c r="AU40" s="65" t="str">
        <f t="shared" si="3"/>
        <v>Exclude</v>
      </c>
    </row>
    <row r="41" spans="1:47" s="64" customFormat="1" x14ac:dyDescent="0.25">
      <c r="A41" s="63" t="s">
        <v>170</v>
      </c>
      <c r="B41" s="64">
        <v>1</v>
      </c>
      <c r="C41" s="64" t="s">
        <v>171</v>
      </c>
      <c r="D41" s="64">
        <v>16</v>
      </c>
      <c r="E41" s="64" t="s">
        <v>172</v>
      </c>
      <c r="F41" s="64" t="s">
        <v>173</v>
      </c>
      <c r="G41" s="64" t="s">
        <v>174</v>
      </c>
      <c r="H41" s="64" t="s">
        <v>175</v>
      </c>
      <c r="I41" s="64" t="s">
        <v>176</v>
      </c>
      <c r="J41" s="64">
        <v>816</v>
      </c>
      <c r="K41" s="64" t="s">
        <v>177</v>
      </c>
      <c r="L41" s="64">
        <v>28818</v>
      </c>
      <c r="M41" s="64" t="s">
        <v>178</v>
      </c>
      <c r="N41" s="64">
        <v>298</v>
      </c>
      <c r="O41" s="64" t="s">
        <v>179</v>
      </c>
      <c r="P41" s="64" t="s">
        <v>180</v>
      </c>
      <c r="Q41" s="64" t="s">
        <v>181</v>
      </c>
      <c r="R41" s="64" t="s">
        <v>92</v>
      </c>
      <c r="U41" s="64">
        <f t="shared" si="0"/>
        <v>298</v>
      </c>
      <c r="W41" s="65">
        <f t="shared" si="1"/>
        <v>2.4742162640762553</v>
      </c>
      <c r="Y41" s="63"/>
      <c r="AS41" s="64" t="str">
        <f t="shared" si="2"/>
        <v>Exclude</v>
      </c>
      <c r="AU41" s="65" t="str">
        <f t="shared" si="3"/>
        <v>Exclude</v>
      </c>
    </row>
    <row r="42" spans="1:47" s="64" customFormat="1" x14ac:dyDescent="0.25">
      <c r="A42" s="63" t="s">
        <v>170</v>
      </c>
      <c r="B42" s="64">
        <v>1</v>
      </c>
      <c r="C42" s="64" t="s">
        <v>171</v>
      </c>
      <c r="D42" s="64">
        <v>17</v>
      </c>
      <c r="E42" s="64" t="s">
        <v>172</v>
      </c>
      <c r="F42" s="64" t="s">
        <v>173</v>
      </c>
      <c r="G42" s="64" t="s">
        <v>174</v>
      </c>
      <c r="H42" s="64" t="s">
        <v>175</v>
      </c>
      <c r="I42" s="64" t="s">
        <v>176</v>
      </c>
      <c r="J42" s="64">
        <v>-1</v>
      </c>
      <c r="K42" s="64" t="s">
        <v>177</v>
      </c>
      <c r="L42" s="64">
        <v>29519</v>
      </c>
      <c r="M42" s="64" t="s">
        <v>178</v>
      </c>
      <c r="N42" s="64">
        <v>214</v>
      </c>
      <c r="O42" s="64" t="s">
        <v>179</v>
      </c>
      <c r="P42" s="64" t="s">
        <v>180</v>
      </c>
      <c r="Q42" s="64" t="s">
        <v>181</v>
      </c>
      <c r="R42" s="64" t="s">
        <v>182</v>
      </c>
      <c r="U42" s="64" t="str">
        <f t="shared" si="0"/>
        <v>Exclude</v>
      </c>
      <c r="W42" s="65" t="str">
        <f t="shared" si="1"/>
        <v>Exclude</v>
      </c>
      <c r="Y42" s="63"/>
      <c r="AS42" s="64" t="str">
        <f t="shared" si="2"/>
        <v>Exclude</v>
      </c>
      <c r="AU42" s="65" t="str">
        <f t="shared" si="3"/>
        <v>Exclude</v>
      </c>
    </row>
    <row r="43" spans="1:47" s="64" customFormat="1" x14ac:dyDescent="0.25">
      <c r="A43" s="63" t="s">
        <v>170</v>
      </c>
      <c r="B43" s="64">
        <v>1</v>
      </c>
      <c r="C43" s="64" t="s">
        <v>171</v>
      </c>
      <c r="D43" s="64">
        <v>17</v>
      </c>
      <c r="E43" s="64" t="s">
        <v>172</v>
      </c>
      <c r="F43" s="64" t="s">
        <v>173</v>
      </c>
      <c r="G43" s="64" t="s">
        <v>174</v>
      </c>
      <c r="H43" s="64" t="s">
        <v>175</v>
      </c>
      <c r="I43" s="64" t="s">
        <v>176</v>
      </c>
      <c r="J43" s="64">
        <v>1320</v>
      </c>
      <c r="K43" s="64" t="s">
        <v>177</v>
      </c>
      <c r="L43" s="64">
        <v>30931</v>
      </c>
      <c r="M43" s="64" t="s">
        <v>178</v>
      </c>
      <c r="N43" s="64">
        <v>306</v>
      </c>
      <c r="O43" s="64" t="s">
        <v>179</v>
      </c>
      <c r="P43" s="64" t="s">
        <v>180</v>
      </c>
      <c r="Q43" s="64" t="s">
        <v>181</v>
      </c>
      <c r="R43" s="64" t="s">
        <v>92</v>
      </c>
      <c r="U43" s="64" t="str">
        <f t="shared" si="0"/>
        <v>Pant</v>
      </c>
      <c r="W43" s="65" t="str">
        <f t="shared" si="1"/>
        <v>Exclude</v>
      </c>
      <c r="Y43" s="63"/>
      <c r="AS43" s="64" t="str">
        <f t="shared" si="2"/>
        <v>Exclude</v>
      </c>
      <c r="AU43" s="65" t="str">
        <f t="shared" si="3"/>
        <v>Exclude</v>
      </c>
    </row>
    <row r="44" spans="1:47" s="64" customFormat="1" x14ac:dyDescent="0.25">
      <c r="A44" s="63" t="s">
        <v>170</v>
      </c>
      <c r="B44" s="64">
        <v>1</v>
      </c>
      <c r="C44" s="64" t="s">
        <v>171</v>
      </c>
      <c r="D44" s="64">
        <v>18</v>
      </c>
      <c r="E44" s="64" t="s">
        <v>172</v>
      </c>
      <c r="F44" s="64" t="s">
        <v>173</v>
      </c>
      <c r="G44" s="64" t="s">
        <v>174</v>
      </c>
      <c r="H44" s="64" t="s">
        <v>175</v>
      </c>
      <c r="I44" s="64" t="s">
        <v>176</v>
      </c>
      <c r="J44" s="64">
        <v>1243</v>
      </c>
      <c r="K44" s="64" t="s">
        <v>177</v>
      </c>
      <c r="L44" s="64">
        <v>32993</v>
      </c>
      <c r="M44" s="64" t="s">
        <v>178</v>
      </c>
      <c r="N44" s="64">
        <v>326</v>
      </c>
      <c r="O44" s="64" t="s">
        <v>179</v>
      </c>
      <c r="P44" s="64" t="s">
        <v>180</v>
      </c>
      <c r="Q44" s="64" t="s">
        <v>181</v>
      </c>
      <c r="R44" s="64" t="s">
        <v>92</v>
      </c>
      <c r="U44" s="64">
        <f t="shared" si="0"/>
        <v>326</v>
      </c>
      <c r="W44" s="65">
        <f t="shared" si="1"/>
        <v>2.5132176000679389</v>
      </c>
      <c r="Y44" s="63"/>
      <c r="AS44" s="64" t="str">
        <f t="shared" si="2"/>
        <v>Exclude</v>
      </c>
      <c r="AU44" s="65" t="str">
        <f t="shared" si="3"/>
        <v>Exclude</v>
      </c>
    </row>
    <row r="45" spans="1:47" s="64" customFormat="1" x14ac:dyDescent="0.25">
      <c r="A45" s="63" t="s">
        <v>170</v>
      </c>
      <c r="B45" s="64">
        <v>1</v>
      </c>
      <c r="C45" s="64" t="s">
        <v>171</v>
      </c>
      <c r="D45" s="64">
        <v>19</v>
      </c>
      <c r="E45" s="64" t="s">
        <v>172</v>
      </c>
      <c r="F45" s="64" t="s">
        <v>173</v>
      </c>
      <c r="G45" s="64" t="s">
        <v>174</v>
      </c>
      <c r="H45" s="64" t="s">
        <v>175</v>
      </c>
      <c r="I45" s="64" t="s">
        <v>176</v>
      </c>
      <c r="J45" s="64">
        <v>-1</v>
      </c>
      <c r="K45" s="64" t="s">
        <v>177</v>
      </c>
      <c r="L45" s="64">
        <v>34202</v>
      </c>
      <c r="M45" s="64" t="s">
        <v>178</v>
      </c>
      <c r="N45" s="64">
        <v>714</v>
      </c>
      <c r="O45" s="64" t="s">
        <v>179</v>
      </c>
      <c r="P45" s="64" t="s">
        <v>180</v>
      </c>
      <c r="Q45" s="64" t="s">
        <v>181</v>
      </c>
      <c r="R45" s="64" t="s">
        <v>182</v>
      </c>
      <c r="U45" s="64" t="str">
        <f t="shared" si="0"/>
        <v>Exclude</v>
      </c>
      <c r="W45" s="65" t="str">
        <f t="shared" si="1"/>
        <v>Exclude</v>
      </c>
      <c r="Y45" s="63"/>
      <c r="AS45" s="64" t="str">
        <f t="shared" si="2"/>
        <v>Exclude</v>
      </c>
      <c r="AU45" s="65" t="str">
        <f t="shared" si="3"/>
        <v>Exclude</v>
      </c>
    </row>
    <row r="46" spans="1:47" s="64" customFormat="1" x14ac:dyDescent="0.25">
      <c r="A46" s="63" t="s">
        <v>170</v>
      </c>
      <c r="B46" s="64">
        <v>1</v>
      </c>
      <c r="C46" s="64" t="s">
        <v>171</v>
      </c>
      <c r="D46" s="64">
        <v>19</v>
      </c>
      <c r="E46" s="64" t="s">
        <v>172</v>
      </c>
      <c r="F46" s="64" t="s">
        <v>173</v>
      </c>
      <c r="G46" s="64" t="s">
        <v>174</v>
      </c>
      <c r="H46" s="64" t="s">
        <v>175</v>
      </c>
      <c r="I46" s="64" t="s">
        <v>176</v>
      </c>
      <c r="J46" s="64">
        <v>1435</v>
      </c>
      <c r="K46" s="64" t="s">
        <v>177</v>
      </c>
      <c r="L46" s="64">
        <v>35194</v>
      </c>
      <c r="M46" s="64" t="s">
        <v>178</v>
      </c>
      <c r="N46" s="64">
        <v>271</v>
      </c>
      <c r="O46" s="64" t="s">
        <v>179</v>
      </c>
      <c r="P46" s="64" t="s">
        <v>180</v>
      </c>
      <c r="Q46" s="64" t="s">
        <v>181</v>
      </c>
      <c r="R46" s="64" t="s">
        <v>92</v>
      </c>
      <c r="U46" s="64" t="str">
        <f t="shared" si="0"/>
        <v>Pant</v>
      </c>
      <c r="W46" s="65" t="str">
        <f t="shared" si="1"/>
        <v>Exclude</v>
      </c>
      <c r="Y46" s="63"/>
      <c r="AS46" s="64" t="str">
        <f t="shared" si="2"/>
        <v>Exclude</v>
      </c>
      <c r="AU46" s="65" t="str">
        <f t="shared" si="3"/>
        <v>Exclude</v>
      </c>
    </row>
    <row r="47" spans="1:47" s="64" customFormat="1" x14ac:dyDescent="0.25">
      <c r="A47" s="63" t="s">
        <v>170</v>
      </c>
      <c r="B47" s="64">
        <v>1</v>
      </c>
      <c r="C47" s="64" t="s">
        <v>171</v>
      </c>
      <c r="D47" s="64">
        <v>20</v>
      </c>
      <c r="E47" s="64" t="s">
        <v>172</v>
      </c>
      <c r="F47" s="64" t="s">
        <v>173</v>
      </c>
      <c r="G47" s="64" t="s">
        <v>174</v>
      </c>
      <c r="H47" s="64" t="s">
        <v>175</v>
      </c>
      <c r="I47" s="64" t="s">
        <v>176</v>
      </c>
      <c r="J47" s="64">
        <v>-1</v>
      </c>
      <c r="K47" s="64" t="s">
        <v>177</v>
      </c>
      <c r="L47" s="64">
        <v>36896</v>
      </c>
      <c r="M47" s="64" t="s">
        <v>178</v>
      </c>
      <c r="N47" s="64">
        <v>1206</v>
      </c>
      <c r="O47" s="64" t="s">
        <v>179</v>
      </c>
      <c r="P47" s="64" t="s">
        <v>180</v>
      </c>
      <c r="Q47" s="64" t="s">
        <v>181</v>
      </c>
      <c r="R47" s="64" t="s">
        <v>182</v>
      </c>
      <c r="U47" s="64" t="str">
        <f t="shared" si="0"/>
        <v>Exclude</v>
      </c>
      <c r="W47" s="65" t="str">
        <f t="shared" si="1"/>
        <v>Exclude</v>
      </c>
      <c r="Y47" s="63"/>
      <c r="AS47" s="64" t="str">
        <f t="shared" si="2"/>
        <v>Exclude</v>
      </c>
      <c r="AU47" s="65" t="str">
        <f t="shared" si="3"/>
        <v>Exclude</v>
      </c>
    </row>
    <row r="48" spans="1:47" s="64" customFormat="1" x14ac:dyDescent="0.25">
      <c r="A48" s="63" t="s">
        <v>170</v>
      </c>
      <c r="B48" s="64">
        <v>1</v>
      </c>
      <c r="C48" s="64" t="s">
        <v>171</v>
      </c>
      <c r="D48" s="64">
        <v>20</v>
      </c>
      <c r="E48" s="64" t="s">
        <v>172</v>
      </c>
      <c r="F48" s="64" t="s">
        <v>173</v>
      </c>
      <c r="G48" s="64" t="s">
        <v>174</v>
      </c>
      <c r="H48" s="64" t="s">
        <v>175</v>
      </c>
      <c r="I48" s="64" t="s">
        <v>176</v>
      </c>
      <c r="J48" s="64">
        <v>1398</v>
      </c>
      <c r="K48" s="64" t="s">
        <v>177</v>
      </c>
      <c r="L48" s="64">
        <v>37336</v>
      </c>
      <c r="M48" s="64" t="s">
        <v>178</v>
      </c>
      <c r="N48" s="64">
        <v>248</v>
      </c>
      <c r="O48" s="64" t="s">
        <v>179</v>
      </c>
      <c r="P48" s="64" t="s">
        <v>180</v>
      </c>
      <c r="Q48" s="64" t="s">
        <v>181</v>
      </c>
      <c r="R48" s="64" t="s">
        <v>92</v>
      </c>
      <c r="U48" s="64" t="str">
        <f t="shared" si="0"/>
        <v>Pant</v>
      </c>
      <c r="W48" s="65" t="str">
        <f t="shared" si="1"/>
        <v>Exclude</v>
      </c>
      <c r="Y48" s="63"/>
      <c r="AS48" s="64" t="str">
        <f t="shared" si="2"/>
        <v>Exclude</v>
      </c>
      <c r="AU48" s="65" t="str">
        <f t="shared" si="3"/>
        <v>Exclude</v>
      </c>
    </row>
    <row r="49" spans="1:47" s="64" customFormat="1" x14ac:dyDescent="0.25">
      <c r="A49" s="63" t="s">
        <v>170</v>
      </c>
      <c r="B49" s="64">
        <v>1</v>
      </c>
      <c r="C49" s="64" t="s">
        <v>171</v>
      </c>
      <c r="D49" s="64">
        <v>21</v>
      </c>
      <c r="E49" s="64" t="s">
        <v>172</v>
      </c>
      <c r="F49" s="64" t="s">
        <v>173</v>
      </c>
      <c r="G49" s="64" t="s">
        <v>174</v>
      </c>
      <c r="H49" s="64" t="s">
        <v>175</v>
      </c>
      <c r="I49" s="64" t="s">
        <v>176</v>
      </c>
      <c r="J49" s="64">
        <v>1468</v>
      </c>
      <c r="K49" s="64" t="s">
        <v>177</v>
      </c>
      <c r="L49" s="64">
        <v>39545</v>
      </c>
      <c r="M49" s="64" t="s">
        <v>178</v>
      </c>
      <c r="N49" s="64">
        <v>255</v>
      </c>
      <c r="O49" s="64" t="s">
        <v>179</v>
      </c>
      <c r="P49" s="64" t="s">
        <v>180</v>
      </c>
      <c r="Q49" s="64" t="s">
        <v>181</v>
      </c>
      <c r="R49" s="64" t="s">
        <v>92</v>
      </c>
      <c r="U49" s="64">
        <f t="shared" si="0"/>
        <v>255</v>
      </c>
      <c r="W49" s="65">
        <f t="shared" si="1"/>
        <v>2.406540180433955</v>
      </c>
      <c r="Y49" s="63"/>
      <c r="AS49" s="64" t="str">
        <f t="shared" si="2"/>
        <v>Exclude</v>
      </c>
      <c r="AU49" s="65" t="str">
        <f t="shared" si="3"/>
        <v>Exclude</v>
      </c>
    </row>
    <row r="50" spans="1:47" s="64" customFormat="1" x14ac:dyDescent="0.25">
      <c r="A50" s="63" t="s">
        <v>170</v>
      </c>
      <c r="B50" s="64">
        <v>1</v>
      </c>
      <c r="C50" s="64" t="s">
        <v>171</v>
      </c>
      <c r="D50" s="64">
        <v>22</v>
      </c>
      <c r="E50" s="64" t="s">
        <v>172</v>
      </c>
      <c r="F50" s="64" t="s">
        <v>173</v>
      </c>
      <c r="G50" s="64" t="s">
        <v>174</v>
      </c>
      <c r="H50" s="64" t="s">
        <v>175</v>
      </c>
      <c r="I50" s="64" t="s">
        <v>176</v>
      </c>
      <c r="J50" s="64">
        <v>-1</v>
      </c>
      <c r="K50" s="64" t="s">
        <v>177</v>
      </c>
      <c r="L50" s="64">
        <v>40765</v>
      </c>
      <c r="M50" s="64" t="s">
        <v>178</v>
      </c>
      <c r="N50" s="64">
        <v>723</v>
      </c>
      <c r="O50" s="64" t="s">
        <v>179</v>
      </c>
      <c r="P50" s="64" t="s">
        <v>180</v>
      </c>
      <c r="Q50" s="64" t="s">
        <v>181</v>
      </c>
      <c r="R50" s="64" t="s">
        <v>182</v>
      </c>
      <c r="U50" s="64" t="str">
        <f t="shared" si="0"/>
        <v>Exclude</v>
      </c>
      <c r="W50" s="65" t="str">
        <f t="shared" si="1"/>
        <v>Exclude</v>
      </c>
      <c r="Y50" s="63"/>
      <c r="AS50" s="64" t="str">
        <f t="shared" si="2"/>
        <v>Exclude</v>
      </c>
      <c r="AU50" s="65" t="str">
        <f t="shared" si="3"/>
        <v>Exclude</v>
      </c>
    </row>
    <row r="51" spans="1:47" s="64" customFormat="1" x14ac:dyDescent="0.25">
      <c r="A51" s="63" t="s">
        <v>170</v>
      </c>
      <c r="B51" s="64">
        <v>1</v>
      </c>
      <c r="C51" s="64" t="s">
        <v>171</v>
      </c>
      <c r="D51" s="64">
        <v>22</v>
      </c>
      <c r="E51" s="64" t="s">
        <v>172</v>
      </c>
      <c r="F51" s="64" t="s">
        <v>173</v>
      </c>
      <c r="G51" s="64" t="s">
        <v>174</v>
      </c>
      <c r="H51" s="64" t="s">
        <v>175</v>
      </c>
      <c r="I51" s="64" t="s">
        <v>176</v>
      </c>
      <c r="J51" s="64">
        <v>1459</v>
      </c>
      <c r="K51" s="64" t="s">
        <v>177</v>
      </c>
      <c r="L51" s="64">
        <v>41783</v>
      </c>
      <c r="M51" s="64" t="s">
        <v>178</v>
      </c>
      <c r="N51" s="64">
        <v>282</v>
      </c>
      <c r="O51" s="64" t="s">
        <v>179</v>
      </c>
      <c r="P51" s="64" t="s">
        <v>180</v>
      </c>
      <c r="Q51" s="64" t="s">
        <v>181</v>
      </c>
      <c r="R51" s="64" t="s">
        <v>92</v>
      </c>
      <c r="U51" s="64" t="str">
        <f t="shared" si="0"/>
        <v>Pant</v>
      </c>
      <c r="W51" s="65" t="str">
        <f t="shared" si="1"/>
        <v>Exclude</v>
      </c>
      <c r="Y51" s="63"/>
      <c r="AS51" s="64" t="str">
        <f t="shared" si="2"/>
        <v>Exclude</v>
      </c>
      <c r="AU51" s="65" t="str">
        <f t="shared" si="3"/>
        <v>Exclude</v>
      </c>
    </row>
    <row r="52" spans="1:47" s="64" customFormat="1" x14ac:dyDescent="0.25">
      <c r="A52" s="63" t="s">
        <v>170</v>
      </c>
      <c r="B52" s="64">
        <v>1</v>
      </c>
      <c r="C52" s="64" t="s">
        <v>171</v>
      </c>
      <c r="D52" s="64">
        <v>23</v>
      </c>
      <c r="E52" s="64" t="s">
        <v>172</v>
      </c>
      <c r="F52" s="64" t="s">
        <v>173</v>
      </c>
      <c r="G52" s="64" t="s">
        <v>174</v>
      </c>
      <c r="H52" s="64" t="s">
        <v>175</v>
      </c>
      <c r="I52" s="64" t="s">
        <v>176</v>
      </c>
      <c r="J52" s="64">
        <v>734</v>
      </c>
      <c r="K52" s="64" t="s">
        <v>177</v>
      </c>
      <c r="L52" s="64">
        <v>43280</v>
      </c>
      <c r="M52" s="64" t="s">
        <v>178</v>
      </c>
      <c r="N52" s="64">
        <v>277</v>
      </c>
      <c r="O52" s="64" t="s">
        <v>179</v>
      </c>
      <c r="P52" s="64" t="s">
        <v>180</v>
      </c>
      <c r="Q52" s="64" t="s">
        <v>181</v>
      </c>
      <c r="R52" s="64" t="s">
        <v>92</v>
      </c>
      <c r="U52" s="64">
        <f t="shared" si="0"/>
        <v>277</v>
      </c>
      <c r="W52" s="65">
        <f t="shared" si="1"/>
        <v>2.4424797690644486</v>
      </c>
      <c r="Y52" s="63"/>
      <c r="AS52" s="64" t="str">
        <f t="shared" si="2"/>
        <v>Exclude</v>
      </c>
      <c r="AU52" s="65" t="str">
        <f t="shared" si="3"/>
        <v>Exclude</v>
      </c>
    </row>
    <row r="53" spans="1:47" s="64" customFormat="1" x14ac:dyDescent="0.25">
      <c r="A53" s="63" t="s">
        <v>170</v>
      </c>
      <c r="B53" s="64">
        <v>1</v>
      </c>
      <c r="C53" s="64" t="s">
        <v>171</v>
      </c>
      <c r="D53" s="64">
        <v>24</v>
      </c>
      <c r="E53" s="64" t="s">
        <v>172</v>
      </c>
      <c r="F53" s="64" t="s">
        <v>173</v>
      </c>
      <c r="G53" s="64" t="s">
        <v>174</v>
      </c>
      <c r="H53" s="64" t="s">
        <v>175</v>
      </c>
      <c r="I53" s="64" t="s">
        <v>176</v>
      </c>
      <c r="J53" s="64">
        <v>739</v>
      </c>
      <c r="K53" s="64" t="s">
        <v>177</v>
      </c>
      <c r="L53" s="64">
        <v>44777</v>
      </c>
      <c r="M53" s="64" t="s">
        <v>178</v>
      </c>
      <c r="N53" s="64">
        <v>262</v>
      </c>
      <c r="O53" s="64" t="s">
        <v>179</v>
      </c>
      <c r="P53" s="64" t="s">
        <v>180</v>
      </c>
      <c r="Q53" s="64" t="s">
        <v>181</v>
      </c>
      <c r="R53" s="64" t="s">
        <v>92</v>
      </c>
      <c r="U53" s="64">
        <f t="shared" si="0"/>
        <v>262</v>
      </c>
      <c r="W53" s="65">
        <f t="shared" si="1"/>
        <v>2.4183012913197452</v>
      </c>
      <c r="Y53" s="63"/>
      <c r="AS53" s="64" t="str">
        <f t="shared" si="2"/>
        <v>Exclude</v>
      </c>
      <c r="AU53" s="65" t="str">
        <f t="shared" si="3"/>
        <v>Exclude</v>
      </c>
    </row>
    <row r="54" spans="1:47" s="64" customFormat="1" x14ac:dyDescent="0.25">
      <c r="A54" s="63" t="s">
        <v>170</v>
      </c>
      <c r="B54" s="64">
        <v>1</v>
      </c>
      <c r="C54" s="64" t="s">
        <v>171</v>
      </c>
      <c r="D54" s="64">
        <v>25</v>
      </c>
      <c r="E54" s="64" t="s">
        <v>172</v>
      </c>
      <c r="F54" s="64" t="s">
        <v>173</v>
      </c>
      <c r="G54" s="64" t="s">
        <v>174</v>
      </c>
      <c r="H54" s="64" t="s">
        <v>175</v>
      </c>
      <c r="I54" s="64" t="s">
        <v>176</v>
      </c>
      <c r="J54" s="64">
        <v>1137</v>
      </c>
      <c r="K54" s="64" t="s">
        <v>177</v>
      </c>
      <c r="L54" s="64">
        <v>46713</v>
      </c>
      <c r="M54" s="64" t="s">
        <v>178</v>
      </c>
      <c r="N54" s="64">
        <v>308</v>
      </c>
      <c r="O54" s="64" t="s">
        <v>179</v>
      </c>
      <c r="P54" s="64" t="s">
        <v>180</v>
      </c>
      <c r="Q54" s="64" t="s">
        <v>181</v>
      </c>
      <c r="R54" s="64" t="s">
        <v>92</v>
      </c>
      <c r="U54" s="64">
        <f t="shared" si="0"/>
        <v>308</v>
      </c>
      <c r="W54" s="65">
        <f t="shared" si="1"/>
        <v>2.4885507165004443</v>
      </c>
      <c r="Y54" s="63"/>
      <c r="AS54" s="64" t="str">
        <f t="shared" si="2"/>
        <v>Exclude</v>
      </c>
      <c r="AU54" s="65" t="str">
        <f t="shared" si="3"/>
        <v>Exclude</v>
      </c>
    </row>
    <row r="55" spans="1:47" s="64" customFormat="1" x14ac:dyDescent="0.25">
      <c r="A55" s="63" t="s">
        <v>170</v>
      </c>
      <c r="B55" s="64">
        <v>1</v>
      </c>
      <c r="C55" s="64" t="s">
        <v>171</v>
      </c>
      <c r="D55" s="64">
        <v>26</v>
      </c>
      <c r="E55" s="64" t="s">
        <v>172</v>
      </c>
      <c r="F55" s="64" t="s">
        <v>173</v>
      </c>
      <c r="G55" s="64" t="s">
        <v>174</v>
      </c>
      <c r="H55" s="64" t="s">
        <v>175</v>
      </c>
      <c r="I55" s="64" t="s">
        <v>176</v>
      </c>
      <c r="J55" s="64">
        <v>816</v>
      </c>
      <c r="K55" s="64" t="s">
        <v>177</v>
      </c>
      <c r="L55" s="64">
        <v>48331</v>
      </c>
      <c r="M55" s="64" t="s">
        <v>178</v>
      </c>
      <c r="N55" s="64">
        <v>309</v>
      </c>
      <c r="O55" s="64" t="s">
        <v>179</v>
      </c>
      <c r="P55" s="64" t="s">
        <v>180</v>
      </c>
      <c r="Q55" s="64" t="s">
        <v>181</v>
      </c>
      <c r="R55" s="64" t="s">
        <v>92</v>
      </c>
      <c r="U55" s="64">
        <f t="shared" si="0"/>
        <v>309</v>
      </c>
      <c r="W55" s="65">
        <f t="shared" si="1"/>
        <v>2.4899584794248346</v>
      </c>
      <c r="Y55" s="63"/>
      <c r="AS55" s="64" t="str">
        <f t="shared" si="2"/>
        <v>Exclude</v>
      </c>
      <c r="AU55" s="65" t="str">
        <f t="shared" si="3"/>
        <v>Exclude</v>
      </c>
    </row>
    <row r="56" spans="1:47" s="64" customFormat="1" x14ac:dyDescent="0.25">
      <c r="A56" s="63" t="s">
        <v>170</v>
      </c>
      <c r="B56" s="64">
        <v>1</v>
      </c>
      <c r="C56" s="64" t="s">
        <v>171</v>
      </c>
      <c r="D56" s="64">
        <v>27</v>
      </c>
      <c r="E56" s="64" t="s">
        <v>172</v>
      </c>
      <c r="F56" s="64" t="s">
        <v>173</v>
      </c>
      <c r="G56" s="64" t="s">
        <v>174</v>
      </c>
      <c r="H56" s="64" t="s">
        <v>175</v>
      </c>
      <c r="I56" s="64" t="s">
        <v>176</v>
      </c>
      <c r="J56" s="64">
        <v>1201</v>
      </c>
      <c r="K56" s="64" t="s">
        <v>177</v>
      </c>
      <c r="L56" s="64">
        <v>50354</v>
      </c>
      <c r="M56" s="64" t="s">
        <v>178</v>
      </c>
      <c r="N56" s="64">
        <v>328</v>
      </c>
      <c r="O56" s="64" t="s">
        <v>179</v>
      </c>
      <c r="P56" s="64" t="s">
        <v>180</v>
      </c>
      <c r="Q56" s="64" t="s">
        <v>181</v>
      </c>
      <c r="R56" s="64" t="s">
        <v>92</v>
      </c>
      <c r="U56" s="64">
        <f t="shared" si="0"/>
        <v>328</v>
      </c>
      <c r="W56" s="65">
        <f t="shared" si="1"/>
        <v>2.5158738437116792</v>
      </c>
      <c r="Y56" s="63"/>
      <c r="AS56" s="64" t="str">
        <f t="shared" si="2"/>
        <v>Exclude</v>
      </c>
      <c r="AU56" s="65" t="str">
        <f t="shared" si="3"/>
        <v>Exclude</v>
      </c>
    </row>
    <row r="57" spans="1:47" s="64" customFormat="1" x14ac:dyDescent="0.25">
      <c r="A57" s="63" t="s">
        <v>170</v>
      </c>
      <c r="B57" s="64">
        <v>1</v>
      </c>
      <c r="C57" s="64" t="s">
        <v>171</v>
      </c>
      <c r="D57" s="64">
        <v>28</v>
      </c>
      <c r="E57" s="64" t="s">
        <v>172</v>
      </c>
      <c r="F57" s="64" t="s">
        <v>173</v>
      </c>
      <c r="G57" s="64" t="s">
        <v>174</v>
      </c>
      <c r="H57" s="64" t="s">
        <v>175</v>
      </c>
      <c r="I57" s="64" t="s">
        <v>176</v>
      </c>
      <c r="J57" s="64">
        <v>1513</v>
      </c>
      <c r="K57" s="64" t="s">
        <v>177</v>
      </c>
      <c r="L57" s="64">
        <v>52669</v>
      </c>
      <c r="M57" s="64" t="s">
        <v>178</v>
      </c>
      <c r="N57" s="64">
        <v>313</v>
      </c>
      <c r="O57" s="64" t="s">
        <v>179</v>
      </c>
      <c r="P57" s="64" t="s">
        <v>180</v>
      </c>
      <c r="Q57" s="64" t="s">
        <v>181</v>
      </c>
      <c r="R57" s="64" t="s">
        <v>92</v>
      </c>
      <c r="U57" s="64">
        <f t="shared" si="0"/>
        <v>313</v>
      </c>
      <c r="W57" s="65">
        <f t="shared" si="1"/>
        <v>2.4955443375464483</v>
      </c>
      <c r="Y57" s="63"/>
      <c r="AS57" s="64" t="str">
        <f t="shared" si="2"/>
        <v>Exclude</v>
      </c>
      <c r="AU57" s="65" t="str">
        <f t="shared" si="3"/>
        <v>Exclude</v>
      </c>
    </row>
    <row r="58" spans="1:47" s="64" customFormat="1" x14ac:dyDescent="0.25">
      <c r="A58" s="63" t="s">
        <v>170</v>
      </c>
      <c r="B58" s="64">
        <v>1</v>
      </c>
      <c r="C58" s="64" t="s">
        <v>171</v>
      </c>
      <c r="D58" s="64">
        <v>29</v>
      </c>
      <c r="E58" s="64" t="s">
        <v>172</v>
      </c>
      <c r="F58" s="64" t="s">
        <v>173</v>
      </c>
      <c r="G58" s="64" t="s">
        <v>174</v>
      </c>
      <c r="H58" s="64" t="s">
        <v>175</v>
      </c>
      <c r="I58" s="64" t="s">
        <v>176</v>
      </c>
      <c r="J58" s="64">
        <v>1435</v>
      </c>
      <c r="K58" s="64" t="s">
        <v>177</v>
      </c>
      <c r="L58" s="64">
        <v>54735</v>
      </c>
      <c r="M58" s="64" t="s">
        <v>178</v>
      </c>
      <c r="N58" s="64">
        <v>128</v>
      </c>
      <c r="O58" s="64" t="s">
        <v>179</v>
      </c>
      <c r="P58" s="64" t="s">
        <v>180</v>
      </c>
      <c r="Q58" s="64" t="s">
        <v>181</v>
      </c>
      <c r="R58" s="64" t="s">
        <v>92</v>
      </c>
      <c r="U58" s="64">
        <f t="shared" si="0"/>
        <v>128</v>
      </c>
      <c r="W58" s="65">
        <f t="shared" si="1"/>
        <v>2.1072099696478683</v>
      </c>
      <c r="Y58" s="63"/>
      <c r="AS58" s="64" t="str">
        <f t="shared" si="2"/>
        <v>Exclude</v>
      </c>
      <c r="AU58" s="65" t="str">
        <f t="shared" si="3"/>
        <v>Exclude</v>
      </c>
    </row>
    <row r="59" spans="1:47" s="64" customFormat="1" x14ac:dyDescent="0.25">
      <c r="A59" s="63" t="s">
        <v>170</v>
      </c>
      <c r="B59" s="64">
        <v>1</v>
      </c>
      <c r="C59" s="64" t="s">
        <v>171</v>
      </c>
      <c r="D59" s="64">
        <v>30</v>
      </c>
      <c r="E59" s="64" t="s">
        <v>172</v>
      </c>
      <c r="F59" s="64" t="s">
        <v>173</v>
      </c>
      <c r="G59" s="64" t="s">
        <v>174</v>
      </c>
      <c r="H59" s="64" t="s">
        <v>175</v>
      </c>
      <c r="I59" s="64" t="s">
        <v>176</v>
      </c>
      <c r="J59" s="64">
        <v>693</v>
      </c>
      <c r="K59" s="64" t="s">
        <v>177</v>
      </c>
      <c r="L59" s="64">
        <v>56140</v>
      </c>
      <c r="M59" s="64" t="s">
        <v>178</v>
      </c>
      <c r="N59" s="64">
        <v>216</v>
      </c>
      <c r="O59" s="64" t="s">
        <v>179</v>
      </c>
      <c r="P59" s="64" t="s">
        <v>180</v>
      </c>
      <c r="Q59" s="64" t="s">
        <v>181</v>
      </c>
      <c r="R59" s="64" t="s">
        <v>92</v>
      </c>
      <c r="U59" s="64">
        <f t="shared" si="0"/>
        <v>216</v>
      </c>
      <c r="W59" s="65">
        <f t="shared" si="1"/>
        <v>2.3344537511509307</v>
      </c>
      <c r="Y59" s="63"/>
      <c r="AS59" s="64" t="str">
        <f t="shared" si="2"/>
        <v>Exclude</v>
      </c>
      <c r="AU59" s="65" t="str">
        <f t="shared" si="3"/>
        <v>Exclude</v>
      </c>
    </row>
    <row r="60" spans="1:47" s="64" customFormat="1" x14ac:dyDescent="0.25">
      <c r="A60" s="63" t="s">
        <v>170</v>
      </c>
      <c r="B60" s="64">
        <v>1</v>
      </c>
      <c r="C60" s="64" t="s">
        <v>171</v>
      </c>
      <c r="D60" s="64">
        <v>31</v>
      </c>
      <c r="E60" s="64" t="s">
        <v>172</v>
      </c>
      <c r="F60" s="64" t="s">
        <v>173</v>
      </c>
      <c r="G60" s="64" t="s">
        <v>174</v>
      </c>
      <c r="H60" s="64" t="s">
        <v>175</v>
      </c>
      <c r="I60" s="64" t="s">
        <v>176</v>
      </c>
      <c r="J60" s="64">
        <v>931</v>
      </c>
      <c r="K60" s="64" t="s">
        <v>177</v>
      </c>
      <c r="L60" s="64">
        <v>57880</v>
      </c>
      <c r="M60" s="64" t="s">
        <v>178</v>
      </c>
      <c r="N60" s="64">
        <v>294</v>
      </c>
      <c r="O60" s="64" t="s">
        <v>179</v>
      </c>
      <c r="P60" s="64" t="s">
        <v>180</v>
      </c>
      <c r="Q60" s="64" t="s">
        <v>181</v>
      </c>
      <c r="R60" s="64" t="s">
        <v>92</v>
      </c>
      <c r="U60" s="64">
        <f t="shared" si="0"/>
        <v>294</v>
      </c>
      <c r="W60" s="65">
        <f t="shared" si="1"/>
        <v>2.4683473304121573</v>
      </c>
      <c r="Y60" s="63"/>
      <c r="AS60" s="64" t="str">
        <f t="shared" si="2"/>
        <v>Exclude</v>
      </c>
      <c r="AU60" s="65" t="str">
        <f t="shared" si="3"/>
        <v>Exclude</v>
      </c>
    </row>
    <row r="61" spans="1:47" s="64" customFormat="1" x14ac:dyDescent="0.25">
      <c r="A61" s="63" t="s">
        <v>170</v>
      </c>
      <c r="B61" s="64">
        <v>1</v>
      </c>
      <c r="C61" s="64" t="s">
        <v>171</v>
      </c>
      <c r="D61" s="64">
        <v>32</v>
      </c>
      <c r="E61" s="64" t="s">
        <v>172</v>
      </c>
      <c r="F61" s="64" t="s">
        <v>173</v>
      </c>
      <c r="G61" s="64" t="s">
        <v>174</v>
      </c>
      <c r="H61" s="64" t="s">
        <v>175</v>
      </c>
      <c r="I61" s="64" t="s">
        <v>176</v>
      </c>
      <c r="J61" s="64">
        <v>734</v>
      </c>
      <c r="K61" s="64" t="s">
        <v>177</v>
      </c>
      <c r="L61" s="64">
        <v>59401</v>
      </c>
      <c r="M61" s="64" t="s">
        <v>178</v>
      </c>
      <c r="N61" s="64">
        <v>296</v>
      </c>
      <c r="O61" s="64" t="s">
        <v>179</v>
      </c>
      <c r="P61" s="64" t="s">
        <v>180</v>
      </c>
      <c r="Q61" s="64" t="s">
        <v>181</v>
      </c>
      <c r="R61" s="64" t="s">
        <v>92</v>
      </c>
      <c r="U61" s="64">
        <f t="shared" si="0"/>
        <v>296</v>
      </c>
      <c r="W61" s="65">
        <f t="shared" si="1"/>
        <v>2.4712917110589387</v>
      </c>
      <c r="Y61" s="63"/>
      <c r="AS61" s="64" t="str">
        <f t="shared" si="2"/>
        <v>Exclude</v>
      </c>
      <c r="AU61" s="65" t="str">
        <f t="shared" si="3"/>
        <v>Exclude</v>
      </c>
    </row>
    <row r="62" spans="1:47" s="64" customFormat="1" x14ac:dyDescent="0.25">
      <c r="A62" s="63" t="s">
        <v>170</v>
      </c>
      <c r="B62" s="64">
        <v>1</v>
      </c>
      <c r="C62" s="64" t="s">
        <v>171</v>
      </c>
      <c r="D62" s="64">
        <v>33</v>
      </c>
      <c r="E62" s="64" t="s">
        <v>172</v>
      </c>
      <c r="F62" s="64" t="s">
        <v>173</v>
      </c>
      <c r="G62" s="64" t="s">
        <v>174</v>
      </c>
      <c r="H62" s="64" t="s">
        <v>175</v>
      </c>
      <c r="I62" s="64" t="s">
        <v>176</v>
      </c>
      <c r="J62" s="64">
        <v>1358</v>
      </c>
      <c r="K62" s="64" t="s">
        <v>177</v>
      </c>
      <c r="L62" s="64">
        <v>61531</v>
      </c>
      <c r="M62" s="64" t="s">
        <v>178</v>
      </c>
      <c r="N62" s="64">
        <v>285</v>
      </c>
      <c r="O62" s="64" t="s">
        <v>179</v>
      </c>
      <c r="P62" s="64" t="s">
        <v>180</v>
      </c>
      <c r="Q62" s="64" t="s">
        <v>181</v>
      </c>
      <c r="R62" s="64" t="s">
        <v>92</v>
      </c>
      <c r="U62" s="64">
        <f t="shared" si="0"/>
        <v>285</v>
      </c>
      <c r="W62" s="65">
        <f t="shared" si="1"/>
        <v>2.4548448600085102</v>
      </c>
      <c r="Y62" s="63"/>
      <c r="AS62" s="64" t="str">
        <f t="shared" si="2"/>
        <v>Exclude</v>
      </c>
      <c r="AU62" s="65" t="str">
        <f t="shared" si="3"/>
        <v>Exclude</v>
      </c>
    </row>
    <row r="63" spans="1:47" s="64" customFormat="1" x14ac:dyDescent="0.25">
      <c r="A63" s="63" t="s">
        <v>170</v>
      </c>
      <c r="B63" s="64">
        <v>1</v>
      </c>
      <c r="C63" s="64" t="s">
        <v>171</v>
      </c>
      <c r="D63" s="64">
        <v>34</v>
      </c>
      <c r="E63" s="64" t="s">
        <v>172</v>
      </c>
      <c r="F63" s="64" t="s">
        <v>173</v>
      </c>
      <c r="G63" s="64" t="s">
        <v>174</v>
      </c>
      <c r="H63" s="64" t="s">
        <v>175</v>
      </c>
      <c r="I63" s="64" t="s">
        <v>176</v>
      </c>
      <c r="J63" s="64">
        <v>700</v>
      </c>
      <c r="K63" s="64" t="s">
        <v>177</v>
      </c>
      <c r="L63" s="64">
        <v>63057</v>
      </c>
      <c r="M63" s="64" t="s">
        <v>178</v>
      </c>
      <c r="N63" s="64">
        <v>336</v>
      </c>
      <c r="O63" s="64" t="s">
        <v>179</v>
      </c>
      <c r="P63" s="64" t="s">
        <v>180</v>
      </c>
      <c r="Q63" s="64" t="s">
        <v>181</v>
      </c>
      <c r="R63" s="64" t="s">
        <v>92</v>
      </c>
      <c r="U63" s="64">
        <f t="shared" si="0"/>
        <v>336</v>
      </c>
      <c r="W63" s="65">
        <f t="shared" si="1"/>
        <v>2.5263392773898441</v>
      </c>
      <c r="Y63" s="63"/>
      <c r="AS63" s="64" t="str">
        <f t="shared" si="2"/>
        <v>Exclude</v>
      </c>
      <c r="AU63" s="65" t="str">
        <f t="shared" si="3"/>
        <v>Exclude</v>
      </c>
    </row>
    <row r="64" spans="1:47" s="64" customFormat="1" x14ac:dyDescent="0.25">
      <c r="A64" s="63" t="s">
        <v>170</v>
      </c>
      <c r="B64" s="64">
        <v>1</v>
      </c>
      <c r="C64" s="64" t="s">
        <v>171</v>
      </c>
      <c r="D64" s="64">
        <v>35</v>
      </c>
      <c r="E64" s="64" t="s">
        <v>172</v>
      </c>
      <c r="F64" s="64" t="s">
        <v>173</v>
      </c>
      <c r="G64" s="64" t="s">
        <v>174</v>
      </c>
      <c r="H64" s="64" t="s">
        <v>175</v>
      </c>
      <c r="I64" s="64" t="s">
        <v>176</v>
      </c>
      <c r="J64" s="64">
        <v>799</v>
      </c>
      <c r="K64" s="64" t="s">
        <v>177</v>
      </c>
      <c r="L64" s="64">
        <v>64675</v>
      </c>
      <c r="M64" s="64" t="s">
        <v>178</v>
      </c>
      <c r="N64" s="64">
        <v>321</v>
      </c>
      <c r="O64" s="64" t="s">
        <v>179</v>
      </c>
      <c r="P64" s="64" t="s">
        <v>180</v>
      </c>
      <c r="Q64" s="64" t="s">
        <v>181</v>
      </c>
      <c r="R64" s="64" t="s">
        <v>92</v>
      </c>
      <c r="U64" s="64">
        <f t="shared" si="0"/>
        <v>321</v>
      </c>
      <c r="W64" s="65">
        <f t="shared" si="1"/>
        <v>2.5065050324048719</v>
      </c>
      <c r="Y64" s="63"/>
      <c r="AS64" s="64" t="str">
        <f t="shared" si="2"/>
        <v>Exclude</v>
      </c>
      <c r="AU64" s="65" t="str">
        <f t="shared" si="3"/>
        <v>Exclude</v>
      </c>
    </row>
    <row r="65" spans="1:47" s="64" customFormat="1" x14ac:dyDescent="0.25">
      <c r="A65" s="63" t="s">
        <v>170</v>
      </c>
      <c r="B65" s="64">
        <v>1</v>
      </c>
      <c r="C65" s="64" t="s">
        <v>171</v>
      </c>
      <c r="D65" s="64">
        <v>36</v>
      </c>
      <c r="E65" s="64" t="s">
        <v>172</v>
      </c>
      <c r="F65" s="64" t="s">
        <v>173</v>
      </c>
      <c r="G65" s="64" t="s">
        <v>174</v>
      </c>
      <c r="H65" s="64" t="s">
        <v>175</v>
      </c>
      <c r="I65" s="64" t="s">
        <v>176</v>
      </c>
      <c r="J65" s="64">
        <v>1288</v>
      </c>
      <c r="K65" s="64" t="s">
        <v>177</v>
      </c>
      <c r="L65" s="64">
        <v>66799</v>
      </c>
      <c r="M65" s="64" t="s">
        <v>178</v>
      </c>
      <c r="N65" s="64">
        <v>336</v>
      </c>
      <c r="O65" s="64" t="s">
        <v>179</v>
      </c>
      <c r="P65" s="64" t="s">
        <v>180</v>
      </c>
      <c r="Q65" s="64" t="s">
        <v>181</v>
      </c>
      <c r="R65" s="64" t="s">
        <v>92</v>
      </c>
      <c r="U65" s="64">
        <f t="shared" si="0"/>
        <v>336</v>
      </c>
      <c r="W65" s="65">
        <f t="shared" si="1"/>
        <v>2.5263392773898441</v>
      </c>
      <c r="Y65" s="63"/>
      <c r="AS65" s="64" t="str">
        <f t="shared" si="2"/>
        <v>Exclude</v>
      </c>
      <c r="AU65" s="65" t="str">
        <f t="shared" si="3"/>
        <v>Exclude</v>
      </c>
    </row>
    <row r="66" spans="1:47" s="64" customFormat="1" x14ac:dyDescent="0.25">
      <c r="A66" s="63" t="s">
        <v>170</v>
      </c>
      <c r="B66" s="64">
        <v>1</v>
      </c>
      <c r="C66" s="64" t="s">
        <v>171</v>
      </c>
      <c r="D66" s="64">
        <v>37</v>
      </c>
      <c r="E66" s="64" t="s">
        <v>172</v>
      </c>
      <c r="F66" s="64" t="s">
        <v>173</v>
      </c>
      <c r="G66" s="64" t="s">
        <v>174</v>
      </c>
      <c r="H66" s="64" t="s">
        <v>175</v>
      </c>
      <c r="I66" s="64" t="s">
        <v>176</v>
      </c>
      <c r="J66" s="64">
        <v>1385</v>
      </c>
      <c r="K66" s="64" t="s">
        <v>177</v>
      </c>
      <c r="L66" s="64">
        <v>68945</v>
      </c>
      <c r="M66" s="64" t="s">
        <v>178</v>
      </c>
      <c r="N66" s="64">
        <v>273</v>
      </c>
      <c r="O66" s="64" t="s">
        <v>179</v>
      </c>
      <c r="P66" s="64" t="s">
        <v>180</v>
      </c>
      <c r="Q66" s="64" t="s">
        <v>181</v>
      </c>
      <c r="R66" s="64" t="s">
        <v>92</v>
      </c>
      <c r="U66" s="64">
        <f t="shared" si="0"/>
        <v>273</v>
      </c>
      <c r="W66" s="65">
        <f t="shared" si="1"/>
        <v>2.436162647040756</v>
      </c>
      <c r="Y66" s="63"/>
      <c r="AS66" s="64" t="str">
        <f t="shared" si="2"/>
        <v>Exclude</v>
      </c>
      <c r="AU66" s="65" t="str">
        <f t="shared" si="3"/>
        <v>Exclude</v>
      </c>
    </row>
    <row r="67" spans="1:47" s="64" customFormat="1" x14ac:dyDescent="0.25">
      <c r="A67" s="63" t="s">
        <v>170</v>
      </c>
      <c r="B67" s="64">
        <v>1</v>
      </c>
      <c r="C67" s="64" t="s">
        <v>171</v>
      </c>
      <c r="D67" s="64">
        <v>38</v>
      </c>
      <c r="E67" s="64" t="s">
        <v>172</v>
      </c>
      <c r="F67" s="64" t="s">
        <v>173</v>
      </c>
      <c r="G67" s="64" t="s">
        <v>174</v>
      </c>
      <c r="H67" s="64" t="s">
        <v>175</v>
      </c>
      <c r="I67" s="64" t="s">
        <v>176</v>
      </c>
      <c r="J67" s="64">
        <v>587</v>
      </c>
      <c r="K67" s="64" t="s">
        <v>177</v>
      </c>
      <c r="L67" s="64">
        <v>70362</v>
      </c>
      <c r="M67" s="64" t="s">
        <v>178</v>
      </c>
      <c r="N67" s="64">
        <v>321</v>
      </c>
      <c r="O67" s="64" t="s">
        <v>179</v>
      </c>
      <c r="P67" s="64" t="s">
        <v>180</v>
      </c>
      <c r="Q67" s="64" t="s">
        <v>181</v>
      </c>
      <c r="R67" s="64" t="s">
        <v>92</v>
      </c>
      <c r="U67" s="64">
        <f t="shared" si="0"/>
        <v>321</v>
      </c>
      <c r="W67" s="65">
        <f t="shared" si="1"/>
        <v>2.5065050324048719</v>
      </c>
      <c r="Y67" s="63"/>
      <c r="AS67" s="64" t="str">
        <f t="shared" si="2"/>
        <v>Exclude</v>
      </c>
      <c r="AU67" s="65" t="str">
        <f t="shared" si="3"/>
        <v>Exclude</v>
      </c>
    </row>
    <row r="68" spans="1:47" s="64" customFormat="1" x14ac:dyDescent="0.25">
      <c r="A68" s="63" t="s">
        <v>170</v>
      </c>
      <c r="B68" s="64">
        <v>1</v>
      </c>
      <c r="C68" s="64" t="s">
        <v>171</v>
      </c>
      <c r="D68" s="64">
        <v>39</v>
      </c>
      <c r="E68" s="64" t="s">
        <v>172</v>
      </c>
      <c r="F68" s="64" t="s">
        <v>173</v>
      </c>
      <c r="G68" s="64" t="s">
        <v>174</v>
      </c>
      <c r="H68" s="64" t="s">
        <v>175</v>
      </c>
      <c r="I68" s="64" t="s">
        <v>176</v>
      </c>
      <c r="J68" s="64">
        <v>619</v>
      </c>
      <c r="K68" s="64" t="s">
        <v>177</v>
      </c>
      <c r="L68" s="64">
        <v>71806</v>
      </c>
      <c r="M68" s="64" t="s">
        <v>178</v>
      </c>
      <c r="N68" s="64">
        <v>320</v>
      </c>
      <c r="O68" s="64" t="s">
        <v>179</v>
      </c>
      <c r="P68" s="64" t="s">
        <v>180</v>
      </c>
      <c r="Q68" s="64" t="s">
        <v>181</v>
      </c>
      <c r="R68" s="64" t="s">
        <v>92</v>
      </c>
      <c r="U68" s="64">
        <f t="shared" si="0"/>
        <v>320</v>
      </c>
      <c r="W68" s="65">
        <f t="shared" si="1"/>
        <v>2.5051499783199058</v>
      </c>
      <c r="Y68" s="63"/>
      <c r="AS68" s="64" t="str">
        <f t="shared" si="2"/>
        <v>Exclude</v>
      </c>
      <c r="AU68" s="65" t="str">
        <f t="shared" si="3"/>
        <v>Exclude</v>
      </c>
    </row>
    <row r="69" spans="1:47" s="64" customFormat="1" x14ac:dyDescent="0.25">
      <c r="A69" s="63" t="s">
        <v>170</v>
      </c>
      <c r="B69" s="64">
        <v>1</v>
      </c>
      <c r="C69" s="64" t="s">
        <v>171</v>
      </c>
      <c r="D69" s="64">
        <v>40</v>
      </c>
      <c r="E69" s="64" t="s">
        <v>172</v>
      </c>
      <c r="F69" s="64" t="s">
        <v>173</v>
      </c>
      <c r="G69" s="64" t="s">
        <v>174</v>
      </c>
      <c r="H69" s="64" t="s">
        <v>175</v>
      </c>
      <c r="I69" s="64" t="s">
        <v>176</v>
      </c>
      <c r="J69" s="64">
        <v>1337</v>
      </c>
      <c r="K69" s="64" t="s">
        <v>177</v>
      </c>
      <c r="L69" s="64">
        <v>74196</v>
      </c>
      <c r="M69" s="64" t="s">
        <v>178</v>
      </c>
      <c r="N69" s="64">
        <v>555</v>
      </c>
      <c r="O69" s="64" t="s">
        <v>179</v>
      </c>
      <c r="P69" s="64" t="s">
        <v>180</v>
      </c>
      <c r="Q69" s="64" t="s">
        <v>181</v>
      </c>
      <c r="R69" s="64" t="s">
        <v>92</v>
      </c>
      <c r="U69" s="64">
        <f t="shared" si="0"/>
        <v>555</v>
      </c>
      <c r="W69" s="65">
        <f t="shared" si="1"/>
        <v>2.7442929831226763</v>
      </c>
      <c r="Y69" s="63"/>
      <c r="AS69" s="64" t="str">
        <f t="shared" si="2"/>
        <v>Exclude</v>
      </c>
      <c r="AU69" s="65" t="str">
        <f t="shared" si="3"/>
        <v>Exclude</v>
      </c>
    </row>
    <row r="70" spans="1:47" s="64" customFormat="1" x14ac:dyDescent="0.25">
      <c r="A70" s="63" t="s">
        <v>170</v>
      </c>
      <c r="B70" s="64">
        <v>1</v>
      </c>
      <c r="C70" s="64" t="s">
        <v>171</v>
      </c>
      <c r="D70" s="64">
        <v>41</v>
      </c>
      <c r="E70" s="64" t="s">
        <v>172</v>
      </c>
      <c r="F70" s="64" t="s">
        <v>173</v>
      </c>
      <c r="G70" s="64" t="s">
        <v>174</v>
      </c>
      <c r="H70" s="64" t="s">
        <v>175</v>
      </c>
      <c r="I70" s="64" t="s">
        <v>176</v>
      </c>
      <c r="J70" s="64">
        <v>969</v>
      </c>
      <c r="K70" s="64" t="s">
        <v>177</v>
      </c>
      <c r="L70" s="64">
        <v>75963</v>
      </c>
      <c r="M70" s="64" t="s">
        <v>178</v>
      </c>
      <c r="N70" s="64">
        <v>310</v>
      </c>
      <c r="O70" s="64" t="s">
        <v>179</v>
      </c>
      <c r="P70" s="64" t="s">
        <v>180</v>
      </c>
      <c r="Q70" s="64" t="s">
        <v>181</v>
      </c>
      <c r="R70" s="64" t="s">
        <v>92</v>
      </c>
      <c r="U70" s="64">
        <f t="shared" si="0"/>
        <v>310</v>
      </c>
      <c r="W70" s="65">
        <f t="shared" si="1"/>
        <v>2.4913616938342726</v>
      </c>
      <c r="Y70" s="63"/>
      <c r="AS70" s="64" t="str">
        <f t="shared" si="2"/>
        <v>Exclude</v>
      </c>
      <c r="AU70" s="65" t="str">
        <f t="shared" si="3"/>
        <v>Exclude</v>
      </c>
    </row>
    <row r="71" spans="1:47" s="64" customFormat="1" x14ac:dyDescent="0.25">
      <c r="A71" s="63" t="s">
        <v>170</v>
      </c>
      <c r="B71" s="64">
        <v>1</v>
      </c>
      <c r="C71" s="64" t="s">
        <v>171</v>
      </c>
      <c r="D71" s="64">
        <v>42</v>
      </c>
      <c r="E71" s="64" t="s">
        <v>172</v>
      </c>
      <c r="F71" s="64" t="s">
        <v>173</v>
      </c>
      <c r="G71" s="64" t="s">
        <v>174</v>
      </c>
      <c r="H71" s="64" t="s">
        <v>175</v>
      </c>
      <c r="I71" s="64" t="s">
        <v>176</v>
      </c>
      <c r="J71" s="64">
        <v>584</v>
      </c>
      <c r="K71" s="64" t="s">
        <v>177</v>
      </c>
      <c r="L71" s="64">
        <v>77396</v>
      </c>
      <c r="M71" s="64" t="s">
        <v>178</v>
      </c>
      <c r="N71" s="64">
        <v>356</v>
      </c>
      <c r="O71" s="64" t="s">
        <v>179</v>
      </c>
      <c r="P71" s="64" t="s">
        <v>180</v>
      </c>
      <c r="Q71" s="64" t="s">
        <v>181</v>
      </c>
      <c r="R71" s="64" t="s">
        <v>92</v>
      </c>
      <c r="U71" s="64">
        <f t="shared" si="0"/>
        <v>356</v>
      </c>
      <c r="W71" s="65">
        <f t="shared" si="1"/>
        <v>2.5514499979728753</v>
      </c>
      <c r="Y71" s="63"/>
      <c r="AS71" s="64" t="str">
        <f t="shared" si="2"/>
        <v>Exclude</v>
      </c>
      <c r="AU71" s="65" t="str">
        <f t="shared" si="3"/>
        <v>Exclude</v>
      </c>
    </row>
    <row r="72" spans="1:47" s="64" customFormat="1" x14ac:dyDescent="0.25">
      <c r="A72" s="63" t="s">
        <v>170</v>
      </c>
      <c r="B72" s="64">
        <v>1</v>
      </c>
      <c r="C72" s="64" t="s">
        <v>171</v>
      </c>
      <c r="D72" s="64">
        <v>43</v>
      </c>
      <c r="E72" s="64" t="s">
        <v>172</v>
      </c>
      <c r="F72" s="64" t="s">
        <v>173</v>
      </c>
      <c r="G72" s="64" t="s">
        <v>174</v>
      </c>
      <c r="H72" s="64" t="s">
        <v>175</v>
      </c>
      <c r="I72" s="64" t="s">
        <v>176</v>
      </c>
      <c r="J72" s="64">
        <v>538</v>
      </c>
      <c r="K72" s="64" t="s">
        <v>177</v>
      </c>
      <c r="L72" s="64">
        <v>78770</v>
      </c>
      <c r="M72" s="64" t="s">
        <v>178</v>
      </c>
      <c r="N72" s="64">
        <v>341</v>
      </c>
      <c r="O72" s="64" t="s">
        <v>179</v>
      </c>
      <c r="P72" s="64" t="s">
        <v>180</v>
      </c>
      <c r="Q72" s="64" t="s">
        <v>181</v>
      </c>
      <c r="R72" s="64" t="s">
        <v>92</v>
      </c>
      <c r="U72" s="64">
        <f t="shared" si="0"/>
        <v>341</v>
      </c>
      <c r="W72" s="65">
        <f t="shared" si="1"/>
        <v>2.5327543789924976</v>
      </c>
      <c r="Y72" s="63"/>
      <c r="AS72" s="64" t="str">
        <f t="shared" si="2"/>
        <v>Exclude</v>
      </c>
      <c r="AU72" s="65" t="str">
        <f t="shared" si="3"/>
        <v>Exclude</v>
      </c>
    </row>
    <row r="73" spans="1:47" s="64" customFormat="1" x14ac:dyDescent="0.25">
      <c r="A73" s="63"/>
      <c r="U73" s="64" t="str">
        <f t="shared" si="0"/>
        <v>Exclude</v>
      </c>
      <c r="W73" s="65" t="str">
        <f t="shared" si="1"/>
        <v>Exclude</v>
      </c>
      <c r="Y73" s="63"/>
      <c r="AS73" s="64" t="str">
        <f t="shared" si="2"/>
        <v>Exclude</v>
      </c>
      <c r="AU73" s="65" t="str">
        <f t="shared" si="3"/>
        <v>Exclude</v>
      </c>
    </row>
    <row r="74" spans="1:47" s="64" customFormat="1" x14ac:dyDescent="0.25">
      <c r="A74" s="63"/>
      <c r="U74" s="64" t="str">
        <f t="shared" si="0"/>
        <v>Exclude</v>
      </c>
      <c r="W74" s="65" t="str">
        <f t="shared" si="1"/>
        <v>Exclude</v>
      </c>
      <c r="Y74" s="63"/>
      <c r="AS74" s="64" t="str">
        <f t="shared" si="2"/>
        <v>Exclude</v>
      </c>
      <c r="AU74" s="65" t="str">
        <f t="shared" si="3"/>
        <v>Exclude</v>
      </c>
    </row>
    <row r="75" spans="1:47" s="64" customFormat="1" x14ac:dyDescent="0.25">
      <c r="A75" s="63"/>
      <c r="U75" s="64" t="str">
        <f t="shared" si="0"/>
        <v>Exclude</v>
      </c>
      <c r="W75" s="65" t="str">
        <f t="shared" si="1"/>
        <v>Exclude</v>
      </c>
      <c r="Y75" s="63"/>
      <c r="AS75" s="64" t="str">
        <f t="shared" si="2"/>
        <v>Exclude</v>
      </c>
      <c r="AU75" s="65" t="str">
        <f t="shared" si="3"/>
        <v>Exclude</v>
      </c>
    </row>
    <row r="76" spans="1:47" s="64" customFormat="1" x14ac:dyDescent="0.25">
      <c r="A76" s="63"/>
      <c r="U76" s="64" t="str">
        <f t="shared" si="0"/>
        <v>Exclude</v>
      </c>
      <c r="W76" s="65" t="str">
        <f t="shared" si="1"/>
        <v>Exclude</v>
      </c>
      <c r="Y76" s="63"/>
      <c r="AS76" s="64" t="str">
        <f t="shared" si="2"/>
        <v>Exclude</v>
      </c>
      <c r="AU76" s="65" t="str">
        <f t="shared" si="3"/>
        <v>Exclude</v>
      </c>
    </row>
    <row r="77" spans="1:47" s="64" customFormat="1" x14ac:dyDescent="0.25">
      <c r="A77" s="63"/>
      <c r="U77" s="64" t="str">
        <f t="shared" si="0"/>
        <v>Exclude</v>
      </c>
      <c r="W77" s="65" t="str">
        <f t="shared" si="1"/>
        <v>Exclude</v>
      </c>
      <c r="Y77" s="63"/>
      <c r="AS77" s="64" t="str">
        <f t="shared" si="2"/>
        <v>Exclude</v>
      </c>
      <c r="AU77" s="65" t="str">
        <f t="shared" si="3"/>
        <v>Exclude</v>
      </c>
    </row>
    <row r="78" spans="1:47" s="64" customFormat="1" x14ac:dyDescent="0.25">
      <c r="A78" s="63"/>
      <c r="U78" s="64" t="str">
        <f t="shared" si="0"/>
        <v>Exclude</v>
      </c>
      <c r="W78" s="65" t="str">
        <f t="shared" si="1"/>
        <v>Exclude</v>
      </c>
      <c r="Y78" s="63"/>
      <c r="AS78" s="64" t="str">
        <f t="shared" si="2"/>
        <v>Exclude</v>
      </c>
      <c r="AU78" s="65" t="str">
        <f t="shared" si="3"/>
        <v>Exclude</v>
      </c>
    </row>
    <row r="79" spans="1:47" s="64" customFormat="1" x14ac:dyDescent="0.25">
      <c r="A79" s="63"/>
      <c r="U79" s="64" t="str">
        <f t="shared" si="0"/>
        <v>Exclude</v>
      </c>
      <c r="W79" s="65" t="str">
        <f t="shared" si="1"/>
        <v>Exclude</v>
      </c>
      <c r="Y79" s="63"/>
      <c r="AS79" s="64" t="str">
        <f t="shared" si="2"/>
        <v>Exclude</v>
      </c>
      <c r="AU79" s="65" t="str">
        <f t="shared" si="3"/>
        <v>Exclude</v>
      </c>
    </row>
    <row r="80" spans="1:47" s="64" customFormat="1" x14ac:dyDescent="0.25">
      <c r="A80" s="63"/>
      <c r="U80" s="64" t="str">
        <f t="shared" si="0"/>
        <v>Exclude</v>
      </c>
      <c r="W80" s="65" t="str">
        <f t="shared" si="1"/>
        <v>Exclude</v>
      </c>
      <c r="Y80" s="63"/>
      <c r="AS80" s="64" t="str">
        <f t="shared" si="2"/>
        <v>Exclude</v>
      </c>
      <c r="AU80" s="65" t="str">
        <f t="shared" si="3"/>
        <v>Exclude</v>
      </c>
    </row>
    <row r="81" spans="1:47" s="64" customFormat="1" x14ac:dyDescent="0.25">
      <c r="A81" s="63"/>
      <c r="U81" s="64" t="str">
        <f t="shared" si="0"/>
        <v>Exclude</v>
      </c>
      <c r="W81" s="65" t="str">
        <f t="shared" si="1"/>
        <v>Exclude</v>
      </c>
      <c r="Y81" s="63"/>
      <c r="AS81" s="64" t="str">
        <f t="shared" si="2"/>
        <v>Exclude</v>
      </c>
      <c r="AU81" s="65" t="str">
        <f t="shared" si="3"/>
        <v>Exclude</v>
      </c>
    </row>
    <row r="82" spans="1:47" s="64" customFormat="1" x14ac:dyDescent="0.25">
      <c r="A82" s="63"/>
      <c r="U82" s="64" t="str">
        <f t="shared" si="0"/>
        <v>Exclude</v>
      </c>
      <c r="W82" s="65" t="str">
        <f t="shared" si="1"/>
        <v>Exclude</v>
      </c>
      <c r="Y82" s="63"/>
      <c r="AS82" s="64" t="str">
        <f t="shared" si="2"/>
        <v>Exclude</v>
      </c>
      <c r="AU82" s="65" t="str">
        <f t="shared" si="3"/>
        <v>Exclude</v>
      </c>
    </row>
    <row r="83" spans="1:47" s="64" customFormat="1" x14ac:dyDescent="0.25">
      <c r="A83" s="63"/>
      <c r="U83" s="64" t="str">
        <f t="shared" si="0"/>
        <v>Exclude</v>
      </c>
      <c r="W83" s="65" t="str">
        <f t="shared" si="1"/>
        <v>Exclude</v>
      </c>
      <c r="Y83" s="63"/>
      <c r="AS83" s="64" t="str">
        <f t="shared" si="2"/>
        <v>Exclude</v>
      </c>
      <c r="AU83" s="65" t="str">
        <f t="shared" si="3"/>
        <v>Exclude</v>
      </c>
    </row>
    <row r="84" spans="1:47" s="64" customFormat="1" x14ac:dyDescent="0.25">
      <c r="A84" s="63"/>
      <c r="U84" s="64" t="str">
        <f t="shared" si="0"/>
        <v>Exclude</v>
      </c>
      <c r="W84" s="65" t="str">
        <f t="shared" si="1"/>
        <v>Exclude</v>
      </c>
      <c r="Y84" s="63"/>
      <c r="AS84" s="64" t="str">
        <f t="shared" si="2"/>
        <v>Exclude</v>
      </c>
      <c r="AU84" s="65" t="str">
        <f t="shared" si="3"/>
        <v>Exclude</v>
      </c>
    </row>
    <row r="85" spans="1:47" s="64" customFormat="1" x14ac:dyDescent="0.25">
      <c r="A85" s="63"/>
      <c r="U85" s="64" t="str">
        <f t="shared" si="0"/>
        <v>Exclude</v>
      </c>
      <c r="W85" s="65" t="str">
        <f t="shared" si="1"/>
        <v>Exclude</v>
      </c>
      <c r="Y85" s="63"/>
      <c r="AS85" s="64" t="str">
        <f t="shared" si="2"/>
        <v>Exclude</v>
      </c>
      <c r="AU85" s="65" t="str">
        <f t="shared" si="3"/>
        <v>Exclude</v>
      </c>
    </row>
    <row r="86" spans="1:47" s="64" customFormat="1" x14ac:dyDescent="0.25">
      <c r="A86" s="63"/>
      <c r="U86" s="64" t="str">
        <f t="shared" si="0"/>
        <v>Exclude</v>
      </c>
      <c r="W86" s="65" t="str">
        <f t="shared" si="1"/>
        <v>Exclude</v>
      </c>
      <c r="Y86" s="63"/>
      <c r="AS86" s="64" t="str">
        <f t="shared" si="2"/>
        <v>Exclude</v>
      </c>
      <c r="AU86" s="65" t="str">
        <f t="shared" si="3"/>
        <v>Exclude</v>
      </c>
    </row>
    <row r="87" spans="1:47" s="64" customFormat="1" x14ac:dyDescent="0.25">
      <c r="A87" s="63"/>
      <c r="U87" s="64" t="str">
        <f t="shared" ref="U87:U150" si="4">IF(R87="TruePositive",IF(R86&lt;&gt;"Anticipatory",(N87),"Pant"),"Exclude")</f>
        <v>Exclude</v>
      </c>
      <c r="W87" s="65" t="str">
        <f t="shared" ref="W87:W150" si="5">IF(R87="TruePositive",IF(R86&lt;&gt;"Anticipatory",LOG10(N87),"Exclude"),"Exclude")</f>
        <v>Exclude</v>
      </c>
      <c r="Y87" s="63"/>
      <c r="AS87" s="64" t="str">
        <f t="shared" ref="AS87:AS150" si="6">IF(AP87="TruePositive",IF(AP86&lt;&gt;"Anticipatory",(AL87),"Pant"),"Exclude")</f>
        <v>Exclude</v>
      </c>
      <c r="AU87" s="65" t="str">
        <f t="shared" ref="AU87:AU150" si="7">IF(AP87="TruePositive",IF(AP86&lt;&gt;"Anticipatory",LOG10(AL87),"Exclude"),"Exclude")</f>
        <v>Exclude</v>
      </c>
    </row>
    <row r="88" spans="1:47" s="64" customFormat="1" x14ac:dyDescent="0.25">
      <c r="A88" s="63"/>
      <c r="U88" s="64" t="str">
        <f t="shared" si="4"/>
        <v>Exclude</v>
      </c>
      <c r="W88" s="65" t="str">
        <f t="shared" si="5"/>
        <v>Exclude</v>
      </c>
      <c r="Y88" s="63"/>
      <c r="AS88" s="64" t="str">
        <f t="shared" si="6"/>
        <v>Exclude</v>
      </c>
      <c r="AU88" s="65" t="str">
        <f t="shared" si="7"/>
        <v>Exclude</v>
      </c>
    </row>
    <row r="89" spans="1:47" s="64" customFormat="1" x14ac:dyDescent="0.25">
      <c r="A89" s="63"/>
      <c r="U89" s="64" t="str">
        <f t="shared" si="4"/>
        <v>Exclude</v>
      </c>
      <c r="W89" s="65" t="str">
        <f t="shared" si="5"/>
        <v>Exclude</v>
      </c>
      <c r="Y89" s="63"/>
      <c r="AS89" s="64" t="str">
        <f t="shared" si="6"/>
        <v>Exclude</v>
      </c>
      <c r="AU89" s="65" t="str">
        <f t="shared" si="7"/>
        <v>Exclude</v>
      </c>
    </row>
    <row r="90" spans="1:47" s="64" customFormat="1" x14ac:dyDescent="0.25">
      <c r="A90" s="63"/>
      <c r="U90" s="64" t="str">
        <f t="shared" si="4"/>
        <v>Exclude</v>
      </c>
      <c r="W90" s="65" t="str">
        <f t="shared" si="5"/>
        <v>Exclude</v>
      </c>
      <c r="Y90" s="63"/>
      <c r="AS90" s="64" t="str">
        <f t="shared" si="6"/>
        <v>Exclude</v>
      </c>
      <c r="AU90" s="65" t="str">
        <f t="shared" si="7"/>
        <v>Exclude</v>
      </c>
    </row>
    <row r="91" spans="1:47" s="64" customFormat="1" x14ac:dyDescent="0.25">
      <c r="A91" s="63"/>
      <c r="U91" s="64" t="str">
        <f t="shared" si="4"/>
        <v>Exclude</v>
      </c>
      <c r="W91" s="65" t="str">
        <f t="shared" si="5"/>
        <v>Exclude</v>
      </c>
      <c r="Y91" s="63"/>
      <c r="AS91" s="64" t="str">
        <f t="shared" si="6"/>
        <v>Exclude</v>
      </c>
      <c r="AU91" s="65" t="str">
        <f t="shared" si="7"/>
        <v>Exclude</v>
      </c>
    </row>
    <row r="92" spans="1:47" s="64" customFormat="1" x14ac:dyDescent="0.25">
      <c r="A92" s="63"/>
      <c r="U92" s="64" t="str">
        <f t="shared" si="4"/>
        <v>Exclude</v>
      </c>
      <c r="W92" s="65" t="str">
        <f t="shared" si="5"/>
        <v>Exclude</v>
      </c>
      <c r="Y92" s="63"/>
      <c r="AS92" s="64" t="str">
        <f t="shared" si="6"/>
        <v>Exclude</v>
      </c>
      <c r="AU92" s="65" t="str">
        <f t="shared" si="7"/>
        <v>Exclude</v>
      </c>
    </row>
    <row r="93" spans="1:47" s="64" customFormat="1" x14ac:dyDescent="0.25">
      <c r="A93" s="63"/>
      <c r="U93" s="64" t="str">
        <f t="shared" si="4"/>
        <v>Exclude</v>
      </c>
      <c r="W93" s="65" t="str">
        <f t="shared" si="5"/>
        <v>Exclude</v>
      </c>
      <c r="Y93" s="63"/>
      <c r="AS93" s="64" t="str">
        <f t="shared" si="6"/>
        <v>Exclude</v>
      </c>
      <c r="AU93" s="65" t="str">
        <f t="shared" si="7"/>
        <v>Exclude</v>
      </c>
    </row>
    <row r="94" spans="1:47" s="64" customFormat="1" x14ac:dyDescent="0.25">
      <c r="A94" s="63"/>
      <c r="U94" s="64" t="str">
        <f t="shared" si="4"/>
        <v>Exclude</v>
      </c>
      <c r="W94" s="65" t="str">
        <f t="shared" si="5"/>
        <v>Exclude</v>
      </c>
      <c r="Y94" s="63"/>
      <c r="AS94" s="64" t="str">
        <f t="shared" si="6"/>
        <v>Exclude</v>
      </c>
      <c r="AU94" s="65" t="str">
        <f t="shared" si="7"/>
        <v>Exclude</v>
      </c>
    </row>
    <row r="95" spans="1:47" s="64" customFormat="1" x14ac:dyDescent="0.25">
      <c r="A95" s="63"/>
      <c r="U95" s="64" t="str">
        <f t="shared" si="4"/>
        <v>Exclude</v>
      </c>
      <c r="W95" s="65" t="str">
        <f t="shared" si="5"/>
        <v>Exclude</v>
      </c>
      <c r="Y95" s="63"/>
      <c r="AS95" s="64" t="str">
        <f t="shared" si="6"/>
        <v>Exclude</v>
      </c>
      <c r="AU95" s="65" t="str">
        <f t="shared" si="7"/>
        <v>Exclude</v>
      </c>
    </row>
    <row r="96" spans="1:47" s="64" customFormat="1" x14ac:dyDescent="0.25">
      <c r="A96" s="63"/>
      <c r="U96" s="64" t="str">
        <f t="shared" si="4"/>
        <v>Exclude</v>
      </c>
      <c r="W96" s="65" t="str">
        <f t="shared" si="5"/>
        <v>Exclude</v>
      </c>
      <c r="Y96" s="63"/>
      <c r="AS96" s="64" t="str">
        <f t="shared" si="6"/>
        <v>Exclude</v>
      </c>
      <c r="AU96" s="65" t="str">
        <f t="shared" si="7"/>
        <v>Exclude</v>
      </c>
    </row>
    <row r="97" spans="1:47" s="64" customFormat="1" x14ac:dyDescent="0.25">
      <c r="A97" s="63"/>
      <c r="U97" s="64" t="str">
        <f t="shared" si="4"/>
        <v>Exclude</v>
      </c>
      <c r="W97" s="65" t="str">
        <f t="shared" si="5"/>
        <v>Exclude</v>
      </c>
      <c r="Y97" s="63"/>
      <c r="AS97" s="64" t="str">
        <f t="shared" si="6"/>
        <v>Exclude</v>
      </c>
      <c r="AU97" s="65" t="str">
        <f t="shared" si="7"/>
        <v>Exclude</v>
      </c>
    </row>
    <row r="98" spans="1:47" s="64" customFormat="1" x14ac:dyDescent="0.25">
      <c r="A98" s="63"/>
      <c r="U98" s="64" t="str">
        <f t="shared" si="4"/>
        <v>Exclude</v>
      </c>
      <c r="W98" s="65" t="str">
        <f t="shared" si="5"/>
        <v>Exclude</v>
      </c>
      <c r="Y98" s="63"/>
      <c r="AS98" s="64" t="str">
        <f t="shared" si="6"/>
        <v>Exclude</v>
      </c>
      <c r="AU98" s="65" t="str">
        <f t="shared" si="7"/>
        <v>Exclude</v>
      </c>
    </row>
    <row r="99" spans="1:47" s="64" customFormat="1" x14ac:dyDescent="0.25">
      <c r="A99" s="63"/>
      <c r="U99" s="64" t="str">
        <f t="shared" si="4"/>
        <v>Exclude</v>
      </c>
      <c r="W99" s="65" t="str">
        <f t="shared" si="5"/>
        <v>Exclude</v>
      </c>
      <c r="Y99" s="63"/>
      <c r="AS99" s="64" t="str">
        <f t="shared" si="6"/>
        <v>Exclude</v>
      </c>
      <c r="AU99" s="65" t="str">
        <f t="shared" si="7"/>
        <v>Exclude</v>
      </c>
    </row>
    <row r="100" spans="1:47" s="64" customFormat="1" x14ac:dyDescent="0.25">
      <c r="A100" s="63"/>
      <c r="U100" s="64" t="str">
        <f t="shared" si="4"/>
        <v>Exclude</v>
      </c>
      <c r="W100" s="65" t="str">
        <f t="shared" si="5"/>
        <v>Exclude</v>
      </c>
      <c r="Y100" s="63"/>
      <c r="AS100" s="64" t="str">
        <f t="shared" si="6"/>
        <v>Exclude</v>
      </c>
      <c r="AU100" s="65" t="str">
        <f t="shared" si="7"/>
        <v>Exclude</v>
      </c>
    </row>
    <row r="101" spans="1:47" s="64" customFormat="1" x14ac:dyDescent="0.25">
      <c r="A101" s="63"/>
      <c r="U101" s="64" t="str">
        <f t="shared" si="4"/>
        <v>Exclude</v>
      </c>
      <c r="W101" s="65" t="str">
        <f t="shared" si="5"/>
        <v>Exclude</v>
      </c>
      <c r="Y101" s="63"/>
      <c r="AS101" s="64" t="str">
        <f t="shared" si="6"/>
        <v>Exclude</v>
      </c>
      <c r="AU101" s="65" t="str">
        <f t="shared" si="7"/>
        <v>Exclude</v>
      </c>
    </row>
    <row r="102" spans="1:47" s="64" customFormat="1" x14ac:dyDescent="0.25">
      <c r="A102" s="63"/>
      <c r="U102" s="64" t="str">
        <f t="shared" si="4"/>
        <v>Exclude</v>
      </c>
      <c r="W102" s="65" t="str">
        <f t="shared" si="5"/>
        <v>Exclude</v>
      </c>
      <c r="Y102" s="63"/>
      <c r="AS102" s="64" t="str">
        <f t="shared" si="6"/>
        <v>Exclude</v>
      </c>
      <c r="AU102" s="65" t="str">
        <f t="shared" si="7"/>
        <v>Exclude</v>
      </c>
    </row>
    <row r="103" spans="1:47" s="64" customFormat="1" x14ac:dyDescent="0.25">
      <c r="A103" s="63"/>
      <c r="U103" s="64" t="str">
        <f t="shared" si="4"/>
        <v>Exclude</v>
      </c>
      <c r="W103" s="65" t="str">
        <f t="shared" si="5"/>
        <v>Exclude</v>
      </c>
      <c r="Y103" s="63"/>
      <c r="AS103" s="64" t="str">
        <f t="shared" si="6"/>
        <v>Exclude</v>
      </c>
      <c r="AU103" s="65" t="str">
        <f t="shared" si="7"/>
        <v>Exclude</v>
      </c>
    </row>
    <row r="104" spans="1:47" s="64" customFormat="1" x14ac:dyDescent="0.25">
      <c r="A104" s="63"/>
      <c r="U104" s="64" t="str">
        <f t="shared" si="4"/>
        <v>Exclude</v>
      </c>
      <c r="W104" s="65" t="str">
        <f t="shared" si="5"/>
        <v>Exclude</v>
      </c>
      <c r="Y104" s="63"/>
      <c r="AS104" s="64" t="str">
        <f t="shared" si="6"/>
        <v>Exclude</v>
      </c>
      <c r="AU104" s="65" t="str">
        <f t="shared" si="7"/>
        <v>Exclude</v>
      </c>
    </row>
    <row r="105" spans="1:47" s="64" customFormat="1" x14ac:dyDescent="0.25">
      <c r="A105" s="63"/>
      <c r="U105" s="64" t="str">
        <f t="shared" si="4"/>
        <v>Exclude</v>
      </c>
      <c r="W105" s="65" t="str">
        <f t="shared" si="5"/>
        <v>Exclude</v>
      </c>
      <c r="Y105" s="63"/>
      <c r="AS105" s="64" t="str">
        <f t="shared" si="6"/>
        <v>Exclude</v>
      </c>
      <c r="AU105" s="65" t="str">
        <f t="shared" si="7"/>
        <v>Exclude</v>
      </c>
    </row>
    <row r="106" spans="1:47" s="64" customFormat="1" x14ac:dyDescent="0.25">
      <c r="A106" s="63"/>
      <c r="U106" s="64" t="str">
        <f t="shared" si="4"/>
        <v>Exclude</v>
      </c>
      <c r="W106" s="65" t="str">
        <f t="shared" si="5"/>
        <v>Exclude</v>
      </c>
      <c r="Y106" s="63"/>
      <c r="AS106" s="64" t="str">
        <f t="shared" si="6"/>
        <v>Exclude</v>
      </c>
      <c r="AU106" s="65" t="str">
        <f t="shared" si="7"/>
        <v>Exclude</v>
      </c>
    </row>
    <row r="107" spans="1:47" s="64" customFormat="1" x14ac:dyDescent="0.25">
      <c r="A107" s="63"/>
      <c r="U107" s="64" t="str">
        <f t="shared" si="4"/>
        <v>Exclude</v>
      </c>
      <c r="W107" s="65" t="str">
        <f t="shared" si="5"/>
        <v>Exclude</v>
      </c>
      <c r="Y107" s="63"/>
      <c r="AS107" s="64" t="str">
        <f t="shared" si="6"/>
        <v>Exclude</v>
      </c>
      <c r="AU107" s="65" t="str">
        <f t="shared" si="7"/>
        <v>Exclude</v>
      </c>
    </row>
    <row r="108" spans="1:47" s="64" customFormat="1" x14ac:dyDescent="0.25">
      <c r="A108" s="63"/>
      <c r="U108" s="64" t="str">
        <f t="shared" si="4"/>
        <v>Exclude</v>
      </c>
      <c r="W108" s="65" t="str">
        <f t="shared" si="5"/>
        <v>Exclude</v>
      </c>
      <c r="Y108" s="63"/>
      <c r="AS108" s="64" t="str">
        <f t="shared" si="6"/>
        <v>Exclude</v>
      </c>
      <c r="AU108" s="65" t="str">
        <f t="shared" si="7"/>
        <v>Exclude</v>
      </c>
    </row>
    <row r="109" spans="1:47" s="64" customFormat="1" x14ac:dyDescent="0.25">
      <c r="A109" s="63"/>
      <c r="U109" s="64" t="str">
        <f t="shared" si="4"/>
        <v>Exclude</v>
      </c>
      <c r="W109" s="65" t="str">
        <f t="shared" si="5"/>
        <v>Exclude</v>
      </c>
      <c r="Y109" s="63"/>
      <c r="AS109" s="64" t="str">
        <f t="shared" si="6"/>
        <v>Exclude</v>
      </c>
      <c r="AU109" s="65" t="str">
        <f t="shared" si="7"/>
        <v>Exclude</v>
      </c>
    </row>
    <row r="110" spans="1:47" s="64" customFormat="1" x14ac:dyDescent="0.25">
      <c r="A110" s="63"/>
      <c r="U110" s="64" t="str">
        <f t="shared" si="4"/>
        <v>Exclude</v>
      </c>
      <c r="W110" s="65" t="str">
        <f t="shared" si="5"/>
        <v>Exclude</v>
      </c>
      <c r="Y110" s="63"/>
      <c r="AS110" s="64" t="str">
        <f t="shared" si="6"/>
        <v>Exclude</v>
      </c>
      <c r="AU110" s="65" t="str">
        <f t="shared" si="7"/>
        <v>Exclude</v>
      </c>
    </row>
    <row r="111" spans="1:47" s="64" customFormat="1" x14ac:dyDescent="0.25">
      <c r="A111" s="63"/>
      <c r="U111" s="64" t="str">
        <f t="shared" si="4"/>
        <v>Exclude</v>
      </c>
      <c r="W111" s="65" t="str">
        <f t="shared" si="5"/>
        <v>Exclude</v>
      </c>
      <c r="Y111" s="63"/>
      <c r="AS111" s="64" t="str">
        <f t="shared" si="6"/>
        <v>Exclude</v>
      </c>
      <c r="AU111" s="65" t="str">
        <f t="shared" si="7"/>
        <v>Exclude</v>
      </c>
    </row>
    <row r="112" spans="1:47" s="64" customFormat="1" x14ac:dyDescent="0.25">
      <c r="A112" s="63"/>
      <c r="U112" s="64" t="str">
        <f t="shared" si="4"/>
        <v>Exclude</v>
      </c>
      <c r="W112" s="65" t="str">
        <f t="shared" si="5"/>
        <v>Exclude</v>
      </c>
      <c r="Y112" s="63"/>
      <c r="AS112" s="64" t="str">
        <f t="shared" si="6"/>
        <v>Exclude</v>
      </c>
      <c r="AU112" s="65" t="str">
        <f t="shared" si="7"/>
        <v>Exclude</v>
      </c>
    </row>
    <row r="113" spans="1:47" s="64" customFormat="1" x14ac:dyDescent="0.25">
      <c r="A113" s="63"/>
      <c r="U113" s="64" t="str">
        <f t="shared" si="4"/>
        <v>Exclude</v>
      </c>
      <c r="W113" s="65" t="str">
        <f t="shared" si="5"/>
        <v>Exclude</v>
      </c>
      <c r="Y113" s="63"/>
      <c r="AS113" s="64" t="str">
        <f t="shared" si="6"/>
        <v>Exclude</v>
      </c>
      <c r="AU113" s="65" t="str">
        <f t="shared" si="7"/>
        <v>Exclude</v>
      </c>
    </row>
    <row r="114" spans="1:47" s="64" customFormat="1" x14ac:dyDescent="0.25">
      <c r="A114" s="63"/>
      <c r="U114" s="64" t="str">
        <f t="shared" si="4"/>
        <v>Exclude</v>
      </c>
      <c r="W114" s="65" t="str">
        <f t="shared" si="5"/>
        <v>Exclude</v>
      </c>
      <c r="Y114" s="63"/>
      <c r="AS114" s="64" t="str">
        <f t="shared" si="6"/>
        <v>Exclude</v>
      </c>
      <c r="AU114" s="65" t="str">
        <f t="shared" si="7"/>
        <v>Exclude</v>
      </c>
    </row>
    <row r="115" spans="1:47" s="64" customFormat="1" x14ac:dyDescent="0.25">
      <c r="A115" s="63"/>
      <c r="U115" s="64" t="str">
        <f t="shared" si="4"/>
        <v>Exclude</v>
      </c>
      <c r="W115" s="65" t="str">
        <f t="shared" si="5"/>
        <v>Exclude</v>
      </c>
      <c r="Y115" s="63"/>
      <c r="AS115" s="64" t="str">
        <f t="shared" si="6"/>
        <v>Exclude</v>
      </c>
      <c r="AU115" s="65" t="str">
        <f t="shared" si="7"/>
        <v>Exclude</v>
      </c>
    </row>
    <row r="116" spans="1:47" s="64" customFormat="1" x14ac:dyDescent="0.25">
      <c r="A116" s="63"/>
      <c r="U116" s="64" t="str">
        <f t="shared" si="4"/>
        <v>Exclude</v>
      </c>
      <c r="W116" s="65" t="str">
        <f t="shared" si="5"/>
        <v>Exclude</v>
      </c>
      <c r="Y116" s="63"/>
      <c r="AS116" s="64" t="str">
        <f t="shared" si="6"/>
        <v>Exclude</v>
      </c>
      <c r="AU116" s="65" t="str">
        <f t="shared" si="7"/>
        <v>Exclude</v>
      </c>
    </row>
    <row r="117" spans="1:47" s="64" customFormat="1" x14ac:dyDescent="0.25">
      <c r="A117" s="63"/>
      <c r="U117" s="64" t="str">
        <f t="shared" si="4"/>
        <v>Exclude</v>
      </c>
      <c r="W117" s="65" t="str">
        <f t="shared" si="5"/>
        <v>Exclude</v>
      </c>
      <c r="Y117" s="63"/>
      <c r="AS117" s="64" t="str">
        <f t="shared" si="6"/>
        <v>Exclude</v>
      </c>
      <c r="AU117" s="65" t="str">
        <f t="shared" si="7"/>
        <v>Exclude</v>
      </c>
    </row>
    <row r="118" spans="1:47" s="64" customFormat="1" x14ac:dyDescent="0.25">
      <c r="A118" s="63"/>
      <c r="U118" s="64" t="str">
        <f t="shared" si="4"/>
        <v>Exclude</v>
      </c>
      <c r="W118" s="65" t="str">
        <f t="shared" si="5"/>
        <v>Exclude</v>
      </c>
      <c r="Y118" s="63"/>
      <c r="AS118" s="64" t="str">
        <f t="shared" si="6"/>
        <v>Exclude</v>
      </c>
      <c r="AU118" s="65" t="str">
        <f t="shared" si="7"/>
        <v>Exclude</v>
      </c>
    </row>
    <row r="119" spans="1:47" s="64" customFormat="1" x14ac:dyDescent="0.25">
      <c r="A119" s="63"/>
      <c r="U119" s="64" t="str">
        <f t="shared" si="4"/>
        <v>Exclude</v>
      </c>
      <c r="W119" s="65" t="str">
        <f t="shared" si="5"/>
        <v>Exclude</v>
      </c>
      <c r="Y119" s="63"/>
      <c r="AS119" s="64" t="str">
        <f t="shared" si="6"/>
        <v>Exclude</v>
      </c>
      <c r="AU119" s="65" t="str">
        <f t="shared" si="7"/>
        <v>Exclude</v>
      </c>
    </row>
    <row r="120" spans="1:47" s="64" customFormat="1" x14ac:dyDescent="0.25">
      <c r="A120" s="63"/>
      <c r="U120" s="64" t="str">
        <f t="shared" si="4"/>
        <v>Exclude</v>
      </c>
      <c r="W120" s="65" t="str">
        <f t="shared" si="5"/>
        <v>Exclude</v>
      </c>
      <c r="Y120" s="63"/>
      <c r="AS120" s="64" t="str">
        <f t="shared" si="6"/>
        <v>Exclude</v>
      </c>
      <c r="AU120" s="65" t="str">
        <f t="shared" si="7"/>
        <v>Exclude</v>
      </c>
    </row>
    <row r="121" spans="1:47" s="64" customFormat="1" x14ac:dyDescent="0.25">
      <c r="A121" s="63"/>
      <c r="U121" s="64" t="str">
        <f t="shared" si="4"/>
        <v>Exclude</v>
      </c>
      <c r="W121" s="65" t="str">
        <f t="shared" si="5"/>
        <v>Exclude</v>
      </c>
      <c r="Y121" s="63"/>
      <c r="AS121" s="64" t="str">
        <f t="shared" si="6"/>
        <v>Exclude</v>
      </c>
      <c r="AU121" s="65" t="str">
        <f t="shared" si="7"/>
        <v>Exclude</v>
      </c>
    </row>
    <row r="122" spans="1:47" s="64" customFormat="1" x14ac:dyDescent="0.25">
      <c r="A122" s="63"/>
      <c r="U122" s="64" t="str">
        <f t="shared" si="4"/>
        <v>Exclude</v>
      </c>
      <c r="W122" s="65" t="str">
        <f t="shared" si="5"/>
        <v>Exclude</v>
      </c>
      <c r="Y122" s="63"/>
      <c r="AS122" s="64" t="str">
        <f t="shared" si="6"/>
        <v>Exclude</v>
      </c>
      <c r="AU122" s="65" t="str">
        <f t="shared" si="7"/>
        <v>Exclude</v>
      </c>
    </row>
    <row r="123" spans="1:47" s="64" customFormat="1" x14ac:dyDescent="0.25">
      <c r="A123" s="63"/>
      <c r="U123" s="64" t="str">
        <f t="shared" si="4"/>
        <v>Exclude</v>
      </c>
      <c r="W123" s="65" t="str">
        <f t="shared" si="5"/>
        <v>Exclude</v>
      </c>
      <c r="Y123" s="63"/>
      <c r="AS123" s="64" t="str">
        <f t="shared" si="6"/>
        <v>Exclude</v>
      </c>
      <c r="AU123" s="65" t="str">
        <f t="shared" si="7"/>
        <v>Exclude</v>
      </c>
    </row>
    <row r="124" spans="1:47" s="64" customFormat="1" x14ac:dyDescent="0.25">
      <c r="A124" s="63"/>
      <c r="U124" s="64" t="str">
        <f t="shared" si="4"/>
        <v>Exclude</v>
      </c>
      <c r="W124" s="65" t="str">
        <f t="shared" si="5"/>
        <v>Exclude</v>
      </c>
      <c r="Y124" s="63"/>
      <c r="AS124" s="64" t="str">
        <f t="shared" si="6"/>
        <v>Exclude</v>
      </c>
      <c r="AU124" s="65" t="str">
        <f t="shared" si="7"/>
        <v>Exclude</v>
      </c>
    </row>
    <row r="125" spans="1:47" s="64" customFormat="1" x14ac:dyDescent="0.25">
      <c r="A125" s="63"/>
      <c r="U125" s="64" t="str">
        <f t="shared" si="4"/>
        <v>Exclude</v>
      </c>
      <c r="W125" s="65" t="str">
        <f t="shared" si="5"/>
        <v>Exclude</v>
      </c>
      <c r="Y125" s="63"/>
      <c r="AS125" s="64" t="str">
        <f t="shared" si="6"/>
        <v>Exclude</v>
      </c>
      <c r="AU125" s="65" t="str">
        <f t="shared" si="7"/>
        <v>Exclude</v>
      </c>
    </row>
    <row r="126" spans="1:47" s="64" customFormat="1" x14ac:dyDescent="0.25">
      <c r="A126" s="63"/>
      <c r="U126" s="64" t="str">
        <f t="shared" si="4"/>
        <v>Exclude</v>
      </c>
      <c r="W126" s="65" t="str">
        <f t="shared" si="5"/>
        <v>Exclude</v>
      </c>
      <c r="Y126" s="63"/>
      <c r="AS126" s="64" t="str">
        <f t="shared" si="6"/>
        <v>Exclude</v>
      </c>
      <c r="AU126" s="65" t="str">
        <f t="shared" si="7"/>
        <v>Exclude</v>
      </c>
    </row>
    <row r="127" spans="1:47" s="64" customFormat="1" x14ac:dyDescent="0.25">
      <c r="A127" s="63"/>
      <c r="U127" s="64" t="str">
        <f t="shared" si="4"/>
        <v>Exclude</v>
      </c>
      <c r="W127" s="65" t="str">
        <f t="shared" si="5"/>
        <v>Exclude</v>
      </c>
      <c r="Y127" s="63"/>
      <c r="AS127" s="64" t="str">
        <f t="shared" si="6"/>
        <v>Exclude</v>
      </c>
      <c r="AU127" s="65" t="str">
        <f t="shared" si="7"/>
        <v>Exclude</v>
      </c>
    </row>
    <row r="128" spans="1:47" s="64" customFormat="1" x14ac:dyDescent="0.25">
      <c r="A128" s="63"/>
      <c r="U128" s="64" t="str">
        <f t="shared" si="4"/>
        <v>Exclude</v>
      </c>
      <c r="W128" s="65" t="str">
        <f t="shared" si="5"/>
        <v>Exclude</v>
      </c>
      <c r="Y128" s="63"/>
      <c r="AS128" s="64" t="str">
        <f t="shared" si="6"/>
        <v>Exclude</v>
      </c>
      <c r="AU128" s="65" t="str">
        <f t="shared" si="7"/>
        <v>Exclude</v>
      </c>
    </row>
    <row r="129" spans="1:47" s="64" customFormat="1" x14ac:dyDescent="0.25">
      <c r="A129" s="63"/>
      <c r="U129" s="64" t="str">
        <f t="shared" si="4"/>
        <v>Exclude</v>
      </c>
      <c r="W129" s="65" t="str">
        <f t="shared" si="5"/>
        <v>Exclude</v>
      </c>
      <c r="Y129" s="63"/>
      <c r="AS129" s="64" t="str">
        <f t="shared" si="6"/>
        <v>Exclude</v>
      </c>
      <c r="AU129" s="65" t="str">
        <f t="shared" si="7"/>
        <v>Exclude</v>
      </c>
    </row>
    <row r="130" spans="1:47" s="64" customFormat="1" x14ac:dyDescent="0.25">
      <c r="A130" s="63"/>
      <c r="U130" s="64" t="str">
        <f t="shared" si="4"/>
        <v>Exclude</v>
      </c>
      <c r="W130" s="65" t="str">
        <f t="shared" si="5"/>
        <v>Exclude</v>
      </c>
      <c r="Y130" s="63"/>
      <c r="AS130" s="64" t="str">
        <f t="shared" si="6"/>
        <v>Exclude</v>
      </c>
      <c r="AU130" s="65" t="str">
        <f t="shared" si="7"/>
        <v>Exclude</v>
      </c>
    </row>
    <row r="131" spans="1:47" s="64" customFormat="1" x14ac:dyDescent="0.25">
      <c r="A131" s="63"/>
      <c r="U131" s="64" t="str">
        <f t="shared" si="4"/>
        <v>Exclude</v>
      </c>
      <c r="W131" s="65" t="str">
        <f t="shared" si="5"/>
        <v>Exclude</v>
      </c>
      <c r="Y131" s="63"/>
      <c r="AS131" s="64" t="str">
        <f t="shared" si="6"/>
        <v>Exclude</v>
      </c>
      <c r="AU131" s="65" t="str">
        <f t="shared" si="7"/>
        <v>Exclude</v>
      </c>
    </row>
    <row r="132" spans="1:47" s="64" customFormat="1" x14ac:dyDescent="0.25">
      <c r="A132" s="63"/>
      <c r="U132" s="64" t="str">
        <f t="shared" si="4"/>
        <v>Exclude</v>
      </c>
      <c r="W132" s="65" t="str">
        <f t="shared" si="5"/>
        <v>Exclude</v>
      </c>
      <c r="Y132" s="63"/>
      <c r="AS132" s="64" t="str">
        <f t="shared" si="6"/>
        <v>Exclude</v>
      </c>
      <c r="AU132" s="65" t="str">
        <f t="shared" si="7"/>
        <v>Exclude</v>
      </c>
    </row>
    <row r="133" spans="1:47" s="64" customFormat="1" x14ac:dyDescent="0.25">
      <c r="A133" s="63"/>
      <c r="U133" s="64" t="str">
        <f t="shared" si="4"/>
        <v>Exclude</v>
      </c>
      <c r="W133" s="65" t="str">
        <f t="shared" si="5"/>
        <v>Exclude</v>
      </c>
      <c r="Y133" s="63"/>
      <c r="AS133" s="64" t="str">
        <f t="shared" si="6"/>
        <v>Exclude</v>
      </c>
      <c r="AU133" s="65" t="str">
        <f t="shared" si="7"/>
        <v>Exclude</v>
      </c>
    </row>
    <row r="134" spans="1:47" s="64" customFormat="1" x14ac:dyDescent="0.25">
      <c r="A134" s="63"/>
      <c r="U134" s="64" t="str">
        <f t="shared" si="4"/>
        <v>Exclude</v>
      </c>
      <c r="W134" s="65" t="str">
        <f t="shared" si="5"/>
        <v>Exclude</v>
      </c>
      <c r="Y134" s="63"/>
      <c r="AS134" s="64" t="str">
        <f t="shared" si="6"/>
        <v>Exclude</v>
      </c>
      <c r="AU134" s="65" t="str">
        <f t="shared" si="7"/>
        <v>Exclude</v>
      </c>
    </row>
    <row r="135" spans="1:47" s="64" customFormat="1" x14ac:dyDescent="0.25">
      <c r="A135" s="63"/>
      <c r="U135" s="64" t="str">
        <f t="shared" si="4"/>
        <v>Exclude</v>
      </c>
      <c r="W135" s="65" t="str">
        <f t="shared" si="5"/>
        <v>Exclude</v>
      </c>
      <c r="Y135" s="63"/>
      <c r="AS135" s="64" t="str">
        <f t="shared" si="6"/>
        <v>Exclude</v>
      </c>
      <c r="AU135" s="65" t="str">
        <f t="shared" si="7"/>
        <v>Exclude</v>
      </c>
    </row>
    <row r="136" spans="1:47" s="64" customFormat="1" x14ac:dyDescent="0.25">
      <c r="A136" s="63"/>
      <c r="U136" s="64" t="str">
        <f t="shared" si="4"/>
        <v>Exclude</v>
      </c>
      <c r="W136" s="65" t="str">
        <f t="shared" si="5"/>
        <v>Exclude</v>
      </c>
      <c r="Y136" s="63"/>
      <c r="AS136" s="64" t="str">
        <f t="shared" si="6"/>
        <v>Exclude</v>
      </c>
      <c r="AU136" s="65" t="str">
        <f t="shared" si="7"/>
        <v>Exclude</v>
      </c>
    </row>
    <row r="137" spans="1:47" s="64" customFormat="1" x14ac:dyDescent="0.25">
      <c r="A137" s="63"/>
      <c r="U137" s="64" t="str">
        <f t="shared" si="4"/>
        <v>Exclude</v>
      </c>
      <c r="W137" s="65" t="str">
        <f t="shared" si="5"/>
        <v>Exclude</v>
      </c>
      <c r="Y137" s="63"/>
      <c r="AS137" s="64" t="str">
        <f t="shared" si="6"/>
        <v>Exclude</v>
      </c>
      <c r="AU137" s="65" t="str">
        <f t="shared" si="7"/>
        <v>Exclude</v>
      </c>
    </row>
    <row r="138" spans="1:47" s="64" customFormat="1" x14ac:dyDescent="0.25">
      <c r="A138" s="63"/>
      <c r="U138" s="64" t="str">
        <f t="shared" si="4"/>
        <v>Exclude</v>
      </c>
      <c r="W138" s="65" t="str">
        <f t="shared" si="5"/>
        <v>Exclude</v>
      </c>
      <c r="Y138" s="63"/>
      <c r="AS138" s="64" t="str">
        <f t="shared" si="6"/>
        <v>Exclude</v>
      </c>
      <c r="AU138" s="65" t="str">
        <f t="shared" si="7"/>
        <v>Exclude</v>
      </c>
    </row>
    <row r="139" spans="1:47" s="64" customFormat="1" x14ac:dyDescent="0.25">
      <c r="A139" s="63"/>
      <c r="U139" s="64" t="str">
        <f t="shared" si="4"/>
        <v>Exclude</v>
      </c>
      <c r="W139" s="65" t="str">
        <f t="shared" si="5"/>
        <v>Exclude</v>
      </c>
      <c r="Y139" s="63"/>
      <c r="AS139" s="64" t="str">
        <f t="shared" si="6"/>
        <v>Exclude</v>
      </c>
      <c r="AU139" s="65" t="str">
        <f t="shared" si="7"/>
        <v>Exclude</v>
      </c>
    </row>
    <row r="140" spans="1:47" s="64" customFormat="1" x14ac:dyDescent="0.25">
      <c r="A140" s="63"/>
      <c r="U140" s="64" t="str">
        <f t="shared" si="4"/>
        <v>Exclude</v>
      </c>
      <c r="W140" s="65" t="str">
        <f t="shared" si="5"/>
        <v>Exclude</v>
      </c>
      <c r="Y140" s="63"/>
      <c r="AS140" s="64" t="str">
        <f t="shared" si="6"/>
        <v>Exclude</v>
      </c>
      <c r="AU140" s="65" t="str">
        <f t="shared" si="7"/>
        <v>Exclude</v>
      </c>
    </row>
    <row r="141" spans="1:47" s="64" customFormat="1" x14ac:dyDescent="0.25">
      <c r="A141" s="63"/>
      <c r="U141" s="64" t="str">
        <f t="shared" si="4"/>
        <v>Exclude</v>
      </c>
      <c r="W141" s="65" t="str">
        <f t="shared" si="5"/>
        <v>Exclude</v>
      </c>
      <c r="Y141" s="63"/>
      <c r="AS141" s="64" t="str">
        <f t="shared" si="6"/>
        <v>Exclude</v>
      </c>
      <c r="AU141" s="65" t="str">
        <f t="shared" si="7"/>
        <v>Exclude</v>
      </c>
    </row>
    <row r="142" spans="1:47" s="64" customFormat="1" x14ac:dyDescent="0.25">
      <c r="A142" s="63"/>
      <c r="U142" s="64" t="str">
        <f t="shared" si="4"/>
        <v>Exclude</v>
      </c>
      <c r="W142" s="65" t="str">
        <f t="shared" si="5"/>
        <v>Exclude</v>
      </c>
      <c r="Y142" s="63"/>
      <c r="AS142" s="64" t="str">
        <f t="shared" si="6"/>
        <v>Exclude</v>
      </c>
      <c r="AU142" s="65" t="str">
        <f t="shared" si="7"/>
        <v>Exclude</v>
      </c>
    </row>
    <row r="143" spans="1:47" s="64" customFormat="1" x14ac:dyDescent="0.25">
      <c r="A143" s="63"/>
      <c r="U143" s="64" t="str">
        <f t="shared" si="4"/>
        <v>Exclude</v>
      </c>
      <c r="W143" s="65" t="str">
        <f t="shared" si="5"/>
        <v>Exclude</v>
      </c>
      <c r="Y143" s="63"/>
      <c r="AS143" s="64" t="str">
        <f t="shared" si="6"/>
        <v>Exclude</v>
      </c>
      <c r="AU143" s="65" t="str">
        <f t="shared" si="7"/>
        <v>Exclude</v>
      </c>
    </row>
    <row r="144" spans="1:47" s="64" customFormat="1" x14ac:dyDescent="0.25">
      <c r="A144" s="63"/>
      <c r="U144" s="64" t="str">
        <f t="shared" si="4"/>
        <v>Exclude</v>
      </c>
      <c r="W144" s="65" t="str">
        <f t="shared" si="5"/>
        <v>Exclude</v>
      </c>
      <c r="Y144" s="63"/>
      <c r="AS144" s="64" t="str">
        <f t="shared" si="6"/>
        <v>Exclude</v>
      </c>
      <c r="AU144" s="65" t="str">
        <f t="shared" si="7"/>
        <v>Exclude</v>
      </c>
    </row>
    <row r="145" spans="1:47" s="64" customFormat="1" x14ac:dyDescent="0.25">
      <c r="A145" s="63"/>
      <c r="U145" s="64" t="str">
        <f t="shared" si="4"/>
        <v>Exclude</v>
      </c>
      <c r="W145" s="65" t="str">
        <f t="shared" si="5"/>
        <v>Exclude</v>
      </c>
      <c r="Y145" s="63"/>
      <c r="AS145" s="64" t="str">
        <f t="shared" si="6"/>
        <v>Exclude</v>
      </c>
      <c r="AU145" s="65" t="str">
        <f t="shared" si="7"/>
        <v>Exclude</v>
      </c>
    </row>
    <row r="146" spans="1:47" s="64" customFormat="1" x14ac:dyDescent="0.25">
      <c r="A146" s="63"/>
      <c r="U146" s="64" t="str">
        <f t="shared" si="4"/>
        <v>Exclude</v>
      </c>
      <c r="W146" s="65" t="str">
        <f t="shared" si="5"/>
        <v>Exclude</v>
      </c>
      <c r="Y146" s="63"/>
      <c r="AS146" s="64" t="str">
        <f t="shared" si="6"/>
        <v>Exclude</v>
      </c>
      <c r="AU146" s="65" t="str">
        <f t="shared" si="7"/>
        <v>Exclude</v>
      </c>
    </row>
    <row r="147" spans="1:47" s="64" customFormat="1" x14ac:dyDescent="0.25">
      <c r="A147" s="63"/>
      <c r="U147" s="64" t="str">
        <f t="shared" si="4"/>
        <v>Exclude</v>
      </c>
      <c r="W147" s="65" t="str">
        <f t="shared" si="5"/>
        <v>Exclude</v>
      </c>
      <c r="Y147" s="63"/>
      <c r="AS147" s="64" t="str">
        <f t="shared" si="6"/>
        <v>Exclude</v>
      </c>
      <c r="AU147" s="65" t="str">
        <f t="shared" si="7"/>
        <v>Exclude</v>
      </c>
    </row>
    <row r="148" spans="1:47" s="64" customFormat="1" x14ac:dyDescent="0.25">
      <c r="A148" s="63"/>
      <c r="U148" s="64" t="str">
        <f t="shared" si="4"/>
        <v>Exclude</v>
      </c>
      <c r="W148" s="65" t="str">
        <f t="shared" si="5"/>
        <v>Exclude</v>
      </c>
      <c r="Y148" s="63"/>
      <c r="AS148" s="64" t="str">
        <f t="shared" si="6"/>
        <v>Exclude</v>
      </c>
      <c r="AU148" s="65" t="str">
        <f t="shared" si="7"/>
        <v>Exclude</v>
      </c>
    </row>
    <row r="149" spans="1:47" s="64" customFormat="1" x14ac:dyDescent="0.25">
      <c r="A149" s="63"/>
      <c r="U149" s="64" t="str">
        <f t="shared" si="4"/>
        <v>Exclude</v>
      </c>
      <c r="W149" s="65" t="str">
        <f t="shared" si="5"/>
        <v>Exclude</v>
      </c>
      <c r="Y149" s="63"/>
      <c r="AS149" s="64" t="str">
        <f t="shared" si="6"/>
        <v>Exclude</v>
      </c>
      <c r="AU149" s="65" t="str">
        <f t="shared" si="7"/>
        <v>Exclude</v>
      </c>
    </row>
    <row r="150" spans="1:47" s="64" customFormat="1" x14ac:dyDescent="0.25">
      <c r="A150" s="63"/>
      <c r="U150" s="64" t="str">
        <f t="shared" si="4"/>
        <v>Exclude</v>
      </c>
      <c r="W150" s="65" t="str">
        <f t="shared" si="5"/>
        <v>Exclude</v>
      </c>
      <c r="Y150" s="63"/>
      <c r="AS150" s="64" t="str">
        <f t="shared" si="6"/>
        <v>Exclude</v>
      </c>
      <c r="AU150" s="65" t="str">
        <f t="shared" si="7"/>
        <v>Exclude</v>
      </c>
    </row>
    <row r="151" spans="1:47" s="64" customFormat="1" x14ac:dyDescent="0.25">
      <c r="A151" s="63"/>
      <c r="U151" s="64" t="str">
        <f t="shared" ref="U151:U156" si="8">IF(R151="TruePositive",IF(R150&lt;&gt;"Anticipatory",(N151),"Pant"),"Exclude")</f>
        <v>Exclude</v>
      </c>
      <c r="W151" s="65" t="str">
        <f t="shared" ref="W151:W157" si="9">IF(R151="TruePositive",IF(R150&lt;&gt;"Anticipatory",LOG10(N151),"Exclude"),"Exclude")</f>
        <v>Exclude</v>
      </c>
      <c r="Y151" s="63"/>
      <c r="AS151" s="64" t="str">
        <f t="shared" ref="AS151:AS157" si="10">IF(AP151="TruePositive",IF(AP150&lt;&gt;"Anticipatory",(AL151),"Pant"),"Exclude")</f>
        <v>Exclude</v>
      </c>
      <c r="AU151" s="65" t="str">
        <f t="shared" ref="AU151:AU157" si="11">IF(AP151="TruePositive",IF(AP150&lt;&gt;"Anticipatory",LOG10(AL151),"Exclude"),"Exclude")</f>
        <v>Exclude</v>
      </c>
    </row>
    <row r="152" spans="1:47" s="64" customFormat="1" x14ac:dyDescent="0.25">
      <c r="A152" s="63"/>
      <c r="U152" s="64" t="str">
        <f t="shared" si="8"/>
        <v>Exclude</v>
      </c>
      <c r="W152" s="65" t="str">
        <f t="shared" si="9"/>
        <v>Exclude</v>
      </c>
      <c r="Y152" s="63"/>
      <c r="AS152" s="64" t="str">
        <f t="shared" si="10"/>
        <v>Exclude</v>
      </c>
      <c r="AU152" s="65" t="str">
        <f t="shared" si="11"/>
        <v>Exclude</v>
      </c>
    </row>
    <row r="153" spans="1:47" s="64" customFormat="1" x14ac:dyDescent="0.25">
      <c r="A153" s="63"/>
      <c r="U153" s="64" t="str">
        <f t="shared" si="8"/>
        <v>Exclude</v>
      </c>
      <c r="W153" s="65" t="str">
        <f t="shared" si="9"/>
        <v>Exclude</v>
      </c>
      <c r="Y153" s="63"/>
      <c r="AS153" s="64" t="str">
        <f t="shared" si="10"/>
        <v>Exclude</v>
      </c>
      <c r="AU153" s="65" t="str">
        <f t="shared" si="11"/>
        <v>Exclude</v>
      </c>
    </row>
    <row r="154" spans="1:47" s="64" customFormat="1" x14ac:dyDescent="0.25">
      <c r="A154" s="63"/>
      <c r="U154" s="64" t="str">
        <f t="shared" si="8"/>
        <v>Exclude</v>
      </c>
      <c r="W154" s="65" t="str">
        <f t="shared" si="9"/>
        <v>Exclude</v>
      </c>
      <c r="Y154" s="63"/>
      <c r="AS154" s="64" t="str">
        <f t="shared" si="10"/>
        <v>Exclude</v>
      </c>
      <c r="AU154" s="65" t="str">
        <f t="shared" si="11"/>
        <v>Exclude</v>
      </c>
    </row>
    <row r="155" spans="1:47" s="64" customFormat="1" x14ac:dyDescent="0.25">
      <c r="A155" s="63"/>
      <c r="U155" s="64" t="str">
        <f t="shared" si="8"/>
        <v>Exclude</v>
      </c>
      <c r="W155" s="65" t="str">
        <f t="shared" si="9"/>
        <v>Exclude</v>
      </c>
      <c r="Y155" s="63"/>
      <c r="AS155" s="64" t="str">
        <f t="shared" si="10"/>
        <v>Exclude</v>
      </c>
      <c r="AU155" s="65" t="str">
        <f t="shared" si="11"/>
        <v>Exclude</v>
      </c>
    </row>
    <row r="156" spans="1:47" s="64" customFormat="1" x14ac:dyDescent="0.25">
      <c r="A156" s="63"/>
      <c r="U156" s="64" t="str">
        <f t="shared" si="8"/>
        <v>Exclude</v>
      </c>
      <c r="W156" s="65" t="str">
        <f t="shared" si="9"/>
        <v>Exclude</v>
      </c>
      <c r="Y156" s="63"/>
      <c r="AS156" s="64" t="str">
        <f t="shared" si="10"/>
        <v>Exclude</v>
      </c>
      <c r="AU156" s="65" t="str">
        <f t="shared" si="11"/>
        <v>Exclude</v>
      </c>
    </row>
    <row r="157" spans="1:47" s="64" customFormat="1" x14ac:dyDescent="0.25">
      <c r="A157" s="63"/>
      <c r="U157" s="64" t="str">
        <f t="shared" ref="U157" si="12">IF(R157="TruePositive",IF(R156&lt;&gt;"Anticipatory",(N157),"Exclude"),"Exclude")</f>
        <v>Exclude</v>
      </c>
      <c r="W157" s="65" t="str">
        <f t="shared" si="9"/>
        <v>Exclude</v>
      </c>
      <c r="Y157" s="63"/>
      <c r="AS157" s="64" t="str">
        <f t="shared" si="10"/>
        <v>Exclude</v>
      </c>
      <c r="AU157" s="65" t="str">
        <f t="shared" si="11"/>
        <v>Exclude</v>
      </c>
    </row>
    <row r="158" spans="1:47" s="64" customFormat="1" x14ac:dyDescent="0.25">
      <c r="A158" s="63"/>
      <c r="W158" s="65"/>
      <c r="Y158" s="63"/>
    </row>
    <row r="159" spans="1:47" s="64" customFormat="1" x14ac:dyDescent="0.25">
      <c r="A159" s="63"/>
      <c r="W159" s="65"/>
      <c r="Y159" s="63"/>
    </row>
    <row r="160" spans="1:47" s="64" customFormat="1" x14ac:dyDescent="0.25">
      <c r="A160" s="63"/>
      <c r="W160" s="65"/>
      <c r="Y160" s="63"/>
    </row>
    <row r="161" spans="1:25" s="64" customFormat="1" x14ac:dyDescent="0.25">
      <c r="A161" s="63"/>
      <c r="W161" s="65"/>
      <c r="Y161" s="63"/>
    </row>
    <row r="162" spans="1:25" s="64" customFormat="1" x14ac:dyDescent="0.25">
      <c r="A162" s="63"/>
      <c r="W162" s="65"/>
      <c r="Y162" s="63"/>
    </row>
    <row r="163" spans="1:25" s="64" customFormat="1" x14ac:dyDescent="0.25">
      <c r="A163" s="63"/>
      <c r="W163" s="65"/>
      <c r="Y163" s="63"/>
    </row>
    <row r="164" spans="1:25" s="64" customFormat="1" x14ac:dyDescent="0.25">
      <c r="A164" s="63"/>
      <c r="W164" s="65"/>
      <c r="Y164" s="63"/>
    </row>
    <row r="165" spans="1:25" s="64" customFormat="1" x14ac:dyDescent="0.25">
      <c r="A165" s="63"/>
      <c r="W165" s="65"/>
      <c r="Y165" s="63"/>
    </row>
    <row r="166" spans="1:25" s="64" customFormat="1" x14ac:dyDescent="0.25">
      <c r="A166" s="63"/>
      <c r="W166" s="65"/>
      <c r="Y166" s="63"/>
    </row>
    <row r="167" spans="1:25" s="64" customFormat="1" x14ac:dyDescent="0.25">
      <c r="A167" s="63"/>
      <c r="W167" s="65"/>
      <c r="Y167" s="63"/>
    </row>
    <row r="168" spans="1:25" s="64" customFormat="1" x14ac:dyDescent="0.25">
      <c r="A168" s="63"/>
      <c r="W168" s="65"/>
      <c r="Y168" s="63"/>
    </row>
    <row r="169" spans="1:25" s="64" customFormat="1" x14ac:dyDescent="0.25">
      <c r="A169" s="63"/>
      <c r="W169" s="65"/>
      <c r="Y169" s="63"/>
    </row>
    <row r="170" spans="1:25" s="64" customFormat="1" x14ac:dyDescent="0.25">
      <c r="A170" s="63"/>
      <c r="W170" s="65"/>
      <c r="Y170" s="63"/>
    </row>
    <row r="171" spans="1:25" s="64" customFormat="1" x14ac:dyDescent="0.25">
      <c r="A171" s="63"/>
      <c r="W171" s="65"/>
      <c r="Y171" s="63"/>
    </row>
    <row r="172" spans="1:25" s="64" customFormat="1" x14ac:dyDescent="0.25">
      <c r="A172" s="63"/>
      <c r="W172" s="65"/>
      <c r="Y172" s="63"/>
    </row>
    <row r="173" spans="1:25" s="64" customFormat="1" x14ac:dyDescent="0.25">
      <c r="A173" s="63"/>
      <c r="W173" s="65"/>
      <c r="Y173" s="63"/>
    </row>
    <row r="174" spans="1:25" s="64" customFormat="1" x14ac:dyDescent="0.25">
      <c r="A174" s="63"/>
      <c r="W174" s="65"/>
      <c r="Y174" s="63"/>
    </row>
    <row r="175" spans="1:25" s="64" customFormat="1" x14ac:dyDescent="0.25">
      <c r="A175" s="63"/>
      <c r="W175" s="65"/>
      <c r="Y175" s="63"/>
    </row>
    <row r="176" spans="1:25" s="64" customFormat="1" x14ac:dyDescent="0.25">
      <c r="A176" s="63"/>
      <c r="W176" s="65"/>
      <c r="Y176" s="63"/>
    </row>
    <row r="177" spans="1:25" s="64" customFormat="1" x14ac:dyDescent="0.25">
      <c r="A177" s="63"/>
      <c r="W177" s="65"/>
      <c r="Y177" s="63"/>
    </row>
    <row r="178" spans="1:25" s="64" customFormat="1" x14ac:dyDescent="0.25">
      <c r="A178" s="63"/>
      <c r="W178" s="65"/>
      <c r="Y178" s="63"/>
    </row>
    <row r="179" spans="1:25" s="64" customFormat="1" x14ac:dyDescent="0.25">
      <c r="A179" s="63"/>
      <c r="W179" s="65"/>
      <c r="Y179" s="63"/>
    </row>
    <row r="180" spans="1:25" s="64" customFormat="1" x14ac:dyDescent="0.25">
      <c r="A180" s="63"/>
      <c r="W180" s="65"/>
      <c r="Y180" s="63"/>
    </row>
    <row r="181" spans="1:25" s="64" customFormat="1" x14ac:dyDescent="0.25">
      <c r="A181" s="63"/>
      <c r="W181" s="65"/>
      <c r="Y181" s="63"/>
    </row>
    <row r="182" spans="1:25" s="64" customFormat="1" x14ac:dyDescent="0.25">
      <c r="A182" s="63"/>
      <c r="W182" s="65"/>
      <c r="Y182" s="63"/>
    </row>
    <row r="183" spans="1:25" s="64" customFormat="1" x14ac:dyDescent="0.25">
      <c r="A183" s="63"/>
      <c r="W183" s="65"/>
      <c r="Y183" s="63"/>
    </row>
    <row r="184" spans="1:25" s="64" customFormat="1" x14ac:dyDescent="0.25">
      <c r="A184" s="63"/>
      <c r="W184" s="65"/>
      <c r="Y184" s="63"/>
    </row>
    <row r="185" spans="1:25" s="64" customFormat="1" x14ac:dyDescent="0.25">
      <c r="A185" s="63"/>
      <c r="W185" s="65"/>
      <c r="Y185" s="63"/>
    </row>
    <row r="186" spans="1:25" s="64" customFormat="1" x14ac:dyDescent="0.25">
      <c r="A186" s="63"/>
      <c r="W186" s="65"/>
      <c r="Y186" s="63"/>
    </row>
    <row r="187" spans="1:25" s="64" customFormat="1" x14ac:dyDescent="0.25">
      <c r="A187" s="63"/>
      <c r="W187" s="65"/>
      <c r="Y187" s="63"/>
    </row>
    <row r="188" spans="1:25" s="64" customFormat="1" x14ac:dyDescent="0.25">
      <c r="A188" s="63"/>
      <c r="W188" s="65"/>
      <c r="Y188" s="63"/>
    </row>
    <row r="189" spans="1:25" s="64" customFormat="1" x14ac:dyDescent="0.25">
      <c r="A189" s="63"/>
      <c r="W189" s="65"/>
      <c r="Y189" s="63"/>
    </row>
    <row r="190" spans="1:25" s="64" customFormat="1" x14ac:dyDescent="0.25">
      <c r="A190" s="63"/>
      <c r="W190" s="65"/>
      <c r="Y190" s="63"/>
    </row>
    <row r="191" spans="1:25" s="64" customFormat="1" x14ac:dyDescent="0.25">
      <c r="A191" s="63"/>
      <c r="W191" s="65"/>
      <c r="Y191" s="63"/>
    </row>
    <row r="192" spans="1:25" s="64" customFormat="1" x14ac:dyDescent="0.25">
      <c r="A192" s="63"/>
      <c r="W192" s="65"/>
      <c r="Y192" s="63"/>
    </row>
    <row r="193" spans="1:25" s="64" customFormat="1" x14ac:dyDescent="0.25">
      <c r="A193" s="63"/>
      <c r="W193" s="65"/>
      <c r="Y193" s="63"/>
    </row>
    <row r="194" spans="1:25" s="64" customFormat="1" x14ac:dyDescent="0.25">
      <c r="A194" s="63"/>
      <c r="W194" s="65"/>
      <c r="Y194" s="63"/>
    </row>
    <row r="195" spans="1:25" s="64" customFormat="1" x14ac:dyDescent="0.25">
      <c r="A195" s="63"/>
      <c r="W195" s="65"/>
      <c r="Y195" s="63"/>
    </row>
    <row r="196" spans="1:25" s="64" customFormat="1" x14ac:dyDescent="0.25">
      <c r="A196" s="63"/>
      <c r="W196" s="65"/>
      <c r="Y196" s="63"/>
    </row>
    <row r="197" spans="1:25" s="64" customFormat="1" x14ac:dyDescent="0.25">
      <c r="A197" s="63"/>
      <c r="W197" s="65"/>
      <c r="Y197" s="63"/>
    </row>
    <row r="198" spans="1:25" s="64" customFormat="1" x14ac:dyDescent="0.25">
      <c r="A198" s="63"/>
      <c r="W198" s="65"/>
      <c r="Y198" s="63"/>
    </row>
    <row r="199" spans="1:25" s="64" customFormat="1" x14ac:dyDescent="0.25">
      <c r="A199" s="63"/>
      <c r="W199" s="65"/>
      <c r="Y199" s="63"/>
    </row>
    <row r="200" spans="1:25" s="64" customFormat="1" x14ac:dyDescent="0.25">
      <c r="A200" s="63"/>
      <c r="W200" s="65"/>
      <c r="Y200" s="63"/>
    </row>
    <row r="201" spans="1:25" s="64" customFormat="1" x14ac:dyDescent="0.25">
      <c r="A201" s="63"/>
      <c r="W201" s="65"/>
      <c r="Y201" s="63"/>
    </row>
    <row r="202" spans="1:25" s="64" customFormat="1" x14ac:dyDescent="0.25">
      <c r="A202" s="63"/>
      <c r="W202" s="65"/>
      <c r="Y202" s="63"/>
    </row>
    <row r="203" spans="1:25" s="64" customFormat="1" x14ac:dyDescent="0.25">
      <c r="A203" s="63"/>
      <c r="W203" s="65"/>
      <c r="Y203" s="63"/>
    </row>
    <row r="204" spans="1:25" s="64" customFormat="1" x14ac:dyDescent="0.25">
      <c r="A204" s="63"/>
      <c r="W204" s="65"/>
      <c r="Y204" s="63"/>
    </row>
    <row r="205" spans="1:25" s="64" customFormat="1" x14ac:dyDescent="0.25">
      <c r="A205" s="63"/>
      <c r="W205" s="65"/>
      <c r="Y205" s="63"/>
    </row>
    <row r="206" spans="1:25" s="64" customFormat="1" x14ac:dyDescent="0.25">
      <c r="A206" s="63"/>
      <c r="W206" s="65"/>
      <c r="Y206" s="63"/>
    </row>
    <row r="207" spans="1:25" s="64" customFormat="1" x14ac:dyDescent="0.25">
      <c r="A207" s="63"/>
      <c r="W207" s="65"/>
      <c r="Y207" s="63"/>
    </row>
    <row r="208" spans="1:25" s="64" customFormat="1" x14ac:dyDescent="0.25">
      <c r="A208" s="63"/>
      <c r="W208" s="65"/>
      <c r="Y208" s="63"/>
    </row>
    <row r="209" spans="1:25" s="64" customFormat="1" x14ac:dyDescent="0.25">
      <c r="A209" s="63"/>
      <c r="W209" s="65"/>
      <c r="Y209" s="63"/>
    </row>
    <row r="210" spans="1:25" s="64" customFormat="1" x14ac:dyDescent="0.25">
      <c r="A210" s="63"/>
      <c r="W210" s="65"/>
      <c r="Y210" s="63"/>
    </row>
    <row r="211" spans="1:25" s="64" customFormat="1" x14ac:dyDescent="0.25">
      <c r="A211" s="63"/>
      <c r="W211" s="65"/>
      <c r="Y211" s="63"/>
    </row>
    <row r="212" spans="1:25" s="64" customFormat="1" x14ac:dyDescent="0.25">
      <c r="A212" s="63"/>
      <c r="W212" s="65"/>
      <c r="Y212" s="63"/>
    </row>
    <row r="213" spans="1:25" s="64" customFormat="1" x14ac:dyDescent="0.25">
      <c r="A213" s="63"/>
      <c r="W213" s="65"/>
      <c r="Y213" s="63"/>
    </row>
    <row r="214" spans="1:25" s="64" customFormat="1" x14ac:dyDescent="0.25">
      <c r="A214" s="63"/>
      <c r="W214" s="65"/>
      <c r="Y214" s="63"/>
    </row>
    <row r="215" spans="1:25" s="64" customFormat="1" x14ac:dyDescent="0.25">
      <c r="A215" s="63"/>
      <c r="W215" s="65"/>
      <c r="Y215" s="63"/>
    </row>
    <row r="216" spans="1:25" s="64" customFormat="1" x14ac:dyDescent="0.25">
      <c r="A216" s="63"/>
      <c r="W216" s="65"/>
      <c r="Y216" s="63"/>
    </row>
    <row r="217" spans="1:25" s="64" customFormat="1" x14ac:dyDescent="0.25">
      <c r="A217" s="63"/>
      <c r="W217" s="65"/>
      <c r="Y217" s="63"/>
    </row>
    <row r="218" spans="1:25" s="64" customFormat="1" x14ac:dyDescent="0.25">
      <c r="A218" s="63"/>
      <c r="W218" s="65"/>
      <c r="Y218" s="63"/>
    </row>
    <row r="219" spans="1:25" s="64" customFormat="1" x14ac:dyDescent="0.25">
      <c r="A219" s="63"/>
      <c r="W219" s="65"/>
      <c r="Y219" s="63"/>
    </row>
    <row r="220" spans="1:25" s="64" customFormat="1" x14ac:dyDescent="0.25">
      <c r="A220" s="63"/>
      <c r="W220" s="65"/>
      <c r="Y220" s="63"/>
    </row>
    <row r="221" spans="1:25" s="64" customFormat="1" x14ac:dyDescent="0.25">
      <c r="A221" s="63"/>
      <c r="W221" s="65"/>
      <c r="Y221" s="63"/>
    </row>
    <row r="222" spans="1:25" s="64" customFormat="1" x14ac:dyDescent="0.25">
      <c r="A222" s="63"/>
      <c r="W222" s="65"/>
      <c r="Y222" s="63"/>
    </row>
    <row r="223" spans="1:25" s="64" customFormat="1" x14ac:dyDescent="0.25">
      <c r="A223" s="63"/>
      <c r="W223" s="65"/>
      <c r="Y223" s="63"/>
    </row>
    <row r="224" spans="1:25" s="64" customFormat="1" x14ac:dyDescent="0.25">
      <c r="A224" s="63"/>
      <c r="W224" s="65"/>
      <c r="Y224" s="63"/>
    </row>
    <row r="225" spans="1:25" s="64" customFormat="1" x14ac:dyDescent="0.25">
      <c r="A225" s="63"/>
      <c r="W225" s="65"/>
      <c r="Y225" s="63"/>
    </row>
    <row r="226" spans="1:25" s="64" customFormat="1" x14ac:dyDescent="0.25">
      <c r="A226" s="63"/>
      <c r="W226" s="65"/>
      <c r="Y226" s="63"/>
    </row>
    <row r="227" spans="1:25" s="64" customFormat="1" x14ac:dyDescent="0.25">
      <c r="A227" s="63"/>
      <c r="W227" s="65"/>
      <c r="Y227" s="63"/>
    </row>
    <row r="228" spans="1:25" s="64" customFormat="1" x14ac:dyDescent="0.25">
      <c r="A228" s="63"/>
      <c r="W228" s="65"/>
      <c r="Y228" s="63"/>
    </row>
    <row r="229" spans="1:25" s="64" customFormat="1" x14ac:dyDescent="0.25">
      <c r="A229" s="63"/>
      <c r="W229" s="65"/>
      <c r="Y229" s="63"/>
    </row>
    <row r="230" spans="1:25" s="64" customFormat="1" x14ac:dyDescent="0.25">
      <c r="A230" s="63"/>
      <c r="W230" s="65"/>
      <c r="Y230" s="63"/>
    </row>
    <row r="231" spans="1:25" s="64" customFormat="1" x14ac:dyDescent="0.25">
      <c r="A231" s="63"/>
      <c r="W231" s="65"/>
      <c r="Y231" s="63"/>
    </row>
    <row r="232" spans="1:25" s="64" customFormat="1" x14ac:dyDescent="0.25">
      <c r="A232" s="63"/>
      <c r="W232" s="65"/>
      <c r="Y232" s="63"/>
    </row>
    <row r="233" spans="1:25" s="64" customFormat="1" x14ac:dyDescent="0.25">
      <c r="A233" s="63"/>
      <c r="W233" s="65"/>
      <c r="Y233" s="63"/>
    </row>
    <row r="234" spans="1:25" s="64" customFormat="1" x14ac:dyDescent="0.25">
      <c r="A234" s="63"/>
      <c r="W234" s="65"/>
      <c r="Y234" s="63"/>
    </row>
    <row r="235" spans="1:25" s="64" customFormat="1" x14ac:dyDescent="0.25">
      <c r="A235" s="63"/>
      <c r="W235" s="65"/>
      <c r="Y235" s="63"/>
    </row>
    <row r="236" spans="1:25" s="64" customFormat="1" x14ac:dyDescent="0.25">
      <c r="A236" s="63"/>
      <c r="W236" s="65"/>
      <c r="Y236" s="63"/>
    </row>
    <row r="237" spans="1:25" s="64" customFormat="1" x14ac:dyDescent="0.25">
      <c r="A237" s="63"/>
      <c r="W237" s="65"/>
      <c r="Y237" s="63"/>
    </row>
    <row r="238" spans="1:25" s="64" customFormat="1" x14ac:dyDescent="0.25">
      <c r="A238" s="63"/>
      <c r="W238" s="65"/>
      <c r="Y238" s="63"/>
    </row>
    <row r="239" spans="1:25" s="64" customFormat="1" x14ac:dyDescent="0.25">
      <c r="A239" s="63"/>
      <c r="W239" s="65"/>
      <c r="Y239" s="63"/>
    </row>
    <row r="240" spans="1:25" s="64" customFormat="1" x14ac:dyDescent="0.25">
      <c r="A240" s="63"/>
      <c r="W240" s="65"/>
      <c r="Y240" s="63"/>
    </row>
    <row r="241" spans="1:25" s="64" customFormat="1" x14ac:dyDescent="0.25">
      <c r="A241" s="63"/>
      <c r="W241" s="65"/>
      <c r="Y241" s="63"/>
    </row>
    <row r="242" spans="1:25" s="64" customFormat="1" x14ac:dyDescent="0.25">
      <c r="A242" s="63"/>
      <c r="W242" s="65"/>
      <c r="Y242" s="63"/>
    </row>
    <row r="243" spans="1:25" s="64" customFormat="1" x14ac:dyDescent="0.25">
      <c r="A243" s="63"/>
      <c r="W243" s="65"/>
      <c r="Y243" s="63"/>
    </row>
    <row r="244" spans="1:25" s="64" customFormat="1" x14ac:dyDescent="0.25">
      <c r="A244" s="63"/>
      <c r="W244" s="65"/>
      <c r="Y244" s="63"/>
    </row>
    <row r="245" spans="1:25" s="64" customFormat="1" x14ac:dyDescent="0.25">
      <c r="A245" s="63"/>
      <c r="W245" s="65"/>
      <c r="Y245" s="63"/>
    </row>
    <row r="246" spans="1:25" s="64" customFormat="1" x14ac:dyDescent="0.25">
      <c r="A246" s="63"/>
      <c r="W246" s="65"/>
      <c r="Y246" s="63"/>
    </row>
    <row r="247" spans="1:25" s="64" customFormat="1" x14ac:dyDescent="0.25">
      <c r="A247" s="63"/>
      <c r="W247" s="65"/>
      <c r="Y247" s="63"/>
    </row>
    <row r="248" spans="1:25" s="64" customFormat="1" x14ac:dyDescent="0.25">
      <c r="A248" s="63"/>
      <c r="W248" s="65"/>
      <c r="Y248" s="63"/>
    </row>
    <row r="249" spans="1:25" s="64" customFormat="1" x14ac:dyDescent="0.25">
      <c r="A249" s="63"/>
      <c r="W249" s="65"/>
      <c r="Y249" s="63"/>
    </row>
    <row r="250" spans="1:25" s="64" customFormat="1" x14ac:dyDescent="0.25">
      <c r="A250" s="63"/>
      <c r="W250" s="65"/>
      <c r="Y250" s="63"/>
    </row>
    <row r="251" spans="1:25" s="64" customFormat="1" x14ac:dyDescent="0.25">
      <c r="A251" s="63"/>
      <c r="W251" s="65"/>
      <c r="Y251" s="63"/>
    </row>
    <row r="252" spans="1:25" s="64" customFormat="1" x14ac:dyDescent="0.25">
      <c r="A252" s="63"/>
      <c r="W252" s="65"/>
      <c r="Y252" s="63"/>
    </row>
    <row r="253" spans="1:25" s="64" customFormat="1" x14ac:dyDescent="0.25">
      <c r="A253" s="63"/>
      <c r="W253" s="65"/>
      <c r="Y253" s="63"/>
    </row>
    <row r="254" spans="1:25" s="64" customFormat="1" x14ac:dyDescent="0.25">
      <c r="A254" s="63"/>
      <c r="W254" s="65"/>
      <c r="Y254" s="63"/>
    </row>
    <row r="255" spans="1:25" s="64" customFormat="1" x14ac:dyDescent="0.25">
      <c r="A255" s="63"/>
      <c r="W255" s="65"/>
      <c r="Y255" s="63"/>
    </row>
    <row r="256" spans="1:25" s="64" customFormat="1" x14ac:dyDescent="0.25">
      <c r="A256" s="63"/>
      <c r="W256" s="65"/>
      <c r="Y256" s="63"/>
    </row>
    <row r="257" spans="1:25" s="64" customFormat="1" x14ac:dyDescent="0.25">
      <c r="A257" s="63"/>
      <c r="W257" s="65"/>
      <c r="Y257" s="63"/>
    </row>
    <row r="258" spans="1:25" s="64" customFormat="1" x14ac:dyDescent="0.25">
      <c r="A258" s="63"/>
      <c r="W258" s="65"/>
      <c r="Y258" s="63"/>
    </row>
    <row r="259" spans="1:25" s="64" customFormat="1" x14ac:dyDescent="0.25">
      <c r="A259" s="63"/>
      <c r="W259" s="65"/>
      <c r="Y259" s="63"/>
    </row>
    <row r="260" spans="1:25" s="64" customFormat="1" x14ac:dyDescent="0.25">
      <c r="A260" s="63"/>
      <c r="W260" s="65"/>
      <c r="Y260" s="63"/>
    </row>
    <row r="261" spans="1:25" s="64" customFormat="1" x14ac:dyDescent="0.25">
      <c r="A261" s="63"/>
      <c r="W261" s="65"/>
      <c r="Y261" s="63"/>
    </row>
    <row r="262" spans="1:25" s="64" customFormat="1" x14ac:dyDescent="0.25">
      <c r="A262" s="63"/>
      <c r="W262" s="65"/>
      <c r="Y262" s="63"/>
    </row>
    <row r="263" spans="1:25" s="64" customFormat="1" x14ac:dyDescent="0.25">
      <c r="A263" s="63"/>
      <c r="W263" s="65"/>
      <c r="Y263" s="63"/>
    </row>
    <row r="264" spans="1:25" s="64" customFormat="1" x14ac:dyDescent="0.25">
      <c r="A264" s="63"/>
      <c r="W264" s="65"/>
      <c r="Y264" s="63"/>
    </row>
    <row r="265" spans="1:25" s="64" customFormat="1" x14ac:dyDescent="0.25">
      <c r="A265" s="63"/>
      <c r="W265" s="65"/>
      <c r="Y265" s="63"/>
    </row>
    <row r="266" spans="1:25" s="64" customFormat="1" x14ac:dyDescent="0.25">
      <c r="A266" s="63"/>
      <c r="W266" s="65"/>
      <c r="Y266" s="63"/>
    </row>
    <row r="267" spans="1:25" s="64" customFormat="1" x14ac:dyDescent="0.25">
      <c r="A267" s="63"/>
      <c r="W267" s="65"/>
      <c r="Y267" s="63"/>
    </row>
    <row r="268" spans="1:25" s="64" customFormat="1" x14ac:dyDescent="0.25">
      <c r="A268" s="63"/>
      <c r="W268" s="65"/>
      <c r="Y268" s="63"/>
    </row>
    <row r="269" spans="1:25" s="64" customFormat="1" x14ac:dyDescent="0.25">
      <c r="A269" s="63"/>
      <c r="W269" s="65"/>
      <c r="Y269" s="63"/>
    </row>
    <row r="270" spans="1:25" s="64" customFormat="1" x14ac:dyDescent="0.25">
      <c r="A270" s="63"/>
      <c r="W270" s="65"/>
      <c r="Y270" s="63"/>
    </row>
    <row r="271" spans="1:25" s="64" customFormat="1" x14ac:dyDescent="0.25">
      <c r="A271" s="63"/>
      <c r="W271" s="65"/>
      <c r="Y271" s="63"/>
    </row>
    <row r="272" spans="1:25" s="64" customFormat="1" x14ac:dyDescent="0.25">
      <c r="A272" s="63"/>
      <c r="W272" s="65"/>
      <c r="Y272" s="63"/>
    </row>
    <row r="273" spans="1:25" s="64" customFormat="1" x14ac:dyDescent="0.25">
      <c r="A273" s="63"/>
      <c r="W273" s="65"/>
      <c r="Y273" s="63"/>
    </row>
    <row r="274" spans="1:25" s="64" customFormat="1" x14ac:dyDescent="0.25">
      <c r="A274" s="63"/>
      <c r="W274" s="65"/>
      <c r="Y274" s="63"/>
    </row>
    <row r="275" spans="1:25" s="64" customFormat="1" x14ac:dyDescent="0.25">
      <c r="A275" s="63"/>
      <c r="W275" s="65"/>
      <c r="Y275" s="63"/>
    </row>
    <row r="276" spans="1:25" s="64" customFormat="1" x14ac:dyDescent="0.25">
      <c r="A276" s="63"/>
      <c r="W276" s="65"/>
      <c r="Y276" s="63"/>
    </row>
    <row r="277" spans="1:25" s="64" customFormat="1" x14ac:dyDescent="0.25">
      <c r="A277" s="63"/>
      <c r="W277" s="65"/>
      <c r="Y277" s="63"/>
    </row>
    <row r="278" spans="1:25" s="64" customFormat="1" x14ac:dyDescent="0.25">
      <c r="A278" s="63"/>
      <c r="W278" s="65"/>
      <c r="Y278" s="63"/>
    </row>
    <row r="279" spans="1:25" s="64" customFormat="1" x14ac:dyDescent="0.25">
      <c r="A279" s="63"/>
      <c r="W279" s="65"/>
      <c r="Y279" s="63"/>
    </row>
    <row r="280" spans="1:25" s="64" customFormat="1" x14ac:dyDescent="0.25">
      <c r="A280" s="63"/>
      <c r="W280" s="65"/>
      <c r="Y280" s="63"/>
    </row>
    <row r="281" spans="1:25" s="64" customFormat="1" x14ac:dyDescent="0.25">
      <c r="A281" s="63"/>
      <c r="W281" s="65"/>
      <c r="Y281" s="63"/>
    </row>
    <row r="282" spans="1:25" s="64" customFormat="1" x14ac:dyDescent="0.25">
      <c r="A282" s="63"/>
      <c r="W282" s="65"/>
      <c r="Y282" s="63"/>
    </row>
    <row r="283" spans="1:25" s="64" customFormat="1" x14ac:dyDescent="0.25">
      <c r="A283" s="63"/>
      <c r="W283" s="65"/>
      <c r="Y283" s="63"/>
    </row>
    <row r="284" spans="1:25" s="64" customFormat="1" x14ac:dyDescent="0.25">
      <c r="A284" s="63"/>
      <c r="W284" s="65"/>
      <c r="Y284" s="63"/>
    </row>
    <row r="285" spans="1:25" s="64" customFormat="1" x14ac:dyDescent="0.25">
      <c r="A285" s="63"/>
      <c r="W285" s="65"/>
      <c r="Y285" s="63"/>
    </row>
    <row r="286" spans="1:25" s="64" customFormat="1" x14ac:dyDescent="0.25">
      <c r="A286" s="63"/>
      <c r="W286" s="65"/>
      <c r="Y286" s="63"/>
    </row>
    <row r="287" spans="1:25" s="64" customFormat="1" x14ac:dyDescent="0.25">
      <c r="A287" s="63"/>
      <c r="W287" s="65"/>
      <c r="Y287" s="63"/>
    </row>
    <row r="288" spans="1:25" s="64" customFormat="1" x14ac:dyDescent="0.25">
      <c r="A288" s="63"/>
      <c r="W288" s="65"/>
      <c r="Y288" s="63"/>
    </row>
    <row r="289" spans="1:25" s="64" customFormat="1" x14ac:dyDescent="0.25">
      <c r="A289" s="63"/>
      <c r="W289" s="65"/>
      <c r="Y289" s="63"/>
    </row>
    <row r="290" spans="1:25" s="64" customFormat="1" x14ac:dyDescent="0.25">
      <c r="A290" s="63"/>
      <c r="W290" s="65"/>
      <c r="Y290" s="63"/>
    </row>
    <row r="291" spans="1:25" s="64" customFormat="1" x14ac:dyDescent="0.25">
      <c r="A291" s="63"/>
      <c r="W291" s="65"/>
      <c r="Y291" s="63"/>
    </row>
    <row r="292" spans="1:25" s="64" customFormat="1" x14ac:dyDescent="0.25">
      <c r="A292" s="63"/>
      <c r="W292" s="65"/>
      <c r="Y292" s="63"/>
    </row>
    <row r="293" spans="1:25" s="64" customFormat="1" x14ac:dyDescent="0.25">
      <c r="A293" s="63"/>
      <c r="W293" s="65"/>
      <c r="Y293" s="63"/>
    </row>
    <row r="294" spans="1:25" s="64" customFormat="1" x14ac:dyDescent="0.25">
      <c r="A294" s="63"/>
      <c r="W294" s="65"/>
      <c r="Y294" s="63"/>
    </row>
    <row r="295" spans="1:25" s="64" customFormat="1" x14ac:dyDescent="0.25">
      <c r="A295" s="63"/>
      <c r="W295" s="65"/>
      <c r="Y295" s="63"/>
    </row>
    <row r="296" spans="1:25" s="64" customFormat="1" x14ac:dyDescent="0.25">
      <c r="A296" s="63"/>
      <c r="W296" s="65"/>
      <c r="Y296" s="63"/>
    </row>
    <row r="297" spans="1:25" s="64" customFormat="1" x14ac:dyDescent="0.25">
      <c r="A297" s="63"/>
      <c r="W297" s="65"/>
      <c r="Y297" s="63"/>
    </row>
    <row r="298" spans="1:25" s="64" customFormat="1" x14ac:dyDescent="0.25">
      <c r="A298" s="63"/>
      <c r="W298" s="65"/>
      <c r="Y298" s="63"/>
    </row>
    <row r="299" spans="1:25" s="64" customFormat="1" x14ac:dyDescent="0.25">
      <c r="A299" s="63"/>
      <c r="W299" s="65"/>
      <c r="Y299" s="63"/>
    </row>
    <row r="300" spans="1:25" s="64" customFormat="1" x14ac:dyDescent="0.25">
      <c r="A300" s="63"/>
      <c r="W300" s="65"/>
      <c r="Y300" s="63"/>
    </row>
    <row r="301" spans="1:25" s="64" customFormat="1" x14ac:dyDescent="0.25">
      <c r="A301" s="63"/>
      <c r="W301" s="65"/>
      <c r="Y301" s="63"/>
    </row>
    <row r="302" spans="1:25" s="64" customFormat="1" x14ac:dyDescent="0.25">
      <c r="A302" s="63"/>
      <c r="W302" s="65"/>
      <c r="Y302" s="63"/>
    </row>
    <row r="303" spans="1:25" s="64" customFormat="1" x14ac:dyDescent="0.25">
      <c r="A303" s="63"/>
      <c r="W303" s="65"/>
      <c r="Y303" s="63"/>
    </row>
    <row r="304" spans="1:25" s="64" customFormat="1" x14ac:dyDescent="0.25">
      <c r="A304" s="63"/>
      <c r="W304" s="65"/>
      <c r="Y304" s="63"/>
    </row>
    <row r="305" spans="1:25" s="64" customFormat="1" x14ac:dyDescent="0.25">
      <c r="A305" s="63"/>
      <c r="W305" s="65"/>
      <c r="Y305" s="63"/>
    </row>
    <row r="306" spans="1:25" s="64" customFormat="1" x14ac:dyDescent="0.25">
      <c r="A306" s="63"/>
      <c r="W306" s="65"/>
      <c r="Y306" s="63"/>
    </row>
    <row r="307" spans="1:25" s="64" customFormat="1" x14ac:dyDescent="0.25">
      <c r="A307" s="63"/>
      <c r="W307" s="65"/>
      <c r="Y307" s="63"/>
    </row>
    <row r="308" spans="1:25" s="64" customFormat="1" x14ac:dyDescent="0.25">
      <c r="A308" s="63"/>
      <c r="W308" s="65"/>
      <c r="Y308" s="63"/>
    </row>
    <row r="309" spans="1:25" s="64" customFormat="1" x14ac:dyDescent="0.25">
      <c r="A309" s="63"/>
      <c r="W309" s="65"/>
      <c r="Y309" s="63"/>
    </row>
    <row r="310" spans="1:25" s="64" customFormat="1" x14ac:dyDescent="0.25">
      <c r="A310" s="63"/>
      <c r="W310" s="65"/>
      <c r="Y310" s="63"/>
    </row>
    <row r="311" spans="1:25" s="64" customFormat="1" x14ac:dyDescent="0.25">
      <c r="A311" s="63"/>
      <c r="W311" s="65"/>
      <c r="Y311" s="63"/>
    </row>
    <row r="312" spans="1:25" s="64" customFormat="1" x14ac:dyDescent="0.25">
      <c r="A312" s="63"/>
      <c r="W312" s="65"/>
      <c r="Y312" s="63"/>
    </row>
    <row r="313" spans="1:25" s="64" customFormat="1" x14ac:dyDescent="0.25">
      <c r="A313" s="63"/>
      <c r="W313" s="65"/>
      <c r="Y313" s="63"/>
    </row>
    <row r="314" spans="1:25" s="64" customFormat="1" x14ac:dyDescent="0.25">
      <c r="A314" s="63"/>
      <c r="W314" s="65"/>
      <c r="Y314" s="63"/>
    </row>
    <row r="315" spans="1:25" s="64" customFormat="1" x14ac:dyDescent="0.25">
      <c r="A315" s="63"/>
      <c r="W315" s="65"/>
      <c r="Y315" s="63"/>
    </row>
    <row r="316" spans="1:25" s="64" customFormat="1" x14ac:dyDescent="0.25">
      <c r="A316" s="63"/>
      <c r="W316" s="65"/>
      <c r="Y316" s="63"/>
    </row>
    <row r="317" spans="1:25" s="64" customFormat="1" x14ac:dyDescent="0.25">
      <c r="A317" s="63"/>
      <c r="W317" s="65"/>
      <c r="Y317" s="63"/>
    </row>
    <row r="318" spans="1:25" s="64" customFormat="1" x14ac:dyDescent="0.25">
      <c r="A318" s="63"/>
      <c r="W318" s="65"/>
      <c r="Y318" s="63"/>
    </row>
    <row r="319" spans="1:25" s="64" customFormat="1" x14ac:dyDescent="0.25">
      <c r="A319" s="63"/>
      <c r="W319" s="65"/>
      <c r="Y319" s="63"/>
    </row>
    <row r="320" spans="1:25" s="64" customFormat="1" x14ac:dyDescent="0.25">
      <c r="A320" s="63"/>
      <c r="W320" s="65"/>
      <c r="Y320" s="63"/>
    </row>
    <row r="321" spans="1:25" s="64" customFormat="1" x14ac:dyDescent="0.25">
      <c r="A321" s="63"/>
      <c r="W321" s="65"/>
      <c r="Y321" s="63"/>
    </row>
    <row r="322" spans="1:25" s="64" customFormat="1" x14ac:dyDescent="0.25">
      <c r="A322" s="63"/>
      <c r="W322" s="65"/>
      <c r="Y322" s="63"/>
    </row>
    <row r="323" spans="1:25" s="64" customFormat="1" x14ac:dyDescent="0.25">
      <c r="A323" s="63"/>
      <c r="W323" s="65"/>
      <c r="Y323" s="63"/>
    </row>
    <row r="324" spans="1:25" s="64" customFormat="1" x14ac:dyDescent="0.25">
      <c r="A324" s="63"/>
      <c r="W324" s="65"/>
      <c r="Y324" s="63"/>
    </row>
    <row r="325" spans="1:25" s="64" customFormat="1" x14ac:dyDescent="0.25">
      <c r="A325" s="63"/>
      <c r="W325" s="65"/>
      <c r="Y325" s="63"/>
    </row>
    <row r="326" spans="1:25" s="64" customFormat="1" x14ac:dyDescent="0.25">
      <c r="A326" s="63"/>
      <c r="W326" s="65"/>
      <c r="Y326" s="63"/>
    </row>
    <row r="327" spans="1:25" s="64" customFormat="1" x14ac:dyDescent="0.25">
      <c r="A327" s="63"/>
      <c r="W327" s="65"/>
      <c r="Y327" s="63"/>
    </row>
    <row r="328" spans="1:25" s="64" customFormat="1" x14ac:dyDescent="0.25">
      <c r="A328" s="63"/>
      <c r="W328" s="65"/>
      <c r="Y328" s="63"/>
    </row>
    <row r="329" spans="1:25" s="64" customFormat="1" x14ac:dyDescent="0.25">
      <c r="A329" s="63"/>
      <c r="W329" s="65"/>
      <c r="Y329" s="63"/>
    </row>
    <row r="330" spans="1:25" s="64" customFormat="1" x14ac:dyDescent="0.25">
      <c r="A330" s="63"/>
      <c r="W330" s="65"/>
      <c r="Y330" s="63"/>
    </row>
    <row r="331" spans="1:25" s="64" customFormat="1" x14ac:dyDescent="0.25">
      <c r="A331" s="63"/>
      <c r="W331" s="65"/>
      <c r="Y331" s="63"/>
    </row>
    <row r="332" spans="1:25" s="64" customFormat="1" x14ac:dyDescent="0.25">
      <c r="A332" s="63"/>
      <c r="W332" s="65"/>
      <c r="Y332" s="63"/>
    </row>
    <row r="333" spans="1:25" s="64" customFormat="1" x14ac:dyDescent="0.25">
      <c r="A333" s="63"/>
      <c r="W333" s="65"/>
      <c r="Y333" s="63"/>
    </row>
    <row r="334" spans="1:25" s="64" customFormat="1" x14ac:dyDescent="0.25">
      <c r="A334" s="63"/>
      <c r="W334" s="65"/>
      <c r="Y334" s="63"/>
    </row>
    <row r="335" spans="1:25" s="64" customFormat="1" x14ac:dyDescent="0.25">
      <c r="A335" s="63"/>
      <c r="W335" s="65"/>
      <c r="Y335" s="63"/>
    </row>
    <row r="336" spans="1:25" s="64" customFormat="1" x14ac:dyDescent="0.25">
      <c r="A336" s="63"/>
      <c r="W336" s="65"/>
      <c r="Y336" s="63"/>
    </row>
    <row r="337" spans="1:25" s="64" customFormat="1" x14ac:dyDescent="0.25">
      <c r="A337" s="63"/>
      <c r="W337" s="65"/>
      <c r="Y337" s="63"/>
    </row>
    <row r="338" spans="1:25" s="64" customFormat="1" x14ac:dyDescent="0.25">
      <c r="A338" s="63"/>
      <c r="W338" s="65"/>
      <c r="Y338" s="63"/>
    </row>
    <row r="339" spans="1:25" s="64" customFormat="1" x14ac:dyDescent="0.25">
      <c r="A339" s="63"/>
      <c r="W339" s="65"/>
      <c r="Y339" s="63"/>
    </row>
    <row r="340" spans="1:25" s="64" customFormat="1" x14ac:dyDescent="0.25">
      <c r="A340" s="63"/>
      <c r="W340" s="65"/>
      <c r="Y340" s="63"/>
    </row>
    <row r="341" spans="1:25" s="64" customFormat="1" x14ac:dyDescent="0.25">
      <c r="A341" s="63"/>
      <c r="W341" s="65"/>
      <c r="Y341" s="63"/>
    </row>
    <row r="342" spans="1:25" s="64" customFormat="1" x14ac:dyDescent="0.25">
      <c r="A342" s="63"/>
      <c r="W342" s="65"/>
      <c r="Y342" s="63"/>
    </row>
    <row r="343" spans="1:25" s="64" customFormat="1" x14ac:dyDescent="0.25">
      <c r="A343" s="63"/>
      <c r="W343" s="65"/>
      <c r="Y343" s="63"/>
    </row>
    <row r="344" spans="1:25" s="64" customFormat="1" x14ac:dyDescent="0.25">
      <c r="A344" s="63"/>
      <c r="W344" s="65"/>
      <c r="Y344" s="63"/>
    </row>
    <row r="345" spans="1:25" s="64" customFormat="1" x14ac:dyDescent="0.25">
      <c r="A345" s="63"/>
      <c r="W345" s="65"/>
      <c r="Y345" s="63"/>
    </row>
    <row r="346" spans="1:25" s="64" customFormat="1" x14ac:dyDescent="0.25">
      <c r="A346" s="63"/>
      <c r="W346" s="65"/>
      <c r="Y346" s="63"/>
    </row>
    <row r="347" spans="1:25" s="64" customFormat="1" x14ac:dyDescent="0.25">
      <c r="A347" s="63"/>
      <c r="W347" s="65"/>
      <c r="Y347" s="63"/>
    </row>
    <row r="348" spans="1:25" s="64" customFormat="1" x14ac:dyDescent="0.25">
      <c r="A348" s="63"/>
      <c r="W348" s="65"/>
      <c r="Y348" s="63"/>
    </row>
    <row r="349" spans="1:25" s="64" customFormat="1" x14ac:dyDescent="0.25">
      <c r="A349" s="63"/>
      <c r="W349" s="65"/>
      <c r="Y349" s="63"/>
    </row>
    <row r="350" spans="1:25" s="64" customFormat="1" x14ac:dyDescent="0.25">
      <c r="A350" s="63"/>
      <c r="W350" s="65"/>
      <c r="Y350" s="63"/>
    </row>
    <row r="351" spans="1:25" s="64" customFormat="1" x14ac:dyDescent="0.25">
      <c r="A351" s="63"/>
      <c r="W351" s="65"/>
      <c r="Y351" s="63"/>
    </row>
    <row r="352" spans="1:25" s="64" customFormat="1" x14ac:dyDescent="0.25">
      <c r="A352" s="63"/>
      <c r="W352" s="65"/>
      <c r="Y352" s="63"/>
    </row>
    <row r="353" spans="1:25" s="64" customFormat="1" x14ac:dyDescent="0.25">
      <c r="A353" s="63"/>
      <c r="W353" s="65"/>
      <c r="Y353" s="63"/>
    </row>
    <row r="354" spans="1:25" s="64" customFormat="1" x14ac:dyDescent="0.25">
      <c r="A354" s="63"/>
      <c r="W354" s="65"/>
      <c r="Y354" s="63"/>
    </row>
    <row r="355" spans="1:25" s="64" customFormat="1" x14ac:dyDescent="0.25">
      <c r="A355" s="63"/>
      <c r="W355" s="65"/>
      <c r="Y355" s="63"/>
    </row>
    <row r="356" spans="1:25" s="64" customFormat="1" x14ac:dyDescent="0.25">
      <c r="A356" s="63"/>
      <c r="W356" s="65"/>
      <c r="Y356" s="63"/>
    </row>
    <row r="357" spans="1:25" s="64" customFormat="1" x14ac:dyDescent="0.25">
      <c r="A357" s="63"/>
      <c r="W357" s="65"/>
      <c r="Y357" s="63"/>
    </row>
    <row r="358" spans="1:25" s="64" customFormat="1" x14ac:dyDescent="0.25">
      <c r="A358" s="63"/>
      <c r="W358" s="65"/>
      <c r="Y358" s="63"/>
    </row>
    <row r="359" spans="1:25" s="64" customFormat="1" x14ac:dyDescent="0.25">
      <c r="A359" s="63"/>
      <c r="W359" s="65"/>
      <c r="Y359" s="63"/>
    </row>
    <row r="360" spans="1:25" s="64" customFormat="1" x14ac:dyDescent="0.25">
      <c r="A360" s="63"/>
      <c r="W360" s="65"/>
      <c r="Y360" s="63"/>
    </row>
    <row r="361" spans="1:25" s="64" customFormat="1" x14ac:dyDescent="0.25">
      <c r="A361" s="63"/>
      <c r="W361" s="65"/>
      <c r="Y361" s="63"/>
    </row>
    <row r="362" spans="1:25" s="64" customFormat="1" x14ac:dyDescent="0.25">
      <c r="A362" s="63"/>
      <c r="W362" s="65"/>
      <c r="Y362" s="63"/>
    </row>
    <row r="363" spans="1:25" s="64" customFormat="1" x14ac:dyDescent="0.25">
      <c r="A363" s="63"/>
      <c r="W363" s="65"/>
      <c r="Y363" s="63"/>
    </row>
    <row r="364" spans="1:25" s="64" customFormat="1" x14ac:dyDescent="0.25">
      <c r="A364" s="63"/>
      <c r="W364" s="65"/>
      <c r="Y364" s="63"/>
    </row>
    <row r="365" spans="1:25" s="64" customFormat="1" x14ac:dyDescent="0.25">
      <c r="A365" s="63"/>
      <c r="W365" s="65"/>
      <c r="Y365" s="63"/>
    </row>
    <row r="366" spans="1:25" s="64" customFormat="1" x14ac:dyDescent="0.25">
      <c r="A366" s="63"/>
      <c r="W366" s="65"/>
      <c r="Y366" s="63"/>
    </row>
    <row r="367" spans="1:25" s="64" customFormat="1" x14ac:dyDescent="0.25">
      <c r="A367" s="63"/>
      <c r="W367" s="65"/>
      <c r="Y367" s="63"/>
    </row>
    <row r="368" spans="1:25" s="64" customFormat="1" x14ac:dyDescent="0.25">
      <c r="A368" s="63"/>
      <c r="W368" s="65"/>
      <c r="Y368" s="63"/>
    </row>
    <row r="369" spans="1:25" s="64" customFormat="1" x14ac:dyDescent="0.25">
      <c r="A369" s="63"/>
      <c r="W369" s="65"/>
      <c r="Y369" s="63"/>
    </row>
    <row r="370" spans="1:25" s="64" customFormat="1" x14ac:dyDescent="0.25">
      <c r="A370" s="63"/>
      <c r="W370" s="65"/>
      <c r="Y370" s="63"/>
    </row>
    <row r="371" spans="1:25" s="64" customFormat="1" x14ac:dyDescent="0.25">
      <c r="A371" s="63"/>
      <c r="W371" s="65"/>
      <c r="Y371" s="63"/>
    </row>
    <row r="372" spans="1:25" s="64" customFormat="1" x14ac:dyDescent="0.25">
      <c r="A372" s="63"/>
      <c r="W372" s="65"/>
      <c r="Y372" s="63"/>
    </row>
    <row r="373" spans="1:25" s="64" customFormat="1" x14ac:dyDescent="0.25">
      <c r="A373" s="63"/>
      <c r="W373" s="65"/>
      <c r="Y373" s="63"/>
    </row>
    <row r="374" spans="1:25" s="64" customFormat="1" x14ac:dyDescent="0.25">
      <c r="A374" s="63"/>
      <c r="W374" s="65"/>
      <c r="Y374" s="63"/>
    </row>
    <row r="375" spans="1:25" s="64" customFormat="1" x14ac:dyDescent="0.25">
      <c r="A375" s="63"/>
      <c r="W375" s="65"/>
      <c r="Y375" s="63"/>
    </row>
    <row r="376" spans="1:25" s="64" customFormat="1" x14ac:dyDescent="0.25">
      <c r="A376" s="63"/>
      <c r="W376" s="65"/>
      <c r="Y376" s="63"/>
    </row>
    <row r="377" spans="1:25" s="64" customFormat="1" x14ac:dyDescent="0.25">
      <c r="A377" s="63"/>
      <c r="W377" s="65"/>
      <c r="Y377" s="63"/>
    </row>
    <row r="378" spans="1:25" s="64" customFormat="1" x14ac:dyDescent="0.25">
      <c r="A378" s="63"/>
      <c r="W378" s="65"/>
      <c r="Y378" s="63"/>
    </row>
    <row r="379" spans="1:25" s="64" customFormat="1" x14ac:dyDescent="0.25">
      <c r="A379" s="63"/>
      <c r="W379" s="65"/>
      <c r="Y379" s="63"/>
    </row>
    <row r="380" spans="1:25" s="64" customFormat="1" x14ac:dyDescent="0.25">
      <c r="A380" s="63"/>
      <c r="W380" s="65"/>
      <c r="Y380" s="63"/>
    </row>
    <row r="381" spans="1:25" s="64" customFormat="1" x14ac:dyDescent="0.25">
      <c r="A381" s="63"/>
      <c r="W381" s="65"/>
      <c r="Y381" s="63"/>
    </row>
    <row r="382" spans="1:25" s="64" customFormat="1" x14ac:dyDescent="0.25">
      <c r="A382" s="63"/>
      <c r="W382" s="65"/>
      <c r="Y382" s="63"/>
    </row>
    <row r="383" spans="1:25" s="64" customFormat="1" x14ac:dyDescent="0.25">
      <c r="A383" s="63"/>
      <c r="W383" s="65"/>
      <c r="Y383" s="63"/>
    </row>
    <row r="384" spans="1:25" s="64" customFormat="1" x14ac:dyDescent="0.25">
      <c r="A384" s="63"/>
      <c r="W384" s="65"/>
      <c r="Y384" s="63"/>
    </row>
    <row r="385" spans="1:25" s="64" customFormat="1" x14ac:dyDescent="0.25">
      <c r="A385" s="63"/>
      <c r="W385" s="65"/>
      <c r="Y385" s="63"/>
    </row>
    <row r="386" spans="1:25" s="64" customFormat="1" x14ac:dyDescent="0.25">
      <c r="A386" s="63"/>
      <c r="W386" s="65"/>
      <c r="Y386" s="63"/>
    </row>
    <row r="387" spans="1:25" s="64" customFormat="1" x14ac:dyDescent="0.25">
      <c r="A387" s="63"/>
      <c r="W387" s="65"/>
      <c r="Y387" s="63"/>
    </row>
    <row r="388" spans="1:25" s="64" customFormat="1" x14ac:dyDescent="0.25">
      <c r="A388" s="63"/>
      <c r="W388" s="65"/>
      <c r="Y388" s="63"/>
    </row>
    <row r="389" spans="1:25" s="64" customFormat="1" x14ac:dyDescent="0.25">
      <c r="A389" s="63"/>
      <c r="W389" s="65"/>
      <c r="Y389" s="63"/>
    </row>
    <row r="390" spans="1:25" s="64" customFormat="1" x14ac:dyDescent="0.25">
      <c r="A390" s="63"/>
      <c r="W390" s="65"/>
      <c r="Y390" s="63"/>
    </row>
    <row r="391" spans="1:25" s="64" customFormat="1" x14ac:dyDescent="0.25">
      <c r="A391" s="63"/>
      <c r="W391" s="65"/>
      <c r="Y391" s="63"/>
    </row>
    <row r="392" spans="1:25" s="64" customFormat="1" x14ac:dyDescent="0.25">
      <c r="A392" s="63"/>
      <c r="W392" s="65"/>
      <c r="Y392" s="63"/>
    </row>
    <row r="393" spans="1:25" s="64" customFormat="1" x14ac:dyDescent="0.25">
      <c r="A393" s="63"/>
      <c r="W393" s="65"/>
      <c r="Y393" s="63"/>
    </row>
    <row r="394" spans="1:25" s="64" customFormat="1" x14ac:dyDescent="0.25">
      <c r="A394" s="63"/>
      <c r="W394" s="65"/>
      <c r="Y394" s="63"/>
    </row>
    <row r="395" spans="1:25" s="64" customFormat="1" x14ac:dyDescent="0.25">
      <c r="A395" s="63"/>
      <c r="W395" s="65"/>
      <c r="Y395" s="63"/>
    </row>
    <row r="396" spans="1:25" s="64" customFormat="1" x14ac:dyDescent="0.25">
      <c r="A396" s="63"/>
      <c r="W396" s="65"/>
      <c r="Y396" s="63"/>
    </row>
    <row r="397" spans="1:25" s="64" customFormat="1" x14ac:dyDescent="0.25">
      <c r="A397" s="63"/>
      <c r="W397" s="65"/>
      <c r="Y397" s="63"/>
    </row>
    <row r="398" spans="1:25" s="64" customFormat="1" x14ac:dyDescent="0.25">
      <c r="A398" s="63"/>
      <c r="W398" s="65"/>
      <c r="Y398" s="63"/>
    </row>
    <row r="399" spans="1:25" s="64" customFormat="1" x14ac:dyDescent="0.25">
      <c r="A399" s="63"/>
      <c r="W399" s="65"/>
      <c r="Y399" s="63"/>
    </row>
    <row r="400" spans="1:25" s="64" customFormat="1" x14ac:dyDescent="0.25">
      <c r="A400" s="63"/>
      <c r="W400" s="65"/>
      <c r="Y400" s="63"/>
    </row>
    <row r="401" spans="1:25" s="64" customFormat="1" x14ac:dyDescent="0.25">
      <c r="A401" s="63"/>
      <c r="W401" s="65"/>
      <c r="Y401" s="63"/>
    </row>
    <row r="402" spans="1:25" s="64" customFormat="1" x14ac:dyDescent="0.25">
      <c r="A402" s="63"/>
      <c r="W402" s="65"/>
      <c r="Y402" s="63"/>
    </row>
    <row r="403" spans="1:25" s="64" customFormat="1" x14ac:dyDescent="0.25">
      <c r="A403" s="63"/>
      <c r="W403" s="65"/>
      <c r="Y403" s="63"/>
    </row>
    <row r="404" spans="1:25" s="64" customFormat="1" x14ac:dyDescent="0.25">
      <c r="A404" s="63"/>
      <c r="W404" s="65"/>
      <c r="Y404" s="63"/>
    </row>
    <row r="405" spans="1:25" s="64" customFormat="1" x14ac:dyDescent="0.25">
      <c r="A405" s="63"/>
      <c r="W405" s="65"/>
      <c r="Y405" s="63"/>
    </row>
    <row r="406" spans="1:25" s="64" customFormat="1" x14ac:dyDescent="0.25">
      <c r="A406" s="63"/>
      <c r="W406" s="65"/>
      <c r="Y406" s="63"/>
    </row>
    <row r="407" spans="1:25" s="64" customFormat="1" x14ac:dyDescent="0.25">
      <c r="A407" s="63"/>
      <c r="W407" s="65"/>
      <c r="Y407" s="63"/>
    </row>
    <row r="408" spans="1:25" s="64" customFormat="1" x14ac:dyDescent="0.25">
      <c r="A408" s="63"/>
      <c r="W408" s="65"/>
      <c r="Y408" s="63"/>
    </row>
    <row r="409" spans="1:25" s="64" customFormat="1" x14ac:dyDescent="0.25">
      <c r="A409" s="63"/>
      <c r="W409" s="65"/>
      <c r="Y409" s="63"/>
    </row>
    <row r="410" spans="1:25" s="64" customFormat="1" x14ac:dyDescent="0.25">
      <c r="A410" s="63"/>
      <c r="W410" s="65"/>
      <c r="Y410" s="63"/>
    </row>
    <row r="411" spans="1:25" s="64" customFormat="1" x14ac:dyDescent="0.25">
      <c r="A411" s="63"/>
      <c r="W411" s="65"/>
      <c r="Y411" s="63"/>
    </row>
    <row r="412" spans="1:25" s="64" customFormat="1" x14ac:dyDescent="0.25">
      <c r="A412" s="63"/>
      <c r="W412" s="65"/>
      <c r="Y412" s="63"/>
    </row>
    <row r="413" spans="1:25" s="64" customFormat="1" x14ac:dyDescent="0.25">
      <c r="A413" s="63"/>
      <c r="W413" s="65"/>
      <c r="Y413" s="63"/>
    </row>
    <row r="414" spans="1:25" s="64" customFormat="1" x14ac:dyDescent="0.25">
      <c r="A414" s="63"/>
      <c r="W414" s="65"/>
      <c r="Y414" s="63"/>
    </row>
    <row r="415" spans="1:25" s="64" customFormat="1" x14ac:dyDescent="0.25">
      <c r="A415" s="63"/>
      <c r="W415" s="65"/>
      <c r="Y415" s="63"/>
    </row>
    <row r="416" spans="1:25" s="64" customFormat="1" x14ac:dyDescent="0.25">
      <c r="A416" s="63"/>
      <c r="W416" s="65"/>
      <c r="Y416" s="63"/>
    </row>
    <row r="417" spans="1:25" s="64" customFormat="1" x14ac:dyDescent="0.25">
      <c r="A417" s="63"/>
      <c r="W417" s="65"/>
      <c r="Y417" s="63"/>
    </row>
    <row r="418" spans="1:25" s="64" customFormat="1" x14ac:dyDescent="0.25">
      <c r="A418" s="63"/>
      <c r="W418" s="65"/>
      <c r="Y418" s="63"/>
    </row>
    <row r="419" spans="1:25" s="64" customFormat="1" x14ac:dyDescent="0.25">
      <c r="A419" s="63"/>
      <c r="W419" s="65"/>
      <c r="Y419" s="63"/>
    </row>
    <row r="420" spans="1:25" s="64" customFormat="1" x14ac:dyDescent="0.25">
      <c r="A420" s="63"/>
      <c r="W420" s="65"/>
      <c r="Y420" s="63"/>
    </row>
    <row r="421" spans="1:25" s="64" customFormat="1" x14ac:dyDescent="0.25">
      <c r="A421" s="63"/>
      <c r="W421" s="65"/>
      <c r="Y421" s="63"/>
    </row>
    <row r="422" spans="1:25" s="64" customFormat="1" x14ac:dyDescent="0.25">
      <c r="A422" s="63"/>
      <c r="W422" s="65"/>
      <c r="Y422" s="63"/>
    </row>
    <row r="423" spans="1:25" s="64" customFormat="1" x14ac:dyDescent="0.25">
      <c r="A423" s="63"/>
      <c r="W423" s="65"/>
      <c r="Y423" s="63"/>
    </row>
    <row r="424" spans="1:25" s="64" customFormat="1" x14ac:dyDescent="0.25">
      <c r="A424" s="63"/>
      <c r="W424" s="65"/>
      <c r="Y424" s="63"/>
    </row>
    <row r="425" spans="1:25" s="64" customFormat="1" x14ac:dyDescent="0.25">
      <c r="A425" s="63"/>
      <c r="W425" s="65"/>
      <c r="Y425" s="63"/>
    </row>
    <row r="426" spans="1:25" s="64" customFormat="1" x14ac:dyDescent="0.25">
      <c r="A426" s="63"/>
      <c r="W426" s="65"/>
      <c r="Y426" s="63"/>
    </row>
    <row r="427" spans="1:25" s="64" customFormat="1" x14ac:dyDescent="0.25">
      <c r="A427" s="63"/>
      <c r="W427" s="65"/>
      <c r="Y427" s="63"/>
    </row>
    <row r="428" spans="1:25" s="64" customFormat="1" x14ac:dyDescent="0.25">
      <c r="A428" s="63"/>
      <c r="W428" s="65"/>
      <c r="Y428" s="63"/>
    </row>
    <row r="429" spans="1:25" s="64" customFormat="1" x14ac:dyDescent="0.25">
      <c r="A429" s="63"/>
      <c r="W429" s="65"/>
      <c r="Y429" s="63"/>
    </row>
    <row r="430" spans="1:25" s="64" customFormat="1" x14ac:dyDescent="0.25">
      <c r="A430" s="63"/>
      <c r="W430" s="65"/>
      <c r="Y430" s="63"/>
    </row>
    <row r="431" spans="1:25" s="64" customFormat="1" x14ac:dyDescent="0.25">
      <c r="A431" s="63"/>
      <c r="W431" s="65"/>
      <c r="Y431" s="63"/>
    </row>
    <row r="432" spans="1:25" s="64" customFormat="1" x14ac:dyDescent="0.25">
      <c r="A432" s="63"/>
      <c r="W432" s="65"/>
      <c r="Y432" s="63"/>
    </row>
    <row r="433" spans="1:25" s="64" customFormat="1" x14ac:dyDescent="0.25">
      <c r="A433" s="63"/>
      <c r="W433" s="65"/>
      <c r="Y433" s="63"/>
    </row>
    <row r="434" spans="1:25" s="64" customFormat="1" x14ac:dyDescent="0.25">
      <c r="A434" s="63"/>
      <c r="W434" s="65"/>
      <c r="Y434" s="63"/>
    </row>
    <row r="435" spans="1:25" s="64" customFormat="1" x14ac:dyDescent="0.25">
      <c r="A435" s="63"/>
      <c r="W435" s="65"/>
      <c r="Y435" s="63"/>
    </row>
    <row r="436" spans="1:25" s="64" customFormat="1" x14ac:dyDescent="0.25">
      <c r="A436" s="63"/>
      <c r="W436" s="65"/>
      <c r="Y436" s="63"/>
    </row>
    <row r="437" spans="1:25" s="64" customFormat="1" x14ac:dyDescent="0.25">
      <c r="A437" s="63"/>
      <c r="W437" s="65"/>
      <c r="Y437" s="63"/>
    </row>
    <row r="438" spans="1:25" s="64" customFormat="1" x14ac:dyDescent="0.25">
      <c r="A438" s="63"/>
      <c r="W438" s="65"/>
      <c r="Y438" s="63"/>
    </row>
    <row r="439" spans="1:25" s="64" customFormat="1" x14ac:dyDescent="0.25">
      <c r="A439" s="63"/>
      <c r="W439" s="65"/>
      <c r="Y439" s="63"/>
    </row>
    <row r="440" spans="1:25" s="64" customFormat="1" x14ac:dyDescent="0.25">
      <c r="A440" s="63"/>
      <c r="W440" s="65"/>
      <c r="Y440" s="63"/>
    </row>
    <row r="441" spans="1:25" s="64" customFormat="1" x14ac:dyDescent="0.25">
      <c r="A441" s="63"/>
      <c r="W441" s="65"/>
      <c r="Y441" s="63"/>
    </row>
    <row r="442" spans="1:25" s="64" customFormat="1" x14ac:dyDescent="0.25">
      <c r="A442" s="63"/>
      <c r="W442" s="65"/>
      <c r="Y442" s="63"/>
    </row>
    <row r="443" spans="1:25" s="64" customFormat="1" x14ac:dyDescent="0.25">
      <c r="A443" s="63"/>
      <c r="W443" s="65"/>
      <c r="Y443" s="63"/>
    </row>
    <row r="444" spans="1:25" s="64" customFormat="1" x14ac:dyDescent="0.25">
      <c r="A444" s="63"/>
      <c r="W444" s="65"/>
      <c r="Y444" s="63"/>
    </row>
    <row r="445" spans="1:25" s="64" customFormat="1" x14ac:dyDescent="0.25">
      <c r="A445" s="63"/>
      <c r="W445" s="65"/>
      <c r="Y445" s="63"/>
    </row>
    <row r="446" spans="1:25" s="64" customFormat="1" x14ac:dyDescent="0.25">
      <c r="A446" s="63"/>
      <c r="W446" s="65"/>
      <c r="Y446" s="63"/>
    </row>
    <row r="447" spans="1:25" s="64" customFormat="1" x14ac:dyDescent="0.25">
      <c r="A447" s="63"/>
      <c r="W447" s="65"/>
      <c r="Y447" s="63"/>
    </row>
    <row r="448" spans="1:25" s="64" customFormat="1" x14ac:dyDescent="0.25">
      <c r="A448" s="63"/>
      <c r="W448" s="65"/>
      <c r="Y448" s="63"/>
    </row>
    <row r="449" spans="1:25" s="64" customFormat="1" x14ac:dyDescent="0.25">
      <c r="A449" s="63"/>
      <c r="W449" s="65"/>
      <c r="Y449" s="63"/>
    </row>
    <row r="450" spans="1:25" s="64" customFormat="1" x14ac:dyDescent="0.25">
      <c r="A450" s="63"/>
      <c r="W450" s="65"/>
      <c r="Y450" s="63"/>
    </row>
    <row r="451" spans="1:25" s="64" customFormat="1" x14ac:dyDescent="0.25">
      <c r="A451" s="63"/>
      <c r="W451" s="65"/>
      <c r="Y451" s="63"/>
    </row>
    <row r="452" spans="1:25" s="64" customFormat="1" x14ac:dyDescent="0.25">
      <c r="A452" s="63"/>
      <c r="W452" s="65"/>
      <c r="Y452" s="63"/>
    </row>
    <row r="453" spans="1:25" s="64" customFormat="1" x14ac:dyDescent="0.25">
      <c r="A453" s="63"/>
      <c r="W453" s="65"/>
      <c r="Y453" s="63"/>
    </row>
    <row r="454" spans="1:25" s="64" customFormat="1" x14ac:dyDescent="0.25">
      <c r="A454" s="63"/>
      <c r="W454" s="65"/>
      <c r="Y454" s="63"/>
    </row>
    <row r="455" spans="1:25" s="64" customFormat="1" x14ac:dyDescent="0.25">
      <c r="A455" s="63"/>
      <c r="W455" s="65"/>
      <c r="Y455" s="63"/>
    </row>
    <row r="456" spans="1:25" s="64" customFormat="1" x14ac:dyDescent="0.25">
      <c r="A456" s="63"/>
      <c r="W456" s="65"/>
      <c r="Y456" s="63"/>
    </row>
    <row r="457" spans="1:25" s="64" customFormat="1" x14ac:dyDescent="0.25">
      <c r="A457" s="63"/>
      <c r="W457" s="65"/>
      <c r="Y457" s="63"/>
    </row>
    <row r="458" spans="1:25" s="64" customFormat="1" x14ac:dyDescent="0.25">
      <c r="A458" s="63"/>
      <c r="W458" s="65"/>
      <c r="Y458" s="63"/>
    </row>
    <row r="459" spans="1:25" s="64" customFormat="1" x14ac:dyDescent="0.25">
      <c r="A459" s="63"/>
      <c r="W459" s="65"/>
      <c r="Y459" s="63"/>
    </row>
    <row r="460" spans="1:25" s="64" customFormat="1" x14ac:dyDescent="0.25">
      <c r="A460" s="63"/>
      <c r="W460" s="65"/>
      <c r="Y460" s="63"/>
    </row>
    <row r="461" spans="1:25" s="64" customFormat="1" x14ac:dyDescent="0.25">
      <c r="A461" s="63"/>
      <c r="W461" s="65"/>
      <c r="Y461" s="63"/>
    </row>
    <row r="462" spans="1:25" s="64" customFormat="1" x14ac:dyDescent="0.25">
      <c r="A462" s="63"/>
      <c r="W462" s="65"/>
      <c r="Y462" s="63"/>
    </row>
    <row r="463" spans="1:25" s="64" customFormat="1" x14ac:dyDescent="0.25">
      <c r="A463" s="63"/>
      <c r="W463" s="65"/>
      <c r="Y463" s="63"/>
    </row>
    <row r="464" spans="1:25" s="64" customFormat="1" x14ac:dyDescent="0.25">
      <c r="A464" s="63"/>
      <c r="W464" s="65"/>
      <c r="Y464" s="63"/>
    </row>
    <row r="465" spans="1:25" s="64" customFormat="1" x14ac:dyDescent="0.25">
      <c r="A465" s="63"/>
      <c r="W465" s="65"/>
      <c r="Y465" s="63"/>
    </row>
    <row r="466" spans="1:25" s="64" customFormat="1" x14ac:dyDescent="0.25">
      <c r="A466" s="63"/>
      <c r="W466" s="65"/>
      <c r="Y466" s="63"/>
    </row>
    <row r="467" spans="1:25" s="64" customFormat="1" x14ac:dyDescent="0.25">
      <c r="A467" s="63"/>
      <c r="W467" s="65"/>
      <c r="Y467" s="63"/>
    </row>
    <row r="468" spans="1:25" s="64" customFormat="1" x14ac:dyDescent="0.25">
      <c r="A468" s="63"/>
      <c r="W468" s="65"/>
      <c r="Y468" s="63"/>
    </row>
    <row r="469" spans="1:25" s="64" customFormat="1" x14ac:dyDescent="0.25">
      <c r="A469" s="63"/>
      <c r="W469" s="65"/>
      <c r="Y469" s="63"/>
    </row>
    <row r="470" spans="1:25" s="64" customFormat="1" x14ac:dyDescent="0.25">
      <c r="A470" s="63"/>
      <c r="W470" s="65"/>
      <c r="Y470" s="63"/>
    </row>
    <row r="471" spans="1:25" s="64" customFormat="1" x14ac:dyDescent="0.25">
      <c r="A471" s="63"/>
      <c r="W471" s="65"/>
      <c r="Y471" s="63"/>
    </row>
    <row r="472" spans="1:25" s="64" customFormat="1" x14ac:dyDescent="0.25">
      <c r="A472" s="63"/>
      <c r="W472" s="65"/>
      <c r="Y472" s="63"/>
    </row>
    <row r="473" spans="1:25" s="64" customFormat="1" x14ac:dyDescent="0.25">
      <c r="A473" s="63"/>
      <c r="W473" s="65"/>
      <c r="Y473" s="63"/>
    </row>
    <row r="474" spans="1:25" s="64" customFormat="1" x14ac:dyDescent="0.25">
      <c r="A474" s="63"/>
      <c r="W474" s="65"/>
      <c r="Y474" s="63"/>
    </row>
    <row r="475" spans="1:25" s="64" customFormat="1" x14ac:dyDescent="0.25">
      <c r="A475" s="63"/>
      <c r="W475" s="65"/>
      <c r="Y475" s="63"/>
    </row>
    <row r="476" spans="1:25" s="64" customFormat="1" x14ac:dyDescent="0.25">
      <c r="A476" s="63"/>
      <c r="W476" s="65"/>
      <c r="Y476" s="63"/>
    </row>
    <row r="477" spans="1:25" s="64" customFormat="1" x14ac:dyDescent="0.25">
      <c r="A477" s="63"/>
      <c r="W477" s="65"/>
      <c r="Y477" s="63"/>
    </row>
    <row r="478" spans="1:25" s="64" customFormat="1" x14ac:dyDescent="0.25">
      <c r="A478" s="63"/>
      <c r="W478" s="65"/>
      <c r="Y478" s="63"/>
    </row>
    <row r="479" spans="1:25" s="64" customFormat="1" x14ac:dyDescent="0.25">
      <c r="A479" s="63"/>
      <c r="W479" s="65"/>
      <c r="Y479" s="63"/>
    </row>
    <row r="480" spans="1:25" s="64" customFormat="1" x14ac:dyDescent="0.25">
      <c r="A480" s="63"/>
      <c r="W480" s="65"/>
      <c r="Y480" s="63"/>
    </row>
    <row r="481" spans="1:25" s="64" customFormat="1" x14ac:dyDescent="0.25">
      <c r="A481" s="63"/>
      <c r="W481" s="65"/>
      <c r="Y481" s="63"/>
    </row>
    <row r="482" spans="1:25" s="64" customFormat="1" x14ac:dyDescent="0.25">
      <c r="A482" s="63"/>
      <c r="W482" s="65"/>
      <c r="Y482" s="63"/>
    </row>
    <row r="483" spans="1:25" s="64" customFormat="1" x14ac:dyDescent="0.25">
      <c r="A483" s="63"/>
      <c r="W483" s="65"/>
      <c r="Y483" s="63"/>
    </row>
    <row r="484" spans="1:25" s="64" customFormat="1" x14ac:dyDescent="0.25">
      <c r="A484" s="63"/>
      <c r="W484" s="65"/>
      <c r="Y484" s="63"/>
    </row>
    <row r="485" spans="1:25" s="64" customFormat="1" x14ac:dyDescent="0.25">
      <c r="A485" s="63"/>
      <c r="W485" s="65"/>
      <c r="Y485" s="63"/>
    </row>
    <row r="486" spans="1:25" s="64" customFormat="1" x14ac:dyDescent="0.25">
      <c r="A486" s="63"/>
      <c r="W486" s="65"/>
      <c r="Y486" s="63"/>
    </row>
    <row r="487" spans="1:25" s="64" customFormat="1" x14ac:dyDescent="0.25">
      <c r="A487" s="63"/>
      <c r="W487" s="65"/>
      <c r="Y487" s="63"/>
    </row>
    <row r="488" spans="1:25" s="64" customFormat="1" x14ac:dyDescent="0.25">
      <c r="A488" s="63"/>
      <c r="W488" s="65"/>
      <c r="Y488" s="63"/>
    </row>
    <row r="489" spans="1:25" s="64" customFormat="1" x14ac:dyDescent="0.25">
      <c r="A489" s="63"/>
      <c r="W489" s="65"/>
      <c r="Y489" s="63"/>
    </row>
    <row r="490" spans="1:25" s="64" customFormat="1" x14ac:dyDescent="0.25">
      <c r="A490" s="63"/>
      <c r="W490" s="65"/>
      <c r="Y490" s="63"/>
    </row>
    <row r="491" spans="1:25" s="64" customFormat="1" x14ac:dyDescent="0.25">
      <c r="A491" s="63"/>
      <c r="W491" s="65"/>
      <c r="Y491" s="63"/>
    </row>
    <row r="492" spans="1:25" s="64" customFormat="1" x14ac:dyDescent="0.25">
      <c r="A492" s="63"/>
      <c r="W492" s="65"/>
      <c r="Y492" s="63"/>
    </row>
    <row r="493" spans="1:25" s="64" customFormat="1" x14ac:dyDescent="0.25">
      <c r="A493" s="63"/>
      <c r="W493" s="65"/>
      <c r="Y493" s="63"/>
    </row>
    <row r="494" spans="1:25" s="64" customFormat="1" x14ac:dyDescent="0.25">
      <c r="A494" s="63"/>
      <c r="W494" s="65"/>
      <c r="Y494" s="63"/>
    </row>
    <row r="495" spans="1:25" s="64" customFormat="1" x14ac:dyDescent="0.25">
      <c r="A495" s="63"/>
      <c r="W495" s="65"/>
      <c r="Y495" s="63"/>
    </row>
    <row r="496" spans="1:25" s="64" customFormat="1" x14ac:dyDescent="0.25">
      <c r="A496" s="63"/>
      <c r="W496" s="65"/>
      <c r="Y496" s="63"/>
    </row>
    <row r="497" spans="1:25" s="64" customFormat="1" x14ac:dyDescent="0.25">
      <c r="A497" s="63"/>
      <c r="W497" s="65"/>
      <c r="Y497" s="63"/>
    </row>
    <row r="498" spans="1:25" s="64" customFormat="1" x14ac:dyDescent="0.25">
      <c r="A498" s="63"/>
      <c r="W498" s="65"/>
      <c r="Y498" s="63"/>
    </row>
    <row r="499" spans="1:25" s="64" customFormat="1" x14ac:dyDescent="0.25">
      <c r="A499" s="63"/>
      <c r="W499" s="65"/>
      <c r="Y499" s="63"/>
    </row>
    <row r="500" spans="1:25" s="64" customFormat="1" x14ac:dyDescent="0.25">
      <c r="A500" s="63"/>
      <c r="W500" s="65"/>
      <c r="Y500" s="63"/>
    </row>
    <row r="501" spans="1:25" s="64" customFormat="1" x14ac:dyDescent="0.25">
      <c r="A501" s="63"/>
      <c r="W501" s="65"/>
      <c r="Y501" s="63"/>
    </row>
    <row r="502" spans="1:25" s="64" customFormat="1" x14ac:dyDescent="0.25">
      <c r="A502" s="63"/>
      <c r="W502" s="65"/>
      <c r="Y502" s="63"/>
    </row>
    <row r="503" spans="1:25" s="64" customFormat="1" x14ac:dyDescent="0.25">
      <c r="A503" s="63"/>
      <c r="W503" s="65"/>
      <c r="Y503" s="63"/>
    </row>
    <row r="504" spans="1:25" s="64" customFormat="1" x14ac:dyDescent="0.25">
      <c r="A504" s="63"/>
      <c r="W504" s="65"/>
      <c r="Y504" s="63"/>
    </row>
    <row r="505" spans="1:25" s="64" customFormat="1" x14ac:dyDescent="0.25">
      <c r="A505" s="63"/>
      <c r="W505" s="65"/>
      <c r="Y505" s="63"/>
    </row>
    <row r="506" spans="1:25" s="64" customFormat="1" x14ac:dyDescent="0.25">
      <c r="A506" s="63"/>
      <c r="W506" s="65"/>
      <c r="Y506" s="63"/>
    </row>
    <row r="507" spans="1:25" s="64" customFormat="1" x14ac:dyDescent="0.25">
      <c r="A507" s="63"/>
      <c r="W507" s="65"/>
      <c r="Y507" s="63"/>
    </row>
    <row r="508" spans="1:25" s="64" customFormat="1" x14ac:dyDescent="0.25">
      <c r="A508" s="63"/>
      <c r="W508" s="65"/>
      <c r="Y508" s="63"/>
    </row>
    <row r="509" spans="1:25" s="64" customFormat="1" x14ac:dyDescent="0.25">
      <c r="A509" s="63"/>
      <c r="W509" s="65"/>
      <c r="Y509" s="63"/>
    </row>
    <row r="510" spans="1:25" s="64" customFormat="1" x14ac:dyDescent="0.25">
      <c r="A510" s="63"/>
      <c r="W510" s="65"/>
      <c r="Y510" s="63"/>
    </row>
    <row r="511" spans="1:25" s="64" customFormat="1" x14ac:dyDescent="0.25">
      <c r="A511" s="63"/>
      <c r="W511" s="65"/>
      <c r="Y511" s="63"/>
    </row>
    <row r="512" spans="1:25" s="64" customFormat="1" x14ac:dyDescent="0.25">
      <c r="A512" s="63"/>
      <c r="W512" s="65"/>
      <c r="Y512" s="63"/>
    </row>
    <row r="513" spans="1:25" s="64" customFormat="1" x14ac:dyDescent="0.25">
      <c r="A513" s="63"/>
      <c r="W513" s="65"/>
      <c r="Y513" s="63"/>
    </row>
    <row r="514" spans="1:25" s="64" customFormat="1" x14ac:dyDescent="0.25">
      <c r="A514" s="63"/>
      <c r="W514" s="65"/>
      <c r="Y514" s="63"/>
    </row>
    <row r="515" spans="1:25" s="64" customFormat="1" x14ac:dyDescent="0.25">
      <c r="A515" s="63"/>
      <c r="W515" s="65"/>
      <c r="Y515" s="63"/>
    </row>
    <row r="516" spans="1:25" s="64" customFormat="1" x14ac:dyDescent="0.25">
      <c r="A516" s="63"/>
      <c r="W516" s="65"/>
      <c r="Y516" s="63"/>
    </row>
    <row r="517" spans="1:25" s="64" customFormat="1" x14ac:dyDescent="0.25">
      <c r="A517" s="63"/>
      <c r="W517" s="65"/>
      <c r="Y517" s="63"/>
    </row>
    <row r="518" spans="1:25" s="64" customFormat="1" x14ac:dyDescent="0.25">
      <c r="A518" s="63"/>
      <c r="W518" s="65"/>
      <c r="Y518" s="63"/>
    </row>
    <row r="519" spans="1:25" s="64" customFormat="1" x14ac:dyDescent="0.25">
      <c r="A519" s="63"/>
      <c r="W519" s="65"/>
      <c r="Y519" s="63"/>
    </row>
    <row r="520" spans="1:25" s="64" customFormat="1" x14ac:dyDescent="0.25">
      <c r="A520" s="63"/>
      <c r="W520" s="65"/>
      <c r="Y520" s="63"/>
    </row>
    <row r="521" spans="1:25" s="64" customFormat="1" x14ac:dyDescent="0.25">
      <c r="A521" s="63"/>
      <c r="W521" s="65"/>
      <c r="Y521" s="63"/>
    </row>
    <row r="522" spans="1:25" s="64" customFormat="1" x14ac:dyDescent="0.25">
      <c r="A522" s="63"/>
      <c r="W522" s="65"/>
      <c r="Y522" s="63"/>
    </row>
    <row r="523" spans="1:25" s="64" customFormat="1" x14ac:dyDescent="0.25">
      <c r="A523" s="63"/>
      <c r="W523" s="65"/>
      <c r="Y523" s="63"/>
    </row>
    <row r="524" spans="1:25" s="64" customFormat="1" x14ac:dyDescent="0.25">
      <c r="A524" s="63"/>
      <c r="W524" s="65"/>
      <c r="Y524" s="63"/>
    </row>
    <row r="525" spans="1:25" s="64" customFormat="1" x14ac:dyDescent="0.25">
      <c r="A525" s="63"/>
      <c r="W525" s="65"/>
      <c r="Y525" s="63"/>
    </row>
    <row r="526" spans="1:25" s="64" customFormat="1" x14ac:dyDescent="0.25">
      <c r="A526" s="63"/>
      <c r="W526" s="65"/>
      <c r="Y526" s="63"/>
    </row>
    <row r="527" spans="1:25" s="64" customFormat="1" x14ac:dyDescent="0.25">
      <c r="A527" s="63"/>
      <c r="W527" s="65"/>
      <c r="Y527" s="63"/>
    </row>
    <row r="528" spans="1:25" s="64" customFormat="1" x14ac:dyDescent="0.25">
      <c r="A528" s="63"/>
      <c r="W528" s="65"/>
      <c r="Y528" s="63"/>
    </row>
    <row r="529" spans="1:25" s="64" customFormat="1" x14ac:dyDescent="0.25">
      <c r="A529" s="63"/>
      <c r="W529" s="65"/>
      <c r="Y529" s="63"/>
    </row>
    <row r="530" spans="1:25" s="64" customFormat="1" x14ac:dyDescent="0.25">
      <c r="A530" s="63"/>
      <c r="W530" s="65"/>
      <c r="Y530" s="63"/>
    </row>
    <row r="531" spans="1:25" s="64" customFormat="1" x14ac:dyDescent="0.25">
      <c r="A531" s="63"/>
      <c r="W531" s="65"/>
      <c r="Y531" s="63"/>
    </row>
    <row r="532" spans="1:25" s="64" customFormat="1" x14ac:dyDescent="0.25">
      <c r="A532" s="63"/>
      <c r="W532" s="65"/>
      <c r="Y532" s="63"/>
    </row>
    <row r="533" spans="1:25" s="64" customFormat="1" x14ac:dyDescent="0.25">
      <c r="A533" s="63"/>
      <c r="W533" s="65"/>
      <c r="Y533" s="63"/>
    </row>
    <row r="534" spans="1:25" s="64" customFormat="1" x14ac:dyDescent="0.25">
      <c r="A534" s="63"/>
      <c r="W534" s="65"/>
      <c r="Y534" s="63"/>
    </row>
    <row r="535" spans="1:25" s="64" customFormat="1" x14ac:dyDescent="0.25">
      <c r="A535" s="63"/>
      <c r="W535" s="65"/>
      <c r="Y535" s="63"/>
    </row>
    <row r="536" spans="1:25" s="64" customFormat="1" x14ac:dyDescent="0.25">
      <c r="A536" s="63"/>
      <c r="W536" s="65"/>
      <c r="Y536" s="63"/>
    </row>
    <row r="537" spans="1:25" s="64" customFormat="1" x14ac:dyDescent="0.25">
      <c r="A537" s="63"/>
      <c r="W537" s="65"/>
      <c r="Y537" s="63"/>
    </row>
    <row r="538" spans="1:25" s="64" customFormat="1" x14ac:dyDescent="0.25">
      <c r="A538" s="63"/>
      <c r="W538" s="65"/>
      <c r="Y538" s="63"/>
    </row>
    <row r="539" spans="1:25" s="64" customFormat="1" x14ac:dyDescent="0.25">
      <c r="A539" s="63"/>
      <c r="W539" s="65"/>
      <c r="Y539" s="63"/>
    </row>
    <row r="540" spans="1:25" s="64" customFormat="1" x14ac:dyDescent="0.25">
      <c r="A540" s="63"/>
      <c r="W540" s="65"/>
      <c r="Y540" s="63"/>
    </row>
    <row r="541" spans="1:25" s="64" customFormat="1" x14ac:dyDescent="0.25">
      <c r="A541" s="63"/>
      <c r="W541" s="65"/>
      <c r="Y541" s="63"/>
    </row>
    <row r="542" spans="1:25" s="64" customFormat="1" x14ac:dyDescent="0.25">
      <c r="A542" s="63"/>
      <c r="W542" s="65"/>
      <c r="Y542" s="63"/>
    </row>
    <row r="543" spans="1:25" s="64" customFormat="1" x14ac:dyDescent="0.25">
      <c r="A543" s="63"/>
      <c r="W543" s="65"/>
      <c r="Y543" s="63"/>
    </row>
    <row r="544" spans="1:25" s="64" customFormat="1" x14ac:dyDescent="0.25">
      <c r="A544" s="63"/>
      <c r="W544" s="65"/>
      <c r="Y544" s="63"/>
    </row>
    <row r="545" spans="1:25" s="64" customFormat="1" x14ac:dyDescent="0.25">
      <c r="A545" s="63"/>
      <c r="W545" s="65"/>
      <c r="Y545" s="63"/>
    </row>
    <row r="546" spans="1:25" s="64" customFormat="1" x14ac:dyDescent="0.25">
      <c r="A546" s="63"/>
      <c r="W546" s="65"/>
      <c r="Y546" s="63"/>
    </row>
    <row r="547" spans="1:25" s="64" customFormat="1" x14ac:dyDescent="0.25">
      <c r="A547" s="63"/>
      <c r="W547" s="65"/>
      <c r="Y547" s="63"/>
    </row>
    <row r="548" spans="1:25" s="64" customFormat="1" x14ac:dyDescent="0.25">
      <c r="A548" s="63"/>
      <c r="W548" s="65"/>
      <c r="Y548" s="63"/>
    </row>
    <row r="549" spans="1:25" s="64" customFormat="1" x14ac:dyDescent="0.25">
      <c r="A549" s="63"/>
      <c r="W549" s="65"/>
      <c r="Y549" s="63"/>
    </row>
    <row r="550" spans="1:25" s="64" customFormat="1" x14ac:dyDescent="0.25">
      <c r="A550" s="63"/>
      <c r="W550" s="65"/>
      <c r="Y550" s="63"/>
    </row>
    <row r="551" spans="1:25" s="64" customFormat="1" x14ac:dyDescent="0.25">
      <c r="A551" s="63"/>
      <c r="W551" s="65"/>
      <c r="Y551" s="63"/>
    </row>
    <row r="552" spans="1:25" s="64" customFormat="1" x14ac:dyDescent="0.25">
      <c r="A552" s="63"/>
      <c r="W552" s="65"/>
      <c r="Y552" s="63"/>
    </row>
    <row r="553" spans="1:25" s="64" customFormat="1" x14ac:dyDescent="0.25">
      <c r="A553" s="63"/>
      <c r="W553" s="65"/>
      <c r="Y553" s="63"/>
    </row>
    <row r="554" spans="1:25" s="64" customFormat="1" x14ac:dyDescent="0.25">
      <c r="A554" s="63"/>
      <c r="W554" s="65"/>
      <c r="Y554" s="63"/>
    </row>
    <row r="555" spans="1:25" s="64" customFormat="1" x14ac:dyDescent="0.25">
      <c r="A555" s="63"/>
      <c r="W555" s="65"/>
      <c r="Y555" s="63"/>
    </row>
    <row r="556" spans="1:25" s="64" customFormat="1" x14ac:dyDescent="0.25">
      <c r="A556" s="63"/>
      <c r="W556" s="65"/>
      <c r="Y556" s="63"/>
    </row>
    <row r="557" spans="1:25" s="64" customFormat="1" x14ac:dyDescent="0.25">
      <c r="A557" s="63"/>
      <c r="W557" s="65"/>
      <c r="Y557" s="63"/>
    </row>
    <row r="558" spans="1:25" s="64" customFormat="1" x14ac:dyDescent="0.25">
      <c r="A558" s="63"/>
      <c r="W558" s="65"/>
      <c r="Y558" s="63"/>
    </row>
    <row r="559" spans="1:25" s="64" customFormat="1" x14ac:dyDescent="0.25">
      <c r="A559" s="63"/>
      <c r="W559" s="65"/>
      <c r="Y559" s="63"/>
    </row>
    <row r="560" spans="1:25" s="64" customFormat="1" x14ac:dyDescent="0.25">
      <c r="A560" s="63"/>
      <c r="W560" s="65"/>
      <c r="Y560" s="63"/>
    </row>
    <row r="561" spans="1:25" s="64" customFormat="1" x14ac:dyDescent="0.25">
      <c r="A561" s="63"/>
      <c r="W561" s="65"/>
      <c r="Y561" s="63"/>
    </row>
    <row r="562" spans="1:25" s="64" customFormat="1" x14ac:dyDescent="0.25">
      <c r="A562" s="63"/>
      <c r="W562" s="65"/>
      <c r="Y562" s="63"/>
    </row>
    <row r="563" spans="1:25" s="64" customFormat="1" x14ac:dyDescent="0.25">
      <c r="A563" s="63"/>
      <c r="W563" s="65"/>
      <c r="Y563" s="63"/>
    </row>
    <row r="564" spans="1:25" s="64" customFormat="1" x14ac:dyDescent="0.25">
      <c r="A564" s="63"/>
      <c r="W564" s="65"/>
      <c r="Y564" s="63"/>
    </row>
    <row r="565" spans="1:25" s="64" customFormat="1" x14ac:dyDescent="0.25">
      <c r="A565" s="63"/>
      <c r="W565" s="65"/>
      <c r="Y565" s="63"/>
    </row>
    <row r="566" spans="1:25" s="64" customFormat="1" x14ac:dyDescent="0.25">
      <c r="A566" s="63"/>
      <c r="W566" s="65"/>
      <c r="Y566" s="63"/>
    </row>
    <row r="567" spans="1:25" s="64" customFormat="1" x14ac:dyDescent="0.25">
      <c r="A567" s="63"/>
      <c r="W567" s="65"/>
      <c r="Y567" s="63"/>
    </row>
    <row r="568" spans="1:25" s="64" customFormat="1" x14ac:dyDescent="0.25">
      <c r="A568" s="63"/>
      <c r="W568" s="65"/>
      <c r="Y568" s="63"/>
    </row>
    <row r="569" spans="1:25" s="64" customFormat="1" x14ac:dyDescent="0.25">
      <c r="A569" s="63"/>
      <c r="W569" s="65"/>
      <c r="Y569" s="63"/>
    </row>
    <row r="570" spans="1:25" s="64" customFormat="1" x14ac:dyDescent="0.25">
      <c r="A570" s="63"/>
      <c r="W570" s="65"/>
      <c r="Y570" s="63"/>
    </row>
    <row r="571" spans="1:25" s="64" customFormat="1" x14ac:dyDescent="0.25">
      <c r="A571" s="63"/>
      <c r="W571" s="65"/>
      <c r="Y571" s="63"/>
    </row>
    <row r="572" spans="1:25" s="64" customFormat="1" x14ac:dyDescent="0.25">
      <c r="A572" s="63"/>
      <c r="W572" s="65"/>
      <c r="Y572" s="63"/>
    </row>
    <row r="573" spans="1:25" s="64" customFormat="1" x14ac:dyDescent="0.25">
      <c r="A573" s="63"/>
      <c r="W573" s="65"/>
      <c r="Y573" s="63"/>
    </row>
    <row r="574" spans="1:25" s="64" customFormat="1" x14ac:dyDescent="0.25">
      <c r="A574" s="63"/>
      <c r="W574" s="65"/>
      <c r="Y574" s="63"/>
    </row>
    <row r="575" spans="1:25" s="64" customFormat="1" x14ac:dyDescent="0.25">
      <c r="A575" s="63"/>
      <c r="W575" s="65"/>
      <c r="Y575" s="63"/>
    </row>
    <row r="576" spans="1:25" s="64" customFormat="1" x14ac:dyDescent="0.25">
      <c r="A576" s="63"/>
      <c r="W576" s="65"/>
      <c r="Y576" s="63"/>
    </row>
    <row r="577" spans="1:25" s="64" customFormat="1" x14ac:dyDescent="0.25">
      <c r="A577" s="63"/>
      <c r="W577" s="65"/>
      <c r="Y577" s="63"/>
    </row>
    <row r="578" spans="1:25" s="64" customFormat="1" x14ac:dyDescent="0.25">
      <c r="A578" s="63"/>
      <c r="W578" s="65"/>
      <c r="Y578" s="63"/>
    </row>
    <row r="579" spans="1:25" s="64" customFormat="1" x14ac:dyDescent="0.25">
      <c r="A579" s="63"/>
      <c r="W579" s="65"/>
      <c r="Y579" s="63"/>
    </row>
    <row r="580" spans="1:25" s="64" customFormat="1" x14ac:dyDescent="0.25">
      <c r="A580" s="63"/>
      <c r="W580" s="65"/>
      <c r="Y580" s="63"/>
    </row>
    <row r="581" spans="1:25" s="64" customFormat="1" x14ac:dyDescent="0.25">
      <c r="A581" s="63"/>
      <c r="W581" s="65"/>
      <c r="Y581" s="63"/>
    </row>
    <row r="582" spans="1:25" s="64" customFormat="1" x14ac:dyDescent="0.25">
      <c r="A582" s="63"/>
      <c r="W582" s="65"/>
      <c r="Y582" s="63"/>
    </row>
    <row r="583" spans="1:25" s="64" customFormat="1" x14ac:dyDescent="0.25">
      <c r="A583" s="63"/>
      <c r="W583" s="65"/>
      <c r="Y583" s="63"/>
    </row>
    <row r="584" spans="1:25" s="64" customFormat="1" x14ac:dyDescent="0.25">
      <c r="A584" s="63"/>
      <c r="W584" s="65"/>
      <c r="Y584" s="63"/>
    </row>
    <row r="585" spans="1:25" s="64" customFormat="1" x14ac:dyDescent="0.25">
      <c r="A585" s="63"/>
      <c r="W585" s="65"/>
      <c r="Y585" s="63"/>
    </row>
    <row r="586" spans="1:25" s="64" customFormat="1" x14ac:dyDescent="0.25">
      <c r="A586" s="63"/>
      <c r="W586" s="65"/>
      <c r="Y586" s="63"/>
    </row>
    <row r="587" spans="1:25" s="64" customFormat="1" x14ac:dyDescent="0.25">
      <c r="A587" s="63"/>
      <c r="W587" s="65"/>
      <c r="Y587" s="63"/>
    </row>
    <row r="588" spans="1:25" s="64" customFormat="1" x14ac:dyDescent="0.25">
      <c r="A588" s="63"/>
      <c r="W588" s="65"/>
      <c r="Y588" s="63"/>
    </row>
    <row r="589" spans="1:25" s="64" customFormat="1" x14ac:dyDescent="0.25">
      <c r="A589" s="63"/>
      <c r="W589" s="65"/>
      <c r="Y589" s="63"/>
    </row>
    <row r="590" spans="1:25" s="64" customFormat="1" x14ac:dyDescent="0.25">
      <c r="A590" s="63"/>
      <c r="W590" s="65"/>
      <c r="Y590" s="63"/>
    </row>
    <row r="591" spans="1:25" s="64" customFormat="1" x14ac:dyDescent="0.25">
      <c r="A591" s="63"/>
      <c r="W591" s="65"/>
      <c r="Y591" s="63"/>
    </row>
    <row r="592" spans="1:25" s="64" customFormat="1" x14ac:dyDescent="0.25">
      <c r="A592" s="63"/>
      <c r="W592" s="65"/>
      <c r="Y592" s="63"/>
    </row>
    <row r="593" spans="1:25" s="64" customFormat="1" x14ac:dyDescent="0.25">
      <c r="A593" s="63"/>
      <c r="W593" s="65"/>
      <c r="Y593" s="63"/>
    </row>
    <row r="594" spans="1:25" s="64" customFormat="1" x14ac:dyDescent="0.25">
      <c r="A594" s="63"/>
      <c r="W594" s="65"/>
      <c r="Y594" s="63"/>
    </row>
    <row r="595" spans="1:25" s="64" customFormat="1" x14ac:dyDescent="0.25">
      <c r="A595" s="63"/>
      <c r="W595" s="65"/>
      <c r="Y595" s="63"/>
    </row>
    <row r="596" spans="1:25" s="64" customFormat="1" x14ac:dyDescent="0.25">
      <c r="A596" s="63"/>
      <c r="W596" s="65"/>
      <c r="Y596" s="63"/>
    </row>
    <row r="597" spans="1:25" s="64" customFormat="1" x14ac:dyDescent="0.25">
      <c r="A597" s="63"/>
      <c r="W597" s="65"/>
      <c r="Y597" s="63"/>
    </row>
    <row r="598" spans="1:25" s="64" customFormat="1" x14ac:dyDescent="0.25">
      <c r="A598" s="63"/>
      <c r="W598" s="65"/>
      <c r="Y598" s="63"/>
    </row>
    <row r="599" spans="1:25" s="64" customFormat="1" x14ac:dyDescent="0.25">
      <c r="A599" s="63"/>
      <c r="W599" s="65"/>
      <c r="Y599" s="63"/>
    </row>
    <row r="600" spans="1:25" s="64" customFormat="1" x14ac:dyDescent="0.25">
      <c r="A600" s="63"/>
      <c r="W600" s="65"/>
      <c r="Y600" s="63"/>
    </row>
    <row r="601" spans="1:25" s="64" customFormat="1" x14ac:dyDescent="0.25">
      <c r="A601" s="63"/>
      <c r="W601" s="65"/>
      <c r="Y601" s="63"/>
    </row>
    <row r="602" spans="1:25" s="64" customFormat="1" x14ac:dyDescent="0.25">
      <c r="A602" s="63"/>
      <c r="W602" s="65"/>
      <c r="Y602" s="63"/>
    </row>
    <row r="603" spans="1:25" s="64" customFormat="1" x14ac:dyDescent="0.25">
      <c r="A603" s="63"/>
      <c r="W603" s="65"/>
      <c r="Y603" s="63"/>
    </row>
    <row r="604" spans="1:25" s="64" customFormat="1" x14ac:dyDescent="0.25">
      <c r="A604" s="63"/>
      <c r="W604" s="65"/>
      <c r="Y604" s="63"/>
    </row>
    <row r="605" spans="1:25" s="64" customFormat="1" x14ac:dyDescent="0.25">
      <c r="A605" s="63"/>
      <c r="W605" s="65"/>
      <c r="Y605" s="63"/>
    </row>
    <row r="606" spans="1:25" s="64" customFormat="1" x14ac:dyDescent="0.25">
      <c r="A606" s="63"/>
      <c r="W606" s="65"/>
      <c r="Y606" s="63"/>
    </row>
    <row r="607" spans="1:25" s="64" customFormat="1" x14ac:dyDescent="0.25">
      <c r="A607" s="63"/>
      <c r="W607" s="65"/>
      <c r="Y607" s="63"/>
    </row>
    <row r="608" spans="1:25" s="64" customFormat="1" x14ac:dyDescent="0.25">
      <c r="A608" s="63"/>
      <c r="W608" s="65"/>
      <c r="Y608" s="63"/>
    </row>
    <row r="609" spans="1:25" s="64" customFormat="1" x14ac:dyDescent="0.25">
      <c r="A609" s="63"/>
      <c r="W609" s="65"/>
      <c r="Y609" s="63"/>
    </row>
    <row r="610" spans="1:25" s="64" customFormat="1" x14ac:dyDescent="0.25">
      <c r="A610" s="63"/>
      <c r="W610" s="65"/>
      <c r="Y610" s="63"/>
    </row>
    <row r="611" spans="1:25" s="64" customFormat="1" x14ac:dyDescent="0.25">
      <c r="A611" s="63"/>
      <c r="W611" s="65"/>
      <c r="Y611" s="63"/>
    </row>
    <row r="612" spans="1:25" s="64" customFormat="1" x14ac:dyDescent="0.25">
      <c r="A612" s="63"/>
      <c r="W612" s="65"/>
      <c r="Y612" s="63"/>
    </row>
    <row r="613" spans="1:25" s="64" customFormat="1" x14ac:dyDescent="0.25">
      <c r="A613" s="63"/>
      <c r="W613" s="65"/>
      <c r="Y613" s="63"/>
    </row>
    <row r="614" spans="1:25" s="64" customFormat="1" x14ac:dyDescent="0.25">
      <c r="A614" s="63"/>
      <c r="W614" s="65"/>
      <c r="Y614" s="63"/>
    </row>
    <row r="615" spans="1:25" s="64" customFormat="1" x14ac:dyDescent="0.25">
      <c r="A615" s="63"/>
      <c r="W615" s="65"/>
      <c r="Y615" s="63"/>
    </row>
    <row r="616" spans="1:25" s="64" customFormat="1" x14ac:dyDescent="0.25">
      <c r="A616" s="63"/>
      <c r="W616" s="65"/>
      <c r="Y616" s="63"/>
    </row>
    <row r="617" spans="1:25" s="64" customFormat="1" x14ac:dyDescent="0.25">
      <c r="A617" s="63"/>
      <c r="W617" s="65"/>
      <c r="Y617" s="63"/>
    </row>
    <row r="618" spans="1:25" s="64" customFormat="1" x14ac:dyDescent="0.25">
      <c r="A618" s="63"/>
      <c r="W618" s="65"/>
      <c r="Y618" s="63"/>
    </row>
    <row r="619" spans="1:25" s="64" customFormat="1" x14ac:dyDescent="0.25">
      <c r="A619" s="63"/>
      <c r="W619" s="65"/>
      <c r="Y619" s="63"/>
    </row>
    <row r="620" spans="1:25" s="64" customFormat="1" x14ac:dyDescent="0.25">
      <c r="A620" s="63"/>
      <c r="W620" s="65"/>
      <c r="Y620" s="63"/>
    </row>
    <row r="621" spans="1:25" s="64" customFormat="1" x14ac:dyDescent="0.25">
      <c r="A621" s="63"/>
      <c r="W621" s="65"/>
      <c r="Y621" s="63"/>
    </row>
    <row r="622" spans="1:25" s="64" customFormat="1" x14ac:dyDescent="0.25">
      <c r="A622" s="63"/>
      <c r="W622" s="65"/>
      <c r="Y622" s="63"/>
    </row>
    <row r="623" spans="1:25" s="64" customFormat="1" x14ac:dyDescent="0.25">
      <c r="A623" s="63"/>
      <c r="W623" s="65"/>
      <c r="Y623" s="63"/>
    </row>
    <row r="624" spans="1:25" s="64" customFormat="1" x14ac:dyDescent="0.25">
      <c r="A624" s="63"/>
      <c r="W624" s="65"/>
      <c r="Y624" s="63"/>
    </row>
    <row r="625" spans="1:25" s="64" customFormat="1" x14ac:dyDescent="0.25">
      <c r="A625" s="63"/>
      <c r="W625" s="65"/>
      <c r="Y625" s="63"/>
    </row>
    <row r="626" spans="1:25" s="64" customFormat="1" x14ac:dyDescent="0.25">
      <c r="A626" s="63"/>
      <c r="W626" s="65"/>
      <c r="Y626" s="63"/>
    </row>
    <row r="627" spans="1:25" s="64" customFormat="1" x14ac:dyDescent="0.25">
      <c r="A627" s="63"/>
      <c r="W627" s="65"/>
      <c r="Y627" s="63"/>
    </row>
    <row r="628" spans="1:25" s="64" customFormat="1" x14ac:dyDescent="0.25">
      <c r="A628" s="63"/>
      <c r="W628" s="65"/>
      <c r="Y628" s="63"/>
    </row>
    <row r="629" spans="1:25" s="64" customFormat="1" x14ac:dyDescent="0.25">
      <c r="A629" s="63"/>
      <c r="Y629" s="63"/>
    </row>
    <row r="630" spans="1:25" s="64" customFormat="1" x14ac:dyDescent="0.25">
      <c r="A630" s="63"/>
      <c r="Y630" s="63"/>
    </row>
    <row r="631" spans="1:25" s="64" customFormat="1" x14ac:dyDescent="0.25">
      <c r="A631" s="63"/>
      <c r="Y631" s="63"/>
    </row>
    <row r="632" spans="1:25" s="64" customFormat="1" x14ac:dyDescent="0.25">
      <c r="A632" s="63"/>
      <c r="Y632" s="63"/>
    </row>
    <row r="633" spans="1:25" s="64" customFormat="1" x14ac:dyDescent="0.25">
      <c r="A633" s="63"/>
      <c r="Y633" s="63"/>
    </row>
    <row r="634" spans="1:25" s="64" customFormat="1" x14ac:dyDescent="0.25">
      <c r="A634" s="63"/>
      <c r="Y634" s="63"/>
    </row>
    <row r="635" spans="1:25" s="64" customFormat="1" x14ac:dyDescent="0.25">
      <c r="A635" s="63"/>
      <c r="Y635" s="63"/>
    </row>
    <row r="636" spans="1:25" s="64" customFormat="1" x14ac:dyDescent="0.25">
      <c r="A636" s="63"/>
      <c r="Y636" s="63"/>
    </row>
    <row r="637" spans="1:25" s="64" customFormat="1" x14ac:dyDescent="0.25">
      <c r="A637" s="63"/>
      <c r="Y637" s="63"/>
    </row>
    <row r="638" spans="1:25" s="64" customFormat="1" x14ac:dyDescent="0.25">
      <c r="A638" s="63"/>
      <c r="Y638" s="63"/>
    </row>
    <row r="639" spans="1:25" s="64" customFormat="1" x14ac:dyDescent="0.25">
      <c r="A639" s="63"/>
      <c r="Y639" s="63"/>
    </row>
    <row r="640" spans="1:25" s="64" customFormat="1" x14ac:dyDescent="0.25">
      <c r="A640" s="63"/>
      <c r="Y640" s="63"/>
    </row>
    <row r="641" spans="1:25" s="64" customFormat="1" x14ac:dyDescent="0.25">
      <c r="A641" s="63"/>
      <c r="Y641" s="63"/>
    </row>
    <row r="642" spans="1:25" s="64" customFormat="1" x14ac:dyDescent="0.25">
      <c r="A642" s="63"/>
      <c r="Y642" s="63"/>
    </row>
    <row r="643" spans="1:25" s="64" customFormat="1" x14ac:dyDescent="0.25">
      <c r="A643" s="63"/>
      <c r="Y643" s="63"/>
    </row>
    <row r="644" spans="1:25" s="64" customFormat="1" x14ac:dyDescent="0.25">
      <c r="A644" s="63"/>
      <c r="Y644" s="63"/>
    </row>
    <row r="645" spans="1:25" s="64" customFormat="1" x14ac:dyDescent="0.25">
      <c r="A645" s="63"/>
      <c r="Y645" s="63"/>
    </row>
    <row r="646" spans="1:25" s="64" customFormat="1" x14ac:dyDescent="0.25">
      <c r="A646" s="63"/>
      <c r="Y646" s="63"/>
    </row>
    <row r="647" spans="1:25" s="64" customFormat="1" x14ac:dyDescent="0.25">
      <c r="A647" s="63"/>
      <c r="Y647" s="63"/>
    </row>
    <row r="648" spans="1:25" s="64" customFormat="1" x14ac:dyDescent="0.25">
      <c r="A648" s="63"/>
      <c r="Y648" s="63"/>
    </row>
    <row r="649" spans="1:25" s="64" customFormat="1" x14ac:dyDescent="0.25">
      <c r="A649" s="63"/>
      <c r="Y649" s="63"/>
    </row>
    <row r="650" spans="1:25" s="64" customFormat="1" x14ac:dyDescent="0.25">
      <c r="A650" s="63"/>
      <c r="Y650" s="63"/>
    </row>
    <row r="651" spans="1:25" s="64" customFormat="1" x14ac:dyDescent="0.25">
      <c r="A651" s="63"/>
      <c r="Y651" s="63"/>
    </row>
    <row r="652" spans="1:25" s="64" customFormat="1" x14ac:dyDescent="0.25">
      <c r="A652" s="63"/>
      <c r="Y652" s="63"/>
    </row>
    <row r="653" spans="1:25" s="64" customFormat="1" x14ac:dyDescent="0.25">
      <c r="A653" s="63"/>
      <c r="Y653" s="63"/>
    </row>
    <row r="654" spans="1:25" s="64" customFormat="1" x14ac:dyDescent="0.25">
      <c r="A654" s="63"/>
      <c r="Y654" s="63"/>
    </row>
    <row r="655" spans="1:25" s="64" customFormat="1" x14ac:dyDescent="0.25">
      <c r="A655" s="63"/>
      <c r="Y655" s="63"/>
    </row>
  </sheetData>
  <dataConsolidate/>
  <conditionalFormatting sqref="U22:U1048576 A158:XFD647 AW22:XFD157 A22:X157">
    <cfRule type="expression" dxfId="330" priority="18">
      <formula>MOD(ROW(),2)=0</formula>
    </cfRule>
  </conditionalFormatting>
  <conditionalFormatting sqref="W8:W11 W1:W4 W6 W13:W1048576">
    <cfRule type="containsText" dxfId="329" priority="17" operator="containsText" text="Exclude">
      <formula>NOT(ISERROR(SEARCH("Exclude",W1)))</formula>
    </cfRule>
  </conditionalFormatting>
  <conditionalFormatting sqref="H6 A6:C6">
    <cfRule type="containsErrors" dxfId="328" priority="13">
      <formula>ISERROR(A6)</formula>
    </cfRule>
  </conditionalFormatting>
  <conditionalFormatting sqref="U1:U1048576">
    <cfRule type="containsText" dxfId="327" priority="7" operator="containsText" text="Pant">
      <formula>NOT(ISERROR(SEARCH("Pant",U1)))</formula>
    </cfRule>
    <cfRule type="containsText" dxfId="326" priority="12" operator="containsText" text="Exclude">
      <formula>NOT(ISERROR(SEARCH("Exclude",U1)))</formula>
    </cfRule>
  </conditionalFormatting>
  <conditionalFormatting sqref="Y22:AR157 AT22:AV157">
    <cfRule type="expression" dxfId="325" priority="11">
      <formula>MOD(ROW(),2)=0</formula>
    </cfRule>
  </conditionalFormatting>
  <conditionalFormatting sqref="AU8:AU11 AU6 AU13:AU157">
    <cfRule type="containsText" dxfId="324" priority="10" operator="containsText" text="Exclude">
      <formula>NOT(ISERROR(SEARCH("Exclude",AU6)))</formula>
    </cfRule>
  </conditionalFormatting>
  <conditionalFormatting sqref="AF6 Y6:AA6">
    <cfRule type="containsErrors" dxfId="323" priority="9">
      <formula>ISERROR(Y6)</formula>
    </cfRule>
  </conditionalFormatting>
  <conditionalFormatting sqref="AS5:AS21">
    <cfRule type="containsText" dxfId="322" priority="8" operator="containsText" text="Exclude">
      <formula>NOT(ISERROR(SEARCH("Exclude",AS5)))</formula>
    </cfRule>
  </conditionalFormatting>
  <conditionalFormatting sqref="AS22:AS157">
    <cfRule type="expression" dxfId="321" priority="3">
      <formula>MOD(ROW(),2)=0</formula>
    </cfRule>
  </conditionalFormatting>
  <conditionalFormatting sqref="AS22:AS157">
    <cfRule type="containsText" dxfId="320" priority="1" operator="containsText" text="Pant">
      <formula>NOT(ISERROR(SEARCH("Pant",AS22)))</formula>
    </cfRule>
    <cfRule type="containsText" dxfId="319" priority="2" operator="containsText" text="Exclude">
      <formula>NOT(ISERROR(SEARCH("Exclude",AS22)))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xtToColumns">
                <anchor moveWithCells="1" sizeWithCells="1">
                  <from>
                    <xdr:col>8</xdr:col>
                    <xdr:colOff>0</xdr:colOff>
                    <xdr:row>0</xdr:row>
                    <xdr:rowOff>19050</xdr:rowOff>
                  </from>
                  <to>
                    <xdr:col>12</xdr:col>
                    <xdr:colOff>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Norms!$A$4:$A$10</xm:f>
          </x14:formula1>
          <xm:sqref>E2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U655"/>
  <sheetViews>
    <sheetView zoomScale="90" zoomScaleNormal="90" workbookViewId="0">
      <pane ySplit="16" topLeftCell="A17" activePane="bottomLeft" state="frozen"/>
      <selection pane="bottomLeft" activeCell="AP21" sqref="AP21:AP634"/>
    </sheetView>
  </sheetViews>
  <sheetFormatPr defaultColWidth="9.140625" defaultRowHeight="15" x14ac:dyDescent="0.25"/>
  <cols>
    <col min="1" max="1" width="20" style="65" customWidth="1"/>
    <col min="2" max="2" width="16.42578125" style="65" customWidth="1"/>
    <col min="3" max="3" width="17.140625" style="65" customWidth="1"/>
    <col min="4" max="4" width="16.85546875" style="65" bestFit="1" customWidth="1"/>
    <col min="5" max="5" width="17" style="65" bestFit="1" customWidth="1"/>
    <col min="6" max="6" width="20.7109375" style="65" customWidth="1"/>
    <col min="7" max="9" width="13" style="65" customWidth="1"/>
    <col min="10" max="10" width="7.5703125" style="65" customWidth="1"/>
    <col min="11" max="11" width="10.85546875" style="65" customWidth="1"/>
    <col min="12" max="12" width="9.7109375" style="65" customWidth="1"/>
    <col min="13" max="13" width="12.7109375" style="65" bestFit="1" customWidth="1"/>
    <col min="14" max="14" width="4" style="65" bestFit="1" customWidth="1"/>
    <col min="15" max="15" width="15.42578125" style="65" bestFit="1" customWidth="1"/>
    <col min="16" max="16" width="2.28515625" style="65" bestFit="1" customWidth="1"/>
    <col min="17" max="17" width="13.5703125" style="65" bestFit="1" customWidth="1"/>
    <col min="18" max="18" width="13.7109375" style="65" bestFit="1" customWidth="1"/>
    <col min="19" max="20" width="14.140625" style="65" customWidth="1"/>
    <col min="21" max="21" width="9.140625" style="65" customWidth="1"/>
    <col min="22" max="22" width="9.140625" style="65"/>
    <col min="23" max="23" width="9.42578125" style="65" customWidth="1"/>
    <col min="24" max="24" width="9.140625" style="65"/>
    <col min="25" max="25" width="19.7109375" style="63" customWidth="1"/>
    <col min="26" max="26" width="14.140625" style="65" customWidth="1"/>
    <col min="27" max="27" width="21.5703125" style="65" customWidth="1"/>
    <col min="28" max="28" width="13.5703125" style="65" customWidth="1"/>
    <col min="29" max="29" width="18.42578125" style="65" customWidth="1"/>
    <col min="30" max="30" width="17" style="65" customWidth="1"/>
    <col min="31" max="31" width="14" style="65" customWidth="1"/>
    <col min="32" max="32" width="14.140625" style="65" customWidth="1"/>
    <col min="33" max="16384" width="9.140625" style="65"/>
  </cols>
  <sheetData>
    <row r="1" spans="1:47" customFormat="1" ht="22.5" x14ac:dyDescent="0.3">
      <c r="C1" s="1" t="s">
        <v>10</v>
      </c>
      <c r="I1" s="4"/>
      <c r="J1" s="4"/>
      <c r="K1" s="4"/>
      <c r="L1" s="4"/>
      <c r="M1" s="33"/>
      <c r="N1" s="33"/>
      <c r="O1" s="33"/>
      <c r="P1" s="33"/>
      <c r="Q1" s="33"/>
      <c r="R1" s="33"/>
      <c r="Y1" s="24"/>
    </row>
    <row r="2" spans="1:47" customFormat="1" x14ac:dyDescent="0.25">
      <c r="D2" s="2"/>
      <c r="I2" s="4"/>
      <c r="J2" s="4"/>
      <c r="K2" s="4"/>
      <c r="L2" s="4"/>
      <c r="M2" s="33"/>
      <c r="N2" s="33"/>
      <c r="O2" s="33"/>
      <c r="P2" s="33"/>
      <c r="Q2" s="33"/>
      <c r="R2" s="33"/>
      <c r="Y2" s="24"/>
    </row>
    <row r="3" spans="1:47" s="20" customFormat="1" x14ac:dyDescent="0.25">
      <c r="D3" s="21"/>
      <c r="I3" s="22"/>
      <c r="J3" s="22"/>
      <c r="K3" s="22"/>
      <c r="L3" s="22"/>
      <c r="M3" s="33"/>
      <c r="N3" s="33"/>
      <c r="O3" s="33"/>
      <c r="P3" s="33"/>
      <c r="Q3" s="33"/>
      <c r="R3" s="33"/>
      <c r="Y3" s="24"/>
    </row>
    <row r="4" spans="1:47" s="20" customFormat="1" x14ac:dyDescent="0.25">
      <c r="D4" s="21"/>
      <c r="I4" s="22"/>
      <c r="J4" s="22"/>
      <c r="K4" s="22"/>
      <c r="L4" s="22"/>
      <c r="M4" s="33"/>
      <c r="N4" s="33"/>
      <c r="O4" s="33"/>
      <c r="P4" s="33"/>
      <c r="Q4" s="33"/>
      <c r="R4" s="33"/>
      <c r="Y4" s="24"/>
    </row>
    <row r="5" spans="1:47" customFormat="1" x14ac:dyDescent="0.25">
      <c r="A5" s="2" t="s">
        <v>0</v>
      </c>
      <c r="B5" s="2" t="s">
        <v>1</v>
      </c>
      <c r="C5" s="2" t="s">
        <v>2</v>
      </c>
      <c r="D5" s="2" t="s">
        <v>3</v>
      </c>
      <c r="E5" s="2" t="s">
        <v>4</v>
      </c>
      <c r="F5" s="2" t="s">
        <v>5</v>
      </c>
      <c r="G5" s="2" t="s">
        <v>6</v>
      </c>
      <c r="H5" s="2" t="s">
        <v>12</v>
      </c>
      <c r="I5" s="18"/>
      <c r="J5" s="4"/>
      <c r="K5" s="4"/>
      <c r="L5" s="4"/>
      <c r="M5" s="33"/>
      <c r="N5" s="33"/>
      <c r="O5" s="33"/>
      <c r="P5" s="33"/>
      <c r="Q5" s="33"/>
      <c r="R5" s="33"/>
      <c r="S5" s="2"/>
      <c r="T5" s="2"/>
      <c r="Y5" s="37" t="s">
        <v>0</v>
      </c>
      <c r="Z5" s="29" t="s">
        <v>1</v>
      </c>
      <c r="AA5" s="29" t="s">
        <v>2</v>
      </c>
      <c r="AB5" s="29" t="s">
        <v>3</v>
      </c>
      <c r="AC5" s="29" t="s">
        <v>4</v>
      </c>
      <c r="AD5" s="29" t="s">
        <v>5</v>
      </c>
      <c r="AE5" s="29" t="s">
        <v>6</v>
      </c>
      <c r="AF5" s="29" t="s">
        <v>12</v>
      </c>
      <c r="AG5" s="40" t="s">
        <v>69</v>
      </c>
      <c r="AH5" s="33"/>
      <c r="AI5" s="33"/>
      <c r="AJ5" s="33"/>
      <c r="AK5" s="33"/>
      <c r="AL5" s="33"/>
      <c r="AM5" s="33"/>
      <c r="AN5" s="33"/>
      <c r="AO5" s="33"/>
      <c r="AP5" s="33"/>
      <c r="AQ5" s="29"/>
      <c r="AR5" s="29"/>
      <c r="AS5" s="28"/>
      <c r="AT5" s="28"/>
      <c r="AU5" s="28"/>
    </row>
    <row r="6" spans="1:47" customFormat="1" x14ac:dyDescent="0.25">
      <c r="A6" s="17">
        <f>AVERAGE(W22:W612)</f>
        <v>2.6132143357318305</v>
      </c>
      <c r="B6" s="17">
        <f>STDEV(W22:W612)</f>
        <v>0.11885031157684438</v>
      </c>
      <c r="C6" s="17">
        <f>ASIN(SQRT(D6/F6))</f>
        <v>0.98279372324732917</v>
      </c>
      <c r="D6">
        <f>COUNTIF(R22:R157,"TruePositive")+COUNTIF(R22:R157,"TrueNegative")</f>
        <v>36</v>
      </c>
      <c r="E6">
        <f>COUNTIF(R22:R157,"FalsePositive")+COUNTIF(R22:R157,"FalseNegative")+COUNTIF(R22:R157,"Anticipatory")+COUNTIF(R22:R157,"Post")+COUNTIF(R22:R157,"MaxOut")</f>
        <v>16</v>
      </c>
      <c r="F6">
        <f>SUM(D6+E6)</f>
        <v>52</v>
      </c>
      <c r="G6">
        <f>SUM(D6+(COUNTIF(R22:R157,"MaxOut")+COUNTIF(R22:R157,"FalsePositive")+COUNTIF(R22:R157,"FalseNegative")))</f>
        <v>42</v>
      </c>
      <c r="H6">
        <f>(Norms!M16)</f>
        <v>102.00204155349934</v>
      </c>
      <c r="I6" s="4"/>
      <c r="J6" s="4"/>
      <c r="K6" s="4"/>
      <c r="L6" s="4"/>
      <c r="M6" s="33"/>
      <c r="N6" s="33"/>
      <c r="O6" s="33"/>
      <c r="P6" s="33"/>
      <c r="Q6" s="33"/>
      <c r="R6" s="33"/>
      <c r="Y6" s="38" t="e">
        <f>AVERAGE(AU22:AU612)</f>
        <v>#DIV/0!</v>
      </c>
      <c r="Z6" s="17" t="e">
        <f>STDEV(AU22:AU612)</f>
        <v>#DIV/0!</v>
      </c>
      <c r="AA6" s="17" t="e">
        <f>ASIN(SQRT(AB6/AD6))</f>
        <v>#DIV/0!</v>
      </c>
      <c r="AB6" s="28">
        <f>COUNTIF(AP22:AP157,"TruePositive")+COUNTIF(AP22:AP157,"TrueNegative")</f>
        <v>0</v>
      </c>
      <c r="AC6" s="28">
        <f>COUNTIF(AP22:AP157,"FalsePositive")+COUNTIF(AP22:AP157,"FalseNegative")+COUNTIF(AP22:AP157,"Anticipatory")+COUNTIF(AP22:AP157,"Post")+COUNTIF(AP22:AP157,"MaxOut")</f>
        <v>0</v>
      </c>
      <c r="AD6" s="28">
        <f>SUM(AB6+AC6)</f>
        <v>0</v>
      </c>
      <c r="AE6" s="28">
        <f>SUM(AB6+(COUNTIF(AP22:AP157,"MaxOut")+COUNTIF(AP22:AP157,"FalsePositive")+COUNTIF(AP22:AP157,"FalseNegative")))</f>
        <v>0</v>
      </c>
      <c r="AF6" s="28" t="e">
        <f>(Norms!S16)</f>
        <v>#VALUE!</v>
      </c>
      <c r="AG6" s="33" t="e">
        <f>SUM((AF12+Detection!AF12)/2)/VLOOKUP(Detection!E2,Norms!A60:D66,4)</f>
        <v>#VALUE!</v>
      </c>
      <c r="AH6" s="33"/>
      <c r="AI6" s="33"/>
      <c r="AJ6" s="33"/>
      <c r="AK6" s="33"/>
      <c r="AL6" s="33"/>
      <c r="AM6" s="33"/>
      <c r="AN6" s="33"/>
      <c r="AO6" s="33"/>
      <c r="AP6" s="33"/>
      <c r="AQ6" s="28"/>
      <c r="AR6" s="28"/>
      <c r="AS6" s="28"/>
      <c r="AT6" s="28"/>
      <c r="AU6" s="28"/>
    </row>
    <row r="7" spans="1:47" customFormat="1" x14ac:dyDescent="0.25">
      <c r="I7" s="4"/>
      <c r="J7" s="4"/>
      <c r="K7" s="4"/>
      <c r="L7" s="4"/>
      <c r="M7" s="33"/>
      <c r="N7" s="33"/>
      <c r="O7" s="33"/>
      <c r="P7" s="33"/>
      <c r="Q7" s="33"/>
      <c r="R7" s="33"/>
      <c r="Y7" s="24"/>
      <c r="Z7" s="28"/>
      <c r="AA7" s="28"/>
      <c r="AB7" s="28"/>
      <c r="AC7" s="28"/>
      <c r="AD7" s="28"/>
      <c r="AE7" s="28"/>
      <c r="AF7" s="28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28"/>
      <c r="AR7" s="28"/>
      <c r="AS7" s="28"/>
      <c r="AT7" s="28"/>
      <c r="AU7" s="28"/>
    </row>
    <row r="8" spans="1:47" s="28" customFormat="1" x14ac:dyDescent="0.25">
      <c r="A8" s="48" t="s">
        <v>63</v>
      </c>
      <c r="B8" s="29" t="s">
        <v>47</v>
      </c>
      <c r="C8" s="29" t="s">
        <v>64</v>
      </c>
      <c r="D8" s="29" t="s">
        <v>48</v>
      </c>
      <c r="E8" s="29" t="s">
        <v>49</v>
      </c>
      <c r="F8" s="29" t="s">
        <v>50</v>
      </c>
      <c r="G8" s="29" t="s">
        <v>51</v>
      </c>
      <c r="H8" s="29" t="s">
        <v>58</v>
      </c>
      <c r="I8" s="30"/>
      <c r="J8" s="30"/>
      <c r="K8" s="30"/>
      <c r="L8" s="30"/>
      <c r="M8" s="33"/>
      <c r="N8" s="33"/>
      <c r="O8" s="33"/>
      <c r="P8" s="33"/>
      <c r="Q8" s="33"/>
      <c r="R8" s="33"/>
      <c r="Y8" s="49" t="s">
        <v>63</v>
      </c>
      <c r="Z8" s="29" t="s">
        <v>47</v>
      </c>
      <c r="AA8" s="29" t="s">
        <v>64</v>
      </c>
      <c r="AB8" s="29" t="s">
        <v>48</v>
      </c>
      <c r="AC8" s="29" t="s">
        <v>49</v>
      </c>
      <c r="AD8" s="29" t="s">
        <v>50</v>
      </c>
      <c r="AE8" s="29" t="s">
        <v>51</v>
      </c>
      <c r="AF8" s="29" t="s">
        <v>58</v>
      </c>
      <c r="AG8" s="33"/>
      <c r="AH8" s="33"/>
      <c r="AI8" s="33"/>
      <c r="AJ8" s="33"/>
      <c r="AK8" s="33"/>
      <c r="AL8" s="33"/>
      <c r="AM8" s="33"/>
      <c r="AN8" s="33"/>
      <c r="AO8" s="33"/>
      <c r="AP8" s="33"/>
    </row>
    <row r="9" spans="1:47" s="28" customFormat="1" x14ac:dyDescent="0.25">
      <c r="A9" s="27">
        <f>(F12/30)*100</f>
        <v>100</v>
      </c>
      <c r="B9" s="28" t="str">
        <f>IF(A9&gt;=100,"Yes","No")</f>
        <v>Yes</v>
      </c>
      <c r="C9" s="28">
        <f>(D6/F6)*100</f>
        <v>69.230769230769226</v>
      </c>
      <c r="D9" s="28" t="str">
        <f>IF(B9="No","",IF(C9&gt;80,"Yes","No"))</f>
        <v>No</v>
      </c>
      <c r="E9" s="28">
        <f>AVERAGE(U22:U612)</f>
        <v>429</v>
      </c>
      <c r="F9" s="28">
        <f>STDEV(U22:U612)</f>
        <v>164.78491728770945</v>
      </c>
      <c r="G9" s="28">
        <f>D6/F6</f>
        <v>0.69230769230769229</v>
      </c>
      <c r="H9" s="28">
        <f>COUNTIF(R22:R157,"FalsePositive")+COUNTIF(R22:R157,"FalseNegative")</f>
        <v>6</v>
      </c>
      <c r="I9" s="30"/>
      <c r="J9" s="30"/>
      <c r="K9" s="30"/>
      <c r="L9" s="30"/>
      <c r="M9" s="33"/>
      <c r="N9" s="33"/>
      <c r="O9" s="33"/>
      <c r="P9" s="33"/>
      <c r="Q9" s="33"/>
      <c r="R9" s="33"/>
      <c r="Y9" s="39">
        <f>(AD12/30)*100</f>
        <v>0</v>
      </c>
      <c r="Z9" s="28" t="str">
        <f>IF(Y9&gt;=100,"Yes","No")</f>
        <v>No</v>
      </c>
      <c r="AA9" s="28" t="e">
        <f>(AB6/AD6)*100</f>
        <v>#DIV/0!</v>
      </c>
      <c r="AB9" s="28" t="e">
        <f>IF(AA9&gt;80,"Yes","No")</f>
        <v>#DIV/0!</v>
      </c>
      <c r="AC9" s="28" t="e">
        <f>AVERAGE(AS22:AS612)</f>
        <v>#DIV/0!</v>
      </c>
      <c r="AD9" s="28" t="e">
        <f>STDEV(AS22:AS612)</f>
        <v>#DIV/0!</v>
      </c>
      <c r="AE9" s="28" t="e">
        <f>AB6/AD6</f>
        <v>#DIV/0!</v>
      </c>
      <c r="AF9" s="28">
        <f>COUNTIF(AP22:AP157,"FalsePositive")+COUNTIF(AP22:AP157,"FalseNegative")</f>
        <v>0</v>
      </c>
      <c r="AG9" s="33"/>
      <c r="AH9" s="33"/>
      <c r="AI9" s="33"/>
      <c r="AJ9" s="33"/>
      <c r="AK9" s="33"/>
      <c r="AL9" s="33"/>
      <c r="AM9" s="33"/>
      <c r="AN9" s="33"/>
      <c r="AO9" s="33"/>
      <c r="AP9" s="33"/>
    </row>
    <row r="10" spans="1:47" s="28" customFormat="1" x14ac:dyDescent="0.25">
      <c r="I10" s="30"/>
      <c r="J10" s="30"/>
      <c r="K10" s="30"/>
      <c r="L10" s="30"/>
      <c r="M10" s="33"/>
      <c r="N10" s="33"/>
      <c r="O10" s="33"/>
      <c r="P10" s="33"/>
      <c r="Q10" s="33"/>
      <c r="R10" s="33"/>
      <c r="Y10" s="24"/>
      <c r="AG10" s="33"/>
      <c r="AH10" s="33"/>
      <c r="AI10" s="33"/>
      <c r="AJ10" s="33"/>
      <c r="AK10" s="33"/>
      <c r="AL10" s="33"/>
      <c r="AM10" s="33"/>
      <c r="AN10" s="33"/>
      <c r="AO10" s="33"/>
      <c r="AP10" s="33"/>
    </row>
    <row r="11" spans="1:47" s="28" customFormat="1" x14ac:dyDescent="0.25">
      <c r="A11" s="29" t="s">
        <v>52</v>
      </c>
      <c r="B11" s="29" t="s">
        <v>65</v>
      </c>
      <c r="C11" s="29" t="s">
        <v>54</v>
      </c>
      <c r="D11" s="29" t="s">
        <v>55</v>
      </c>
      <c r="E11" s="29" t="s">
        <v>56</v>
      </c>
      <c r="F11" s="48" t="s">
        <v>66</v>
      </c>
      <c r="G11" s="29" t="s">
        <v>68</v>
      </c>
      <c r="I11" s="30"/>
      <c r="J11" s="30"/>
      <c r="K11" s="30"/>
      <c r="L11" s="30"/>
      <c r="M11" s="33"/>
      <c r="N11" s="33"/>
      <c r="O11" s="33"/>
      <c r="P11" s="33"/>
      <c r="Q11" s="33"/>
      <c r="R11" s="33"/>
      <c r="Y11" s="37" t="s">
        <v>52</v>
      </c>
      <c r="Z11" s="29" t="s">
        <v>65</v>
      </c>
      <c r="AA11" s="29" t="s">
        <v>54</v>
      </c>
      <c r="AB11" s="29" t="s">
        <v>55</v>
      </c>
      <c r="AC11" s="29" t="s">
        <v>56</v>
      </c>
      <c r="AD11" s="48" t="s">
        <v>66</v>
      </c>
      <c r="AE11" s="29" t="s">
        <v>68</v>
      </c>
      <c r="AF11" s="29" t="s">
        <v>62</v>
      </c>
      <c r="AG11" s="33"/>
      <c r="AH11" s="33"/>
      <c r="AI11" s="33"/>
      <c r="AJ11" s="33"/>
      <c r="AK11" s="33"/>
      <c r="AL11" s="33"/>
      <c r="AM11" s="33"/>
      <c r="AN11" s="33"/>
      <c r="AO11" s="33"/>
      <c r="AP11" s="33"/>
    </row>
    <row r="12" spans="1:47" customFormat="1" x14ac:dyDescent="0.25">
      <c r="A12">
        <f>COUNTIF(R22:R157,"Anticipatory")+COUNTIF(R22:R157,"Post")+COUNTIF(R22:R157,"MaxOut")</f>
        <v>10</v>
      </c>
      <c r="B12" s="28">
        <f>IF(B9="No","",((Identification!A6-VLOOKUP(Detection!E2,Norms!A15:E21,2,TRUE))*-1)/VLOOKUP(Detection!E2,Norms!A15:E21,3,TRUE))</f>
        <v>0.68046262604571328</v>
      </c>
      <c r="C12" s="28">
        <f>COUNTIF(R22:R157,"Anticipatory")</f>
        <v>8</v>
      </c>
      <c r="D12" s="28">
        <f>COUNTIF(R22:R157,"Post")</f>
        <v>2</v>
      </c>
      <c r="E12">
        <f>COUNTIF(R22:R157,"MaxOut")</f>
        <v>0</v>
      </c>
      <c r="F12">
        <f>SUM(D6)-COUNTIF(U22:U601,"Pant")</f>
        <v>30</v>
      </c>
      <c r="G12">
        <f>IF(B9="No","",SUM(B12*10)+100)</f>
        <v>106.80462626045713</v>
      </c>
      <c r="M12" s="28"/>
      <c r="N12" s="28"/>
      <c r="O12" s="28"/>
      <c r="P12" s="28"/>
      <c r="Q12" s="28"/>
      <c r="R12" s="28"/>
      <c r="Y12" s="24">
        <f>COUNTIF(AP22:AP157,"Anticipatory")+COUNTIF(AP22:AP157,"Post")+COUNTIF(AP22:AP157,"MaxOut")</f>
        <v>0</v>
      </c>
      <c r="Z12" s="28" t="str">
        <f>IF(Z9="No","",((Identification!Y6-VLOOKUP(Detection!E2,Norms!A15:E21,2,TRUE))*-1)/VLOOKUP(Detection!E2,Norms!A15:E21,3,TRUE))</f>
        <v/>
      </c>
      <c r="AA12" s="28">
        <f>COUNTIF(AP22:AP157,"Anticipatory")</f>
        <v>0</v>
      </c>
      <c r="AB12" s="28">
        <f>COUNTIF(AP22:AP157,"Post")</f>
        <v>0</v>
      </c>
      <c r="AC12" s="28">
        <f>COUNTIF(AP22:AP157,"MaxOut")</f>
        <v>0</v>
      </c>
      <c r="AD12" s="28">
        <f>SUM(AB6)-COUNTIF(AS22:AS601,"Pant")</f>
        <v>0</v>
      </c>
      <c r="AE12" s="28" t="str">
        <f>IF(Z9="No","",SUM(Z12*10)+100)</f>
        <v/>
      </c>
      <c r="AF12" s="28" t="str">
        <f>IF(OR(Z9="No",B9="No"),"",SUM((Y6-A6)*-1)/(VLOOKUP(Detection!E2,Norms!A15:E21,5)*SQRT(2)))</f>
        <v/>
      </c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</row>
    <row r="13" spans="1:47" s="28" customFormat="1" x14ac:dyDescent="0.25">
      <c r="Y13" s="24"/>
    </row>
    <row r="14" spans="1:47" s="28" customFormat="1" x14ac:dyDescent="0.25">
      <c r="Y14" s="24"/>
    </row>
    <row r="15" spans="1:47" s="28" customFormat="1" x14ac:dyDescent="0.25">
      <c r="Y15" s="24"/>
    </row>
    <row r="16" spans="1:47" customFormat="1" x14ac:dyDescent="0.25">
      <c r="M16" s="28"/>
      <c r="N16" s="28"/>
      <c r="O16" s="28"/>
      <c r="P16" s="28"/>
      <c r="Q16" s="28"/>
      <c r="R16" s="28"/>
      <c r="U16" s="29" t="s">
        <v>57</v>
      </c>
      <c r="W16" s="2" t="s">
        <v>7</v>
      </c>
      <c r="Y16" s="24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9" t="s">
        <v>57</v>
      </c>
      <c r="AT16" s="28"/>
      <c r="AU16" s="29" t="s">
        <v>7</v>
      </c>
    </row>
    <row r="17" spans="1:47" s="28" customFormat="1" x14ac:dyDescent="0.25">
      <c r="U17" s="29"/>
      <c r="W17" s="29"/>
      <c r="Y17" s="24"/>
      <c r="AS17" s="29"/>
      <c r="AU17" s="29"/>
    </row>
    <row r="18" spans="1:47" s="28" customFormat="1" x14ac:dyDescent="0.25">
      <c r="U18" s="29"/>
      <c r="W18" s="29"/>
      <c r="Y18" s="24"/>
      <c r="AS18" s="29"/>
      <c r="AU18" s="29"/>
    </row>
    <row r="19" spans="1:47" s="3" customFormat="1" x14ac:dyDescent="0.25">
      <c r="Y19" s="36"/>
    </row>
    <row r="20" spans="1:47" s="3" customFormat="1" x14ac:dyDescent="0.25">
      <c r="Y20" s="36"/>
    </row>
    <row r="21" spans="1:47" s="35" customFormat="1" ht="18.75" x14ac:dyDescent="0.3">
      <c r="A21" s="34" t="s">
        <v>60</v>
      </c>
      <c r="Y21" s="34" t="s">
        <v>61</v>
      </c>
    </row>
    <row r="22" spans="1:47" s="67" customFormat="1" x14ac:dyDescent="0.25">
      <c r="A22" s="66" t="s">
        <v>170</v>
      </c>
      <c r="B22" s="67">
        <v>1</v>
      </c>
      <c r="C22" s="67" t="s">
        <v>171</v>
      </c>
      <c r="D22" s="67">
        <v>1</v>
      </c>
      <c r="E22" s="67" t="s">
        <v>172</v>
      </c>
      <c r="F22" s="67" t="s">
        <v>183</v>
      </c>
      <c r="G22" s="67" t="s">
        <v>174</v>
      </c>
      <c r="H22" s="67" t="s">
        <v>175</v>
      </c>
      <c r="I22" s="67" t="s">
        <v>176</v>
      </c>
      <c r="J22" s="67">
        <v>1439</v>
      </c>
      <c r="K22" s="67" t="s">
        <v>177</v>
      </c>
      <c r="L22" s="67">
        <v>2637</v>
      </c>
      <c r="M22" s="67" t="s">
        <v>178</v>
      </c>
      <c r="N22" s="67">
        <v>1198</v>
      </c>
      <c r="O22" s="67" t="s">
        <v>179</v>
      </c>
      <c r="P22" s="67" t="s">
        <v>180</v>
      </c>
      <c r="Q22" s="67" t="s">
        <v>181</v>
      </c>
      <c r="R22" s="67" t="s">
        <v>92</v>
      </c>
      <c r="U22" s="64">
        <f>IF(OR(R22="TruePositive",R22="TrueNegative"),IF(R21&lt;&gt;"Anticipatory",(N22),"Pant"),"Exclude")</f>
        <v>1198</v>
      </c>
      <c r="W22" s="65">
        <f>IF(OR(R22="TruePositive",R22="TrueNegative"),IF(R21&lt;&gt;"Anticipatory",LOG10(N22),"Exclude"),"Exclude")</f>
        <v>3.0784568180532927</v>
      </c>
      <c r="Y22" s="66"/>
      <c r="AS22" s="64" t="str">
        <f>IF(OR(AP22="TruePositive",AP22="TrueNegative"),IF(AP21&lt;&gt;"Anticipatory",(AL22),"Pant"),"Exclude")</f>
        <v>Exclude</v>
      </c>
      <c r="AU22" s="65" t="str">
        <f>IF(OR(AP22="TruePositive",AP22="TrueNegative"),IF(AP21&lt;&gt;"Anticipatory",LOG10(AL22),"Exclude"),"Exclude")</f>
        <v>Exclude</v>
      </c>
    </row>
    <row r="23" spans="1:47" s="64" customFormat="1" x14ac:dyDescent="0.25">
      <c r="A23" s="63" t="s">
        <v>170</v>
      </c>
      <c r="B23" s="64">
        <v>1</v>
      </c>
      <c r="C23" s="64" t="s">
        <v>171</v>
      </c>
      <c r="D23" s="64">
        <v>2</v>
      </c>
      <c r="E23" s="64" t="s">
        <v>172</v>
      </c>
      <c r="F23" s="64" t="s">
        <v>184</v>
      </c>
      <c r="G23" s="64" t="s">
        <v>174</v>
      </c>
      <c r="H23" s="64" t="s">
        <v>185</v>
      </c>
      <c r="I23" s="64" t="s">
        <v>176</v>
      </c>
      <c r="J23" s="64">
        <v>732</v>
      </c>
      <c r="K23" s="64" t="s">
        <v>177</v>
      </c>
      <c r="L23" s="64">
        <v>4340</v>
      </c>
      <c r="M23" s="64" t="s">
        <v>178</v>
      </c>
      <c r="N23" s="64">
        <v>470</v>
      </c>
      <c r="O23" s="64" t="s">
        <v>179</v>
      </c>
      <c r="P23" s="64" t="s">
        <v>180</v>
      </c>
      <c r="Q23" s="64" t="s">
        <v>181</v>
      </c>
      <c r="R23" s="64" t="s">
        <v>186</v>
      </c>
      <c r="U23" s="64" t="str">
        <f t="shared" ref="U23:U86" si="0">IF(OR(R23="TruePositive",R23="TrueNegative"),IF(R22&lt;&gt;"Anticipatory",(N23),"Pant"),"Exclude")</f>
        <v>Exclude</v>
      </c>
      <c r="W23" s="65" t="str">
        <f t="shared" ref="W23:W86" si="1">IF(OR(R23="TruePositive",R23="TrueNegative"),IF(R22&lt;&gt;"Anticipatory",LOG10(N23),"Exclude"),"Exclude")</f>
        <v>Exclude</v>
      </c>
      <c r="Y23" s="63"/>
      <c r="AS23" s="64" t="str">
        <f t="shared" ref="AS23:AS86" si="2">IF(OR(AP23="TruePositive",AP23="TrueNegative"),IF(AP22&lt;&gt;"Anticipatory",(AL23),"Pant"),"Exclude")</f>
        <v>Exclude</v>
      </c>
      <c r="AU23" s="65" t="str">
        <f t="shared" ref="AU23:AU86" si="3">IF(OR(AP23="TruePositive",AP23="TrueNegative"),IF(AP22&lt;&gt;"Anticipatory",LOG10(AL23),"Exclude"),"Exclude")</f>
        <v>Exclude</v>
      </c>
    </row>
    <row r="24" spans="1:47" s="64" customFormat="1" x14ac:dyDescent="0.25">
      <c r="A24" s="63" t="s">
        <v>170</v>
      </c>
      <c r="B24" s="64">
        <v>1</v>
      </c>
      <c r="C24" s="64" t="s">
        <v>171</v>
      </c>
      <c r="D24" s="64">
        <v>3</v>
      </c>
      <c r="E24" s="64" t="s">
        <v>172</v>
      </c>
      <c r="F24" s="64" t="s">
        <v>183</v>
      </c>
      <c r="G24" s="64" t="s">
        <v>174</v>
      </c>
      <c r="H24" s="64" t="s">
        <v>175</v>
      </c>
      <c r="I24" s="64" t="s">
        <v>176</v>
      </c>
      <c r="J24" s="64">
        <v>1491</v>
      </c>
      <c r="K24" s="64" t="s">
        <v>177</v>
      </c>
      <c r="L24" s="64">
        <v>6874</v>
      </c>
      <c r="M24" s="64" t="s">
        <v>178</v>
      </c>
      <c r="N24" s="64">
        <v>542</v>
      </c>
      <c r="O24" s="64" t="s">
        <v>179</v>
      </c>
      <c r="P24" s="64" t="s">
        <v>180</v>
      </c>
      <c r="Q24" s="64" t="s">
        <v>181</v>
      </c>
      <c r="R24" s="64" t="s">
        <v>92</v>
      </c>
      <c r="U24" s="64">
        <f t="shared" si="0"/>
        <v>542</v>
      </c>
      <c r="W24" s="65">
        <f t="shared" si="1"/>
        <v>2.7339992865383871</v>
      </c>
      <c r="Y24" s="63"/>
      <c r="AS24" s="64" t="str">
        <f t="shared" si="2"/>
        <v>Exclude</v>
      </c>
      <c r="AU24" s="65" t="str">
        <f t="shared" si="3"/>
        <v>Exclude</v>
      </c>
    </row>
    <row r="25" spans="1:47" s="64" customFormat="1" x14ac:dyDescent="0.25">
      <c r="A25" s="63" t="s">
        <v>170</v>
      </c>
      <c r="B25" s="64">
        <v>1</v>
      </c>
      <c r="C25" s="64" t="s">
        <v>171</v>
      </c>
      <c r="D25" s="64">
        <v>4</v>
      </c>
      <c r="E25" s="64" t="s">
        <v>172</v>
      </c>
      <c r="F25" s="64" t="s">
        <v>184</v>
      </c>
      <c r="G25" s="64" t="s">
        <v>174</v>
      </c>
      <c r="H25" s="64" t="s">
        <v>185</v>
      </c>
      <c r="I25" s="64" t="s">
        <v>176</v>
      </c>
      <c r="J25" s="64">
        <v>1485</v>
      </c>
      <c r="K25" s="64" t="s">
        <v>177</v>
      </c>
      <c r="L25" s="64">
        <v>9362</v>
      </c>
      <c r="M25" s="64" t="s">
        <v>178</v>
      </c>
      <c r="N25" s="64">
        <v>491</v>
      </c>
      <c r="O25" s="64" t="s">
        <v>179</v>
      </c>
      <c r="P25" s="64" t="s">
        <v>187</v>
      </c>
      <c r="Q25" s="64" t="s">
        <v>181</v>
      </c>
      <c r="R25" s="64" t="s">
        <v>188</v>
      </c>
      <c r="U25" s="64">
        <f t="shared" si="0"/>
        <v>491</v>
      </c>
      <c r="W25" s="65">
        <f t="shared" si="1"/>
        <v>2.6910814921229687</v>
      </c>
      <c r="Y25" s="63"/>
      <c r="AS25" s="64" t="str">
        <f t="shared" si="2"/>
        <v>Exclude</v>
      </c>
      <c r="AU25" s="65" t="str">
        <f t="shared" si="3"/>
        <v>Exclude</v>
      </c>
    </row>
    <row r="26" spans="1:47" s="64" customFormat="1" x14ac:dyDescent="0.25">
      <c r="A26" s="63" t="s">
        <v>170</v>
      </c>
      <c r="B26" s="64">
        <v>1</v>
      </c>
      <c r="C26" s="64" t="s">
        <v>171</v>
      </c>
      <c r="D26" s="64">
        <v>5</v>
      </c>
      <c r="E26" s="64" t="s">
        <v>172</v>
      </c>
      <c r="F26" s="64" t="s">
        <v>184</v>
      </c>
      <c r="G26" s="64" t="s">
        <v>174</v>
      </c>
      <c r="H26" s="64" t="s">
        <v>185</v>
      </c>
      <c r="I26" s="64" t="s">
        <v>176</v>
      </c>
      <c r="J26" s="64">
        <v>1307</v>
      </c>
      <c r="K26" s="64" t="s">
        <v>177</v>
      </c>
      <c r="L26" s="64">
        <v>11610</v>
      </c>
      <c r="M26" s="64" t="s">
        <v>178</v>
      </c>
      <c r="N26" s="64">
        <v>448</v>
      </c>
      <c r="O26" s="64" t="s">
        <v>179</v>
      </c>
      <c r="P26" s="64" t="s">
        <v>187</v>
      </c>
      <c r="Q26" s="64" t="s">
        <v>181</v>
      </c>
      <c r="R26" s="64" t="s">
        <v>188</v>
      </c>
      <c r="U26" s="64">
        <f t="shared" si="0"/>
        <v>448</v>
      </c>
      <c r="W26" s="65">
        <f t="shared" si="1"/>
        <v>2.651278013998144</v>
      </c>
      <c r="Y26" s="63"/>
      <c r="AS26" s="64" t="str">
        <f t="shared" si="2"/>
        <v>Exclude</v>
      </c>
      <c r="AU26" s="65" t="str">
        <f t="shared" si="3"/>
        <v>Exclude</v>
      </c>
    </row>
    <row r="27" spans="1:47" s="64" customFormat="1" x14ac:dyDescent="0.25">
      <c r="A27" s="63" t="s">
        <v>170</v>
      </c>
      <c r="B27" s="64">
        <v>1</v>
      </c>
      <c r="C27" s="64" t="s">
        <v>171</v>
      </c>
      <c r="D27" s="64">
        <v>6</v>
      </c>
      <c r="E27" s="64" t="s">
        <v>172</v>
      </c>
      <c r="F27" s="64" t="s">
        <v>183</v>
      </c>
      <c r="G27" s="64" t="s">
        <v>174</v>
      </c>
      <c r="H27" s="64" t="s">
        <v>175</v>
      </c>
      <c r="I27" s="64" t="s">
        <v>176</v>
      </c>
      <c r="J27" s="64">
        <v>1297</v>
      </c>
      <c r="K27" s="64" t="s">
        <v>177</v>
      </c>
      <c r="L27" s="64">
        <v>14038</v>
      </c>
      <c r="M27" s="64" t="s">
        <v>178</v>
      </c>
      <c r="N27" s="64">
        <v>642</v>
      </c>
      <c r="O27" s="64" t="s">
        <v>179</v>
      </c>
      <c r="P27" s="64" t="s">
        <v>180</v>
      </c>
      <c r="Q27" s="64" t="s">
        <v>181</v>
      </c>
      <c r="R27" s="64" t="s">
        <v>92</v>
      </c>
      <c r="U27" s="64">
        <f t="shared" si="0"/>
        <v>642</v>
      </c>
      <c r="W27" s="65">
        <f t="shared" si="1"/>
        <v>2.8075350280688531</v>
      </c>
      <c r="Y27" s="63"/>
      <c r="AS27" s="64" t="str">
        <f t="shared" si="2"/>
        <v>Exclude</v>
      </c>
      <c r="AU27" s="65" t="str">
        <f t="shared" si="3"/>
        <v>Exclude</v>
      </c>
    </row>
    <row r="28" spans="1:47" s="64" customFormat="1" x14ac:dyDescent="0.25">
      <c r="A28" s="63" t="s">
        <v>170</v>
      </c>
      <c r="B28" s="64">
        <v>1</v>
      </c>
      <c r="C28" s="64" t="s">
        <v>171</v>
      </c>
      <c r="D28" s="64">
        <v>7</v>
      </c>
      <c r="E28" s="64" t="s">
        <v>172</v>
      </c>
      <c r="F28" s="64" t="s">
        <v>183</v>
      </c>
      <c r="G28" s="64" t="s">
        <v>174</v>
      </c>
      <c r="H28" s="64" t="s">
        <v>175</v>
      </c>
      <c r="I28" s="64" t="s">
        <v>176</v>
      </c>
      <c r="J28" s="64">
        <v>1176</v>
      </c>
      <c r="K28" s="64" t="s">
        <v>177</v>
      </c>
      <c r="L28" s="64">
        <v>16028</v>
      </c>
      <c r="M28" s="64" t="s">
        <v>178</v>
      </c>
      <c r="N28" s="64">
        <v>319</v>
      </c>
      <c r="O28" s="64" t="s">
        <v>179</v>
      </c>
      <c r="P28" s="64" t="s">
        <v>180</v>
      </c>
      <c r="Q28" s="64" t="s">
        <v>181</v>
      </c>
      <c r="R28" s="64" t="s">
        <v>92</v>
      </c>
      <c r="U28" s="64">
        <f t="shared" si="0"/>
        <v>319</v>
      </c>
      <c r="W28" s="65">
        <f t="shared" si="1"/>
        <v>2.503790683057181</v>
      </c>
      <c r="Y28" s="63"/>
      <c r="AS28" s="64" t="str">
        <f t="shared" si="2"/>
        <v>Exclude</v>
      </c>
      <c r="AU28" s="65" t="str">
        <f t="shared" si="3"/>
        <v>Exclude</v>
      </c>
    </row>
    <row r="29" spans="1:47" s="64" customFormat="1" x14ac:dyDescent="0.25">
      <c r="A29" s="63" t="s">
        <v>170</v>
      </c>
      <c r="B29" s="64">
        <v>1</v>
      </c>
      <c r="C29" s="64" t="s">
        <v>171</v>
      </c>
      <c r="D29" s="64">
        <v>8</v>
      </c>
      <c r="E29" s="64" t="s">
        <v>172</v>
      </c>
      <c r="F29" s="64" t="s">
        <v>183</v>
      </c>
      <c r="G29" s="64" t="s">
        <v>174</v>
      </c>
      <c r="H29" s="64" t="s">
        <v>175</v>
      </c>
      <c r="I29" s="64" t="s">
        <v>176</v>
      </c>
      <c r="J29" s="64">
        <v>-1</v>
      </c>
      <c r="K29" s="64" t="s">
        <v>177</v>
      </c>
      <c r="L29" s="64">
        <v>17057</v>
      </c>
      <c r="M29" s="64" t="s">
        <v>178</v>
      </c>
      <c r="N29" s="64">
        <v>528</v>
      </c>
      <c r="O29" s="64" t="s">
        <v>179</v>
      </c>
      <c r="P29" s="64" t="s">
        <v>187</v>
      </c>
      <c r="Q29" s="64" t="s">
        <v>181</v>
      </c>
      <c r="R29" s="64" t="s">
        <v>182</v>
      </c>
      <c r="U29" s="64" t="str">
        <f t="shared" si="0"/>
        <v>Exclude</v>
      </c>
      <c r="W29" s="65" t="str">
        <f t="shared" si="1"/>
        <v>Exclude</v>
      </c>
      <c r="Y29" s="63"/>
      <c r="AS29" s="64" t="str">
        <f t="shared" si="2"/>
        <v>Exclude</v>
      </c>
      <c r="AU29" s="65" t="str">
        <f t="shared" si="3"/>
        <v>Exclude</v>
      </c>
    </row>
    <row r="30" spans="1:47" s="64" customFormat="1" x14ac:dyDescent="0.25">
      <c r="A30" s="63" t="s">
        <v>170</v>
      </c>
      <c r="B30" s="64">
        <v>1</v>
      </c>
      <c r="C30" s="64" t="s">
        <v>171</v>
      </c>
      <c r="D30" s="64">
        <v>8</v>
      </c>
      <c r="E30" s="64" t="s">
        <v>172</v>
      </c>
      <c r="F30" s="64" t="s">
        <v>183</v>
      </c>
      <c r="G30" s="64" t="s">
        <v>174</v>
      </c>
      <c r="H30" s="64" t="s">
        <v>175</v>
      </c>
      <c r="I30" s="64" t="s">
        <v>176</v>
      </c>
      <c r="J30" s="64">
        <v>1358</v>
      </c>
      <c r="K30" s="64" t="s">
        <v>177</v>
      </c>
      <c r="L30" s="64">
        <v>18234</v>
      </c>
      <c r="M30" s="64" t="s">
        <v>178</v>
      </c>
      <c r="N30" s="64">
        <v>347</v>
      </c>
      <c r="O30" s="64" t="s">
        <v>179</v>
      </c>
      <c r="P30" s="64" t="s">
        <v>180</v>
      </c>
      <c r="Q30" s="64" t="s">
        <v>181</v>
      </c>
      <c r="R30" s="64" t="s">
        <v>92</v>
      </c>
      <c r="U30" s="64" t="str">
        <f t="shared" si="0"/>
        <v>Pant</v>
      </c>
      <c r="W30" s="65" t="str">
        <f t="shared" si="1"/>
        <v>Exclude</v>
      </c>
      <c r="Y30" s="63"/>
      <c r="AS30" s="64" t="str">
        <f t="shared" si="2"/>
        <v>Exclude</v>
      </c>
      <c r="AU30" s="65" t="str">
        <f t="shared" si="3"/>
        <v>Exclude</v>
      </c>
    </row>
    <row r="31" spans="1:47" s="64" customFormat="1" x14ac:dyDescent="0.25">
      <c r="A31" s="63" t="s">
        <v>170</v>
      </c>
      <c r="B31" s="64">
        <v>1</v>
      </c>
      <c r="C31" s="64" t="s">
        <v>171</v>
      </c>
      <c r="D31" s="64">
        <v>9</v>
      </c>
      <c r="E31" s="64" t="s">
        <v>172</v>
      </c>
      <c r="F31" s="64" t="s">
        <v>183</v>
      </c>
      <c r="G31" s="64" t="s">
        <v>174</v>
      </c>
      <c r="H31" s="64" t="s">
        <v>175</v>
      </c>
      <c r="I31" s="64" t="s">
        <v>176</v>
      </c>
      <c r="J31" s="64">
        <v>1056</v>
      </c>
      <c r="K31" s="64" t="s">
        <v>177</v>
      </c>
      <c r="L31" s="64">
        <v>20113</v>
      </c>
      <c r="M31" s="64" t="s">
        <v>178</v>
      </c>
      <c r="N31" s="64">
        <v>323</v>
      </c>
      <c r="O31" s="64" t="s">
        <v>179</v>
      </c>
      <c r="P31" s="64" t="s">
        <v>180</v>
      </c>
      <c r="Q31" s="64" t="s">
        <v>181</v>
      </c>
      <c r="R31" s="64" t="s">
        <v>92</v>
      </c>
      <c r="U31" s="64">
        <f t="shared" si="0"/>
        <v>323</v>
      </c>
      <c r="W31" s="65">
        <f t="shared" si="1"/>
        <v>2.509202522331103</v>
      </c>
      <c r="Y31" s="63"/>
      <c r="AS31" s="64" t="str">
        <f t="shared" si="2"/>
        <v>Exclude</v>
      </c>
      <c r="AU31" s="65" t="str">
        <f t="shared" si="3"/>
        <v>Exclude</v>
      </c>
    </row>
    <row r="32" spans="1:47" s="64" customFormat="1" x14ac:dyDescent="0.25">
      <c r="A32" s="63" t="s">
        <v>170</v>
      </c>
      <c r="B32" s="64">
        <v>1</v>
      </c>
      <c r="C32" s="64" t="s">
        <v>171</v>
      </c>
      <c r="D32" s="64">
        <v>10</v>
      </c>
      <c r="E32" s="64" t="s">
        <v>172</v>
      </c>
      <c r="F32" s="64" t="s">
        <v>184</v>
      </c>
      <c r="G32" s="64" t="s">
        <v>174</v>
      </c>
      <c r="H32" s="64" t="s">
        <v>185</v>
      </c>
      <c r="I32" s="64" t="s">
        <v>176</v>
      </c>
      <c r="J32" s="64">
        <v>522</v>
      </c>
      <c r="K32" s="64" t="s">
        <v>177</v>
      </c>
      <c r="L32" s="64">
        <v>21589</v>
      </c>
      <c r="M32" s="64" t="s">
        <v>178</v>
      </c>
      <c r="N32" s="64">
        <v>442</v>
      </c>
      <c r="O32" s="64" t="s">
        <v>179</v>
      </c>
      <c r="P32" s="64" t="s">
        <v>187</v>
      </c>
      <c r="Q32" s="64" t="s">
        <v>181</v>
      </c>
      <c r="R32" s="64" t="s">
        <v>188</v>
      </c>
      <c r="U32" s="64">
        <f t="shared" si="0"/>
        <v>442</v>
      </c>
      <c r="W32" s="65">
        <f t="shared" si="1"/>
        <v>2.6454222693490919</v>
      </c>
      <c r="Y32" s="63"/>
      <c r="AS32" s="64" t="str">
        <f t="shared" si="2"/>
        <v>Exclude</v>
      </c>
      <c r="AU32" s="65" t="str">
        <f t="shared" si="3"/>
        <v>Exclude</v>
      </c>
    </row>
    <row r="33" spans="1:47" s="64" customFormat="1" x14ac:dyDescent="0.25">
      <c r="A33" s="63" t="s">
        <v>170</v>
      </c>
      <c r="B33" s="64">
        <v>1</v>
      </c>
      <c r="C33" s="64" t="s">
        <v>171</v>
      </c>
      <c r="D33" s="64">
        <v>11</v>
      </c>
      <c r="E33" s="64" t="s">
        <v>172</v>
      </c>
      <c r="F33" s="64" t="s">
        <v>184</v>
      </c>
      <c r="G33" s="64" t="s">
        <v>174</v>
      </c>
      <c r="H33" s="64" t="s">
        <v>185</v>
      </c>
      <c r="I33" s="64" t="s">
        <v>176</v>
      </c>
      <c r="J33" s="64">
        <v>1158</v>
      </c>
      <c r="K33" s="64" t="s">
        <v>177</v>
      </c>
      <c r="L33" s="64">
        <v>23588</v>
      </c>
      <c r="M33" s="64" t="s">
        <v>178</v>
      </c>
      <c r="N33" s="64">
        <v>345</v>
      </c>
      <c r="O33" s="64" t="s">
        <v>179</v>
      </c>
      <c r="P33" s="64" t="s">
        <v>187</v>
      </c>
      <c r="Q33" s="64" t="s">
        <v>181</v>
      </c>
      <c r="R33" s="64" t="s">
        <v>188</v>
      </c>
      <c r="U33" s="64">
        <f t="shared" si="0"/>
        <v>345</v>
      </c>
      <c r="W33" s="65">
        <f t="shared" si="1"/>
        <v>2.537819095073274</v>
      </c>
      <c r="Y33" s="63"/>
      <c r="AS33" s="64" t="str">
        <f t="shared" si="2"/>
        <v>Exclude</v>
      </c>
      <c r="AU33" s="65" t="str">
        <f t="shared" si="3"/>
        <v>Exclude</v>
      </c>
    </row>
    <row r="34" spans="1:47" s="64" customFormat="1" x14ac:dyDescent="0.25">
      <c r="A34" s="63" t="s">
        <v>170</v>
      </c>
      <c r="B34" s="64">
        <v>1</v>
      </c>
      <c r="C34" s="64" t="s">
        <v>171</v>
      </c>
      <c r="D34" s="64">
        <v>12</v>
      </c>
      <c r="E34" s="64" t="s">
        <v>172</v>
      </c>
      <c r="F34" s="64" t="s">
        <v>184</v>
      </c>
      <c r="G34" s="64" t="s">
        <v>174</v>
      </c>
      <c r="H34" s="64" t="s">
        <v>185</v>
      </c>
      <c r="I34" s="64" t="s">
        <v>176</v>
      </c>
      <c r="J34" s="64">
        <v>1167</v>
      </c>
      <c r="K34" s="64" t="s">
        <v>177</v>
      </c>
      <c r="L34" s="64">
        <v>25537</v>
      </c>
      <c r="M34" s="64" t="s">
        <v>178</v>
      </c>
      <c r="N34" s="64">
        <v>289</v>
      </c>
      <c r="O34" s="64" t="s">
        <v>179</v>
      </c>
      <c r="P34" s="64" t="s">
        <v>187</v>
      </c>
      <c r="Q34" s="64" t="s">
        <v>181</v>
      </c>
      <c r="R34" s="64" t="s">
        <v>188</v>
      </c>
      <c r="U34" s="64">
        <f t="shared" si="0"/>
        <v>289</v>
      </c>
      <c r="W34" s="65">
        <f t="shared" si="1"/>
        <v>2.4608978427565478</v>
      </c>
      <c r="Y34" s="63"/>
      <c r="AS34" s="64" t="str">
        <f t="shared" si="2"/>
        <v>Exclude</v>
      </c>
      <c r="AU34" s="65" t="str">
        <f t="shared" si="3"/>
        <v>Exclude</v>
      </c>
    </row>
    <row r="35" spans="1:47" s="64" customFormat="1" x14ac:dyDescent="0.25">
      <c r="A35" s="63" t="s">
        <v>170</v>
      </c>
      <c r="B35" s="64">
        <v>1</v>
      </c>
      <c r="C35" s="64" t="s">
        <v>171</v>
      </c>
      <c r="D35" s="64">
        <v>13</v>
      </c>
      <c r="E35" s="64" t="s">
        <v>172</v>
      </c>
      <c r="F35" s="64" t="s">
        <v>183</v>
      </c>
      <c r="G35" s="64" t="s">
        <v>174</v>
      </c>
      <c r="H35" s="64" t="s">
        <v>175</v>
      </c>
      <c r="I35" s="64" t="s">
        <v>176</v>
      </c>
      <c r="J35" s="64">
        <v>-1</v>
      </c>
      <c r="K35" s="64" t="s">
        <v>177</v>
      </c>
      <c r="L35" s="64">
        <v>26393</v>
      </c>
      <c r="M35" s="64" t="s">
        <v>178</v>
      </c>
      <c r="N35" s="64">
        <v>357</v>
      </c>
      <c r="O35" s="64" t="s">
        <v>179</v>
      </c>
      <c r="P35" s="64" t="s">
        <v>187</v>
      </c>
      <c r="Q35" s="64" t="s">
        <v>181</v>
      </c>
      <c r="R35" s="64" t="s">
        <v>182</v>
      </c>
      <c r="U35" s="64" t="str">
        <f t="shared" si="0"/>
        <v>Exclude</v>
      </c>
      <c r="W35" s="65" t="str">
        <f t="shared" si="1"/>
        <v>Exclude</v>
      </c>
      <c r="Y35" s="63"/>
      <c r="AS35" s="64" t="str">
        <f t="shared" si="2"/>
        <v>Exclude</v>
      </c>
      <c r="AU35" s="65" t="str">
        <f t="shared" si="3"/>
        <v>Exclude</v>
      </c>
    </row>
    <row r="36" spans="1:47" s="64" customFormat="1" x14ac:dyDescent="0.25">
      <c r="A36" s="63" t="s">
        <v>170</v>
      </c>
      <c r="B36" s="64">
        <v>1</v>
      </c>
      <c r="C36" s="64" t="s">
        <v>171</v>
      </c>
      <c r="D36" s="64">
        <v>13</v>
      </c>
      <c r="E36" s="64" t="s">
        <v>172</v>
      </c>
      <c r="F36" s="64" t="s">
        <v>183</v>
      </c>
      <c r="G36" s="64" t="s">
        <v>174</v>
      </c>
      <c r="H36" s="64" t="s">
        <v>175</v>
      </c>
      <c r="I36" s="64" t="s">
        <v>176</v>
      </c>
      <c r="J36" s="64">
        <v>1179</v>
      </c>
      <c r="K36" s="64" t="s">
        <v>177</v>
      </c>
      <c r="L36" s="64">
        <v>27644</v>
      </c>
      <c r="M36" s="64" t="s">
        <v>178</v>
      </c>
      <c r="N36" s="64">
        <v>429</v>
      </c>
      <c r="O36" s="64" t="s">
        <v>179</v>
      </c>
      <c r="P36" s="64" t="s">
        <v>187</v>
      </c>
      <c r="Q36" s="64" t="s">
        <v>181</v>
      </c>
      <c r="R36" s="64" t="s">
        <v>189</v>
      </c>
      <c r="U36" s="64" t="str">
        <f t="shared" si="0"/>
        <v>Exclude</v>
      </c>
      <c r="W36" s="65" t="str">
        <f t="shared" si="1"/>
        <v>Exclude</v>
      </c>
      <c r="Y36" s="63"/>
      <c r="AS36" s="64" t="str">
        <f t="shared" si="2"/>
        <v>Exclude</v>
      </c>
      <c r="AU36" s="65" t="str">
        <f t="shared" si="3"/>
        <v>Exclude</v>
      </c>
    </row>
    <row r="37" spans="1:47" s="64" customFormat="1" x14ac:dyDescent="0.25">
      <c r="A37" s="63" t="s">
        <v>170</v>
      </c>
      <c r="B37" s="64">
        <v>1</v>
      </c>
      <c r="C37" s="64" t="s">
        <v>171</v>
      </c>
      <c r="D37" s="64">
        <v>13</v>
      </c>
      <c r="E37" s="64" t="s">
        <v>172</v>
      </c>
      <c r="F37" s="64" t="s">
        <v>183</v>
      </c>
      <c r="G37" s="64" t="s">
        <v>174</v>
      </c>
      <c r="H37" s="64" t="s">
        <v>175</v>
      </c>
      <c r="I37" s="64" t="s">
        <v>176</v>
      </c>
      <c r="J37" s="64">
        <v>1179</v>
      </c>
      <c r="K37" s="64" t="s">
        <v>177</v>
      </c>
      <c r="L37" s="64">
        <v>27741</v>
      </c>
      <c r="M37" s="64" t="s">
        <v>178</v>
      </c>
      <c r="N37" s="64">
        <v>97</v>
      </c>
      <c r="O37" s="64" t="s">
        <v>179</v>
      </c>
      <c r="P37" s="64" t="s">
        <v>180</v>
      </c>
      <c r="Q37" s="64" t="s">
        <v>181</v>
      </c>
      <c r="R37" s="64" t="s">
        <v>190</v>
      </c>
      <c r="U37" s="64" t="str">
        <f t="shared" si="0"/>
        <v>Exclude</v>
      </c>
      <c r="W37" s="65" t="str">
        <f t="shared" si="1"/>
        <v>Exclude</v>
      </c>
      <c r="Y37" s="63"/>
      <c r="AS37" s="64" t="str">
        <f t="shared" si="2"/>
        <v>Exclude</v>
      </c>
      <c r="AU37" s="65" t="str">
        <f t="shared" si="3"/>
        <v>Exclude</v>
      </c>
    </row>
    <row r="38" spans="1:47" s="64" customFormat="1" x14ac:dyDescent="0.25">
      <c r="A38" s="63" t="s">
        <v>170</v>
      </c>
      <c r="B38" s="64">
        <v>1</v>
      </c>
      <c r="C38" s="64" t="s">
        <v>171</v>
      </c>
      <c r="D38" s="64">
        <v>14</v>
      </c>
      <c r="E38" s="64" t="s">
        <v>172</v>
      </c>
      <c r="F38" s="64" t="s">
        <v>184</v>
      </c>
      <c r="G38" s="64" t="s">
        <v>174</v>
      </c>
      <c r="H38" s="64" t="s">
        <v>185</v>
      </c>
      <c r="I38" s="64" t="s">
        <v>176</v>
      </c>
      <c r="J38" s="64">
        <v>-1</v>
      </c>
      <c r="K38" s="64" t="s">
        <v>177</v>
      </c>
      <c r="L38" s="64">
        <v>29087</v>
      </c>
      <c r="M38" s="64" t="s">
        <v>178</v>
      </c>
      <c r="N38" s="64">
        <v>951</v>
      </c>
      <c r="O38" s="64" t="s">
        <v>179</v>
      </c>
      <c r="P38" s="64" t="s">
        <v>187</v>
      </c>
      <c r="Q38" s="64" t="s">
        <v>181</v>
      </c>
      <c r="R38" s="64" t="s">
        <v>182</v>
      </c>
      <c r="U38" s="64" t="str">
        <f t="shared" si="0"/>
        <v>Exclude</v>
      </c>
      <c r="W38" s="65" t="str">
        <f t="shared" si="1"/>
        <v>Exclude</v>
      </c>
      <c r="Y38" s="63"/>
      <c r="AS38" s="64" t="str">
        <f t="shared" si="2"/>
        <v>Exclude</v>
      </c>
      <c r="AU38" s="65" t="str">
        <f t="shared" si="3"/>
        <v>Exclude</v>
      </c>
    </row>
    <row r="39" spans="1:47" s="64" customFormat="1" x14ac:dyDescent="0.25">
      <c r="A39" s="63" t="s">
        <v>170</v>
      </c>
      <c r="B39" s="64">
        <v>1</v>
      </c>
      <c r="C39" s="64" t="s">
        <v>171</v>
      </c>
      <c r="D39" s="64">
        <v>14</v>
      </c>
      <c r="E39" s="64" t="s">
        <v>172</v>
      </c>
      <c r="F39" s="64" t="s">
        <v>184</v>
      </c>
      <c r="G39" s="64" t="s">
        <v>174</v>
      </c>
      <c r="H39" s="64" t="s">
        <v>185</v>
      </c>
      <c r="I39" s="64" t="s">
        <v>176</v>
      </c>
      <c r="J39" s="64">
        <v>1503</v>
      </c>
      <c r="K39" s="64" t="s">
        <v>177</v>
      </c>
      <c r="L39" s="64">
        <v>30236</v>
      </c>
      <c r="M39" s="64" t="s">
        <v>178</v>
      </c>
      <c r="N39" s="64">
        <v>597</v>
      </c>
      <c r="O39" s="64" t="s">
        <v>179</v>
      </c>
      <c r="P39" s="64" t="s">
        <v>187</v>
      </c>
      <c r="Q39" s="64" t="s">
        <v>181</v>
      </c>
      <c r="R39" s="64" t="s">
        <v>188</v>
      </c>
      <c r="U39" s="64" t="str">
        <f t="shared" si="0"/>
        <v>Pant</v>
      </c>
      <c r="W39" s="65" t="str">
        <f t="shared" si="1"/>
        <v>Exclude</v>
      </c>
      <c r="Y39" s="63"/>
      <c r="AS39" s="64" t="str">
        <f t="shared" si="2"/>
        <v>Exclude</v>
      </c>
      <c r="AU39" s="65" t="str">
        <f t="shared" si="3"/>
        <v>Exclude</v>
      </c>
    </row>
    <row r="40" spans="1:47" s="64" customFormat="1" x14ac:dyDescent="0.25">
      <c r="A40" s="63" t="s">
        <v>170</v>
      </c>
      <c r="B40" s="64">
        <v>1</v>
      </c>
      <c r="C40" s="64" t="s">
        <v>171</v>
      </c>
      <c r="D40" s="64">
        <v>15</v>
      </c>
      <c r="E40" s="64" t="s">
        <v>172</v>
      </c>
      <c r="F40" s="64" t="s">
        <v>183</v>
      </c>
      <c r="G40" s="64" t="s">
        <v>174</v>
      </c>
      <c r="H40" s="64" t="s">
        <v>175</v>
      </c>
      <c r="I40" s="64" t="s">
        <v>176</v>
      </c>
      <c r="J40" s="64">
        <v>1308</v>
      </c>
      <c r="K40" s="64" t="s">
        <v>177</v>
      </c>
      <c r="L40" s="64">
        <v>32378</v>
      </c>
      <c r="M40" s="64" t="s">
        <v>178</v>
      </c>
      <c r="N40" s="64">
        <v>343</v>
      </c>
      <c r="O40" s="64" t="s">
        <v>179</v>
      </c>
      <c r="P40" s="64" t="s">
        <v>180</v>
      </c>
      <c r="Q40" s="64" t="s">
        <v>181</v>
      </c>
      <c r="R40" s="64" t="s">
        <v>92</v>
      </c>
      <c r="U40" s="64">
        <f t="shared" si="0"/>
        <v>343</v>
      </c>
      <c r="W40" s="65">
        <f t="shared" si="1"/>
        <v>2.5352941200427703</v>
      </c>
      <c r="Y40" s="63"/>
      <c r="AS40" s="64" t="str">
        <f t="shared" si="2"/>
        <v>Exclude</v>
      </c>
      <c r="AU40" s="65" t="str">
        <f t="shared" si="3"/>
        <v>Exclude</v>
      </c>
    </row>
    <row r="41" spans="1:47" s="64" customFormat="1" x14ac:dyDescent="0.25">
      <c r="A41" s="63" t="s">
        <v>170</v>
      </c>
      <c r="B41" s="64">
        <v>1</v>
      </c>
      <c r="C41" s="64" t="s">
        <v>171</v>
      </c>
      <c r="D41" s="64">
        <v>16</v>
      </c>
      <c r="E41" s="64" t="s">
        <v>172</v>
      </c>
      <c r="F41" s="64" t="s">
        <v>184</v>
      </c>
      <c r="G41" s="64" t="s">
        <v>174</v>
      </c>
      <c r="H41" s="64" t="s">
        <v>185</v>
      </c>
      <c r="I41" s="64" t="s">
        <v>176</v>
      </c>
      <c r="J41" s="64">
        <v>935</v>
      </c>
      <c r="K41" s="64" t="s">
        <v>177</v>
      </c>
      <c r="L41" s="64">
        <v>34306</v>
      </c>
      <c r="M41" s="64" t="s">
        <v>178</v>
      </c>
      <c r="N41" s="64">
        <v>501</v>
      </c>
      <c r="O41" s="64" t="s">
        <v>179</v>
      </c>
      <c r="P41" s="64" t="s">
        <v>187</v>
      </c>
      <c r="Q41" s="64" t="s">
        <v>181</v>
      </c>
      <c r="R41" s="64" t="s">
        <v>188</v>
      </c>
      <c r="U41" s="64">
        <f t="shared" si="0"/>
        <v>501</v>
      </c>
      <c r="W41" s="65">
        <f t="shared" si="1"/>
        <v>2.6998377258672459</v>
      </c>
      <c r="Y41" s="63"/>
      <c r="AS41" s="64" t="str">
        <f t="shared" si="2"/>
        <v>Exclude</v>
      </c>
      <c r="AU41" s="65" t="str">
        <f t="shared" si="3"/>
        <v>Exclude</v>
      </c>
    </row>
    <row r="42" spans="1:47" s="64" customFormat="1" x14ac:dyDescent="0.25">
      <c r="A42" s="63" t="s">
        <v>170</v>
      </c>
      <c r="B42" s="64">
        <v>1</v>
      </c>
      <c r="C42" s="64" t="s">
        <v>171</v>
      </c>
      <c r="D42" s="64">
        <v>17</v>
      </c>
      <c r="E42" s="64" t="s">
        <v>172</v>
      </c>
      <c r="F42" s="64" t="s">
        <v>183</v>
      </c>
      <c r="G42" s="64" t="s">
        <v>174</v>
      </c>
      <c r="H42" s="64" t="s">
        <v>175</v>
      </c>
      <c r="I42" s="64" t="s">
        <v>176</v>
      </c>
      <c r="J42" s="64">
        <v>1452</v>
      </c>
      <c r="K42" s="64" t="s">
        <v>177</v>
      </c>
      <c r="L42" s="64">
        <v>36571</v>
      </c>
      <c r="M42" s="64" t="s">
        <v>178</v>
      </c>
      <c r="N42" s="64">
        <v>316</v>
      </c>
      <c r="O42" s="64" t="s">
        <v>179</v>
      </c>
      <c r="P42" s="64" t="s">
        <v>180</v>
      </c>
      <c r="Q42" s="64" t="s">
        <v>181</v>
      </c>
      <c r="R42" s="64" t="s">
        <v>92</v>
      </c>
      <c r="U42" s="64">
        <f t="shared" si="0"/>
        <v>316</v>
      </c>
      <c r="W42" s="65">
        <f t="shared" si="1"/>
        <v>2.4996870826184039</v>
      </c>
      <c r="Y42" s="63"/>
      <c r="AS42" s="64" t="str">
        <f t="shared" si="2"/>
        <v>Exclude</v>
      </c>
      <c r="AU42" s="65" t="str">
        <f t="shared" si="3"/>
        <v>Exclude</v>
      </c>
    </row>
    <row r="43" spans="1:47" s="64" customFormat="1" x14ac:dyDescent="0.25">
      <c r="A43" s="63" t="s">
        <v>170</v>
      </c>
      <c r="B43" s="64">
        <v>1</v>
      </c>
      <c r="C43" s="64" t="s">
        <v>171</v>
      </c>
      <c r="D43" s="64">
        <v>18</v>
      </c>
      <c r="E43" s="64" t="s">
        <v>172</v>
      </c>
      <c r="F43" s="64" t="s">
        <v>184</v>
      </c>
      <c r="G43" s="64" t="s">
        <v>174</v>
      </c>
      <c r="H43" s="64" t="s">
        <v>185</v>
      </c>
      <c r="I43" s="64" t="s">
        <v>176</v>
      </c>
      <c r="J43" s="64">
        <v>1264</v>
      </c>
      <c r="K43" s="64" t="s">
        <v>177</v>
      </c>
      <c r="L43" s="64">
        <v>38714</v>
      </c>
      <c r="M43" s="64" t="s">
        <v>178</v>
      </c>
      <c r="N43" s="64">
        <v>392</v>
      </c>
      <c r="O43" s="64" t="s">
        <v>179</v>
      </c>
      <c r="P43" s="64" t="s">
        <v>187</v>
      </c>
      <c r="Q43" s="64" t="s">
        <v>181</v>
      </c>
      <c r="R43" s="64" t="s">
        <v>188</v>
      </c>
      <c r="U43" s="64">
        <f t="shared" si="0"/>
        <v>392</v>
      </c>
      <c r="W43" s="65">
        <f t="shared" si="1"/>
        <v>2.5932860670204572</v>
      </c>
      <c r="Y43" s="63"/>
      <c r="AS43" s="64" t="str">
        <f t="shared" si="2"/>
        <v>Exclude</v>
      </c>
      <c r="AU43" s="65" t="str">
        <f t="shared" si="3"/>
        <v>Exclude</v>
      </c>
    </row>
    <row r="44" spans="1:47" s="64" customFormat="1" x14ac:dyDescent="0.25">
      <c r="A44" s="63" t="s">
        <v>170</v>
      </c>
      <c r="B44" s="64">
        <v>1</v>
      </c>
      <c r="C44" s="64" t="s">
        <v>171</v>
      </c>
      <c r="D44" s="64">
        <v>19</v>
      </c>
      <c r="E44" s="64" t="s">
        <v>172</v>
      </c>
      <c r="F44" s="64" t="s">
        <v>183</v>
      </c>
      <c r="G44" s="64" t="s">
        <v>174</v>
      </c>
      <c r="H44" s="64" t="s">
        <v>175</v>
      </c>
      <c r="I44" s="64" t="s">
        <v>176</v>
      </c>
      <c r="J44" s="64">
        <v>1376</v>
      </c>
      <c r="K44" s="64" t="s">
        <v>177</v>
      </c>
      <c r="L44" s="64">
        <v>41010</v>
      </c>
      <c r="M44" s="64" t="s">
        <v>178</v>
      </c>
      <c r="N44" s="64">
        <v>424</v>
      </c>
      <c r="O44" s="64" t="s">
        <v>179</v>
      </c>
      <c r="P44" s="64" t="s">
        <v>187</v>
      </c>
      <c r="Q44" s="64" t="s">
        <v>181</v>
      </c>
      <c r="R44" s="64" t="s">
        <v>189</v>
      </c>
      <c r="U44" s="64" t="str">
        <f t="shared" si="0"/>
        <v>Exclude</v>
      </c>
      <c r="W44" s="65" t="str">
        <f t="shared" si="1"/>
        <v>Exclude</v>
      </c>
      <c r="Y44" s="63"/>
      <c r="AS44" s="64" t="str">
        <f t="shared" si="2"/>
        <v>Exclude</v>
      </c>
      <c r="AU44" s="65" t="str">
        <f t="shared" si="3"/>
        <v>Exclude</v>
      </c>
    </row>
    <row r="45" spans="1:47" s="64" customFormat="1" x14ac:dyDescent="0.25">
      <c r="A45" s="63" t="s">
        <v>170</v>
      </c>
      <c r="B45" s="64">
        <v>1</v>
      </c>
      <c r="C45" s="64" t="s">
        <v>171</v>
      </c>
      <c r="D45" s="64">
        <v>20</v>
      </c>
      <c r="E45" s="64" t="s">
        <v>172</v>
      </c>
      <c r="F45" s="64" t="s">
        <v>184</v>
      </c>
      <c r="G45" s="64" t="s">
        <v>174</v>
      </c>
      <c r="H45" s="64" t="s">
        <v>185</v>
      </c>
      <c r="I45" s="64" t="s">
        <v>176</v>
      </c>
      <c r="J45" s="64">
        <v>-1</v>
      </c>
      <c r="K45" s="64" t="s">
        <v>177</v>
      </c>
      <c r="L45" s="64">
        <v>41652</v>
      </c>
      <c r="M45" s="64" t="s">
        <v>178</v>
      </c>
      <c r="N45" s="64">
        <v>150</v>
      </c>
      <c r="O45" s="64" t="s">
        <v>179</v>
      </c>
      <c r="P45" s="64" t="s">
        <v>180</v>
      </c>
      <c r="Q45" s="64" t="s">
        <v>181</v>
      </c>
      <c r="R45" s="64" t="s">
        <v>182</v>
      </c>
      <c r="U45" s="64" t="str">
        <f t="shared" si="0"/>
        <v>Exclude</v>
      </c>
      <c r="W45" s="65" t="str">
        <f t="shared" si="1"/>
        <v>Exclude</v>
      </c>
      <c r="Y45" s="63"/>
      <c r="AS45" s="64" t="str">
        <f t="shared" si="2"/>
        <v>Exclude</v>
      </c>
      <c r="AU45" s="65" t="str">
        <f t="shared" si="3"/>
        <v>Exclude</v>
      </c>
    </row>
    <row r="46" spans="1:47" s="64" customFormat="1" x14ac:dyDescent="0.25">
      <c r="A46" s="63" t="s">
        <v>170</v>
      </c>
      <c r="B46" s="64">
        <v>1</v>
      </c>
      <c r="C46" s="64" t="s">
        <v>171</v>
      </c>
      <c r="D46" s="64">
        <v>20</v>
      </c>
      <c r="E46" s="64" t="s">
        <v>172</v>
      </c>
      <c r="F46" s="64" t="s">
        <v>184</v>
      </c>
      <c r="G46" s="64" t="s">
        <v>174</v>
      </c>
      <c r="H46" s="64" t="s">
        <v>185</v>
      </c>
      <c r="I46" s="64" t="s">
        <v>176</v>
      </c>
      <c r="J46" s="64">
        <v>530</v>
      </c>
      <c r="K46" s="64" t="s">
        <v>177</v>
      </c>
      <c r="L46" s="64">
        <v>42037</v>
      </c>
      <c r="M46" s="64" t="s">
        <v>178</v>
      </c>
      <c r="N46" s="64">
        <v>535</v>
      </c>
      <c r="O46" s="64" t="s">
        <v>179</v>
      </c>
      <c r="P46" s="64" t="s">
        <v>180</v>
      </c>
      <c r="Q46" s="64" t="s">
        <v>181</v>
      </c>
      <c r="R46" s="64" t="s">
        <v>182</v>
      </c>
      <c r="U46" s="64" t="str">
        <f t="shared" si="0"/>
        <v>Exclude</v>
      </c>
      <c r="W46" s="65" t="str">
        <f t="shared" si="1"/>
        <v>Exclude</v>
      </c>
      <c r="Y46" s="63"/>
      <c r="AS46" s="64" t="str">
        <f t="shared" si="2"/>
        <v>Exclude</v>
      </c>
      <c r="AU46" s="65" t="str">
        <f t="shared" si="3"/>
        <v>Exclude</v>
      </c>
    </row>
    <row r="47" spans="1:47" s="64" customFormat="1" x14ac:dyDescent="0.25">
      <c r="A47" s="63" t="s">
        <v>170</v>
      </c>
      <c r="B47" s="64">
        <v>1</v>
      </c>
      <c r="C47" s="64" t="s">
        <v>171</v>
      </c>
      <c r="D47" s="64">
        <v>20</v>
      </c>
      <c r="E47" s="64" t="s">
        <v>172</v>
      </c>
      <c r="F47" s="64" t="s">
        <v>184</v>
      </c>
      <c r="G47" s="64" t="s">
        <v>174</v>
      </c>
      <c r="H47" s="64" t="s">
        <v>185</v>
      </c>
      <c r="I47" s="64" t="s">
        <v>176</v>
      </c>
      <c r="J47" s="64">
        <v>530</v>
      </c>
      <c r="K47" s="64" t="s">
        <v>177</v>
      </c>
      <c r="L47" s="64">
        <v>42637</v>
      </c>
      <c r="M47" s="64" t="s">
        <v>178</v>
      </c>
      <c r="N47" s="64">
        <v>605</v>
      </c>
      <c r="O47" s="64" t="s">
        <v>179</v>
      </c>
      <c r="P47" s="64" t="s">
        <v>187</v>
      </c>
      <c r="Q47" s="64" t="s">
        <v>181</v>
      </c>
      <c r="R47" s="64" t="s">
        <v>188</v>
      </c>
      <c r="U47" s="64" t="str">
        <f t="shared" si="0"/>
        <v>Pant</v>
      </c>
      <c r="W47" s="65" t="str">
        <f t="shared" si="1"/>
        <v>Exclude</v>
      </c>
      <c r="Y47" s="63"/>
      <c r="AS47" s="64" t="str">
        <f t="shared" si="2"/>
        <v>Exclude</v>
      </c>
      <c r="AU47" s="65" t="str">
        <f t="shared" si="3"/>
        <v>Exclude</v>
      </c>
    </row>
    <row r="48" spans="1:47" s="64" customFormat="1" x14ac:dyDescent="0.25">
      <c r="A48" s="63" t="s">
        <v>170</v>
      </c>
      <c r="B48" s="64">
        <v>1</v>
      </c>
      <c r="C48" s="64" t="s">
        <v>171</v>
      </c>
      <c r="D48" s="64">
        <v>21</v>
      </c>
      <c r="E48" s="64" t="s">
        <v>172</v>
      </c>
      <c r="F48" s="64" t="s">
        <v>184</v>
      </c>
      <c r="G48" s="64" t="s">
        <v>174</v>
      </c>
      <c r="H48" s="64" t="s">
        <v>185</v>
      </c>
      <c r="I48" s="64" t="s">
        <v>176</v>
      </c>
      <c r="J48" s="64">
        <v>1123</v>
      </c>
      <c r="K48" s="64" t="s">
        <v>177</v>
      </c>
      <c r="L48" s="64">
        <v>44658</v>
      </c>
      <c r="M48" s="64" t="s">
        <v>178</v>
      </c>
      <c r="N48" s="64">
        <v>399</v>
      </c>
      <c r="O48" s="64" t="s">
        <v>179</v>
      </c>
      <c r="P48" s="64" t="s">
        <v>187</v>
      </c>
      <c r="Q48" s="64" t="s">
        <v>181</v>
      </c>
      <c r="R48" s="64" t="s">
        <v>188</v>
      </c>
      <c r="U48" s="64">
        <f t="shared" si="0"/>
        <v>399</v>
      </c>
      <c r="W48" s="65">
        <f t="shared" si="1"/>
        <v>2.6009728956867484</v>
      </c>
      <c r="Y48" s="63"/>
      <c r="AS48" s="64" t="str">
        <f t="shared" si="2"/>
        <v>Exclude</v>
      </c>
      <c r="AU48" s="65" t="str">
        <f t="shared" si="3"/>
        <v>Exclude</v>
      </c>
    </row>
    <row r="49" spans="1:47" s="64" customFormat="1" x14ac:dyDescent="0.25">
      <c r="A49" s="63" t="s">
        <v>170</v>
      </c>
      <c r="B49" s="64">
        <v>1</v>
      </c>
      <c r="C49" s="64" t="s">
        <v>171</v>
      </c>
      <c r="D49" s="64">
        <v>22</v>
      </c>
      <c r="E49" s="64" t="s">
        <v>172</v>
      </c>
      <c r="F49" s="64" t="s">
        <v>184</v>
      </c>
      <c r="G49" s="64" t="s">
        <v>174</v>
      </c>
      <c r="H49" s="64" t="s">
        <v>185</v>
      </c>
      <c r="I49" s="64" t="s">
        <v>176</v>
      </c>
      <c r="J49" s="64">
        <v>852</v>
      </c>
      <c r="K49" s="64" t="s">
        <v>177</v>
      </c>
      <c r="L49" s="64">
        <v>46390</v>
      </c>
      <c r="M49" s="64" t="s">
        <v>178</v>
      </c>
      <c r="N49" s="64">
        <v>390</v>
      </c>
      <c r="O49" s="64" t="s">
        <v>179</v>
      </c>
      <c r="P49" s="64" t="s">
        <v>187</v>
      </c>
      <c r="Q49" s="64" t="s">
        <v>181</v>
      </c>
      <c r="R49" s="64" t="s">
        <v>188</v>
      </c>
      <c r="U49" s="64">
        <f t="shared" si="0"/>
        <v>390</v>
      </c>
      <c r="W49" s="65">
        <f t="shared" si="1"/>
        <v>2.5910646070264991</v>
      </c>
      <c r="Y49" s="63"/>
      <c r="AS49" s="64" t="str">
        <f t="shared" si="2"/>
        <v>Exclude</v>
      </c>
      <c r="AU49" s="65" t="str">
        <f t="shared" si="3"/>
        <v>Exclude</v>
      </c>
    </row>
    <row r="50" spans="1:47" s="64" customFormat="1" x14ac:dyDescent="0.25">
      <c r="A50" s="63" t="s">
        <v>170</v>
      </c>
      <c r="B50" s="64">
        <v>1</v>
      </c>
      <c r="C50" s="64" t="s">
        <v>171</v>
      </c>
      <c r="D50" s="64">
        <v>23</v>
      </c>
      <c r="E50" s="64" t="s">
        <v>172</v>
      </c>
      <c r="F50" s="64" t="s">
        <v>183</v>
      </c>
      <c r="G50" s="64" t="s">
        <v>174</v>
      </c>
      <c r="H50" s="64" t="s">
        <v>175</v>
      </c>
      <c r="I50" s="64" t="s">
        <v>176</v>
      </c>
      <c r="J50" s="64">
        <v>1168</v>
      </c>
      <c r="K50" s="64" t="s">
        <v>177</v>
      </c>
      <c r="L50" s="64">
        <v>48493</v>
      </c>
      <c r="M50" s="64" t="s">
        <v>178</v>
      </c>
      <c r="N50" s="64">
        <v>425</v>
      </c>
      <c r="O50" s="64" t="s">
        <v>179</v>
      </c>
      <c r="P50" s="64" t="s">
        <v>180</v>
      </c>
      <c r="Q50" s="64" t="s">
        <v>181</v>
      </c>
      <c r="R50" s="64" t="s">
        <v>92</v>
      </c>
      <c r="U50" s="64">
        <f t="shared" si="0"/>
        <v>425</v>
      </c>
      <c r="W50" s="65">
        <f t="shared" si="1"/>
        <v>2.6283889300503116</v>
      </c>
      <c r="Y50" s="63"/>
      <c r="AS50" s="64" t="str">
        <f t="shared" si="2"/>
        <v>Exclude</v>
      </c>
      <c r="AU50" s="65" t="str">
        <f t="shared" si="3"/>
        <v>Exclude</v>
      </c>
    </row>
    <row r="51" spans="1:47" s="64" customFormat="1" x14ac:dyDescent="0.25">
      <c r="A51" s="63" t="s">
        <v>170</v>
      </c>
      <c r="B51" s="64">
        <v>1</v>
      </c>
      <c r="C51" s="64" t="s">
        <v>171</v>
      </c>
      <c r="D51" s="64">
        <v>24</v>
      </c>
      <c r="E51" s="64" t="s">
        <v>172</v>
      </c>
      <c r="F51" s="64" t="s">
        <v>183</v>
      </c>
      <c r="G51" s="64" t="s">
        <v>174</v>
      </c>
      <c r="H51" s="64" t="s">
        <v>175</v>
      </c>
      <c r="I51" s="64" t="s">
        <v>176</v>
      </c>
      <c r="J51" s="64">
        <v>1267</v>
      </c>
      <c r="K51" s="64" t="s">
        <v>177</v>
      </c>
      <c r="L51" s="64">
        <v>50609</v>
      </c>
      <c r="M51" s="64" t="s">
        <v>178</v>
      </c>
      <c r="N51" s="64">
        <v>340</v>
      </c>
      <c r="O51" s="64" t="s">
        <v>179</v>
      </c>
      <c r="P51" s="64" t="s">
        <v>180</v>
      </c>
      <c r="Q51" s="64" t="s">
        <v>181</v>
      </c>
      <c r="R51" s="64" t="s">
        <v>92</v>
      </c>
      <c r="U51" s="64">
        <f t="shared" si="0"/>
        <v>340</v>
      </c>
      <c r="W51" s="65">
        <f t="shared" si="1"/>
        <v>2.5314789170422549</v>
      </c>
      <c r="Y51" s="63"/>
      <c r="AS51" s="64" t="str">
        <f t="shared" si="2"/>
        <v>Exclude</v>
      </c>
      <c r="AU51" s="65" t="str">
        <f t="shared" si="3"/>
        <v>Exclude</v>
      </c>
    </row>
    <row r="52" spans="1:47" s="64" customFormat="1" x14ac:dyDescent="0.25">
      <c r="A52" s="63" t="s">
        <v>170</v>
      </c>
      <c r="B52" s="64">
        <v>1</v>
      </c>
      <c r="C52" s="64" t="s">
        <v>171</v>
      </c>
      <c r="D52" s="64">
        <v>25</v>
      </c>
      <c r="E52" s="64" t="s">
        <v>172</v>
      </c>
      <c r="F52" s="64" t="s">
        <v>183</v>
      </c>
      <c r="G52" s="64" t="s">
        <v>174</v>
      </c>
      <c r="H52" s="64" t="s">
        <v>175</v>
      </c>
      <c r="I52" s="64" t="s">
        <v>176</v>
      </c>
      <c r="J52" s="64">
        <v>1204</v>
      </c>
      <c r="K52" s="64" t="s">
        <v>177</v>
      </c>
      <c r="L52" s="64">
        <v>52608</v>
      </c>
      <c r="M52" s="64" t="s">
        <v>178</v>
      </c>
      <c r="N52" s="64">
        <v>292</v>
      </c>
      <c r="O52" s="64" t="s">
        <v>179</v>
      </c>
      <c r="P52" s="64" t="s">
        <v>180</v>
      </c>
      <c r="Q52" s="64" t="s">
        <v>181</v>
      </c>
      <c r="R52" s="64" t="s">
        <v>92</v>
      </c>
      <c r="U52" s="64">
        <f t="shared" si="0"/>
        <v>292</v>
      </c>
      <c r="W52" s="65">
        <f t="shared" si="1"/>
        <v>2.4653828514484184</v>
      </c>
      <c r="Y52" s="63"/>
      <c r="AS52" s="64" t="str">
        <f t="shared" si="2"/>
        <v>Exclude</v>
      </c>
      <c r="AU52" s="65" t="str">
        <f t="shared" si="3"/>
        <v>Exclude</v>
      </c>
    </row>
    <row r="53" spans="1:47" s="64" customFormat="1" x14ac:dyDescent="0.25">
      <c r="A53" s="63" t="s">
        <v>170</v>
      </c>
      <c r="B53" s="64">
        <v>1</v>
      </c>
      <c r="C53" s="64" t="s">
        <v>171</v>
      </c>
      <c r="D53" s="64">
        <v>26</v>
      </c>
      <c r="E53" s="64" t="s">
        <v>172</v>
      </c>
      <c r="F53" s="64" t="s">
        <v>183</v>
      </c>
      <c r="G53" s="64" t="s">
        <v>174</v>
      </c>
      <c r="H53" s="64" t="s">
        <v>175</v>
      </c>
      <c r="I53" s="64" t="s">
        <v>176</v>
      </c>
      <c r="J53" s="64">
        <v>892</v>
      </c>
      <c r="K53" s="64" t="s">
        <v>177</v>
      </c>
      <c r="L53" s="64">
        <v>54286</v>
      </c>
      <c r="M53" s="64" t="s">
        <v>178</v>
      </c>
      <c r="N53" s="64">
        <v>292</v>
      </c>
      <c r="O53" s="64" t="s">
        <v>179</v>
      </c>
      <c r="P53" s="64" t="s">
        <v>187</v>
      </c>
      <c r="Q53" s="64" t="s">
        <v>181</v>
      </c>
      <c r="R53" s="64" t="s">
        <v>189</v>
      </c>
      <c r="U53" s="64" t="str">
        <f t="shared" si="0"/>
        <v>Exclude</v>
      </c>
      <c r="W53" s="65" t="str">
        <f t="shared" si="1"/>
        <v>Exclude</v>
      </c>
      <c r="Y53" s="63"/>
      <c r="AS53" s="64" t="str">
        <f t="shared" si="2"/>
        <v>Exclude</v>
      </c>
      <c r="AU53" s="65" t="str">
        <f t="shared" si="3"/>
        <v>Exclude</v>
      </c>
    </row>
    <row r="54" spans="1:47" s="64" customFormat="1" x14ac:dyDescent="0.25">
      <c r="A54" s="63" t="s">
        <v>170</v>
      </c>
      <c r="B54" s="64">
        <v>1</v>
      </c>
      <c r="C54" s="64" t="s">
        <v>171</v>
      </c>
      <c r="D54" s="64">
        <v>26</v>
      </c>
      <c r="E54" s="64" t="s">
        <v>172</v>
      </c>
      <c r="F54" s="64" t="s">
        <v>183</v>
      </c>
      <c r="G54" s="64" t="s">
        <v>174</v>
      </c>
      <c r="H54" s="64" t="s">
        <v>175</v>
      </c>
      <c r="I54" s="64" t="s">
        <v>176</v>
      </c>
      <c r="J54" s="64">
        <v>892</v>
      </c>
      <c r="K54" s="64" t="s">
        <v>177</v>
      </c>
      <c r="L54" s="64">
        <v>54406</v>
      </c>
      <c r="M54" s="64" t="s">
        <v>178</v>
      </c>
      <c r="N54" s="64">
        <v>120</v>
      </c>
      <c r="O54" s="64" t="s">
        <v>179</v>
      </c>
      <c r="P54" s="64" t="s">
        <v>180</v>
      </c>
      <c r="Q54" s="64" t="s">
        <v>181</v>
      </c>
      <c r="R54" s="64" t="s">
        <v>190</v>
      </c>
      <c r="U54" s="64" t="str">
        <f t="shared" si="0"/>
        <v>Exclude</v>
      </c>
      <c r="W54" s="65" t="str">
        <f t="shared" si="1"/>
        <v>Exclude</v>
      </c>
      <c r="Y54" s="63"/>
      <c r="AS54" s="64" t="str">
        <f t="shared" si="2"/>
        <v>Exclude</v>
      </c>
      <c r="AU54" s="65" t="str">
        <f t="shared" si="3"/>
        <v>Exclude</v>
      </c>
    </row>
    <row r="55" spans="1:47" s="64" customFormat="1" x14ac:dyDescent="0.25">
      <c r="A55" s="63" t="s">
        <v>170</v>
      </c>
      <c r="B55" s="64">
        <v>1</v>
      </c>
      <c r="C55" s="64" t="s">
        <v>171</v>
      </c>
      <c r="D55" s="64">
        <v>27</v>
      </c>
      <c r="E55" s="64" t="s">
        <v>172</v>
      </c>
      <c r="F55" s="64" t="s">
        <v>184</v>
      </c>
      <c r="G55" s="64" t="s">
        <v>174</v>
      </c>
      <c r="H55" s="64" t="s">
        <v>185</v>
      </c>
      <c r="I55" s="64" t="s">
        <v>176</v>
      </c>
      <c r="J55" s="64">
        <v>1216</v>
      </c>
      <c r="K55" s="64" t="s">
        <v>177</v>
      </c>
      <c r="L55" s="64">
        <v>56409</v>
      </c>
      <c r="M55" s="64" t="s">
        <v>178</v>
      </c>
      <c r="N55" s="64">
        <v>412</v>
      </c>
      <c r="O55" s="64" t="s">
        <v>179</v>
      </c>
      <c r="P55" s="64" t="s">
        <v>187</v>
      </c>
      <c r="Q55" s="64" t="s">
        <v>181</v>
      </c>
      <c r="R55" s="64" t="s">
        <v>188</v>
      </c>
      <c r="U55" s="64">
        <f t="shared" si="0"/>
        <v>412</v>
      </c>
      <c r="W55" s="65">
        <f t="shared" si="1"/>
        <v>2.6148972160331345</v>
      </c>
      <c r="Y55" s="63"/>
      <c r="AS55" s="64" t="str">
        <f t="shared" si="2"/>
        <v>Exclude</v>
      </c>
      <c r="AU55" s="65" t="str">
        <f t="shared" si="3"/>
        <v>Exclude</v>
      </c>
    </row>
    <row r="56" spans="1:47" s="64" customFormat="1" x14ac:dyDescent="0.25">
      <c r="A56" s="63" t="s">
        <v>170</v>
      </c>
      <c r="B56" s="64">
        <v>1</v>
      </c>
      <c r="C56" s="64" t="s">
        <v>171</v>
      </c>
      <c r="D56" s="64">
        <v>28</v>
      </c>
      <c r="E56" s="64" t="s">
        <v>172</v>
      </c>
      <c r="F56" s="64" t="s">
        <v>183</v>
      </c>
      <c r="G56" s="64" t="s">
        <v>174</v>
      </c>
      <c r="H56" s="64" t="s">
        <v>175</v>
      </c>
      <c r="I56" s="64" t="s">
        <v>176</v>
      </c>
      <c r="J56" s="64">
        <v>887</v>
      </c>
      <c r="K56" s="64" t="s">
        <v>177</v>
      </c>
      <c r="L56" s="64">
        <v>58046</v>
      </c>
      <c r="M56" s="64" t="s">
        <v>178</v>
      </c>
      <c r="N56" s="64">
        <v>246</v>
      </c>
      <c r="O56" s="64" t="s">
        <v>179</v>
      </c>
      <c r="P56" s="64" t="s">
        <v>187</v>
      </c>
      <c r="Q56" s="64" t="s">
        <v>181</v>
      </c>
      <c r="R56" s="64" t="s">
        <v>189</v>
      </c>
      <c r="U56" s="64" t="str">
        <f t="shared" si="0"/>
        <v>Exclude</v>
      </c>
      <c r="W56" s="65" t="str">
        <f t="shared" si="1"/>
        <v>Exclude</v>
      </c>
      <c r="Y56" s="63"/>
      <c r="AS56" s="64" t="str">
        <f t="shared" si="2"/>
        <v>Exclude</v>
      </c>
      <c r="AU56" s="65" t="str">
        <f t="shared" si="3"/>
        <v>Exclude</v>
      </c>
    </row>
    <row r="57" spans="1:47" s="64" customFormat="1" x14ac:dyDescent="0.25">
      <c r="A57" s="63" t="s">
        <v>170</v>
      </c>
      <c r="B57" s="64">
        <v>1</v>
      </c>
      <c r="C57" s="64" t="s">
        <v>171</v>
      </c>
      <c r="D57" s="64">
        <v>29</v>
      </c>
      <c r="E57" s="64" t="s">
        <v>172</v>
      </c>
      <c r="F57" s="64" t="s">
        <v>183</v>
      </c>
      <c r="G57" s="64" t="s">
        <v>174</v>
      </c>
      <c r="H57" s="64" t="s">
        <v>175</v>
      </c>
      <c r="I57" s="64" t="s">
        <v>176</v>
      </c>
      <c r="J57" s="64">
        <v>-1</v>
      </c>
      <c r="K57" s="64" t="s">
        <v>177</v>
      </c>
      <c r="L57" s="64">
        <v>58721</v>
      </c>
      <c r="M57" s="64" t="s">
        <v>178</v>
      </c>
      <c r="N57" s="64">
        <v>189</v>
      </c>
      <c r="O57" s="64" t="s">
        <v>179</v>
      </c>
      <c r="P57" s="64" t="s">
        <v>187</v>
      </c>
      <c r="Q57" s="64" t="s">
        <v>181</v>
      </c>
      <c r="R57" s="64" t="s">
        <v>182</v>
      </c>
      <c r="U57" s="64" t="str">
        <f t="shared" si="0"/>
        <v>Exclude</v>
      </c>
      <c r="W57" s="65" t="str">
        <f t="shared" si="1"/>
        <v>Exclude</v>
      </c>
      <c r="Y57" s="63"/>
      <c r="AS57" s="64" t="str">
        <f t="shared" si="2"/>
        <v>Exclude</v>
      </c>
      <c r="AU57" s="65" t="str">
        <f t="shared" si="3"/>
        <v>Exclude</v>
      </c>
    </row>
    <row r="58" spans="1:47" s="64" customFormat="1" x14ac:dyDescent="0.25">
      <c r="A58" s="63" t="s">
        <v>170</v>
      </c>
      <c r="B58" s="64">
        <v>1</v>
      </c>
      <c r="C58" s="64" t="s">
        <v>171</v>
      </c>
      <c r="D58" s="64">
        <v>29</v>
      </c>
      <c r="E58" s="64" t="s">
        <v>172</v>
      </c>
      <c r="F58" s="64" t="s">
        <v>183</v>
      </c>
      <c r="G58" s="64" t="s">
        <v>174</v>
      </c>
      <c r="H58" s="64" t="s">
        <v>175</v>
      </c>
      <c r="I58" s="64" t="s">
        <v>176</v>
      </c>
      <c r="J58" s="64">
        <v>602</v>
      </c>
      <c r="K58" s="64" t="s">
        <v>177</v>
      </c>
      <c r="L58" s="64">
        <v>59560</v>
      </c>
      <c r="M58" s="64" t="s">
        <v>178</v>
      </c>
      <c r="N58" s="64">
        <v>426</v>
      </c>
      <c r="O58" s="64" t="s">
        <v>179</v>
      </c>
      <c r="P58" s="64" t="s">
        <v>180</v>
      </c>
      <c r="Q58" s="64" t="s">
        <v>181</v>
      </c>
      <c r="R58" s="64" t="s">
        <v>92</v>
      </c>
      <c r="U58" s="64" t="str">
        <f t="shared" si="0"/>
        <v>Pant</v>
      </c>
      <c r="W58" s="65" t="str">
        <f t="shared" si="1"/>
        <v>Exclude</v>
      </c>
      <c r="Y58" s="63"/>
      <c r="AS58" s="64" t="str">
        <f t="shared" si="2"/>
        <v>Exclude</v>
      </c>
      <c r="AU58" s="65" t="str">
        <f t="shared" si="3"/>
        <v>Exclude</v>
      </c>
    </row>
    <row r="59" spans="1:47" s="64" customFormat="1" x14ac:dyDescent="0.25">
      <c r="A59" s="63" t="s">
        <v>170</v>
      </c>
      <c r="B59" s="64">
        <v>1</v>
      </c>
      <c r="C59" s="64" t="s">
        <v>171</v>
      </c>
      <c r="D59" s="64">
        <v>30</v>
      </c>
      <c r="E59" s="64" t="s">
        <v>172</v>
      </c>
      <c r="F59" s="64" t="s">
        <v>184</v>
      </c>
      <c r="G59" s="64" t="s">
        <v>174</v>
      </c>
      <c r="H59" s="64" t="s">
        <v>185</v>
      </c>
      <c r="I59" s="64" t="s">
        <v>176</v>
      </c>
      <c r="J59" s="64">
        <v>600</v>
      </c>
      <c r="K59" s="64" t="s">
        <v>177</v>
      </c>
      <c r="L59" s="64">
        <v>61082</v>
      </c>
      <c r="M59" s="64" t="s">
        <v>178</v>
      </c>
      <c r="N59" s="64">
        <v>433</v>
      </c>
      <c r="O59" s="64" t="s">
        <v>179</v>
      </c>
      <c r="P59" s="64" t="s">
        <v>187</v>
      </c>
      <c r="Q59" s="64" t="s">
        <v>181</v>
      </c>
      <c r="R59" s="64" t="s">
        <v>188</v>
      </c>
      <c r="U59" s="64">
        <f t="shared" si="0"/>
        <v>433</v>
      </c>
      <c r="W59" s="65">
        <f t="shared" si="1"/>
        <v>2.6364878963533656</v>
      </c>
      <c r="Y59" s="63"/>
      <c r="AS59" s="64" t="str">
        <f t="shared" si="2"/>
        <v>Exclude</v>
      </c>
      <c r="AU59" s="65" t="str">
        <f t="shared" si="3"/>
        <v>Exclude</v>
      </c>
    </row>
    <row r="60" spans="1:47" s="64" customFormat="1" x14ac:dyDescent="0.25">
      <c r="A60" s="63" t="s">
        <v>170</v>
      </c>
      <c r="B60" s="64">
        <v>1</v>
      </c>
      <c r="C60" s="64" t="s">
        <v>171</v>
      </c>
      <c r="D60" s="64">
        <v>31</v>
      </c>
      <c r="E60" s="64" t="s">
        <v>172</v>
      </c>
      <c r="F60" s="64" t="s">
        <v>183</v>
      </c>
      <c r="G60" s="64" t="s">
        <v>174</v>
      </c>
      <c r="H60" s="64" t="s">
        <v>175</v>
      </c>
      <c r="I60" s="64" t="s">
        <v>176</v>
      </c>
      <c r="J60" s="64">
        <v>-1</v>
      </c>
      <c r="K60" s="64" t="s">
        <v>177</v>
      </c>
      <c r="L60" s="64">
        <v>62195</v>
      </c>
      <c r="M60" s="64" t="s">
        <v>178</v>
      </c>
      <c r="N60" s="64">
        <v>628</v>
      </c>
      <c r="O60" s="64" t="s">
        <v>179</v>
      </c>
      <c r="P60" s="64" t="s">
        <v>187</v>
      </c>
      <c r="Q60" s="64" t="s">
        <v>181</v>
      </c>
      <c r="R60" s="64" t="s">
        <v>182</v>
      </c>
      <c r="U60" s="64" t="str">
        <f t="shared" si="0"/>
        <v>Exclude</v>
      </c>
      <c r="W60" s="65" t="str">
        <f t="shared" si="1"/>
        <v>Exclude</v>
      </c>
      <c r="Y60" s="63"/>
      <c r="AS60" s="64" t="str">
        <f t="shared" si="2"/>
        <v>Exclude</v>
      </c>
      <c r="AU60" s="65" t="str">
        <f t="shared" si="3"/>
        <v>Exclude</v>
      </c>
    </row>
    <row r="61" spans="1:47" s="64" customFormat="1" x14ac:dyDescent="0.25">
      <c r="A61" s="63" t="s">
        <v>170</v>
      </c>
      <c r="B61" s="64">
        <v>1</v>
      </c>
      <c r="C61" s="64" t="s">
        <v>171</v>
      </c>
      <c r="D61" s="64">
        <v>31</v>
      </c>
      <c r="E61" s="64" t="s">
        <v>172</v>
      </c>
      <c r="F61" s="64" t="s">
        <v>183</v>
      </c>
      <c r="G61" s="64" t="s">
        <v>174</v>
      </c>
      <c r="H61" s="64" t="s">
        <v>175</v>
      </c>
      <c r="I61" s="64" t="s">
        <v>176</v>
      </c>
      <c r="J61" s="64">
        <v>1019</v>
      </c>
      <c r="K61" s="64" t="s">
        <v>177</v>
      </c>
      <c r="L61" s="64">
        <v>63066</v>
      </c>
      <c r="M61" s="64" t="s">
        <v>178</v>
      </c>
      <c r="N61" s="64">
        <v>480</v>
      </c>
      <c r="O61" s="64" t="s">
        <v>179</v>
      </c>
      <c r="P61" s="64" t="s">
        <v>180</v>
      </c>
      <c r="Q61" s="64" t="s">
        <v>181</v>
      </c>
      <c r="R61" s="64" t="s">
        <v>92</v>
      </c>
      <c r="U61" s="64" t="str">
        <f t="shared" si="0"/>
        <v>Pant</v>
      </c>
      <c r="W61" s="65" t="str">
        <f t="shared" si="1"/>
        <v>Exclude</v>
      </c>
      <c r="Y61" s="63"/>
      <c r="AS61" s="64" t="str">
        <f t="shared" si="2"/>
        <v>Exclude</v>
      </c>
      <c r="AU61" s="65" t="str">
        <f t="shared" si="3"/>
        <v>Exclude</v>
      </c>
    </row>
    <row r="62" spans="1:47" s="64" customFormat="1" x14ac:dyDescent="0.25">
      <c r="A62" s="63" t="s">
        <v>170</v>
      </c>
      <c r="B62" s="64">
        <v>1</v>
      </c>
      <c r="C62" s="64" t="s">
        <v>171</v>
      </c>
      <c r="D62" s="64">
        <v>32</v>
      </c>
      <c r="E62" s="64" t="s">
        <v>172</v>
      </c>
      <c r="F62" s="64" t="s">
        <v>183</v>
      </c>
      <c r="G62" s="64" t="s">
        <v>174</v>
      </c>
      <c r="H62" s="64" t="s">
        <v>175</v>
      </c>
      <c r="I62" s="64" t="s">
        <v>176</v>
      </c>
      <c r="J62" s="64">
        <v>1071</v>
      </c>
      <c r="K62" s="64" t="s">
        <v>177</v>
      </c>
      <c r="L62" s="64">
        <v>65035</v>
      </c>
      <c r="M62" s="64" t="s">
        <v>178</v>
      </c>
      <c r="N62" s="64">
        <v>404</v>
      </c>
      <c r="O62" s="64" t="s">
        <v>179</v>
      </c>
      <c r="P62" s="64" t="s">
        <v>180</v>
      </c>
      <c r="Q62" s="64" t="s">
        <v>181</v>
      </c>
      <c r="R62" s="64" t="s">
        <v>92</v>
      </c>
      <c r="U62" s="64">
        <f t="shared" si="0"/>
        <v>404</v>
      </c>
      <c r="W62" s="65">
        <f t="shared" si="1"/>
        <v>2.6063813651106051</v>
      </c>
      <c r="Y62" s="63"/>
      <c r="AS62" s="64" t="str">
        <f t="shared" si="2"/>
        <v>Exclude</v>
      </c>
      <c r="AU62" s="65" t="str">
        <f t="shared" si="3"/>
        <v>Exclude</v>
      </c>
    </row>
    <row r="63" spans="1:47" s="64" customFormat="1" x14ac:dyDescent="0.25">
      <c r="A63" s="63" t="s">
        <v>170</v>
      </c>
      <c r="B63" s="64">
        <v>1</v>
      </c>
      <c r="C63" s="64" t="s">
        <v>171</v>
      </c>
      <c r="D63" s="64">
        <v>33</v>
      </c>
      <c r="E63" s="64" t="s">
        <v>172</v>
      </c>
      <c r="F63" s="64" t="s">
        <v>184</v>
      </c>
      <c r="G63" s="64" t="s">
        <v>174</v>
      </c>
      <c r="H63" s="64" t="s">
        <v>185</v>
      </c>
      <c r="I63" s="64" t="s">
        <v>176</v>
      </c>
      <c r="J63" s="64">
        <v>1084</v>
      </c>
      <c r="K63" s="64" t="s">
        <v>177</v>
      </c>
      <c r="L63" s="64">
        <v>67031</v>
      </c>
      <c r="M63" s="64" t="s">
        <v>178</v>
      </c>
      <c r="N63" s="64">
        <v>398</v>
      </c>
      <c r="O63" s="64" t="s">
        <v>179</v>
      </c>
      <c r="P63" s="64" t="s">
        <v>187</v>
      </c>
      <c r="Q63" s="64" t="s">
        <v>181</v>
      </c>
      <c r="R63" s="64" t="s">
        <v>188</v>
      </c>
      <c r="U63" s="64">
        <f t="shared" si="0"/>
        <v>398</v>
      </c>
      <c r="W63" s="65">
        <f t="shared" si="1"/>
        <v>2.5998830720736876</v>
      </c>
      <c r="Y63" s="63"/>
      <c r="AS63" s="64" t="str">
        <f t="shared" si="2"/>
        <v>Exclude</v>
      </c>
      <c r="AU63" s="65" t="str">
        <f t="shared" si="3"/>
        <v>Exclude</v>
      </c>
    </row>
    <row r="64" spans="1:47" s="64" customFormat="1" x14ac:dyDescent="0.25">
      <c r="A64" s="63" t="s">
        <v>170</v>
      </c>
      <c r="B64" s="64">
        <v>1</v>
      </c>
      <c r="C64" s="64" t="s">
        <v>171</v>
      </c>
      <c r="D64" s="64">
        <v>34</v>
      </c>
      <c r="E64" s="64" t="s">
        <v>172</v>
      </c>
      <c r="F64" s="64" t="s">
        <v>183</v>
      </c>
      <c r="G64" s="64" t="s">
        <v>174</v>
      </c>
      <c r="H64" s="64" t="s">
        <v>175</v>
      </c>
      <c r="I64" s="64" t="s">
        <v>176</v>
      </c>
      <c r="J64" s="64">
        <v>568</v>
      </c>
      <c r="K64" s="64" t="s">
        <v>177</v>
      </c>
      <c r="L64" s="64">
        <v>68550</v>
      </c>
      <c r="M64" s="64" t="s">
        <v>178</v>
      </c>
      <c r="N64" s="64">
        <v>451</v>
      </c>
      <c r="O64" s="64" t="s">
        <v>179</v>
      </c>
      <c r="P64" s="64" t="s">
        <v>180</v>
      </c>
      <c r="Q64" s="64" t="s">
        <v>181</v>
      </c>
      <c r="R64" s="64" t="s">
        <v>92</v>
      </c>
      <c r="U64" s="64">
        <f t="shared" si="0"/>
        <v>451</v>
      </c>
      <c r="W64" s="65">
        <f t="shared" si="1"/>
        <v>2.6541765418779604</v>
      </c>
      <c r="Y64" s="63"/>
      <c r="AS64" s="64" t="str">
        <f t="shared" si="2"/>
        <v>Exclude</v>
      </c>
      <c r="AU64" s="65" t="str">
        <f t="shared" si="3"/>
        <v>Exclude</v>
      </c>
    </row>
    <row r="65" spans="1:47" s="64" customFormat="1" x14ac:dyDescent="0.25">
      <c r="A65" s="63" t="s">
        <v>170</v>
      </c>
      <c r="B65" s="64">
        <v>1</v>
      </c>
      <c r="C65" s="64" t="s">
        <v>171</v>
      </c>
      <c r="D65" s="64">
        <v>35</v>
      </c>
      <c r="E65" s="64" t="s">
        <v>172</v>
      </c>
      <c r="F65" s="64" t="s">
        <v>183</v>
      </c>
      <c r="G65" s="64" t="s">
        <v>174</v>
      </c>
      <c r="H65" s="64" t="s">
        <v>175</v>
      </c>
      <c r="I65" s="64" t="s">
        <v>176</v>
      </c>
      <c r="J65" s="64">
        <v>1016</v>
      </c>
      <c r="K65" s="64" t="s">
        <v>177</v>
      </c>
      <c r="L65" s="64">
        <v>70401</v>
      </c>
      <c r="M65" s="64" t="s">
        <v>178</v>
      </c>
      <c r="N65" s="64">
        <v>336</v>
      </c>
      <c r="O65" s="64" t="s">
        <v>179</v>
      </c>
      <c r="P65" s="64" t="s">
        <v>180</v>
      </c>
      <c r="Q65" s="64" t="s">
        <v>181</v>
      </c>
      <c r="R65" s="64" t="s">
        <v>92</v>
      </c>
      <c r="U65" s="64">
        <f t="shared" si="0"/>
        <v>336</v>
      </c>
      <c r="W65" s="65">
        <f t="shared" si="1"/>
        <v>2.5263392773898441</v>
      </c>
      <c r="Y65" s="63"/>
      <c r="AS65" s="64" t="str">
        <f t="shared" si="2"/>
        <v>Exclude</v>
      </c>
      <c r="AU65" s="65" t="str">
        <f t="shared" si="3"/>
        <v>Exclude</v>
      </c>
    </row>
    <row r="66" spans="1:47" s="64" customFormat="1" x14ac:dyDescent="0.25">
      <c r="A66" s="63" t="s">
        <v>170</v>
      </c>
      <c r="B66" s="64">
        <v>1</v>
      </c>
      <c r="C66" s="64" t="s">
        <v>171</v>
      </c>
      <c r="D66" s="64">
        <v>36</v>
      </c>
      <c r="E66" s="64" t="s">
        <v>172</v>
      </c>
      <c r="F66" s="64" t="s">
        <v>184</v>
      </c>
      <c r="G66" s="64" t="s">
        <v>174</v>
      </c>
      <c r="H66" s="64" t="s">
        <v>185</v>
      </c>
      <c r="I66" s="64" t="s">
        <v>176</v>
      </c>
      <c r="J66" s="64">
        <v>686</v>
      </c>
      <c r="K66" s="64" t="s">
        <v>177</v>
      </c>
      <c r="L66" s="64">
        <v>71931</v>
      </c>
      <c r="M66" s="64" t="s">
        <v>178</v>
      </c>
      <c r="N66" s="64">
        <v>346</v>
      </c>
      <c r="O66" s="64" t="s">
        <v>179</v>
      </c>
      <c r="P66" s="64" t="s">
        <v>187</v>
      </c>
      <c r="Q66" s="64" t="s">
        <v>181</v>
      </c>
      <c r="R66" s="64" t="s">
        <v>188</v>
      </c>
      <c r="U66" s="64">
        <f t="shared" si="0"/>
        <v>346</v>
      </c>
      <c r="W66" s="65">
        <f t="shared" si="1"/>
        <v>2.5390760987927767</v>
      </c>
      <c r="Y66" s="63"/>
      <c r="AS66" s="64" t="str">
        <f t="shared" si="2"/>
        <v>Exclude</v>
      </c>
      <c r="AU66" s="65" t="str">
        <f t="shared" si="3"/>
        <v>Exclude</v>
      </c>
    </row>
    <row r="67" spans="1:47" s="64" customFormat="1" x14ac:dyDescent="0.25">
      <c r="A67" s="63" t="s">
        <v>170</v>
      </c>
      <c r="B67" s="64">
        <v>1</v>
      </c>
      <c r="C67" s="64" t="s">
        <v>171</v>
      </c>
      <c r="D67" s="64">
        <v>37</v>
      </c>
      <c r="E67" s="64" t="s">
        <v>172</v>
      </c>
      <c r="F67" s="64" t="s">
        <v>184</v>
      </c>
      <c r="G67" s="64" t="s">
        <v>174</v>
      </c>
      <c r="H67" s="64" t="s">
        <v>185</v>
      </c>
      <c r="I67" s="64" t="s">
        <v>176</v>
      </c>
      <c r="J67" s="64">
        <v>1153</v>
      </c>
      <c r="K67" s="64" t="s">
        <v>177</v>
      </c>
      <c r="L67" s="64">
        <v>73979</v>
      </c>
      <c r="M67" s="64" t="s">
        <v>178</v>
      </c>
      <c r="N67" s="64">
        <v>399</v>
      </c>
      <c r="O67" s="64" t="s">
        <v>179</v>
      </c>
      <c r="P67" s="64" t="s">
        <v>187</v>
      </c>
      <c r="Q67" s="64" t="s">
        <v>181</v>
      </c>
      <c r="R67" s="64" t="s">
        <v>188</v>
      </c>
      <c r="U67" s="64">
        <f t="shared" si="0"/>
        <v>399</v>
      </c>
      <c r="W67" s="65">
        <f t="shared" si="1"/>
        <v>2.6009728956867484</v>
      </c>
      <c r="Y67" s="63"/>
      <c r="AS67" s="64" t="str">
        <f t="shared" si="2"/>
        <v>Exclude</v>
      </c>
      <c r="AU67" s="65" t="str">
        <f t="shared" si="3"/>
        <v>Exclude</v>
      </c>
    </row>
    <row r="68" spans="1:47" s="64" customFormat="1" x14ac:dyDescent="0.25">
      <c r="A68" s="63" t="s">
        <v>170</v>
      </c>
      <c r="B68" s="64">
        <v>1</v>
      </c>
      <c r="C68" s="64" t="s">
        <v>171</v>
      </c>
      <c r="D68" s="64">
        <v>38</v>
      </c>
      <c r="E68" s="64" t="s">
        <v>172</v>
      </c>
      <c r="F68" s="64" t="s">
        <v>184</v>
      </c>
      <c r="G68" s="64" t="s">
        <v>174</v>
      </c>
      <c r="H68" s="64" t="s">
        <v>185</v>
      </c>
      <c r="I68" s="64" t="s">
        <v>176</v>
      </c>
      <c r="J68" s="64">
        <v>683</v>
      </c>
      <c r="K68" s="64" t="s">
        <v>177</v>
      </c>
      <c r="L68" s="64">
        <v>75555</v>
      </c>
      <c r="M68" s="64" t="s">
        <v>178</v>
      </c>
      <c r="N68" s="64">
        <v>389</v>
      </c>
      <c r="O68" s="64" t="s">
        <v>179</v>
      </c>
      <c r="P68" s="64" t="s">
        <v>187</v>
      </c>
      <c r="Q68" s="64" t="s">
        <v>181</v>
      </c>
      <c r="R68" s="64" t="s">
        <v>188</v>
      </c>
      <c r="U68" s="64">
        <f t="shared" si="0"/>
        <v>389</v>
      </c>
      <c r="W68" s="65">
        <f t="shared" si="1"/>
        <v>2.5899496013257077</v>
      </c>
      <c r="Y68" s="63"/>
      <c r="AS68" s="64" t="str">
        <f t="shared" si="2"/>
        <v>Exclude</v>
      </c>
      <c r="AU68" s="65" t="str">
        <f t="shared" si="3"/>
        <v>Exclude</v>
      </c>
    </row>
    <row r="69" spans="1:47" s="64" customFormat="1" x14ac:dyDescent="0.25">
      <c r="A69" s="63" t="s">
        <v>170</v>
      </c>
      <c r="B69" s="64">
        <v>1</v>
      </c>
      <c r="C69" s="64" t="s">
        <v>171</v>
      </c>
      <c r="D69" s="64">
        <v>39</v>
      </c>
      <c r="E69" s="64" t="s">
        <v>172</v>
      </c>
      <c r="F69" s="64" t="s">
        <v>183</v>
      </c>
      <c r="G69" s="64" t="s">
        <v>174</v>
      </c>
      <c r="H69" s="64" t="s">
        <v>175</v>
      </c>
      <c r="I69" s="64" t="s">
        <v>176</v>
      </c>
      <c r="J69" s="64">
        <v>783</v>
      </c>
      <c r="K69" s="64" t="s">
        <v>177</v>
      </c>
      <c r="L69" s="64">
        <v>77178</v>
      </c>
      <c r="M69" s="64" t="s">
        <v>178</v>
      </c>
      <c r="N69" s="64">
        <v>330</v>
      </c>
      <c r="O69" s="64" t="s">
        <v>179</v>
      </c>
      <c r="P69" s="64" t="s">
        <v>187</v>
      </c>
      <c r="Q69" s="64" t="s">
        <v>181</v>
      </c>
      <c r="R69" s="64" t="s">
        <v>189</v>
      </c>
      <c r="U69" s="64" t="str">
        <f t="shared" si="0"/>
        <v>Exclude</v>
      </c>
      <c r="W69" s="65" t="str">
        <f t="shared" si="1"/>
        <v>Exclude</v>
      </c>
      <c r="Y69" s="63"/>
      <c r="AS69" s="64" t="str">
        <f t="shared" si="2"/>
        <v>Exclude</v>
      </c>
      <c r="AU69" s="65" t="str">
        <f t="shared" si="3"/>
        <v>Exclude</v>
      </c>
    </row>
    <row r="70" spans="1:47" s="64" customFormat="1" x14ac:dyDescent="0.25">
      <c r="A70" s="63" t="s">
        <v>170</v>
      </c>
      <c r="B70" s="64">
        <v>1</v>
      </c>
      <c r="C70" s="64" t="s">
        <v>171</v>
      </c>
      <c r="D70" s="64">
        <v>40</v>
      </c>
      <c r="E70" s="64" t="s">
        <v>172</v>
      </c>
      <c r="F70" s="64" t="s">
        <v>184</v>
      </c>
      <c r="G70" s="64" t="s">
        <v>174</v>
      </c>
      <c r="H70" s="64" t="s">
        <v>185</v>
      </c>
      <c r="I70" s="64" t="s">
        <v>176</v>
      </c>
      <c r="J70" s="64">
        <v>-1</v>
      </c>
      <c r="K70" s="64" t="s">
        <v>177</v>
      </c>
      <c r="L70" s="64">
        <v>78074</v>
      </c>
      <c r="M70" s="64" t="s">
        <v>178</v>
      </c>
      <c r="N70" s="64">
        <v>409</v>
      </c>
      <c r="O70" s="64" t="s">
        <v>179</v>
      </c>
      <c r="P70" s="64" t="s">
        <v>187</v>
      </c>
      <c r="Q70" s="64" t="s">
        <v>181</v>
      </c>
      <c r="R70" s="64" t="s">
        <v>182</v>
      </c>
      <c r="U70" s="64" t="str">
        <f t="shared" si="0"/>
        <v>Exclude</v>
      </c>
      <c r="W70" s="65" t="str">
        <f t="shared" si="1"/>
        <v>Exclude</v>
      </c>
      <c r="Y70" s="63"/>
      <c r="AS70" s="64" t="str">
        <f t="shared" si="2"/>
        <v>Exclude</v>
      </c>
      <c r="AU70" s="65" t="str">
        <f t="shared" si="3"/>
        <v>Exclude</v>
      </c>
    </row>
    <row r="71" spans="1:47" s="64" customFormat="1" x14ac:dyDescent="0.25">
      <c r="A71" s="63" t="s">
        <v>170</v>
      </c>
      <c r="B71" s="64">
        <v>1</v>
      </c>
      <c r="C71" s="64" t="s">
        <v>171</v>
      </c>
      <c r="D71" s="64">
        <v>40</v>
      </c>
      <c r="E71" s="64" t="s">
        <v>172</v>
      </c>
      <c r="F71" s="64" t="s">
        <v>184</v>
      </c>
      <c r="G71" s="64" t="s">
        <v>174</v>
      </c>
      <c r="H71" s="64" t="s">
        <v>185</v>
      </c>
      <c r="I71" s="64" t="s">
        <v>176</v>
      </c>
      <c r="J71" s="64">
        <v>1301</v>
      </c>
      <c r="K71" s="64" t="s">
        <v>177</v>
      </c>
      <c r="L71" s="64">
        <v>79377</v>
      </c>
      <c r="M71" s="64" t="s">
        <v>178</v>
      </c>
      <c r="N71" s="64">
        <v>411</v>
      </c>
      <c r="O71" s="64" t="s">
        <v>179</v>
      </c>
      <c r="P71" s="64" t="s">
        <v>187</v>
      </c>
      <c r="Q71" s="64" t="s">
        <v>181</v>
      </c>
      <c r="R71" s="64" t="s">
        <v>188</v>
      </c>
      <c r="U71" s="64" t="str">
        <f t="shared" si="0"/>
        <v>Pant</v>
      </c>
      <c r="W71" s="65" t="str">
        <f t="shared" si="1"/>
        <v>Exclude</v>
      </c>
      <c r="Y71" s="63"/>
      <c r="AS71" s="64" t="str">
        <f t="shared" si="2"/>
        <v>Exclude</v>
      </c>
      <c r="AU71" s="65" t="str">
        <f t="shared" si="3"/>
        <v>Exclude</v>
      </c>
    </row>
    <row r="72" spans="1:47" s="64" customFormat="1" x14ac:dyDescent="0.25">
      <c r="A72" s="63" t="s">
        <v>170</v>
      </c>
      <c r="B72" s="64">
        <v>1</v>
      </c>
      <c r="C72" s="64" t="s">
        <v>171</v>
      </c>
      <c r="D72" s="64">
        <v>41</v>
      </c>
      <c r="E72" s="64" t="s">
        <v>172</v>
      </c>
      <c r="F72" s="64" t="s">
        <v>183</v>
      </c>
      <c r="G72" s="64" t="s">
        <v>174</v>
      </c>
      <c r="H72" s="64" t="s">
        <v>175</v>
      </c>
      <c r="I72" s="64" t="s">
        <v>176</v>
      </c>
      <c r="J72" s="64">
        <v>1137</v>
      </c>
      <c r="K72" s="64" t="s">
        <v>177</v>
      </c>
      <c r="L72" s="64">
        <v>81390</v>
      </c>
      <c r="M72" s="64" t="s">
        <v>178</v>
      </c>
      <c r="N72" s="64">
        <v>372</v>
      </c>
      <c r="O72" s="64" t="s">
        <v>179</v>
      </c>
      <c r="P72" s="64" t="s">
        <v>180</v>
      </c>
      <c r="Q72" s="64" t="s">
        <v>181</v>
      </c>
      <c r="R72" s="64" t="s">
        <v>92</v>
      </c>
      <c r="U72" s="64">
        <f t="shared" si="0"/>
        <v>372</v>
      </c>
      <c r="W72" s="65">
        <f t="shared" si="1"/>
        <v>2.5705429398818973</v>
      </c>
      <c r="Y72" s="63"/>
      <c r="AS72" s="64" t="str">
        <f t="shared" si="2"/>
        <v>Exclude</v>
      </c>
      <c r="AU72" s="65" t="str">
        <f t="shared" si="3"/>
        <v>Exclude</v>
      </c>
    </row>
    <row r="73" spans="1:47" s="64" customFormat="1" x14ac:dyDescent="0.25">
      <c r="A73" s="63" t="s">
        <v>170</v>
      </c>
      <c r="B73" s="64">
        <v>1</v>
      </c>
      <c r="C73" s="64" t="s">
        <v>171</v>
      </c>
      <c r="D73" s="64">
        <v>42</v>
      </c>
      <c r="E73" s="64" t="s">
        <v>172</v>
      </c>
      <c r="F73" s="64" t="s">
        <v>184</v>
      </c>
      <c r="G73" s="64" t="s">
        <v>174</v>
      </c>
      <c r="H73" s="64" t="s">
        <v>185</v>
      </c>
      <c r="I73" s="64" t="s">
        <v>176</v>
      </c>
      <c r="J73" s="64">
        <v>905</v>
      </c>
      <c r="K73" s="64" t="s">
        <v>177</v>
      </c>
      <c r="L73" s="64">
        <v>83284</v>
      </c>
      <c r="M73" s="64" t="s">
        <v>178</v>
      </c>
      <c r="N73" s="64">
        <v>493</v>
      </c>
      <c r="O73" s="64" t="s">
        <v>179</v>
      </c>
      <c r="P73" s="64" t="s">
        <v>187</v>
      </c>
      <c r="Q73" s="64" t="s">
        <v>181</v>
      </c>
      <c r="R73" s="64" t="s">
        <v>188</v>
      </c>
      <c r="U73" s="64">
        <f t="shared" si="0"/>
        <v>493</v>
      </c>
      <c r="W73" s="65">
        <f t="shared" si="1"/>
        <v>2.6928469192772302</v>
      </c>
      <c r="Y73" s="63"/>
      <c r="AS73" s="64" t="str">
        <f t="shared" si="2"/>
        <v>Exclude</v>
      </c>
      <c r="AU73" s="65" t="str">
        <f t="shared" si="3"/>
        <v>Exclude</v>
      </c>
    </row>
    <row r="74" spans="1:47" s="64" customFormat="1" x14ac:dyDescent="0.25">
      <c r="A74" s="63"/>
      <c r="U74" s="64" t="str">
        <f t="shared" si="0"/>
        <v>Exclude</v>
      </c>
      <c r="W74" s="65" t="str">
        <f t="shared" si="1"/>
        <v>Exclude</v>
      </c>
      <c r="Y74" s="63"/>
      <c r="AS74" s="64" t="str">
        <f t="shared" si="2"/>
        <v>Exclude</v>
      </c>
      <c r="AU74" s="65" t="str">
        <f t="shared" si="3"/>
        <v>Exclude</v>
      </c>
    </row>
    <row r="75" spans="1:47" s="64" customFormat="1" x14ac:dyDescent="0.25">
      <c r="A75" s="63"/>
      <c r="U75" s="64" t="str">
        <f t="shared" si="0"/>
        <v>Exclude</v>
      </c>
      <c r="W75" s="65" t="str">
        <f t="shared" si="1"/>
        <v>Exclude</v>
      </c>
      <c r="Y75" s="63"/>
      <c r="AS75" s="64" t="str">
        <f t="shared" si="2"/>
        <v>Exclude</v>
      </c>
      <c r="AU75" s="65" t="str">
        <f t="shared" si="3"/>
        <v>Exclude</v>
      </c>
    </row>
    <row r="76" spans="1:47" s="64" customFormat="1" x14ac:dyDescent="0.25">
      <c r="A76" s="63"/>
      <c r="U76" s="64" t="str">
        <f t="shared" si="0"/>
        <v>Exclude</v>
      </c>
      <c r="W76" s="65" t="str">
        <f t="shared" si="1"/>
        <v>Exclude</v>
      </c>
      <c r="Y76" s="63"/>
      <c r="AS76" s="64" t="str">
        <f t="shared" si="2"/>
        <v>Exclude</v>
      </c>
      <c r="AU76" s="65" t="str">
        <f t="shared" si="3"/>
        <v>Exclude</v>
      </c>
    </row>
    <row r="77" spans="1:47" s="64" customFormat="1" x14ac:dyDescent="0.25">
      <c r="A77" s="63"/>
      <c r="U77" s="64" t="str">
        <f t="shared" si="0"/>
        <v>Exclude</v>
      </c>
      <c r="W77" s="65" t="str">
        <f t="shared" si="1"/>
        <v>Exclude</v>
      </c>
      <c r="Y77" s="63"/>
      <c r="AS77" s="64" t="str">
        <f t="shared" si="2"/>
        <v>Exclude</v>
      </c>
      <c r="AU77" s="65" t="str">
        <f t="shared" si="3"/>
        <v>Exclude</v>
      </c>
    </row>
    <row r="78" spans="1:47" s="64" customFormat="1" x14ac:dyDescent="0.25">
      <c r="A78" s="63"/>
      <c r="U78" s="64" t="str">
        <f t="shared" si="0"/>
        <v>Exclude</v>
      </c>
      <c r="W78" s="65" t="str">
        <f t="shared" si="1"/>
        <v>Exclude</v>
      </c>
      <c r="Y78" s="63"/>
      <c r="AS78" s="64" t="str">
        <f t="shared" si="2"/>
        <v>Exclude</v>
      </c>
      <c r="AU78" s="65" t="str">
        <f t="shared" si="3"/>
        <v>Exclude</v>
      </c>
    </row>
    <row r="79" spans="1:47" s="64" customFormat="1" x14ac:dyDescent="0.25">
      <c r="A79" s="63"/>
      <c r="U79" s="64" t="str">
        <f t="shared" si="0"/>
        <v>Exclude</v>
      </c>
      <c r="W79" s="65" t="str">
        <f t="shared" si="1"/>
        <v>Exclude</v>
      </c>
      <c r="Y79" s="63"/>
      <c r="AS79" s="64" t="str">
        <f t="shared" si="2"/>
        <v>Exclude</v>
      </c>
      <c r="AU79" s="65" t="str">
        <f t="shared" si="3"/>
        <v>Exclude</v>
      </c>
    </row>
    <row r="80" spans="1:47" s="64" customFormat="1" x14ac:dyDescent="0.25">
      <c r="A80" s="63"/>
      <c r="U80" s="64" t="str">
        <f t="shared" si="0"/>
        <v>Exclude</v>
      </c>
      <c r="W80" s="65" t="str">
        <f t="shared" si="1"/>
        <v>Exclude</v>
      </c>
      <c r="Y80" s="63"/>
      <c r="AS80" s="64" t="str">
        <f t="shared" si="2"/>
        <v>Exclude</v>
      </c>
      <c r="AU80" s="65" t="str">
        <f t="shared" si="3"/>
        <v>Exclude</v>
      </c>
    </row>
    <row r="81" spans="1:47" s="64" customFormat="1" x14ac:dyDescent="0.25">
      <c r="A81" s="63"/>
      <c r="U81" s="64" t="str">
        <f t="shared" si="0"/>
        <v>Exclude</v>
      </c>
      <c r="W81" s="65" t="str">
        <f t="shared" si="1"/>
        <v>Exclude</v>
      </c>
      <c r="Y81" s="63"/>
      <c r="AS81" s="64" t="str">
        <f t="shared" si="2"/>
        <v>Exclude</v>
      </c>
      <c r="AU81" s="65" t="str">
        <f t="shared" si="3"/>
        <v>Exclude</v>
      </c>
    </row>
    <row r="82" spans="1:47" s="64" customFormat="1" x14ac:dyDescent="0.25">
      <c r="A82" s="63"/>
      <c r="U82" s="64" t="str">
        <f t="shared" si="0"/>
        <v>Exclude</v>
      </c>
      <c r="W82" s="65" t="str">
        <f t="shared" si="1"/>
        <v>Exclude</v>
      </c>
      <c r="Y82" s="63"/>
      <c r="AS82" s="64" t="str">
        <f t="shared" si="2"/>
        <v>Exclude</v>
      </c>
      <c r="AU82" s="65" t="str">
        <f t="shared" si="3"/>
        <v>Exclude</v>
      </c>
    </row>
    <row r="83" spans="1:47" s="64" customFormat="1" x14ac:dyDescent="0.25">
      <c r="A83" s="63"/>
      <c r="U83" s="64" t="str">
        <f t="shared" si="0"/>
        <v>Exclude</v>
      </c>
      <c r="W83" s="65" t="str">
        <f t="shared" si="1"/>
        <v>Exclude</v>
      </c>
      <c r="Y83" s="63"/>
      <c r="AS83" s="64" t="str">
        <f t="shared" si="2"/>
        <v>Exclude</v>
      </c>
      <c r="AU83" s="65" t="str">
        <f t="shared" si="3"/>
        <v>Exclude</v>
      </c>
    </row>
    <row r="84" spans="1:47" s="64" customFormat="1" x14ac:dyDescent="0.25">
      <c r="A84" s="63"/>
      <c r="U84" s="64" t="str">
        <f t="shared" si="0"/>
        <v>Exclude</v>
      </c>
      <c r="W84" s="65" t="str">
        <f t="shared" si="1"/>
        <v>Exclude</v>
      </c>
      <c r="Y84" s="63"/>
      <c r="AS84" s="64" t="str">
        <f t="shared" si="2"/>
        <v>Exclude</v>
      </c>
      <c r="AU84" s="65" t="str">
        <f t="shared" si="3"/>
        <v>Exclude</v>
      </c>
    </row>
    <row r="85" spans="1:47" s="64" customFormat="1" x14ac:dyDescent="0.25">
      <c r="A85" s="63"/>
      <c r="U85" s="64" t="str">
        <f t="shared" si="0"/>
        <v>Exclude</v>
      </c>
      <c r="W85" s="65" t="str">
        <f t="shared" si="1"/>
        <v>Exclude</v>
      </c>
      <c r="Y85" s="63"/>
      <c r="AS85" s="64" t="str">
        <f t="shared" si="2"/>
        <v>Exclude</v>
      </c>
      <c r="AU85" s="65" t="str">
        <f t="shared" si="3"/>
        <v>Exclude</v>
      </c>
    </row>
    <row r="86" spans="1:47" s="64" customFormat="1" x14ac:dyDescent="0.25">
      <c r="A86" s="63"/>
      <c r="U86" s="64" t="str">
        <f t="shared" si="0"/>
        <v>Exclude</v>
      </c>
      <c r="W86" s="65" t="str">
        <f t="shared" si="1"/>
        <v>Exclude</v>
      </c>
      <c r="Y86" s="63"/>
      <c r="AS86" s="64" t="str">
        <f t="shared" si="2"/>
        <v>Exclude</v>
      </c>
      <c r="AU86" s="65" t="str">
        <f t="shared" si="3"/>
        <v>Exclude</v>
      </c>
    </row>
    <row r="87" spans="1:47" s="64" customFormat="1" x14ac:dyDescent="0.25">
      <c r="A87" s="63"/>
      <c r="U87" s="64" t="str">
        <f t="shared" ref="U87:U150" si="4">IF(OR(R87="TruePositive",R87="TrueNegative"),IF(R86&lt;&gt;"Anticipatory",(N87),"Pant"),"Exclude")</f>
        <v>Exclude</v>
      </c>
      <c r="W87" s="65" t="str">
        <f t="shared" ref="W87:W150" si="5">IF(OR(R87="TruePositive",R87="TrueNegative"),IF(R86&lt;&gt;"Anticipatory",LOG10(N87),"Exclude"),"Exclude")</f>
        <v>Exclude</v>
      </c>
      <c r="Y87" s="63"/>
      <c r="AS87" s="64" t="str">
        <f t="shared" ref="AS87:AS150" si="6">IF(OR(AP87="TruePositive",AP87="TrueNegative"),IF(AP86&lt;&gt;"Anticipatory",(AL87),"Pant"),"Exclude")</f>
        <v>Exclude</v>
      </c>
      <c r="AU87" s="65" t="str">
        <f t="shared" ref="AU87:AU150" si="7">IF(OR(AP87="TruePositive",AP87="TrueNegative"),IF(AP86&lt;&gt;"Anticipatory",LOG10(AL87),"Exclude"),"Exclude")</f>
        <v>Exclude</v>
      </c>
    </row>
    <row r="88" spans="1:47" s="64" customFormat="1" x14ac:dyDescent="0.25">
      <c r="A88" s="63"/>
      <c r="U88" s="64" t="str">
        <f t="shared" si="4"/>
        <v>Exclude</v>
      </c>
      <c r="W88" s="65" t="str">
        <f t="shared" si="5"/>
        <v>Exclude</v>
      </c>
      <c r="Y88" s="63"/>
      <c r="AS88" s="64" t="str">
        <f t="shared" si="6"/>
        <v>Exclude</v>
      </c>
      <c r="AU88" s="65" t="str">
        <f t="shared" si="7"/>
        <v>Exclude</v>
      </c>
    </row>
    <row r="89" spans="1:47" s="64" customFormat="1" x14ac:dyDescent="0.25">
      <c r="A89" s="63"/>
      <c r="U89" s="64" t="str">
        <f t="shared" si="4"/>
        <v>Exclude</v>
      </c>
      <c r="W89" s="65" t="str">
        <f t="shared" si="5"/>
        <v>Exclude</v>
      </c>
      <c r="Y89" s="63"/>
      <c r="AS89" s="64" t="str">
        <f t="shared" si="6"/>
        <v>Exclude</v>
      </c>
      <c r="AU89" s="65" t="str">
        <f t="shared" si="7"/>
        <v>Exclude</v>
      </c>
    </row>
    <row r="90" spans="1:47" s="64" customFormat="1" x14ac:dyDescent="0.25">
      <c r="A90" s="63"/>
      <c r="U90" s="64" t="str">
        <f t="shared" si="4"/>
        <v>Exclude</v>
      </c>
      <c r="W90" s="65" t="str">
        <f t="shared" si="5"/>
        <v>Exclude</v>
      </c>
      <c r="Y90" s="63"/>
      <c r="AS90" s="64" t="str">
        <f t="shared" si="6"/>
        <v>Exclude</v>
      </c>
      <c r="AU90" s="65" t="str">
        <f t="shared" si="7"/>
        <v>Exclude</v>
      </c>
    </row>
    <row r="91" spans="1:47" s="64" customFormat="1" x14ac:dyDescent="0.25">
      <c r="A91" s="63"/>
      <c r="U91" s="64" t="str">
        <f t="shared" si="4"/>
        <v>Exclude</v>
      </c>
      <c r="W91" s="65" t="str">
        <f t="shared" si="5"/>
        <v>Exclude</v>
      </c>
      <c r="Y91" s="63"/>
      <c r="AS91" s="64" t="str">
        <f t="shared" si="6"/>
        <v>Exclude</v>
      </c>
      <c r="AU91" s="65" t="str">
        <f t="shared" si="7"/>
        <v>Exclude</v>
      </c>
    </row>
    <row r="92" spans="1:47" s="64" customFormat="1" x14ac:dyDescent="0.25">
      <c r="A92" s="63"/>
      <c r="U92" s="64" t="str">
        <f t="shared" si="4"/>
        <v>Exclude</v>
      </c>
      <c r="W92" s="65" t="str">
        <f t="shared" si="5"/>
        <v>Exclude</v>
      </c>
      <c r="Y92" s="63"/>
      <c r="AS92" s="64" t="str">
        <f t="shared" si="6"/>
        <v>Exclude</v>
      </c>
      <c r="AU92" s="65" t="str">
        <f t="shared" si="7"/>
        <v>Exclude</v>
      </c>
    </row>
    <row r="93" spans="1:47" s="64" customFormat="1" x14ac:dyDescent="0.25">
      <c r="A93" s="63"/>
      <c r="U93" s="64" t="str">
        <f t="shared" si="4"/>
        <v>Exclude</v>
      </c>
      <c r="W93" s="65" t="str">
        <f t="shared" si="5"/>
        <v>Exclude</v>
      </c>
      <c r="Y93" s="63"/>
      <c r="AS93" s="64" t="str">
        <f t="shared" si="6"/>
        <v>Exclude</v>
      </c>
      <c r="AU93" s="65" t="str">
        <f t="shared" si="7"/>
        <v>Exclude</v>
      </c>
    </row>
    <row r="94" spans="1:47" s="64" customFormat="1" x14ac:dyDescent="0.25">
      <c r="A94" s="63"/>
      <c r="U94" s="64" t="str">
        <f t="shared" si="4"/>
        <v>Exclude</v>
      </c>
      <c r="W94" s="65" t="str">
        <f t="shared" si="5"/>
        <v>Exclude</v>
      </c>
      <c r="Y94" s="63"/>
      <c r="AS94" s="64" t="str">
        <f t="shared" si="6"/>
        <v>Exclude</v>
      </c>
      <c r="AU94" s="65" t="str">
        <f t="shared" si="7"/>
        <v>Exclude</v>
      </c>
    </row>
    <row r="95" spans="1:47" s="64" customFormat="1" x14ac:dyDescent="0.25">
      <c r="A95" s="63"/>
      <c r="U95" s="64" t="str">
        <f t="shared" si="4"/>
        <v>Exclude</v>
      </c>
      <c r="W95" s="65" t="str">
        <f t="shared" si="5"/>
        <v>Exclude</v>
      </c>
      <c r="Y95" s="63"/>
      <c r="AS95" s="64" t="str">
        <f t="shared" si="6"/>
        <v>Exclude</v>
      </c>
      <c r="AU95" s="65" t="str">
        <f t="shared" si="7"/>
        <v>Exclude</v>
      </c>
    </row>
    <row r="96" spans="1:47" s="64" customFormat="1" x14ac:dyDescent="0.25">
      <c r="A96" s="63"/>
      <c r="U96" s="64" t="str">
        <f t="shared" si="4"/>
        <v>Exclude</v>
      </c>
      <c r="W96" s="65" t="str">
        <f t="shared" si="5"/>
        <v>Exclude</v>
      </c>
      <c r="Y96" s="63"/>
      <c r="AS96" s="64" t="str">
        <f t="shared" si="6"/>
        <v>Exclude</v>
      </c>
      <c r="AU96" s="65" t="str">
        <f t="shared" si="7"/>
        <v>Exclude</v>
      </c>
    </row>
    <row r="97" spans="1:47" s="64" customFormat="1" x14ac:dyDescent="0.25">
      <c r="A97" s="63"/>
      <c r="U97" s="64" t="str">
        <f t="shared" si="4"/>
        <v>Exclude</v>
      </c>
      <c r="W97" s="65" t="str">
        <f t="shared" si="5"/>
        <v>Exclude</v>
      </c>
      <c r="Y97" s="63"/>
      <c r="AS97" s="64" t="str">
        <f t="shared" si="6"/>
        <v>Exclude</v>
      </c>
      <c r="AU97" s="65" t="str">
        <f t="shared" si="7"/>
        <v>Exclude</v>
      </c>
    </row>
    <row r="98" spans="1:47" s="64" customFormat="1" x14ac:dyDescent="0.25">
      <c r="A98" s="63"/>
      <c r="U98" s="64" t="str">
        <f t="shared" si="4"/>
        <v>Exclude</v>
      </c>
      <c r="W98" s="65" t="str">
        <f t="shared" si="5"/>
        <v>Exclude</v>
      </c>
      <c r="Y98" s="63"/>
      <c r="AS98" s="64" t="str">
        <f t="shared" si="6"/>
        <v>Exclude</v>
      </c>
      <c r="AU98" s="65" t="str">
        <f t="shared" si="7"/>
        <v>Exclude</v>
      </c>
    </row>
    <row r="99" spans="1:47" s="64" customFormat="1" x14ac:dyDescent="0.25">
      <c r="A99" s="63"/>
      <c r="U99" s="64" t="str">
        <f t="shared" si="4"/>
        <v>Exclude</v>
      </c>
      <c r="W99" s="65" t="str">
        <f t="shared" si="5"/>
        <v>Exclude</v>
      </c>
      <c r="Y99" s="63"/>
      <c r="AS99" s="64" t="str">
        <f t="shared" si="6"/>
        <v>Exclude</v>
      </c>
      <c r="AU99" s="65" t="str">
        <f t="shared" si="7"/>
        <v>Exclude</v>
      </c>
    </row>
    <row r="100" spans="1:47" s="64" customFormat="1" x14ac:dyDescent="0.25">
      <c r="A100" s="63"/>
      <c r="U100" s="64" t="str">
        <f t="shared" si="4"/>
        <v>Exclude</v>
      </c>
      <c r="W100" s="65" t="str">
        <f t="shared" si="5"/>
        <v>Exclude</v>
      </c>
      <c r="Y100" s="63"/>
      <c r="AS100" s="64" t="str">
        <f t="shared" si="6"/>
        <v>Exclude</v>
      </c>
      <c r="AU100" s="65" t="str">
        <f t="shared" si="7"/>
        <v>Exclude</v>
      </c>
    </row>
    <row r="101" spans="1:47" s="64" customFormat="1" x14ac:dyDescent="0.25">
      <c r="A101" s="63"/>
      <c r="U101" s="64" t="str">
        <f t="shared" si="4"/>
        <v>Exclude</v>
      </c>
      <c r="W101" s="65" t="str">
        <f t="shared" si="5"/>
        <v>Exclude</v>
      </c>
      <c r="Y101" s="63"/>
      <c r="AS101" s="64" t="str">
        <f t="shared" si="6"/>
        <v>Exclude</v>
      </c>
      <c r="AU101" s="65" t="str">
        <f t="shared" si="7"/>
        <v>Exclude</v>
      </c>
    </row>
    <row r="102" spans="1:47" s="64" customFormat="1" x14ac:dyDescent="0.25">
      <c r="A102" s="63"/>
      <c r="U102" s="64" t="str">
        <f t="shared" si="4"/>
        <v>Exclude</v>
      </c>
      <c r="W102" s="65" t="str">
        <f t="shared" si="5"/>
        <v>Exclude</v>
      </c>
      <c r="Y102" s="63"/>
      <c r="AS102" s="64" t="str">
        <f t="shared" si="6"/>
        <v>Exclude</v>
      </c>
      <c r="AU102" s="65" t="str">
        <f t="shared" si="7"/>
        <v>Exclude</v>
      </c>
    </row>
    <row r="103" spans="1:47" s="64" customFormat="1" x14ac:dyDescent="0.25">
      <c r="A103" s="63"/>
      <c r="U103" s="64" t="str">
        <f t="shared" si="4"/>
        <v>Exclude</v>
      </c>
      <c r="W103" s="65" t="str">
        <f t="shared" si="5"/>
        <v>Exclude</v>
      </c>
      <c r="Y103" s="63"/>
      <c r="AS103" s="64" t="str">
        <f t="shared" si="6"/>
        <v>Exclude</v>
      </c>
      <c r="AU103" s="65" t="str">
        <f t="shared" si="7"/>
        <v>Exclude</v>
      </c>
    </row>
    <row r="104" spans="1:47" s="64" customFormat="1" x14ac:dyDescent="0.25">
      <c r="A104" s="63"/>
      <c r="U104" s="64" t="str">
        <f t="shared" si="4"/>
        <v>Exclude</v>
      </c>
      <c r="W104" s="65" t="str">
        <f t="shared" si="5"/>
        <v>Exclude</v>
      </c>
      <c r="Y104" s="63"/>
      <c r="AS104" s="64" t="str">
        <f t="shared" si="6"/>
        <v>Exclude</v>
      </c>
      <c r="AU104" s="65" t="str">
        <f t="shared" si="7"/>
        <v>Exclude</v>
      </c>
    </row>
    <row r="105" spans="1:47" s="64" customFormat="1" x14ac:dyDescent="0.25">
      <c r="A105" s="63"/>
      <c r="U105" s="64" t="str">
        <f t="shared" si="4"/>
        <v>Exclude</v>
      </c>
      <c r="W105" s="65" t="str">
        <f t="shared" si="5"/>
        <v>Exclude</v>
      </c>
      <c r="Y105" s="63"/>
      <c r="AS105" s="64" t="str">
        <f t="shared" si="6"/>
        <v>Exclude</v>
      </c>
      <c r="AU105" s="65" t="str">
        <f t="shared" si="7"/>
        <v>Exclude</v>
      </c>
    </row>
    <row r="106" spans="1:47" s="64" customFormat="1" x14ac:dyDescent="0.25">
      <c r="A106" s="63"/>
      <c r="U106" s="64" t="str">
        <f t="shared" si="4"/>
        <v>Exclude</v>
      </c>
      <c r="W106" s="65" t="str">
        <f t="shared" si="5"/>
        <v>Exclude</v>
      </c>
      <c r="Y106" s="63"/>
      <c r="AS106" s="64" t="str">
        <f t="shared" si="6"/>
        <v>Exclude</v>
      </c>
      <c r="AU106" s="65" t="str">
        <f t="shared" si="7"/>
        <v>Exclude</v>
      </c>
    </row>
    <row r="107" spans="1:47" s="64" customFormat="1" x14ac:dyDescent="0.25">
      <c r="A107" s="63"/>
      <c r="U107" s="64" t="str">
        <f t="shared" si="4"/>
        <v>Exclude</v>
      </c>
      <c r="W107" s="65" t="str">
        <f t="shared" si="5"/>
        <v>Exclude</v>
      </c>
      <c r="Y107" s="63"/>
      <c r="AS107" s="64" t="str">
        <f t="shared" si="6"/>
        <v>Exclude</v>
      </c>
      <c r="AU107" s="65" t="str">
        <f t="shared" si="7"/>
        <v>Exclude</v>
      </c>
    </row>
    <row r="108" spans="1:47" s="64" customFormat="1" x14ac:dyDescent="0.25">
      <c r="A108" s="63"/>
      <c r="U108" s="64" t="str">
        <f t="shared" si="4"/>
        <v>Exclude</v>
      </c>
      <c r="W108" s="65" t="str">
        <f t="shared" si="5"/>
        <v>Exclude</v>
      </c>
      <c r="Y108" s="63"/>
      <c r="AS108" s="64" t="str">
        <f t="shared" si="6"/>
        <v>Exclude</v>
      </c>
      <c r="AU108" s="65" t="str">
        <f t="shared" si="7"/>
        <v>Exclude</v>
      </c>
    </row>
    <row r="109" spans="1:47" s="64" customFormat="1" x14ac:dyDescent="0.25">
      <c r="A109" s="63"/>
      <c r="U109" s="64" t="str">
        <f t="shared" si="4"/>
        <v>Exclude</v>
      </c>
      <c r="W109" s="65" t="str">
        <f t="shared" si="5"/>
        <v>Exclude</v>
      </c>
      <c r="Y109" s="63"/>
      <c r="AS109" s="64" t="str">
        <f t="shared" si="6"/>
        <v>Exclude</v>
      </c>
      <c r="AU109" s="65" t="str">
        <f t="shared" si="7"/>
        <v>Exclude</v>
      </c>
    </row>
    <row r="110" spans="1:47" s="64" customFormat="1" x14ac:dyDescent="0.25">
      <c r="A110" s="63"/>
      <c r="U110" s="64" t="str">
        <f t="shared" si="4"/>
        <v>Exclude</v>
      </c>
      <c r="W110" s="65" t="str">
        <f t="shared" si="5"/>
        <v>Exclude</v>
      </c>
      <c r="Y110" s="63"/>
      <c r="AS110" s="64" t="str">
        <f t="shared" si="6"/>
        <v>Exclude</v>
      </c>
      <c r="AU110" s="65" t="str">
        <f t="shared" si="7"/>
        <v>Exclude</v>
      </c>
    </row>
    <row r="111" spans="1:47" s="64" customFormat="1" x14ac:dyDescent="0.25">
      <c r="A111" s="63"/>
      <c r="U111" s="64" t="str">
        <f t="shared" si="4"/>
        <v>Exclude</v>
      </c>
      <c r="W111" s="65" t="str">
        <f t="shared" si="5"/>
        <v>Exclude</v>
      </c>
      <c r="Y111" s="63"/>
      <c r="AS111" s="64" t="str">
        <f t="shared" si="6"/>
        <v>Exclude</v>
      </c>
      <c r="AU111" s="65" t="str">
        <f t="shared" si="7"/>
        <v>Exclude</v>
      </c>
    </row>
    <row r="112" spans="1:47" s="64" customFormat="1" x14ac:dyDescent="0.25">
      <c r="A112" s="63"/>
      <c r="U112" s="64" t="str">
        <f t="shared" si="4"/>
        <v>Exclude</v>
      </c>
      <c r="W112" s="65" t="str">
        <f t="shared" si="5"/>
        <v>Exclude</v>
      </c>
      <c r="Y112" s="63"/>
      <c r="AS112" s="64" t="str">
        <f t="shared" si="6"/>
        <v>Exclude</v>
      </c>
      <c r="AU112" s="65" t="str">
        <f t="shared" si="7"/>
        <v>Exclude</v>
      </c>
    </row>
    <row r="113" spans="1:47" s="64" customFormat="1" x14ac:dyDescent="0.25">
      <c r="A113" s="63"/>
      <c r="U113" s="64" t="str">
        <f t="shared" si="4"/>
        <v>Exclude</v>
      </c>
      <c r="W113" s="65" t="str">
        <f t="shared" si="5"/>
        <v>Exclude</v>
      </c>
      <c r="Y113" s="63"/>
      <c r="AS113" s="64" t="str">
        <f t="shared" si="6"/>
        <v>Exclude</v>
      </c>
      <c r="AU113" s="65" t="str">
        <f t="shared" si="7"/>
        <v>Exclude</v>
      </c>
    </row>
    <row r="114" spans="1:47" s="64" customFormat="1" x14ac:dyDescent="0.25">
      <c r="A114" s="63"/>
      <c r="U114" s="64" t="str">
        <f t="shared" si="4"/>
        <v>Exclude</v>
      </c>
      <c r="W114" s="65" t="str">
        <f t="shared" si="5"/>
        <v>Exclude</v>
      </c>
      <c r="Y114" s="63"/>
      <c r="AS114" s="64" t="str">
        <f t="shared" si="6"/>
        <v>Exclude</v>
      </c>
      <c r="AU114" s="65" t="str">
        <f t="shared" si="7"/>
        <v>Exclude</v>
      </c>
    </row>
    <row r="115" spans="1:47" s="64" customFormat="1" x14ac:dyDescent="0.25">
      <c r="A115" s="63"/>
      <c r="U115" s="64" t="str">
        <f t="shared" si="4"/>
        <v>Exclude</v>
      </c>
      <c r="W115" s="65" t="str">
        <f t="shared" si="5"/>
        <v>Exclude</v>
      </c>
      <c r="Y115" s="63"/>
      <c r="AS115" s="64" t="str">
        <f t="shared" si="6"/>
        <v>Exclude</v>
      </c>
      <c r="AU115" s="65" t="str">
        <f t="shared" si="7"/>
        <v>Exclude</v>
      </c>
    </row>
    <row r="116" spans="1:47" s="64" customFormat="1" x14ac:dyDescent="0.25">
      <c r="A116" s="63"/>
      <c r="U116" s="64" t="str">
        <f t="shared" si="4"/>
        <v>Exclude</v>
      </c>
      <c r="W116" s="65" t="str">
        <f t="shared" si="5"/>
        <v>Exclude</v>
      </c>
      <c r="Y116" s="63"/>
      <c r="AS116" s="64" t="str">
        <f t="shared" si="6"/>
        <v>Exclude</v>
      </c>
      <c r="AU116" s="65" t="str">
        <f t="shared" si="7"/>
        <v>Exclude</v>
      </c>
    </row>
    <row r="117" spans="1:47" s="64" customFormat="1" x14ac:dyDescent="0.25">
      <c r="A117" s="63"/>
      <c r="U117" s="64" t="str">
        <f t="shared" si="4"/>
        <v>Exclude</v>
      </c>
      <c r="W117" s="65" t="str">
        <f t="shared" si="5"/>
        <v>Exclude</v>
      </c>
      <c r="Y117" s="63"/>
      <c r="AS117" s="64" t="str">
        <f t="shared" si="6"/>
        <v>Exclude</v>
      </c>
      <c r="AU117" s="65" t="str">
        <f t="shared" si="7"/>
        <v>Exclude</v>
      </c>
    </row>
    <row r="118" spans="1:47" s="64" customFormat="1" x14ac:dyDescent="0.25">
      <c r="A118" s="63"/>
      <c r="U118" s="64" t="str">
        <f t="shared" si="4"/>
        <v>Exclude</v>
      </c>
      <c r="W118" s="65" t="str">
        <f t="shared" si="5"/>
        <v>Exclude</v>
      </c>
      <c r="Y118" s="63"/>
      <c r="AS118" s="64" t="str">
        <f t="shared" si="6"/>
        <v>Exclude</v>
      </c>
      <c r="AU118" s="65" t="str">
        <f t="shared" si="7"/>
        <v>Exclude</v>
      </c>
    </row>
    <row r="119" spans="1:47" s="64" customFormat="1" x14ac:dyDescent="0.25">
      <c r="A119" s="63"/>
      <c r="U119" s="64" t="str">
        <f t="shared" si="4"/>
        <v>Exclude</v>
      </c>
      <c r="W119" s="65" t="str">
        <f t="shared" si="5"/>
        <v>Exclude</v>
      </c>
      <c r="Y119" s="63"/>
      <c r="AS119" s="64" t="str">
        <f t="shared" si="6"/>
        <v>Exclude</v>
      </c>
      <c r="AU119" s="65" t="str">
        <f t="shared" si="7"/>
        <v>Exclude</v>
      </c>
    </row>
    <row r="120" spans="1:47" s="64" customFormat="1" x14ac:dyDescent="0.25">
      <c r="A120" s="63"/>
      <c r="U120" s="64" t="str">
        <f t="shared" si="4"/>
        <v>Exclude</v>
      </c>
      <c r="W120" s="65" t="str">
        <f t="shared" si="5"/>
        <v>Exclude</v>
      </c>
      <c r="Y120" s="63"/>
      <c r="AS120" s="64" t="str">
        <f t="shared" si="6"/>
        <v>Exclude</v>
      </c>
      <c r="AU120" s="65" t="str">
        <f t="shared" si="7"/>
        <v>Exclude</v>
      </c>
    </row>
    <row r="121" spans="1:47" s="64" customFormat="1" x14ac:dyDescent="0.25">
      <c r="A121" s="63"/>
      <c r="U121" s="64" t="str">
        <f t="shared" si="4"/>
        <v>Exclude</v>
      </c>
      <c r="W121" s="65" t="str">
        <f t="shared" si="5"/>
        <v>Exclude</v>
      </c>
      <c r="Y121" s="63"/>
      <c r="AS121" s="64" t="str">
        <f t="shared" si="6"/>
        <v>Exclude</v>
      </c>
      <c r="AU121" s="65" t="str">
        <f t="shared" si="7"/>
        <v>Exclude</v>
      </c>
    </row>
    <row r="122" spans="1:47" s="64" customFormat="1" x14ac:dyDescent="0.25">
      <c r="A122" s="63"/>
      <c r="U122" s="64" t="str">
        <f t="shared" si="4"/>
        <v>Exclude</v>
      </c>
      <c r="W122" s="65" t="str">
        <f t="shared" si="5"/>
        <v>Exclude</v>
      </c>
      <c r="Y122" s="63"/>
      <c r="AS122" s="64" t="str">
        <f t="shared" si="6"/>
        <v>Exclude</v>
      </c>
      <c r="AU122" s="65" t="str">
        <f t="shared" si="7"/>
        <v>Exclude</v>
      </c>
    </row>
    <row r="123" spans="1:47" s="64" customFormat="1" x14ac:dyDescent="0.25">
      <c r="A123" s="63"/>
      <c r="U123" s="64" t="str">
        <f t="shared" si="4"/>
        <v>Exclude</v>
      </c>
      <c r="W123" s="65" t="str">
        <f t="shared" si="5"/>
        <v>Exclude</v>
      </c>
      <c r="Y123" s="63"/>
      <c r="AS123" s="64" t="str">
        <f t="shared" si="6"/>
        <v>Exclude</v>
      </c>
      <c r="AU123" s="65" t="str">
        <f t="shared" si="7"/>
        <v>Exclude</v>
      </c>
    </row>
    <row r="124" spans="1:47" s="64" customFormat="1" x14ac:dyDescent="0.25">
      <c r="A124" s="63"/>
      <c r="U124" s="64" t="str">
        <f t="shared" si="4"/>
        <v>Exclude</v>
      </c>
      <c r="W124" s="65" t="str">
        <f t="shared" si="5"/>
        <v>Exclude</v>
      </c>
      <c r="Y124" s="63"/>
      <c r="AS124" s="64" t="str">
        <f t="shared" si="6"/>
        <v>Exclude</v>
      </c>
      <c r="AU124" s="65" t="str">
        <f t="shared" si="7"/>
        <v>Exclude</v>
      </c>
    </row>
    <row r="125" spans="1:47" s="64" customFormat="1" x14ac:dyDescent="0.25">
      <c r="A125" s="63"/>
      <c r="U125" s="64" t="str">
        <f t="shared" si="4"/>
        <v>Exclude</v>
      </c>
      <c r="W125" s="65" t="str">
        <f t="shared" si="5"/>
        <v>Exclude</v>
      </c>
      <c r="Y125" s="63"/>
      <c r="AS125" s="64" t="str">
        <f t="shared" si="6"/>
        <v>Exclude</v>
      </c>
      <c r="AU125" s="65" t="str">
        <f t="shared" si="7"/>
        <v>Exclude</v>
      </c>
    </row>
    <row r="126" spans="1:47" s="64" customFormat="1" x14ac:dyDescent="0.25">
      <c r="A126" s="63"/>
      <c r="U126" s="64" t="str">
        <f t="shared" si="4"/>
        <v>Exclude</v>
      </c>
      <c r="W126" s="65" t="str">
        <f t="shared" si="5"/>
        <v>Exclude</v>
      </c>
      <c r="Y126" s="63"/>
      <c r="AS126" s="64" t="str">
        <f t="shared" si="6"/>
        <v>Exclude</v>
      </c>
      <c r="AU126" s="65" t="str">
        <f t="shared" si="7"/>
        <v>Exclude</v>
      </c>
    </row>
    <row r="127" spans="1:47" s="64" customFormat="1" x14ac:dyDescent="0.25">
      <c r="A127" s="63"/>
      <c r="U127" s="64" t="str">
        <f t="shared" si="4"/>
        <v>Exclude</v>
      </c>
      <c r="W127" s="65" t="str">
        <f t="shared" si="5"/>
        <v>Exclude</v>
      </c>
      <c r="Y127" s="63"/>
      <c r="AS127" s="64" t="str">
        <f t="shared" si="6"/>
        <v>Exclude</v>
      </c>
      <c r="AU127" s="65" t="str">
        <f t="shared" si="7"/>
        <v>Exclude</v>
      </c>
    </row>
    <row r="128" spans="1:47" s="64" customFormat="1" x14ac:dyDescent="0.25">
      <c r="A128" s="63"/>
      <c r="U128" s="64" t="str">
        <f t="shared" si="4"/>
        <v>Exclude</v>
      </c>
      <c r="W128" s="65" t="str">
        <f t="shared" si="5"/>
        <v>Exclude</v>
      </c>
      <c r="Y128" s="63"/>
      <c r="AS128" s="64" t="str">
        <f t="shared" si="6"/>
        <v>Exclude</v>
      </c>
      <c r="AU128" s="65" t="str">
        <f t="shared" si="7"/>
        <v>Exclude</v>
      </c>
    </row>
    <row r="129" spans="1:47" s="64" customFormat="1" x14ac:dyDescent="0.25">
      <c r="A129" s="63"/>
      <c r="U129" s="64" t="str">
        <f t="shared" si="4"/>
        <v>Exclude</v>
      </c>
      <c r="W129" s="65" t="str">
        <f t="shared" si="5"/>
        <v>Exclude</v>
      </c>
      <c r="Y129" s="63"/>
      <c r="AS129" s="64" t="str">
        <f t="shared" si="6"/>
        <v>Exclude</v>
      </c>
      <c r="AU129" s="65" t="str">
        <f t="shared" si="7"/>
        <v>Exclude</v>
      </c>
    </row>
    <row r="130" spans="1:47" s="64" customFormat="1" x14ac:dyDescent="0.25">
      <c r="A130" s="63"/>
      <c r="U130" s="64" t="str">
        <f t="shared" si="4"/>
        <v>Exclude</v>
      </c>
      <c r="W130" s="65" t="str">
        <f t="shared" si="5"/>
        <v>Exclude</v>
      </c>
      <c r="Y130" s="63"/>
      <c r="AS130" s="64" t="str">
        <f t="shared" si="6"/>
        <v>Exclude</v>
      </c>
      <c r="AU130" s="65" t="str">
        <f t="shared" si="7"/>
        <v>Exclude</v>
      </c>
    </row>
    <row r="131" spans="1:47" s="64" customFormat="1" x14ac:dyDescent="0.25">
      <c r="A131" s="63"/>
      <c r="U131" s="64" t="str">
        <f t="shared" si="4"/>
        <v>Exclude</v>
      </c>
      <c r="W131" s="65" t="str">
        <f t="shared" si="5"/>
        <v>Exclude</v>
      </c>
      <c r="Y131" s="63"/>
      <c r="AS131" s="64" t="str">
        <f t="shared" si="6"/>
        <v>Exclude</v>
      </c>
      <c r="AU131" s="65" t="str">
        <f t="shared" si="7"/>
        <v>Exclude</v>
      </c>
    </row>
    <row r="132" spans="1:47" s="64" customFormat="1" x14ac:dyDescent="0.25">
      <c r="A132" s="63"/>
      <c r="U132" s="64" t="str">
        <f t="shared" si="4"/>
        <v>Exclude</v>
      </c>
      <c r="W132" s="65" t="str">
        <f t="shared" si="5"/>
        <v>Exclude</v>
      </c>
      <c r="Y132" s="63"/>
      <c r="AS132" s="64" t="str">
        <f t="shared" si="6"/>
        <v>Exclude</v>
      </c>
      <c r="AU132" s="65" t="str">
        <f t="shared" si="7"/>
        <v>Exclude</v>
      </c>
    </row>
    <row r="133" spans="1:47" s="64" customFormat="1" x14ac:dyDescent="0.25">
      <c r="A133" s="63"/>
      <c r="U133" s="64" t="str">
        <f t="shared" si="4"/>
        <v>Exclude</v>
      </c>
      <c r="W133" s="65" t="str">
        <f t="shared" si="5"/>
        <v>Exclude</v>
      </c>
      <c r="Y133" s="63"/>
      <c r="AS133" s="64" t="str">
        <f t="shared" si="6"/>
        <v>Exclude</v>
      </c>
      <c r="AU133" s="65" t="str">
        <f t="shared" si="7"/>
        <v>Exclude</v>
      </c>
    </row>
    <row r="134" spans="1:47" s="64" customFormat="1" x14ac:dyDescent="0.25">
      <c r="A134" s="63"/>
      <c r="U134" s="64" t="str">
        <f t="shared" si="4"/>
        <v>Exclude</v>
      </c>
      <c r="W134" s="65" t="str">
        <f t="shared" si="5"/>
        <v>Exclude</v>
      </c>
      <c r="Y134" s="63"/>
      <c r="AS134" s="64" t="str">
        <f t="shared" si="6"/>
        <v>Exclude</v>
      </c>
      <c r="AU134" s="65" t="str">
        <f t="shared" si="7"/>
        <v>Exclude</v>
      </c>
    </row>
    <row r="135" spans="1:47" s="64" customFormat="1" x14ac:dyDescent="0.25">
      <c r="A135" s="63"/>
      <c r="U135" s="64" t="str">
        <f t="shared" si="4"/>
        <v>Exclude</v>
      </c>
      <c r="W135" s="65" t="str">
        <f t="shared" si="5"/>
        <v>Exclude</v>
      </c>
      <c r="Y135" s="63"/>
      <c r="AS135" s="64" t="str">
        <f t="shared" si="6"/>
        <v>Exclude</v>
      </c>
      <c r="AU135" s="65" t="str">
        <f t="shared" si="7"/>
        <v>Exclude</v>
      </c>
    </row>
    <row r="136" spans="1:47" s="64" customFormat="1" x14ac:dyDescent="0.25">
      <c r="A136" s="63"/>
      <c r="U136" s="64" t="str">
        <f t="shared" si="4"/>
        <v>Exclude</v>
      </c>
      <c r="W136" s="65" t="str">
        <f t="shared" si="5"/>
        <v>Exclude</v>
      </c>
      <c r="Y136" s="63"/>
      <c r="AS136" s="64" t="str">
        <f t="shared" si="6"/>
        <v>Exclude</v>
      </c>
      <c r="AU136" s="65" t="str">
        <f t="shared" si="7"/>
        <v>Exclude</v>
      </c>
    </row>
    <row r="137" spans="1:47" s="64" customFormat="1" x14ac:dyDescent="0.25">
      <c r="A137" s="63"/>
      <c r="U137" s="64" t="str">
        <f t="shared" si="4"/>
        <v>Exclude</v>
      </c>
      <c r="W137" s="65" t="str">
        <f t="shared" si="5"/>
        <v>Exclude</v>
      </c>
      <c r="Y137" s="63"/>
      <c r="AS137" s="64" t="str">
        <f t="shared" si="6"/>
        <v>Exclude</v>
      </c>
      <c r="AU137" s="65" t="str">
        <f t="shared" si="7"/>
        <v>Exclude</v>
      </c>
    </row>
    <row r="138" spans="1:47" s="64" customFormat="1" x14ac:dyDescent="0.25">
      <c r="A138" s="63"/>
      <c r="U138" s="64" t="str">
        <f t="shared" si="4"/>
        <v>Exclude</v>
      </c>
      <c r="W138" s="65" t="str">
        <f t="shared" si="5"/>
        <v>Exclude</v>
      </c>
      <c r="Y138" s="63"/>
      <c r="AS138" s="64" t="str">
        <f t="shared" si="6"/>
        <v>Exclude</v>
      </c>
      <c r="AU138" s="65" t="str">
        <f t="shared" si="7"/>
        <v>Exclude</v>
      </c>
    </row>
    <row r="139" spans="1:47" s="64" customFormat="1" x14ac:dyDescent="0.25">
      <c r="A139" s="63"/>
      <c r="U139" s="64" t="str">
        <f t="shared" si="4"/>
        <v>Exclude</v>
      </c>
      <c r="W139" s="65" t="str">
        <f t="shared" si="5"/>
        <v>Exclude</v>
      </c>
      <c r="Y139" s="63"/>
      <c r="AS139" s="64" t="str">
        <f t="shared" si="6"/>
        <v>Exclude</v>
      </c>
      <c r="AU139" s="65" t="str">
        <f t="shared" si="7"/>
        <v>Exclude</v>
      </c>
    </row>
    <row r="140" spans="1:47" s="64" customFormat="1" x14ac:dyDescent="0.25">
      <c r="A140" s="63"/>
      <c r="U140" s="64" t="str">
        <f t="shared" si="4"/>
        <v>Exclude</v>
      </c>
      <c r="W140" s="65" t="str">
        <f t="shared" si="5"/>
        <v>Exclude</v>
      </c>
      <c r="Y140" s="63"/>
      <c r="AS140" s="64" t="str">
        <f t="shared" si="6"/>
        <v>Exclude</v>
      </c>
      <c r="AU140" s="65" t="str">
        <f t="shared" si="7"/>
        <v>Exclude</v>
      </c>
    </row>
    <row r="141" spans="1:47" s="64" customFormat="1" x14ac:dyDescent="0.25">
      <c r="A141" s="63"/>
      <c r="U141" s="64" t="str">
        <f t="shared" si="4"/>
        <v>Exclude</v>
      </c>
      <c r="W141" s="65" t="str">
        <f t="shared" si="5"/>
        <v>Exclude</v>
      </c>
      <c r="Y141" s="63"/>
      <c r="AS141" s="64" t="str">
        <f t="shared" si="6"/>
        <v>Exclude</v>
      </c>
      <c r="AU141" s="65" t="str">
        <f t="shared" si="7"/>
        <v>Exclude</v>
      </c>
    </row>
    <row r="142" spans="1:47" s="64" customFormat="1" x14ac:dyDescent="0.25">
      <c r="A142" s="63"/>
      <c r="U142" s="64" t="str">
        <f t="shared" si="4"/>
        <v>Exclude</v>
      </c>
      <c r="W142" s="65" t="str">
        <f t="shared" si="5"/>
        <v>Exclude</v>
      </c>
      <c r="Y142" s="63"/>
      <c r="AS142" s="64" t="str">
        <f t="shared" si="6"/>
        <v>Exclude</v>
      </c>
      <c r="AU142" s="65" t="str">
        <f t="shared" si="7"/>
        <v>Exclude</v>
      </c>
    </row>
    <row r="143" spans="1:47" s="64" customFormat="1" x14ac:dyDescent="0.25">
      <c r="A143" s="63"/>
      <c r="U143" s="64" t="str">
        <f t="shared" si="4"/>
        <v>Exclude</v>
      </c>
      <c r="W143" s="65" t="str">
        <f t="shared" si="5"/>
        <v>Exclude</v>
      </c>
      <c r="Y143" s="63"/>
      <c r="AS143" s="64" t="str">
        <f t="shared" si="6"/>
        <v>Exclude</v>
      </c>
      <c r="AU143" s="65" t="str">
        <f t="shared" si="7"/>
        <v>Exclude</v>
      </c>
    </row>
    <row r="144" spans="1:47" s="64" customFormat="1" x14ac:dyDescent="0.25">
      <c r="A144" s="63"/>
      <c r="U144" s="64" t="str">
        <f t="shared" si="4"/>
        <v>Exclude</v>
      </c>
      <c r="W144" s="65" t="str">
        <f t="shared" si="5"/>
        <v>Exclude</v>
      </c>
      <c r="Y144" s="63"/>
      <c r="AS144" s="64" t="str">
        <f t="shared" si="6"/>
        <v>Exclude</v>
      </c>
      <c r="AU144" s="65" t="str">
        <f t="shared" si="7"/>
        <v>Exclude</v>
      </c>
    </row>
    <row r="145" spans="1:47" s="64" customFormat="1" x14ac:dyDescent="0.25">
      <c r="A145" s="63"/>
      <c r="U145" s="64" t="str">
        <f t="shared" si="4"/>
        <v>Exclude</v>
      </c>
      <c r="W145" s="65" t="str">
        <f t="shared" si="5"/>
        <v>Exclude</v>
      </c>
      <c r="Y145" s="63"/>
      <c r="AS145" s="64" t="str">
        <f t="shared" si="6"/>
        <v>Exclude</v>
      </c>
      <c r="AU145" s="65" t="str">
        <f t="shared" si="7"/>
        <v>Exclude</v>
      </c>
    </row>
    <row r="146" spans="1:47" s="64" customFormat="1" x14ac:dyDescent="0.25">
      <c r="A146" s="63"/>
      <c r="U146" s="64" t="str">
        <f t="shared" si="4"/>
        <v>Exclude</v>
      </c>
      <c r="W146" s="65" t="str">
        <f t="shared" si="5"/>
        <v>Exclude</v>
      </c>
      <c r="Y146" s="63"/>
      <c r="AS146" s="64" t="str">
        <f t="shared" si="6"/>
        <v>Exclude</v>
      </c>
      <c r="AU146" s="65" t="str">
        <f t="shared" si="7"/>
        <v>Exclude</v>
      </c>
    </row>
    <row r="147" spans="1:47" s="64" customFormat="1" x14ac:dyDescent="0.25">
      <c r="A147" s="63"/>
      <c r="U147" s="64" t="str">
        <f t="shared" si="4"/>
        <v>Exclude</v>
      </c>
      <c r="W147" s="65" t="str">
        <f t="shared" si="5"/>
        <v>Exclude</v>
      </c>
      <c r="Y147" s="63"/>
      <c r="AS147" s="64" t="str">
        <f t="shared" si="6"/>
        <v>Exclude</v>
      </c>
      <c r="AU147" s="65" t="str">
        <f t="shared" si="7"/>
        <v>Exclude</v>
      </c>
    </row>
    <row r="148" spans="1:47" s="64" customFormat="1" x14ac:dyDescent="0.25">
      <c r="A148" s="63"/>
      <c r="U148" s="64" t="str">
        <f t="shared" si="4"/>
        <v>Exclude</v>
      </c>
      <c r="W148" s="65" t="str">
        <f t="shared" si="5"/>
        <v>Exclude</v>
      </c>
      <c r="Y148" s="63"/>
      <c r="AS148" s="64" t="str">
        <f t="shared" si="6"/>
        <v>Exclude</v>
      </c>
      <c r="AU148" s="65" t="str">
        <f t="shared" si="7"/>
        <v>Exclude</v>
      </c>
    </row>
    <row r="149" spans="1:47" s="64" customFormat="1" x14ac:dyDescent="0.25">
      <c r="A149" s="63"/>
      <c r="U149" s="64" t="str">
        <f t="shared" si="4"/>
        <v>Exclude</v>
      </c>
      <c r="W149" s="65" t="str">
        <f t="shared" si="5"/>
        <v>Exclude</v>
      </c>
      <c r="Y149" s="63"/>
      <c r="AS149" s="64" t="str">
        <f t="shared" si="6"/>
        <v>Exclude</v>
      </c>
      <c r="AU149" s="65" t="str">
        <f t="shared" si="7"/>
        <v>Exclude</v>
      </c>
    </row>
    <row r="150" spans="1:47" s="64" customFormat="1" x14ac:dyDescent="0.25">
      <c r="A150" s="63"/>
      <c r="U150" s="64" t="str">
        <f t="shared" si="4"/>
        <v>Exclude</v>
      </c>
      <c r="W150" s="65" t="str">
        <f t="shared" si="5"/>
        <v>Exclude</v>
      </c>
      <c r="Y150" s="63"/>
      <c r="AS150" s="64" t="str">
        <f t="shared" si="6"/>
        <v>Exclude</v>
      </c>
      <c r="AU150" s="65" t="str">
        <f t="shared" si="7"/>
        <v>Exclude</v>
      </c>
    </row>
    <row r="151" spans="1:47" s="64" customFormat="1" x14ac:dyDescent="0.25">
      <c r="A151" s="63"/>
      <c r="U151" s="64" t="str">
        <f t="shared" ref="U151:U214" si="8">IF(OR(R151="TruePositive",R151="TrueNegative"),IF(R150&lt;&gt;"Anticipatory",(N151),"Pant"),"Exclude")</f>
        <v>Exclude</v>
      </c>
      <c r="W151" s="65" t="str">
        <f t="shared" ref="W151:W214" si="9">IF(OR(R151="TruePositive",R151="TrueNegative"),IF(R150&lt;&gt;"Anticipatory",LOG10(N151),"Exclude"),"Exclude")</f>
        <v>Exclude</v>
      </c>
      <c r="Y151" s="63"/>
      <c r="AS151" s="64" t="str">
        <f t="shared" ref="AS151:AS214" si="10">IF(OR(AP151="TruePositive",AP151="TrueNegative"),IF(AP150&lt;&gt;"Anticipatory",(AL151),"Pant"),"Exclude")</f>
        <v>Exclude</v>
      </c>
      <c r="AU151" s="65" t="str">
        <f t="shared" ref="AU151:AU214" si="11">IF(OR(AP151="TruePositive",AP151="TrueNegative"),IF(AP150&lt;&gt;"Anticipatory",LOG10(AL151),"Exclude"),"Exclude")</f>
        <v>Exclude</v>
      </c>
    </row>
    <row r="152" spans="1:47" s="64" customFormat="1" x14ac:dyDescent="0.25">
      <c r="A152" s="63"/>
      <c r="U152" s="64" t="str">
        <f t="shared" si="8"/>
        <v>Exclude</v>
      </c>
      <c r="W152" s="65" t="str">
        <f t="shared" si="9"/>
        <v>Exclude</v>
      </c>
      <c r="Y152" s="63"/>
      <c r="AS152" s="64" t="str">
        <f t="shared" si="10"/>
        <v>Exclude</v>
      </c>
      <c r="AU152" s="65" t="str">
        <f t="shared" si="11"/>
        <v>Exclude</v>
      </c>
    </row>
    <row r="153" spans="1:47" s="64" customFormat="1" x14ac:dyDescent="0.25">
      <c r="A153" s="63"/>
      <c r="U153" s="64" t="str">
        <f t="shared" si="8"/>
        <v>Exclude</v>
      </c>
      <c r="W153" s="65" t="str">
        <f t="shared" si="9"/>
        <v>Exclude</v>
      </c>
      <c r="Y153" s="63"/>
      <c r="AS153" s="64" t="str">
        <f t="shared" si="10"/>
        <v>Exclude</v>
      </c>
      <c r="AU153" s="65" t="str">
        <f t="shared" si="11"/>
        <v>Exclude</v>
      </c>
    </row>
    <row r="154" spans="1:47" s="64" customFormat="1" x14ac:dyDescent="0.25">
      <c r="A154" s="63"/>
      <c r="U154" s="64" t="str">
        <f t="shared" si="8"/>
        <v>Exclude</v>
      </c>
      <c r="W154" s="65" t="str">
        <f t="shared" si="9"/>
        <v>Exclude</v>
      </c>
      <c r="Y154" s="63"/>
      <c r="AS154" s="64" t="str">
        <f t="shared" si="10"/>
        <v>Exclude</v>
      </c>
      <c r="AU154" s="65" t="str">
        <f t="shared" si="11"/>
        <v>Exclude</v>
      </c>
    </row>
    <row r="155" spans="1:47" s="64" customFormat="1" x14ac:dyDescent="0.25">
      <c r="A155" s="63"/>
      <c r="U155" s="64" t="str">
        <f t="shared" si="8"/>
        <v>Exclude</v>
      </c>
      <c r="W155" s="65" t="str">
        <f t="shared" si="9"/>
        <v>Exclude</v>
      </c>
      <c r="Y155" s="63"/>
      <c r="AS155" s="64" t="str">
        <f t="shared" si="10"/>
        <v>Exclude</v>
      </c>
      <c r="AU155" s="65" t="str">
        <f t="shared" si="11"/>
        <v>Exclude</v>
      </c>
    </row>
    <row r="156" spans="1:47" s="64" customFormat="1" x14ac:dyDescent="0.25">
      <c r="A156" s="63"/>
      <c r="U156" s="64" t="str">
        <f t="shared" si="8"/>
        <v>Exclude</v>
      </c>
      <c r="W156" s="65" t="str">
        <f t="shared" si="9"/>
        <v>Exclude</v>
      </c>
      <c r="Y156" s="63"/>
      <c r="AS156" s="64" t="str">
        <f t="shared" si="10"/>
        <v>Exclude</v>
      </c>
      <c r="AU156" s="65" t="str">
        <f t="shared" si="11"/>
        <v>Exclude</v>
      </c>
    </row>
    <row r="157" spans="1:47" s="64" customFormat="1" x14ac:dyDescent="0.25">
      <c r="A157" s="63"/>
      <c r="U157" s="64" t="str">
        <f t="shared" si="8"/>
        <v>Exclude</v>
      </c>
      <c r="W157" s="65" t="str">
        <f t="shared" si="9"/>
        <v>Exclude</v>
      </c>
      <c r="Y157" s="63"/>
      <c r="AS157" s="64" t="str">
        <f t="shared" si="10"/>
        <v>Exclude</v>
      </c>
      <c r="AU157" s="65" t="str">
        <f t="shared" si="11"/>
        <v>Exclude</v>
      </c>
    </row>
    <row r="158" spans="1:47" s="64" customFormat="1" x14ac:dyDescent="0.25">
      <c r="A158" s="63"/>
      <c r="U158" s="64" t="str">
        <f t="shared" si="8"/>
        <v>Exclude</v>
      </c>
      <c r="W158" s="65" t="str">
        <f t="shared" si="9"/>
        <v>Exclude</v>
      </c>
      <c r="Y158" s="63"/>
      <c r="AS158" s="64" t="str">
        <f t="shared" si="10"/>
        <v>Exclude</v>
      </c>
      <c r="AU158" s="65" t="str">
        <f t="shared" si="11"/>
        <v>Exclude</v>
      </c>
    </row>
    <row r="159" spans="1:47" s="64" customFormat="1" x14ac:dyDescent="0.25">
      <c r="A159" s="63"/>
      <c r="U159" s="64" t="str">
        <f t="shared" si="8"/>
        <v>Exclude</v>
      </c>
      <c r="W159" s="65" t="str">
        <f t="shared" si="9"/>
        <v>Exclude</v>
      </c>
      <c r="Y159" s="63"/>
      <c r="AS159" s="64" t="str">
        <f t="shared" si="10"/>
        <v>Exclude</v>
      </c>
      <c r="AU159" s="65" t="str">
        <f t="shared" si="11"/>
        <v>Exclude</v>
      </c>
    </row>
    <row r="160" spans="1:47" s="64" customFormat="1" x14ac:dyDescent="0.25">
      <c r="A160" s="63"/>
      <c r="U160" s="64" t="str">
        <f t="shared" si="8"/>
        <v>Exclude</v>
      </c>
      <c r="W160" s="65" t="str">
        <f t="shared" si="9"/>
        <v>Exclude</v>
      </c>
      <c r="Y160" s="63"/>
      <c r="AS160" s="64" t="str">
        <f t="shared" si="10"/>
        <v>Exclude</v>
      </c>
      <c r="AU160" s="65" t="str">
        <f t="shared" si="11"/>
        <v>Exclude</v>
      </c>
    </row>
    <row r="161" spans="1:47" s="64" customFormat="1" x14ac:dyDescent="0.25">
      <c r="A161" s="63"/>
      <c r="U161" s="64" t="str">
        <f t="shared" si="8"/>
        <v>Exclude</v>
      </c>
      <c r="W161" s="65" t="str">
        <f t="shared" si="9"/>
        <v>Exclude</v>
      </c>
      <c r="Y161" s="63"/>
      <c r="AS161" s="64" t="str">
        <f t="shared" si="10"/>
        <v>Exclude</v>
      </c>
      <c r="AU161" s="65" t="str">
        <f t="shared" si="11"/>
        <v>Exclude</v>
      </c>
    </row>
    <row r="162" spans="1:47" s="64" customFormat="1" x14ac:dyDescent="0.25">
      <c r="A162" s="63"/>
      <c r="U162" s="64" t="str">
        <f t="shared" si="8"/>
        <v>Exclude</v>
      </c>
      <c r="W162" s="65" t="str">
        <f t="shared" si="9"/>
        <v>Exclude</v>
      </c>
      <c r="Y162" s="63"/>
      <c r="AS162" s="64" t="str">
        <f t="shared" si="10"/>
        <v>Exclude</v>
      </c>
      <c r="AU162" s="65" t="str">
        <f t="shared" si="11"/>
        <v>Exclude</v>
      </c>
    </row>
    <row r="163" spans="1:47" s="64" customFormat="1" x14ac:dyDescent="0.25">
      <c r="A163" s="63"/>
      <c r="U163" s="64" t="str">
        <f t="shared" si="8"/>
        <v>Exclude</v>
      </c>
      <c r="W163" s="65" t="str">
        <f t="shared" si="9"/>
        <v>Exclude</v>
      </c>
      <c r="Y163" s="63"/>
      <c r="AS163" s="64" t="str">
        <f t="shared" si="10"/>
        <v>Exclude</v>
      </c>
      <c r="AU163" s="65" t="str">
        <f t="shared" si="11"/>
        <v>Exclude</v>
      </c>
    </row>
    <row r="164" spans="1:47" s="64" customFormat="1" x14ac:dyDescent="0.25">
      <c r="A164" s="63"/>
      <c r="U164" s="64" t="str">
        <f t="shared" si="8"/>
        <v>Exclude</v>
      </c>
      <c r="W164" s="65" t="str">
        <f t="shared" si="9"/>
        <v>Exclude</v>
      </c>
      <c r="Y164" s="63"/>
      <c r="AS164" s="64" t="str">
        <f t="shared" si="10"/>
        <v>Exclude</v>
      </c>
      <c r="AU164" s="65" t="str">
        <f t="shared" si="11"/>
        <v>Exclude</v>
      </c>
    </row>
    <row r="165" spans="1:47" s="64" customFormat="1" x14ac:dyDescent="0.25">
      <c r="A165" s="63"/>
      <c r="U165" s="64" t="str">
        <f t="shared" si="8"/>
        <v>Exclude</v>
      </c>
      <c r="W165" s="65" t="str">
        <f t="shared" si="9"/>
        <v>Exclude</v>
      </c>
      <c r="Y165" s="63"/>
      <c r="AS165" s="64" t="str">
        <f t="shared" si="10"/>
        <v>Exclude</v>
      </c>
      <c r="AU165" s="65" t="str">
        <f t="shared" si="11"/>
        <v>Exclude</v>
      </c>
    </row>
    <row r="166" spans="1:47" s="64" customFormat="1" x14ac:dyDescent="0.25">
      <c r="A166" s="63"/>
      <c r="U166" s="64" t="str">
        <f t="shared" si="8"/>
        <v>Exclude</v>
      </c>
      <c r="W166" s="65" t="str">
        <f t="shared" si="9"/>
        <v>Exclude</v>
      </c>
      <c r="Y166" s="63"/>
      <c r="AS166" s="64" t="str">
        <f t="shared" si="10"/>
        <v>Exclude</v>
      </c>
      <c r="AU166" s="65" t="str">
        <f t="shared" si="11"/>
        <v>Exclude</v>
      </c>
    </row>
    <row r="167" spans="1:47" s="64" customFormat="1" x14ac:dyDescent="0.25">
      <c r="A167" s="63"/>
      <c r="U167" s="64" t="str">
        <f t="shared" si="8"/>
        <v>Exclude</v>
      </c>
      <c r="W167" s="65" t="str">
        <f t="shared" si="9"/>
        <v>Exclude</v>
      </c>
      <c r="Y167" s="63"/>
      <c r="AS167" s="64" t="str">
        <f t="shared" si="10"/>
        <v>Exclude</v>
      </c>
      <c r="AU167" s="65" t="str">
        <f t="shared" si="11"/>
        <v>Exclude</v>
      </c>
    </row>
    <row r="168" spans="1:47" s="64" customFormat="1" x14ac:dyDescent="0.25">
      <c r="A168" s="63"/>
      <c r="U168" s="64" t="str">
        <f t="shared" si="8"/>
        <v>Exclude</v>
      </c>
      <c r="W168" s="65" t="str">
        <f t="shared" si="9"/>
        <v>Exclude</v>
      </c>
      <c r="Y168" s="63"/>
      <c r="AS168" s="64" t="str">
        <f t="shared" si="10"/>
        <v>Exclude</v>
      </c>
      <c r="AU168" s="65" t="str">
        <f t="shared" si="11"/>
        <v>Exclude</v>
      </c>
    </row>
    <row r="169" spans="1:47" s="64" customFormat="1" x14ac:dyDescent="0.25">
      <c r="A169" s="63"/>
      <c r="U169" s="64" t="str">
        <f t="shared" si="8"/>
        <v>Exclude</v>
      </c>
      <c r="W169" s="65" t="str">
        <f t="shared" si="9"/>
        <v>Exclude</v>
      </c>
      <c r="Y169" s="63"/>
      <c r="AS169" s="64" t="str">
        <f t="shared" si="10"/>
        <v>Exclude</v>
      </c>
      <c r="AU169" s="65" t="str">
        <f t="shared" si="11"/>
        <v>Exclude</v>
      </c>
    </row>
    <row r="170" spans="1:47" s="64" customFormat="1" x14ac:dyDescent="0.25">
      <c r="A170" s="63"/>
      <c r="U170" s="64" t="str">
        <f t="shared" si="8"/>
        <v>Exclude</v>
      </c>
      <c r="W170" s="65" t="str">
        <f t="shared" si="9"/>
        <v>Exclude</v>
      </c>
      <c r="Y170" s="63"/>
      <c r="AS170" s="64" t="str">
        <f t="shared" si="10"/>
        <v>Exclude</v>
      </c>
      <c r="AU170" s="65" t="str">
        <f t="shared" si="11"/>
        <v>Exclude</v>
      </c>
    </row>
    <row r="171" spans="1:47" s="64" customFormat="1" x14ac:dyDescent="0.25">
      <c r="A171" s="63"/>
      <c r="U171" s="64" t="str">
        <f t="shared" si="8"/>
        <v>Exclude</v>
      </c>
      <c r="W171" s="65" t="str">
        <f t="shared" si="9"/>
        <v>Exclude</v>
      </c>
      <c r="Y171" s="63"/>
      <c r="AS171" s="64" t="str">
        <f t="shared" si="10"/>
        <v>Exclude</v>
      </c>
      <c r="AU171" s="65" t="str">
        <f t="shared" si="11"/>
        <v>Exclude</v>
      </c>
    </row>
    <row r="172" spans="1:47" s="64" customFormat="1" x14ac:dyDescent="0.25">
      <c r="A172" s="63"/>
      <c r="U172" s="64" t="str">
        <f t="shared" si="8"/>
        <v>Exclude</v>
      </c>
      <c r="W172" s="65" t="str">
        <f t="shared" si="9"/>
        <v>Exclude</v>
      </c>
      <c r="Y172" s="63"/>
      <c r="AS172" s="64" t="str">
        <f t="shared" si="10"/>
        <v>Exclude</v>
      </c>
      <c r="AU172" s="65" t="str">
        <f t="shared" si="11"/>
        <v>Exclude</v>
      </c>
    </row>
    <row r="173" spans="1:47" s="64" customFormat="1" x14ac:dyDescent="0.25">
      <c r="A173" s="63"/>
      <c r="U173" s="64" t="str">
        <f t="shared" si="8"/>
        <v>Exclude</v>
      </c>
      <c r="W173" s="65" t="str">
        <f t="shared" si="9"/>
        <v>Exclude</v>
      </c>
      <c r="Y173" s="63"/>
      <c r="AS173" s="64" t="str">
        <f t="shared" si="10"/>
        <v>Exclude</v>
      </c>
      <c r="AU173" s="65" t="str">
        <f t="shared" si="11"/>
        <v>Exclude</v>
      </c>
    </row>
    <row r="174" spans="1:47" s="64" customFormat="1" x14ac:dyDescent="0.25">
      <c r="A174" s="63"/>
      <c r="U174" s="64" t="str">
        <f t="shared" si="8"/>
        <v>Exclude</v>
      </c>
      <c r="W174" s="65" t="str">
        <f t="shared" si="9"/>
        <v>Exclude</v>
      </c>
      <c r="Y174" s="63"/>
      <c r="AS174" s="64" t="str">
        <f t="shared" si="10"/>
        <v>Exclude</v>
      </c>
      <c r="AU174" s="65" t="str">
        <f t="shared" si="11"/>
        <v>Exclude</v>
      </c>
    </row>
    <row r="175" spans="1:47" s="64" customFormat="1" x14ac:dyDescent="0.25">
      <c r="A175" s="63"/>
      <c r="U175" s="64" t="str">
        <f t="shared" si="8"/>
        <v>Exclude</v>
      </c>
      <c r="W175" s="65" t="str">
        <f t="shared" si="9"/>
        <v>Exclude</v>
      </c>
      <c r="Y175" s="63"/>
      <c r="AS175" s="64" t="str">
        <f t="shared" si="10"/>
        <v>Exclude</v>
      </c>
      <c r="AU175" s="65" t="str">
        <f t="shared" si="11"/>
        <v>Exclude</v>
      </c>
    </row>
    <row r="176" spans="1:47" s="64" customFormat="1" x14ac:dyDescent="0.25">
      <c r="A176" s="63"/>
      <c r="U176" s="64" t="str">
        <f t="shared" si="8"/>
        <v>Exclude</v>
      </c>
      <c r="W176" s="65" t="str">
        <f t="shared" si="9"/>
        <v>Exclude</v>
      </c>
      <c r="Y176" s="63"/>
      <c r="AS176" s="64" t="str">
        <f t="shared" si="10"/>
        <v>Exclude</v>
      </c>
      <c r="AU176" s="65" t="str">
        <f t="shared" si="11"/>
        <v>Exclude</v>
      </c>
    </row>
    <row r="177" spans="1:47" s="64" customFormat="1" x14ac:dyDescent="0.25">
      <c r="A177" s="63"/>
      <c r="U177" s="64" t="str">
        <f t="shared" si="8"/>
        <v>Exclude</v>
      </c>
      <c r="W177" s="65" t="str">
        <f t="shared" si="9"/>
        <v>Exclude</v>
      </c>
      <c r="Y177" s="63"/>
      <c r="AS177" s="64" t="str">
        <f t="shared" si="10"/>
        <v>Exclude</v>
      </c>
      <c r="AU177" s="65" t="str">
        <f t="shared" si="11"/>
        <v>Exclude</v>
      </c>
    </row>
    <row r="178" spans="1:47" s="64" customFormat="1" x14ac:dyDescent="0.25">
      <c r="A178" s="63"/>
      <c r="U178" s="64" t="str">
        <f t="shared" si="8"/>
        <v>Exclude</v>
      </c>
      <c r="W178" s="65" t="str">
        <f t="shared" si="9"/>
        <v>Exclude</v>
      </c>
      <c r="Y178" s="63"/>
      <c r="AS178" s="64" t="str">
        <f t="shared" si="10"/>
        <v>Exclude</v>
      </c>
      <c r="AU178" s="65" t="str">
        <f t="shared" si="11"/>
        <v>Exclude</v>
      </c>
    </row>
    <row r="179" spans="1:47" s="64" customFormat="1" x14ac:dyDescent="0.25">
      <c r="A179" s="63"/>
      <c r="U179" s="64" t="str">
        <f t="shared" si="8"/>
        <v>Exclude</v>
      </c>
      <c r="W179" s="65" t="str">
        <f t="shared" si="9"/>
        <v>Exclude</v>
      </c>
      <c r="Y179" s="63"/>
      <c r="AS179" s="64" t="str">
        <f t="shared" si="10"/>
        <v>Exclude</v>
      </c>
      <c r="AU179" s="65" t="str">
        <f t="shared" si="11"/>
        <v>Exclude</v>
      </c>
    </row>
    <row r="180" spans="1:47" s="64" customFormat="1" x14ac:dyDescent="0.25">
      <c r="A180" s="63"/>
      <c r="U180" s="64" t="str">
        <f t="shared" si="8"/>
        <v>Exclude</v>
      </c>
      <c r="W180" s="65" t="str">
        <f t="shared" si="9"/>
        <v>Exclude</v>
      </c>
      <c r="Y180" s="63"/>
      <c r="AS180" s="64" t="str">
        <f t="shared" si="10"/>
        <v>Exclude</v>
      </c>
      <c r="AU180" s="65" t="str">
        <f t="shared" si="11"/>
        <v>Exclude</v>
      </c>
    </row>
    <row r="181" spans="1:47" s="64" customFormat="1" x14ac:dyDescent="0.25">
      <c r="A181" s="63"/>
      <c r="U181" s="64" t="str">
        <f t="shared" si="8"/>
        <v>Exclude</v>
      </c>
      <c r="W181" s="65" t="str">
        <f t="shared" si="9"/>
        <v>Exclude</v>
      </c>
      <c r="Y181" s="63"/>
      <c r="AS181" s="64" t="str">
        <f t="shared" si="10"/>
        <v>Exclude</v>
      </c>
      <c r="AU181" s="65" t="str">
        <f t="shared" si="11"/>
        <v>Exclude</v>
      </c>
    </row>
    <row r="182" spans="1:47" s="64" customFormat="1" x14ac:dyDescent="0.25">
      <c r="A182" s="63"/>
      <c r="U182" s="64" t="str">
        <f t="shared" si="8"/>
        <v>Exclude</v>
      </c>
      <c r="W182" s="65" t="str">
        <f t="shared" si="9"/>
        <v>Exclude</v>
      </c>
      <c r="Y182" s="63"/>
      <c r="AS182" s="64" t="str">
        <f t="shared" si="10"/>
        <v>Exclude</v>
      </c>
      <c r="AU182" s="65" t="str">
        <f t="shared" si="11"/>
        <v>Exclude</v>
      </c>
    </row>
    <row r="183" spans="1:47" s="64" customFormat="1" x14ac:dyDescent="0.25">
      <c r="A183" s="63"/>
      <c r="U183" s="64" t="str">
        <f t="shared" si="8"/>
        <v>Exclude</v>
      </c>
      <c r="W183" s="65" t="str">
        <f t="shared" si="9"/>
        <v>Exclude</v>
      </c>
      <c r="Y183" s="63"/>
      <c r="AS183" s="64" t="str">
        <f t="shared" si="10"/>
        <v>Exclude</v>
      </c>
      <c r="AU183" s="65" t="str">
        <f t="shared" si="11"/>
        <v>Exclude</v>
      </c>
    </row>
    <row r="184" spans="1:47" s="64" customFormat="1" x14ac:dyDescent="0.25">
      <c r="A184" s="63"/>
      <c r="U184" s="64" t="str">
        <f t="shared" si="8"/>
        <v>Exclude</v>
      </c>
      <c r="W184" s="65" t="str">
        <f t="shared" si="9"/>
        <v>Exclude</v>
      </c>
      <c r="Y184" s="63"/>
      <c r="AS184" s="64" t="str">
        <f t="shared" si="10"/>
        <v>Exclude</v>
      </c>
      <c r="AU184" s="65" t="str">
        <f t="shared" si="11"/>
        <v>Exclude</v>
      </c>
    </row>
    <row r="185" spans="1:47" s="64" customFormat="1" x14ac:dyDescent="0.25">
      <c r="A185" s="63"/>
      <c r="U185" s="64" t="str">
        <f t="shared" si="8"/>
        <v>Exclude</v>
      </c>
      <c r="W185" s="65" t="str">
        <f t="shared" si="9"/>
        <v>Exclude</v>
      </c>
      <c r="Y185" s="63"/>
      <c r="AS185" s="64" t="str">
        <f t="shared" si="10"/>
        <v>Exclude</v>
      </c>
      <c r="AU185" s="65" t="str">
        <f t="shared" si="11"/>
        <v>Exclude</v>
      </c>
    </row>
    <row r="186" spans="1:47" s="64" customFormat="1" x14ac:dyDescent="0.25">
      <c r="A186" s="63"/>
      <c r="U186" s="64" t="str">
        <f t="shared" si="8"/>
        <v>Exclude</v>
      </c>
      <c r="W186" s="65" t="str">
        <f t="shared" si="9"/>
        <v>Exclude</v>
      </c>
      <c r="Y186" s="63"/>
      <c r="AS186" s="64" t="str">
        <f t="shared" si="10"/>
        <v>Exclude</v>
      </c>
      <c r="AU186" s="65" t="str">
        <f t="shared" si="11"/>
        <v>Exclude</v>
      </c>
    </row>
    <row r="187" spans="1:47" s="64" customFormat="1" x14ac:dyDescent="0.25">
      <c r="A187" s="63"/>
      <c r="U187" s="64" t="str">
        <f t="shared" si="8"/>
        <v>Exclude</v>
      </c>
      <c r="W187" s="65" t="str">
        <f t="shared" si="9"/>
        <v>Exclude</v>
      </c>
      <c r="Y187" s="63"/>
      <c r="AS187" s="64" t="str">
        <f t="shared" si="10"/>
        <v>Exclude</v>
      </c>
      <c r="AU187" s="65" t="str">
        <f t="shared" si="11"/>
        <v>Exclude</v>
      </c>
    </row>
    <row r="188" spans="1:47" s="64" customFormat="1" x14ac:dyDescent="0.25">
      <c r="A188" s="63"/>
      <c r="U188" s="64" t="str">
        <f t="shared" si="8"/>
        <v>Exclude</v>
      </c>
      <c r="W188" s="65" t="str">
        <f t="shared" si="9"/>
        <v>Exclude</v>
      </c>
      <c r="Y188" s="63"/>
      <c r="AS188" s="64" t="str">
        <f t="shared" si="10"/>
        <v>Exclude</v>
      </c>
      <c r="AU188" s="65" t="str">
        <f t="shared" si="11"/>
        <v>Exclude</v>
      </c>
    </row>
    <row r="189" spans="1:47" s="64" customFormat="1" x14ac:dyDescent="0.25">
      <c r="A189" s="63"/>
      <c r="U189" s="64" t="str">
        <f t="shared" si="8"/>
        <v>Exclude</v>
      </c>
      <c r="W189" s="65" t="str">
        <f t="shared" si="9"/>
        <v>Exclude</v>
      </c>
      <c r="Y189" s="63"/>
      <c r="AS189" s="64" t="str">
        <f t="shared" si="10"/>
        <v>Exclude</v>
      </c>
      <c r="AU189" s="65" t="str">
        <f t="shared" si="11"/>
        <v>Exclude</v>
      </c>
    </row>
    <row r="190" spans="1:47" s="64" customFormat="1" x14ac:dyDescent="0.25">
      <c r="A190" s="63"/>
      <c r="U190" s="64" t="str">
        <f t="shared" si="8"/>
        <v>Exclude</v>
      </c>
      <c r="W190" s="65" t="str">
        <f t="shared" si="9"/>
        <v>Exclude</v>
      </c>
      <c r="Y190" s="63"/>
      <c r="AS190" s="64" t="str">
        <f t="shared" si="10"/>
        <v>Exclude</v>
      </c>
      <c r="AU190" s="65" t="str">
        <f t="shared" si="11"/>
        <v>Exclude</v>
      </c>
    </row>
    <row r="191" spans="1:47" s="64" customFormat="1" x14ac:dyDescent="0.25">
      <c r="A191" s="63"/>
      <c r="U191" s="64" t="str">
        <f t="shared" si="8"/>
        <v>Exclude</v>
      </c>
      <c r="W191" s="65" t="str">
        <f t="shared" si="9"/>
        <v>Exclude</v>
      </c>
      <c r="Y191" s="63"/>
      <c r="AS191" s="64" t="str">
        <f t="shared" si="10"/>
        <v>Exclude</v>
      </c>
      <c r="AU191" s="65" t="str">
        <f t="shared" si="11"/>
        <v>Exclude</v>
      </c>
    </row>
    <row r="192" spans="1:47" s="64" customFormat="1" x14ac:dyDescent="0.25">
      <c r="A192" s="63"/>
      <c r="U192" s="64" t="str">
        <f t="shared" si="8"/>
        <v>Exclude</v>
      </c>
      <c r="W192" s="65" t="str">
        <f t="shared" si="9"/>
        <v>Exclude</v>
      </c>
      <c r="Y192" s="63"/>
      <c r="AS192" s="64" t="str">
        <f t="shared" si="10"/>
        <v>Exclude</v>
      </c>
      <c r="AU192" s="65" t="str">
        <f t="shared" si="11"/>
        <v>Exclude</v>
      </c>
    </row>
    <row r="193" spans="1:47" s="64" customFormat="1" x14ac:dyDescent="0.25">
      <c r="A193" s="63"/>
      <c r="U193" s="64" t="str">
        <f t="shared" si="8"/>
        <v>Exclude</v>
      </c>
      <c r="W193" s="65" t="str">
        <f t="shared" si="9"/>
        <v>Exclude</v>
      </c>
      <c r="Y193" s="63"/>
      <c r="AS193" s="64" t="str">
        <f t="shared" si="10"/>
        <v>Exclude</v>
      </c>
      <c r="AU193" s="65" t="str">
        <f t="shared" si="11"/>
        <v>Exclude</v>
      </c>
    </row>
    <row r="194" spans="1:47" s="64" customFormat="1" x14ac:dyDescent="0.25">
      <c r="A194" s="63"/>
      <c r="U194" s="64" t="str">
        <f t="shared" si="8"/>
        <v>Exclude</v>
      </c>
      <c r="W194" s="65" t="str">
        <f t="shared" si="9"/>
        <v>Exclude</v>
      </c>
      <c r="Y194" s="63"/>
      <c r="AS194" s="64" t="str">
        <f t="shared" si="10"/>
        <v>Exclude</v>
      </c>
      <c r="AU194" s="65" t="str">
        <f t="shared" si="11"/>
        <v>Exclude</v>
      </c>
    </row>
    <row r="195" spans="1:47" s="64" customFormat="1" x14ac:dyDescent="0.25">
      <c r="A195" s="63"/>
      <c r="U195" s="64" t="str">
        <f t="shared" si="8"/>
        <v>Exclude</v>
      </c>
      <c r="W195" s="65" t="str">
        <f t="shared" si="9"/>
        <v>Exclude</v>
      </c>
      <c r="Y195" s="63"/>
      <c r="AS195" s="64" t="str">
        <f t="shared" si="10"/>
        <v>Exclude</v>
      </c>
      <c r="AU195" s="65" t="str">
        <f t="shared" si="11"/>
        <v>Exclude</v>
      </c>
    </row>
    <row r="196" spans="1:47" s="64" customFormat="1" x14ac:dyDescent="0.25">
      <c r="A196" s="63"/>
      <c r="U196" s="64" t="str">
        <f t="shared" si="8"/>
        <v>Exclude</v>
      </c>
      <c r="W196" s="65" t="str">
        <f t="shared" si="9"/>
        <v>Exclude</v>
      </c>
      <c r="Y196" s="63"/>
      <c r="AS196" s="64" t="str">
        <f t="shared" si="10"/>
        <v>Exclude</v>
      </c>
      <c r="AU196" s="65" t="str">
        <f t="shared" si="11"/>
        <v>Exclude</v>
      </c>
    </row>
    <row r="197" spans="1:47" s="64" customFormat="1" x14ac:dyDescent="0.25">
      <c r="A197" s="63"/>
      <c r="U197" s="64" t="str">
        <f t="shared" si="8"/>
        <v>Exclude</v>
      </c>
      <c r="W197" s="65" t="str">
        <f t="shared" si="9"/>
        <v>Exclude</v>
      </c>
      <c r="Y197" s="63"/>
      <c r="AS197" s="64" t="str">
        <f t="shared" si="10"/>
        <v>Exclude</v>
      </c>
      <c r="AU197" s="65" t="str">
        <f t="shared" si="11"/>
        <v>Exclude</v>
      </c>
    </row>
    <row r="198" spans="1:47" s="64" customFormat="1" x14ac:dyDescent="0.25">
      <c r="A198" s="63"/>
      <c r="U198" s="64" t="str">
        <f t="shared" si="8"/>
        <v>Exclude</v>
      </c>
      <c r="W198" s="65" t="str">
        <f t="shared" si="9"/>
        <v>Exclude</v>
      </c>
      <c r="Y198" s="63"/>
      <c r="AS198" s="64" t="str">
        <f t="shared" si="10"/>
        <v>Exclude</v>
      </c>
      <c r="AU198" s="65" t="str">
        <f t="shared" si="11"/>
        <v>Exclude</v>
      </c>
    </row>
    <row r="199" spans="1:47" s="64" customFormat="1" x14ac:dyDescent="0.25">
      <c r="A199" s="63"/>
      <c r="U199" s="64" t="str">
        <f t="shared" si="8"/>
        <v>Exclude</v>
      </c>
      <c r="W199" s="65" t="str">
        <f t="shared" si="9"/>
        <v>Exclude</v>
      </c>
      <c r="Y199" s="63"/>
      <c r="AS199" s="64" t="str">
        <f t="shared" si="10"/>
        <v>Exclude</v>
      </c>
      <c r="AU199" s="65" t="str">
        <f t="shared" si="11"/>
        <v>Exclude</v>
      </c>
    </row>
    <row r="200" spans="1:47" s="64" customFormat="1" x14ac:dyDescent="0.25">
      <c r="A200" s="63"/>
      <c r="U200" s="64" t="str">
        <f t="shared" si="8"/>
        <v>Exclude</v>
      </c>
      <c r="W200" s="65" t="str">
        <f t="shared" si="9"/>
        <v>Exclude</v>
      </c>
      <c r="Y200" s="63"/>
      <c r="AS200" s="64" t="str">
        <f t="shared" si="10"/>
        <v>Exclude</v>
      </c>
      <c r="AU200" s="65" t="str">
        <f t="shared" si="11"/>
        <v>Exclude</v>
      </c>
    </row>
    <row r="201" spans="1:47" s="64" customFormat="1" x14ac:dyDescent="0.25">
      <c r="A201" s="63"/>
      <c r="U201" s="64" t="str">
        <f t="shared" si="8"/>
        <v>Exclude</v>
      </c>
      <c r="W201" s="65" t="str">
        <f t="shared" si="9"/>
        <v>Exclude</v>
      </c>
      <c r="Y201" s="63"/>
      <c r="AS201" s="64" t="str">
        <f t="shared" si="10"/>
        <v>Exclude</v>
      </c>
      <c r="AU201" s="65" t="str">
        <f t="shared" si="11"/>
        <v>Exclude</v>
      </c>
    </row>
    <row r="202" spans="1:47" s="64" customFormat="1" x14ac:dyDescent="0.25">
      <c r="A202" s="63"/>
      <c r="U202" s="64" t="str">
        <f t="shared" si="8"/>
        <v>Exclude</v>
      </c>
      <c r="W202" s="65" t="str">
        <f t="shared" si="9"/>
        <v>Exclude</v>
      </c>
      <c r="Y202" s="63"/>
      <c r="AS202" s="64" t="str">
        <f t="shared" si="10"/>
        <v>Exclude</v>
      </c>
      <c r="AU202" s="65" t="str">
        <f t="shared" si="11"/>
        <v>Exclude</v>
      </c>
    </row>
    <row r="203" spans="1:47" s="64" customFormat="1" x14ac:dyDescent="0.25">
      <c r="A203" s="63"/>
      <c r="U203" s="64" t="str">
        <f t="shared" si="8"/>
        <v>Exclude</v>
      </c>
      <c r="W203" s="65" t="str">
        <f t="shared" si="9"/>
        <v>Exclude</v>
      </c>
      <c r="Y203" s="63"/>
      <c r="AS203" s="64" t="str">
        <f t="shared" si="10"/>
        <v>Exclude</v>
      </c>
      <c r="AU203" s="65" t="str">
        <f t="shared" si="11"/>
        <v>Exclude</v>
      </c>
    </row>
    <row r="204" spans="1:47" s="64" customFormat="1" x14ac:dyDescent="0.25">
      <c r="A204" s="63"/>
      <c r="U204" s="64" t="str">
        <f t="shared" si="8"/>
        <v>Exclude</v>
      </c>
      <c r="W204" s="65" t="str">
        <f t="shared" si="9"/>
        <v>Exclude</v>
      </c>
      <c r="Y204" s="63"/>
      <c r="AS204" s="64" t="str">
        <f t="shared" si="10"/>
        <v>Exclude</v>
      </c>
      <c r="AU204" s="65" t="str">
        <f t="shared" si="11"/>
        <v>Exclude</v>
      </c>
    </row>
    <row r="205" spans="1:47" s="64" customFormat="1" x14ac:dyDescent="0.25">
      <c r="A205" s="63"/>
      <c r="U205" s="64" t="str">
        <f t="shared" si="8"/>
        <v>Exclude</v>
      </c>
      <c r="W205" s="65" t="str">
        <f t="shared" si="9"/>
        <v>Exclude</v>
      </c>
      <c r="Y205" s="63"/>
      <c r="AS205" s="64" t="str">
        <f t="shared" si="10"/>
        <v>Exclude</v>
      </c>
      <c r="AU205" s="65" t="str">
        <f t="shared" si="11"/>
        <v>Exclude</v>
      </c>
    </row>
    <row r="206" spans="1:47" s="64" customFormat="1" x14ac:dyDescent="0.25">
      <c r="A206" s="63"/>
      <c r="U206" s="64" t="str">
        <f t="shared" si="8"/>
        <v>Exclude</v>
      </c>
      <c r="W206" s="65" t="str">
        <f t="shared" si="9"/>
        <v>Exclude</v>
      </c>
      <c r="Y206" s="63"/>
      <c r="AS206" s="64" t="str">
        <f t="shared" si="10"/>
        <v>Exclude</v>
      </c>
      <c r="AU206" s="65" t="str">
        <f t="shared" si="11"/>
        <v>Exclude</v>
      </c>
    </row>
    <row r="207" spans="1:47" s="64" customFormat="1" x14ac:dyDescent="0.25">
      <c r="A207" s="63"/>
      <c r="U207" s="64" t="str">
        <f t="shared" si="8"/>
        <v>Exclude</v>
      </c>
      <c r="W207" s="65" t="str">
        <f t="shared" si="9"/>
        <v>Exclude</v>
      </c>
      <c r="Y207" s="63"/>
      <c r="AS207" s="64" t="str">
        <f t="shared" si="10"/>
        <v>Exclude</v>
      </c>
      <c r="AU207" s="65" t="str">
        <f t="shared" si="11"/>
        <v>Exclude</v>
      </c>
    </row>
    <row r="208" spans="1:47" s="64" customFormat="1" x14ac:dyDescent="0.25">
      <c r="A208" s="63"/>
      <c r="U208" s="64" t="str">
        <f t="shared" si="8"/>
        <v>Exclude</v>
      </c>
      <c r="W208" s="65" t="str">
        <f t="shared" si="9"/>
        <v>Exclude</v>
      </c>
      <c r="Y208" s="63"/>
      <c r="AS208" s="64" t="str">
        <f t="shared" si="10"/>
        <v>Exclude</v>
      </c>
      <c r="AU208" s="65" t="str">
        <f t="shared" si="11"/>
        <v>Exclude</v>
      </c>
    </row>
    <row r="209" spans="1:47" s="64" customFormat="1" x14ac:dyDescent="0.25">
      <c r="A209" s="63"/>
      <c r="U209" s="64" t="str">
        <f t="shared" si="8"/>
        <v>Exclude</v>
      </c>
      <c r="W209" s="65" t="str">
        <f t="shared" si="9"/>
        <v>Exclude</v>
      </c>
      <c r="Y209" s="63"/>
      <c r="AS209" s="64" t="str">
        <f t="shared" si="10"/>
        <v>Exclude</v>
      </c>
      <c r="AU209" s="65" t="str">
        <f t="shared" si="11"/>
        <v>Exclude</v>
      </c>
    </row>
    <row r="210" spans="1:47" s="64" customFormat="1" x14ac:dyDescent="0.25">
      <c r="A210" s="63"/>
      <c r="U210" s="64" t="str">
        <f t="shared" si="8"/>
        <v>Exclude</v>
      </c>
      <c r="W210" s="65" t="str">
        <f t="shared" si="9"/>
        <v>Exclude</v>
      </c>
      <c r="Y210" s="63"/>
      <c r="AS210" s="64" t="str">
        <f t="shared" si="10"/>
        <v>Exclude</v>
      </c>
      <c r="AU210" s="65" t="str">
        <f t="shared" si="11"/>
        <v>Exclude</v>
      </c>
    </row>
    <row r="211" spans="1:47" s="64" customFormat="1" x14ac:dyDescent="0.25">
      <c r="A211" s="63"/>
      <c r="U211" s="64" t="str">
        <f t="shared" si="8"/>
        <v>Exclude</v>
      </c>
      <c r="W211" s="65" t="str">
        <f t="shared" si="9"/>
        <v>Exclude</v>
      </c>
      <c r="Y211" s="63"/>
      <c r="AS211" s="64" t="str">
        <f t="shared" si="10"/>
        <v>Exclude</v>
      </c>
      <c r="AU211" s="65" t="str">
        <f t="shared" si="11"/>
        <v>Exclude</v>
      </c>
    </row>
    <row r="212" spans="1:47" s="64" customFormat="1" x14ac:dyDescent="0.25">
      <c r="A212" s="63"/>
      <c r="U212" s="64" t="str">
        <f t="shared" si="8"/>
        <v>Exclude</v>
      </c>
      <c r="W212" s="65" t="str">
        <f t="shared" si="9"/>
        <v>Exclude</v>
      </c>
      <c r="Y212" s="63"/>
      <c r="AS212" s="64" t="str">
        <f t="shared" si="10"/>
        <v>Exclude</v>
      </c>
      <c r="AU212" s="65" t="str">
        <f t="shared" si="11"/>
        <v>Exclude</v>
      </c>
    </row>
    <row r="213" spans="1:47" s="64" customFormat="1" x14ac:dyDescent="0.25">
      <c r="A213" s="63"/>
      <c r="U213" s="64" t="str">
        <f t="shared" si="8"/>
        <v>Exclude</v>
      </c>
      <c r="W213" s="65" t="str">
        <f t="shared" si="9"/>
        <v>Exclude</v>
      </c>
      <c r="Y213" s="63"/>
      <c r="AS213" s="64" t="str">
        <f t="shared" si="10"/>
        <v>Exclude</v>
      </c>
      <c r="AU213" s="65" t="str">
        <f t="shared" si="11"/>
        <v>Exclude</v>
      </c>
    </row>
    <row r="214" spans="1:47" s="64" customFormat="1" x14ac:dyDescent="0.25">
      <c r="A214" s="63"/>
      <c r="U214" s="64" t="str">
        <f t="shared" si="8"/>
        <v>Exclude</v>
      </c>
      <c r="W214" s="65" t="str">
        <f t="shared" si="9"/>
        <v>Exclude</v>
      </c>
      <c r="Y214" s="63"/>
      <c r="AS214" s="64" t="str">
        <f t="shared" si="10"/>
        <v>Exclude</v>
      </c>
      <c r="AU214" s="65" t="str">
        <f t="shared" si="11"/>
        <v>Exclude</v>
      </c>
    </row>
    <row r="215" spans="1:47" s="64" customFormat="1" x14ac:dyDescent="0.25">
      <c r="A215" s="63"/>
      <c r="U215" s="64" t="str">
        <f t="shared" ref="U215:U278" si="12">IF(OR(R215="TruePositive",R215="TrueNegative"),IF(R214&lt;&gt;"Anticipatory",(N215),"Pant"),"Exclude")</f>
        <v>Exclude</v>
      </c>
      <c r="W215" s="65" t="str">
        <f t="shared" ref="W215:W278" si="13">IF(OR(R215="TruePositive",R215="TrueNegative"),IF(R214&lt;&gt;"Anticipatory",LOG10(N215),"Exclude"),"Exclude")</f>
        <v>Exclude</v>
      </c>
      <c r="Y215" s="63"/>
      <c r="AS215" s="64" t="str">
        <f t="shared" ref="AS215:AS278" si="14">IF(OR(AP215="TruePositive",AP215="TrueNegative"),IF(AP214&lt;&gt;"Anticipatory",(AL215),"Pant"),"Exclude")</f>
        <v>Exclude</v>
      </c>
      <c r="AU215" s="65" t="str">
        <f t="shared" ref="AU215:AU278" si="15">IF(OR(AP215="TruePositive",AP215="TrueNegative"),IF(AP214&lt;&gt;"Anticipatory",LOG10(AL215),"Exclude"),"Exclude")</f>
        <v>Exclude</v>
      </c>
    </row>
    <row r="216" spans="1:47" s="64" customFormat="1" x14ac:dyDescent="0.25">
      <c r="A216" s="63"/>
      <c r="U216" s="64" t="str">
        <f t="shared" si="12"/>
        <v>Exclude</v>
      </c>
      <c r="W216" s="65" t="str">
        <f t="shared" si="13"/>
        <v>Exclude</v>
      </c>
      <c r="Y216" s="63"/>
      <c r="AS216" s="64" t="str">
        <f t="shared" si="14"/>
        <v>Exclude</v>
      </c>
      <c r="AU216" s="65" t="str">
        <f t="shared" si="15"/>
        <v>Exclude</v>
      </c>
    </row>
    <row r="217" spans="1:47" s="64" customFormat="1" x14ac:dyDescent="0.25">
      <c r="A217" s="63"/>
      <c r="U217" s="64" t="str">
        <f t="shared" si="12"/>
        <v>Exclude</v>
      </c>
      <c r="W217" s="65" t="str">
        <f t="shared" si="13"/>
        <v>Exclude</v>
      </c>
      <c r="Y217" s="63"/>
      <c r="AS217" s="64" t="str">
        <f t="shared" si="14"/>
        <v>Exclude</v>
      </c>
      <c r="AU217" s="65" t="str">
        <f t="shared" si="15"/>
        <v>Exclude</v>
      </c>
    </row>
    <row r="218" spans="1:47" s="64" customFormat="1" x14ac:dyDescent="0.25">
      <c r="A218" s="63"/>
      <c r="U218" s="64" t="str">
        <f t="shared" si="12"/>
        <v>Exclude</v>
      </c>
      <c r="W218" s="65" t="str">
        <f t="shared" si="13"/>
        <v>Exclude</v>
      </c>
      <c r="Y218" s="63"/>
      <c r="AS218" s="64" t="str">
        <f t="shared" si="14"/>
        <v>Exclude</v>
      </c>
      <c r="AU218" s="65" t="str">
        <f t="shared" si="15"/>
        <v>Exclude</v>
      </c>
    </row>
    <row r="219" spans="1:47" s="64" customFormat="1" x14ac:dyDescent="0.25">
      <c r="A219" s="63"/>
      <c r="U219" s="64" t="str">
        <f t="shared" si="12"/>
        <v>Exclude</v>
      </c>
      <c r="W219" s="65" t="str">
        <f t="shared" si="13"/>
        <v>Exclude</v>
      </c>
      <c r="Y219" s="63"/>
      <c r="AS219" s="64" t="str">
        <f t="shared" si="14"/>
        <v>Exclude</v>
      </c>
      <c r="AU219" s="65" t="str">
        <f t="shared" si="15"/>
        <v>Exclude</v>
      </c>
    </row>
    <row r="220" spans="1:47" s="64" customFormat="1" x14ac:dyDescent="0.25">
      <c r="A220" s="63"/>
      <c r="U220" s="64" t="str">
        <f t="shared" si="12"/>
        <v>Exclude</v>
      </c>
      <c r="W220" s="65" t="str">
        <f t="shared" si="13"/>
        <v>Exclude</v>
      </c>
      <c r="Y220" s="63"/>
      <c r="AS220" s="64" t="str">
        <f t="shared" si="14"/>
        <v>Exclude</v>
      </c>
      <c r="AU220" s="65" t="str">
        <f t="shared" si="15"/>
        <v>Exclude</v>
      </c>
    </row>
    <row r="221" spans="1:47" s="64" customFormat="1" x14ac:dyDescent="0.25">
      <c r="A221" s="63"/>
      <c r="U221" s="64" t="str">
        <f t="shared" si="12"/>
        <v>Exclude</v>
      </c>
      <c r="W221" s="65" t="str">
        <f t="shared" si="13"/>
        <v>Exclude</v>
      </c>
      <c r="Y221" s="63"/>
      <c r="AS221" s="64" t="str">
        <f t="shared" si="14"/>
        <v>Exclude</v>
      </c>
      <c r="AU221" s="65" t="str">
        <f t="shared" si="15"/>
        <v>Exclude</v>
      </c>
    </row>
    <row r="222" spans="1:47" s="64" customFormat="1" x14ac:dyDescent="0.25">
      <c r="A222" s="63"/>
      <c r="U222" s="64" t="str">
        <f t="shared" si="12"/>
        <v>Exclude</v>
      </c>
      <c r="W222" s="65" t="str">
        <f t="shared" si="13"/>
        <v>Exclude</v>
      </c>
      <c r="Y222" s="63"/>
      <c r="AS222" s="64" t="str">
        <f t="shared" si="14"/>
        <v>Exclude</v>
      </c>
      <c r="AU222" s="65" t="str">
        <f t="shared" si="15"/>
        <v>Exclude</v>
      </c>
    </row>
    <row r="223" spans="1:47" s="64" customFormat="1" x14ac:dyDescent="0.25">
      <c r="A223" s="63"/>
      <c r="U223" s="64" t="str">
        <f t="shared" si="12"/>
        <v>Exclude</v>
      </c>
      <c r="W223" s="65" t="str">
        <f t="shared" si="13"/>
        <v>Exclude</v>
      </c>
      <c r="Y223" s="63"/>
      <c r="AS223" s="64" t="str">
        <f t="shared" si="14"/>
        <v>Exclude</v>
      </c>
      <c r="AU223" s="65" t="str">
        <f t="shared" si="15"/>
        <v>Exclude</v>
      </c>
    </row>
    <row r="224" spans="1:47" s="64" customFormat="1" x14ac:dyDescent="0.25">
      <c r="A224" s="63"/>
      <c r="U224" s="64" t="str">
        <f t="shared" si="12"/>
        <v>Exclude</v>
      </c>
      <c r="W224" s="65" t="str">
        <f t="shared" si="13"/>
        <v>Exclude</v>
      </c>
      <c r="Y224" s="63"/>
      <c r="AS224" s="64" t="str">
        <f t="shared" si="14"/>
        <v>Exclude</v>
      </c>
      <c r="AU224" s="65" t="str">
        <f t="shared" si="15"/>
        <v>Exclude</v>
      </c>
    </row>
    <row r="225" spans="1:47" s="64" customFormat="1" x14ac:dyDescent="0.25">
      <c r="A225" s="63"/>
      <c r="U225" s="64" t="str">
        <f t="shared" si="12"/>
        <v>Exclude</v>
      </c>
      <c r="W225" s="65" t="str">
        <f t="shared" si="13"/>
        <v>Exclude</v>
      </c>
      <c r="Y225" s="63"/>
      <c r="AS225" s="64" t="str">
        <f t="shared" si="14"/>
        <v>Exclude</v>
      </c>
      <c r="AU225" s="65" t="str">
        <f t="shared" si="15"/>
        <v>Exclude</v>
      </c>
    </row>
    <row r="226" spans="1:47" s="64" customFormat="1" x14ac:dyDescent="0.25">
      <c r="A226" s="63"/>
      <c r="U226" s="64" t="str">
        <f t="shared" si="12"/>
        <v>Exclude</v>
      </c>
      <c r="W226" s="65" t="str">
        <f t="shared" si="13"/>
        <v>Exclude</v>
      </c>
      <c r="Y226" s="63"/>
      <c r="AS226" s="64" t="str">
        <f t="shared" si="14"/>
        <v>Exclude</v>
      </c>
      <c r="AU226" s="65" t="str">
        <f t="shared" si="15"/>
        <v>Exclude</v>
      </c>
    </row>
    <row r="227" spans="1:47" s="64" customFormat="1" x14ac:dyDescent="0.25">
      <c r="A227" s="63"/>
      <c r="U227" s="64" t="str">
        <f t="shared" si="12"/>
        <v>Exclude</v>
      </c>
      <c r="W227" s="65" t="str">
        <f t="shared" si="13"/>
        <v>Exclude</v>
      </c>
      <c r="Y227" s="63"/>
      <c r="AS227" s="64" t="str">
        <f t="shared" si="14"/>
        <v>Exclude</v>
      </c>
      <c r="AU227" s="65" t="str">
        <f t="shared" si="15"/>
        <v>Exclude</v>
      </c>
    </row>
    <row r="228" spans="1:47" s="64" customFormat="1" x14ac:dyDescent="0.25">
      <c r="A228" s="63"/>
      <c r="U228" s="64" t="str">
        <f t="shared" si="12"/>
        <v>Exclude</v>
      </c>
      <c r="W228" s="65" t="str">
        <f t="shared" si="13"/>
        <v>Exclude</v>
      </c>
      <c r="Y228" s="63"/>
      <c r="AS228" s="64" t="str">
        <f t="shared" si="14"/>
        <v>Exclude</v>
      </c>
      <c r="AU228" s="65" t="str">
        <f t="shared" si="15"/>
        <v>Exclude</v>
      </c>
    </row>
    <row r="229" spans="1:47" s="64" customFormat="1" x14ac:dyDescent="0.25">
      <c r="A229" s="63"/>
      <c r="U229" s="64" t="str">
        <f t="shared" si="12"/>
        <v>Exclude</v>
      </c>
      <c r="W229" s="65" t="str">
        <f t="shared" si="13"/>
        <v>Exclude</v>
      </c>
      <c r="Y229" s="63"/>
      <c r="AS229" s="64" t="str">
        <f t="shared" si="14"/>
        <v>Exclude</v>
      </c>
      <c r="AU229" s="65" t="str">
        <f t="shared" si="15"/>
        <v>Exclude</v>
      </c>
    </row>
    <row r="230" spans="1:47" s="64" customFormat="1" x14ac:dyDescent="0.25">
      <c r="A230" s="63"/>
      <c r="U230" s="64" t="str">
        <f t="shared" si="12"/>
        <v>Exclude</v>
      </c>
      <c r="W230" s="65" t="str">
        <f t="shared" si="13"/>
        <v>Exclude</v>
      </c>
      <c r="Y230" s="63"/>
      <c r="AS230" s="64" t="str">
        <f t="shared" si="14"/>
        <v>Exclude</v>
      </c>
      <c r="AU230" s="65" t="str">
        <f t="shared" si="15"/>
        <v>Exclude</v>
      </c>
    </row>
    <row r="231" spans="1:47" s="64" customFormat="1" x14ac:dyDescent="0.25">
      <c r="A231" s="63"/>
      <c r="U231" s="64" t="str">
        <f t="shared" si="12"/>
        <v>Exclude</v>
      </c>
      <c r="W231" s="65" t="str">
        <f t="shared" si="13"/>
        <v>Exclude</v>
      </c>
      <c r="Y231" s="63"/>
      <c r="AS231" s="64" t="str">
        <f t="shared" si="14"/>
        <v>Exclude</v>
      </c>
      <c r="AU231" s="65" t="str">
        <f t="shared" si="15"/>
        <v>Exclude</v>
      </c>
    </row>
    <row r="232" spans="1:47" s="64" customFormat="1" x14ac:dyDescent="0.25">
      <c r="A232" s="63"/>
      <c r="U232" s="64" t="str">
        <f t="shared" si="12"/>
        <v>Exclude</v>
      </c>
      <c r="W232" s="65" t="str">
        <f t="shared" si="13"/>
        <v>Exclude</v>
      </c>
      <c r="Y232" s="63"/>
      <c r="AS232" s="64" t="str">
        <f t="shared" si="14"/>
        <v>Exclude</v>
      </c>
      <c r="AU232" s="65" t="str">
        <f t="shared" si="15"/>
        <v>Exclude</v>
      </c>
    </row>
    <row r="233" spans="1:47" s="64" customFormat="1" x14ac:dyDescent="0.25">
      <c r="A233" s="63"/>
      <c r="U233" s="64" t="str">
        <f t="shared" si="12"/>
        <v>Exclude</v>
      </c>
      <c r="W233" s="65" t="str">
        <f t="shared" si="13"/>
        <v>Exclude</v>
      </c>
      <c r="Y233" s="63"/>
      <c r="AS233" s="64" t="str">
        <f t="shared" si="14"/>
        <v>Exclude</v>
      </c>
      <c r="AU233" s="65" t="str">
        <f t="shared" si="15"/>
        <v>Exclude</v>
      </c>
    </row>
    <row r="234" spans="1:47" s="64" customFormat="1" x14ac:dyDescent="0.25">
      <c r="A234" s="63"/>
      <c r="U234" s="64" t="str">
        <f t="shared" si="12"/>
        <v>Exclude</v>
      </c>
      <c r="W234" s="65" t="str">
        <f t="shared" si="13"/>
        <v>Exclude</v>
      </c>
      <c r="Y234" s="63"/>
      <c r="AS234" s="64" t="str">
        <f t="shared" si="14"/>
        <v>Exclude</v>
      </c>
      <c r="AU234" s="65" t="str">
        <f t="shared" si="15"/>
        <v>Exclude</v>
      </c>
    </row>
    <row r="235" spans="1:47" s="64" customFormat="1" x14ac:dyDescent="0.25">
      <c r="A235" s="63"/>
      <c r="U235" s="64" t="str">
        <f t="shared" si="12"/>
        <v>Exclude</v>
      </c>
      <c r="W235" s="65" t="str">
        <f t="shared" si="13"/>
        <v>Exclude</v>
      </c>
      <c r="Y235" s="63"/>
      <c r="AS235" s="64" t="str">
        <f t="shared" si="14"/>
        <v>Exclude</v>
      </c>
      <c r="AU235" s="65" t="str">
        <f t="shared" si="15"/>
        <v>Exclude</v>
      </c>
    </row>
    <row r="236" spans="1:47" s="64" customFormat="1" x14ac:dyDescent="0.25">
      <c r="A236" s="63"/>
      <c r="U236" s="64" t="str">
        <f t="shared" si="12"/>
        <v>Exclude</v>
      </c>
      <c r="W236" s="65" t="str">
        <f t="shared" si="13"/>
        <v>Exclude</v>
      </c>
      <c r="Y236" s="63"/>
      <c r="AS236" s="64" t="str">
        <f t="shared" si="14"/>
        <v>Exclude</v>
      </c>
      <c r="AU236" s="65" t="str">
        <f t="shared" si="15"/>
        <v>Exclude</v>
      </c>
    </row>
    <row r="237" spans="1:47" s="64" customFormat="1" x14ac:dyDescent="0.25">
      <c r="A237" s="63"/>
      <c r="U237" s="64" t="str">
        <f t="shared" si="12"/>
        <v>Exclude</v>
      </c>
      <c r="W237" s="65" t="str">
        <f t="shared" si="13"/>
        <v>Exclude</v>
      </c>
      <c r="Y237" s="63"/>
      <c r="AS237" s="64" t="str">
        <f t="shared" si="14"/>
        <v>Exclude</v>
      </c>
      <c r="AU237" s="65" t="str">
        <f t="shared" si="15"/>
        <v>Exclude</v>
      </c>
    </row>
    <row r="238" spans="1:47" s="64" customFormat="1" x14ac:dyDescent="0.25">
      <c r="A238" s="63"/>
      <c r="U238" s="64" t="str">
        <f t="shared" si="12"/>
        <v>Exclude</v>
      </c>
      <c r="W238" s="65" t="str">
        <f t="shared" si="13"/>
        <v>Exclude</v>
      </c>
      <c r="Y238" s="63"/>
      <c r="AS238" s="64" t="str">
        <f t="shared" si="14"/>
        <v>Exclude</v>
      </c>
      <c r="AU238" s="65" t="str">
        <f t="shared" si="15"/>
        <v>Exclude</v>
      </c>
    </row>
    <row r="239" spans="1:47" s="64" customFormat="1" x14ac:dyDescent="0.25">
      <c r="A239" s="63"/>
      <c r="U239" s="64" t="str">
        <f t="shared" si="12"/>
        <v>Exclude</v>
      </c>
      <c r="W239" s="65" t="str">
        <f t="shared" si="13"/>
        <v>Exclude</v>
      </c>
      <c r="Y239" s="63"/>
      <c r="AS239" s="64" t="str">
        <f t="shared" si="14"/>
        <v>Exclude</v>
      </c>
      <c r="AU239" s="65" t="str">
        <f t="shared" si="15"/>
        <v>Exclude</v>
      </c>
    </row>
    <row r="240" spans="1:47" s="64" customFormat="1" x14ac:dyDescent="0.25">
      <c r="A240" s="63"/>
      <c r="U240" s="64" t="str">
        <f t="shared" si="12"/>
        <v>Exclude</v>
      </c>
      <c r="W240" s="65" t="str">
        <f t="shared" si="13"/>
        <v>Exclude</v>
      </c>
      <c r="Y240" s="63"/>
      <c r="AS240" s="64" t="str">
        <f t="shared" si="14"/>
        <v>Exclude</v>
      </c>
      <c r="AU240" s="65" t="str">
        <f t="shared" si="15"/>
        <v>Exclude</v>
      </c>
    </row>
    <row r="241" spans="1:47" s="64" customFormat="1" x14ac:dyDescent="0.25">
      <c r="A241" s="63"/>
      <c r="U241" s="64" t="str">
        <f t="shared" si="12"/>
        <v>Exclude</v>
      </c>
      <c r="W241" s="65" t="str">
        <f t="shared" si="13"/>
        <v>Exclude</v>
      </c>
      <c r="Y241" s="63"/>
      <c r="AS241" s="64" t="str">
        <f t="shared" si="14"/>
        <v>Exclude</v>
      </c>
      <c r="AU241" s="65" t="str">
        <f t="shared" si="15"/>
        <v>Exclude</v>
      </c>
    </row>
    <row r="242" spans="1:47" s="64" customFormat="1" x14ac:dyDescent="0.25">
      <c r="A242" s="63"/>
      <c r="U242" s="64" t="str">
        <f t="shared" si="12"/>
        <v>Exclude</v>
      </c>
      <c r="W242" s="65" t="str">
        <f t="shared" si="13"/>
        <v>Exclude</v>
      </c>
      <c r="Y242" s="63"/>
      <c r="AS242" s="64" t="str">
        <f t="shared" si="14"/>
        <v>Exclude</v>
      </c>
      <c r="AU242" s="65" t="str">
        <f t="shared" si="15"/>
        <v>Exclude</v>
      </c>
    </row>
    <row r="243" spans="1:47" s="64" customFormat="1" x14ac:dyDescent="0.25">
      <c r="A243" s="63"/>
      <c r="U243" s="64" t="str">
        <f t="shared" si="12"/>
        <v>Exclude</v>
      </c>
      <c r="W243" s="65" t="str">
        <f t="shared" si="13"/>
        <v>Exclude</v>
      </c>
      <c r="Y243" s="63"/>
      <c r="AS243" s="64" t="str">
        <f t="shared" si="14"/>
        <v>Exclude</v>
      </c>
      <c r="AU243" s="65" t="str">
        <f t="shared" si="15"/>
        <v>Exclude</v>
      </c>
    </row>
    <row r="244" spans="1:47" s="64" customFormat="1" x14ac:dyDescent="0.25">
      <c r="A244" s="63"/>
      <c r="U244" s="64" t="str">
        <f t="shared" si="12"/>
        <v>Exclude</v>
      </c>
      <c r="W244" s="65" t="str">
        <f t="shared" si="13"/>
        <v>Exclude</v>
      </c>
      <c r="Y244" s="63"/>
      <c r="AS244" s="64" t="str">
        <f t="shared" si="14"/>
        <v>Exclude</v>
      </c>
      <c r="AU244" s="65" t="str">
        <f t="shared" si="15"/>
        <v>Exclude</v>
      </c>
    </row>
    <row r="245" spans="1:47" s="64" customFormat="1" x14ac:dyDescent="0.25">
      <c r="A245" s="63"/>
      <c r="U245" s="64" t="str">
        <f t="shared" si="12"/>
        <v>Exclude</v>
      </c>
      <c r="W245" s="65" t="str">
        <f t="shared" si="13"/>
        <v>Exclude</v>
      </c>
      <c r="Y245" s="63"/>
      <c r="AS245" s="64" t="str">
        <f t="shared" si="14"/>
        <v>Exclude</v>
      </c>
      <c r="AU245" s="65" t="str">
        <f t="shared" si="15"/>
        <v>Exclude</v>
      </c>
    </row>
    <row r="246" spans="1:47" s="64" customFormat="1" x14ac:dyDescent="0.25">
      <c r="A246" s="63"/>
      <c r="U246" s="64" t="str">
        <f t="shared" si="12"/>
        <v>Exclude</v>
      </c>
      <c r="W246" s="65" t="str">
        <f t="shared" si="13"/>
        <v>Exclude</v>
      </c>
      <c r="Y246" s="63"/>
      <c r="AS246" s="64" t="str">
        <f t="shared" si="14"/>
        <v>Exclude</v>
      </c>
      <c r="AU246" s="65" t="str">
        <f t="shared" si="15"/>
        <v>Exclude</v>
      </c>
    </row>
    <row r="247" spans="1:47" s="64" customFormat="1" x14ac:dyDescent="0.25">
      <c r="A247" s="63"/>
      <c r="U247" s="64" t="str">
        <f t="shared" si="12"/>
        <v>Exclude</v>
      </c>
      <c r="W247" s="65" t="str">
        <f t="shared" si="13"/>
        <v>Exclude</v>
      </c>
      <c r="Y247" s="63"/>
      <c r="AS247" s="64" t="str">
        <f t="shared" si="14"/>
        <v>Exclude</v>
      </c>
      <c r="AU247" s="65" t="str">
        <f t="shared" si="15"/>
        <v>Exclude</v>
      </c>
    </row>
    <row r="248" spans="1:47" s="64" customFormat="1" x14ac:dyDescent="0.25">
      <c r="A248" s="63"/>
      <c r="U248" s="64" t="str">
        <f t="shared" si="12"/>
        <v>Exclude</v>
      </c>
      <c r="W248" s="65" t="str">
        <f t="shared" si="13"/>
        <v>Exclude</v>
      </c>
      <c r="Y248" s="63"/>
      <c r="AS248" s="64" t="str">
        <f t="shared" si="14"/>
        <v>Exclude</v>
      </c>
      <c r="AU248" s="65" t="str">
        <f t="shared" si="15"/>
        <v>Exclude</v>
      </c>
    </row>
    <row r="249" spans="1:47" s="64" customFormat="1" x14ac:dyDescent="0.25">
      <c r="A249" s="63"/>
      <c r="U249" s="64" t="str">
        <f t="shared" si="12"/>
        <v>Exclude</v>
      </c>
      <c r="W249" s="65" t="str">
        <f t="shared" si="13"/>
        <v>Exclude</v>
      </c>
      <c r="Y249" s="63"/>
      <c r="AS249" s="64" t="str">
        <f t="shared" si="14"/>
        <v>Exclude</v>
      </c>
      <c r="AU249" s="65" t="str">
        <f t="shared" si="15"/>
        <v>Exclude</v>
      </c>
    </row>
    <row r="250" spans="1:47" s="64" customFormat="1" x14ac:dyDescent="0.25">
      <c r="A250" s="63"/>
      <c r="U250" s="64" t="str">
        <f t="shared" si="12"/>
        <v>Exclude</v>
      </c>
      <c r="W250" s="65" t="str">
        <f t="shared" si="13"/>
        <v>Exclude</v>
      </c>
      <c r="Y250" s="63"/>
      <c r="AS250" s="64" t="str">
        <f t="shared" si="14"/>
        <v>Exclude</v>
      </c>
      <c r="AU250" s="65" t="str">
        <f t="shared" si="15"/>
        <v>Exclude</v>
      </c>
    </row>
    <row r="251" spans="1:47" s="64" customFormat="1" x14ac:dyDescent="0.25">
      <c r="A251" s="63"/>
      <c r="U251" s="64" t="str">
        <f t="shared" si="12"/>
        <v>Exclude</v>
      </c>
      <c r="W251" s="65" t="str">
        <f t="shared" si="13"/>
        <v>Exclude</v>
      </c>
      <c r="Y251" s="63"/>
      <c r="AS251" s="64" t="str">
        <f t="shared" si="14"/>
        <v>Exclude</v>
      </c>
      <c r="AU251" s="65" t="str">
        <f t="shared" si="15"/>
        <v>Exclude</v>
      </c>
    </row>
    <row r="252" spans="1:47" s="64" customFormat="1" x14ac:dyDescent="0.25">
      <c r="A252" s="63"/>
      <c r="U252" s="64" t="str">
        <f t="shared" si="12"/>
        <v>Exclude</v>
      </c>
      <c r="W252" s="65" t="str">
        <f t="shared" si="13"/>
        <v>Exclude</v>
      </c>
      <c r="Y252" s="63"/>
      <c r="AS252" s="64" t="str">
        <f t="shared" si="14"/>
        <v>Exclude</v>
      </c>
      <c r="AU252" s="65" t="str">
        <f t="shared" si="15"/>
        <v>Exclude</v>
      </c>
    </row>
    <row r="253" spans="1:47" s="64" customFormat="1" x14ac:dyDescent="0.25">
      <c r="A253" s="63"/>
      <c r="U253" s="64" t="str">
        <f t="shared" si="12"/>
        <v>Exclude</v>
      </c>
      <c r="W253" s="65" t="str">
        <f t="shared" si="13"/>
        <v>Exclude</v>
      </c>
      <c r="Y253" s="63"/>
      <c r="AS253" s="64" t="str">
        <f t="shared" si="14"/>
        <v>Exclude</v>
      </c>
      <c r="AU253" s="65" t="str">
        <f t="shared" si="15"/>
        <v>Exclude</v>
      </c>
    </row>
    <row r="254" spans="1:47" s="64" customFormat="1" x14ac:dyDescent="0.25">
      <c r="A254" s="63"/>
      <c r="U254" s="64" t="str">
        <f t="shared" si="12"/>
        <v>Exclude</v>
      </c>
      <c r="W254" s="65" t="str">
        <f t="shared" si="13"/>
        <v>Exclude</v>
      </c>
      <c r="Y254" s="63"/>
      <c r="AS254" s="64" t="str">
        <f t="shared" si="14"/>
        <v>Exclude</v>
      </c>
      <c r="AU254" s="65" t="str">
        <f t="shared" si="15"/>
        <v>Exclude</v>
      </c>
    </row>
    <row r="255" spans="1:47" s="64" customFormat="1" x14ac:dyDescent="0.25">
      <c r="A255" s="63"/>
      <c r="U255" s="64" t="str">
        <f t="shared" si="12"/>
        <v>Exclude</v>
      </c>
      <c r="W255" s="65" t="str">
        <f t="shared" si="13"/>
        <v>Exclude</v>
      </c>
      <c r="Y255" s="63"/>
      <c r="AS255" s="64" t="str">
        <f t="shared" si="14"/>
        <v>Exclude</v>
      </c>
      <c r="AU255" s="65" t="str">
        <f t="shared" si="15"/>
        <v>Exclude</v>
      </c>
    </row>
    <row r="256" spans="1:47" s="64" customFormat="1" x14ac:dyDescent="0.25">
      <c r="A256" s="63"/>
      <c r="U256" s="64" t="str">
        <f t="shared" si="12"/>
        <v>Exclude</v>
      </c>
      <c r="W256" s="65" t="str">
        <f t="shared" si="13"/>
        <v>Exclude</v>
      </c>
      <c r="Y256" s="63"/>
      <c r="AS256" s="64" t="str">
        <f t="shared" si="14"/>
        <v>Exclude</v>
      </c>
      <c r="AU256" s="65" t="str">
        <f t="shared" si="15"/>
        <v>Exclude</v>
      </c>
    </row>
    <row r="257" spans="1:47" s="64" customFormat="1" x14ac:dyDescent="0.25">
      <c r="A257" s="63"/>
      <c r="U257" s="64" t="str">
        <f t="shared" si="12"/>
        <v>Exclude</v>
      </c>
      <c r="W257" s="65" t="str">
        <f t="shared" si="13"/>
        <v>Exclude</v>
      </c>
      <c r="Y257" s="63"/>
      <c r="AS257" s="64" t="str">
        <f t="shared" si="14"/>
        <v>Exclude</v>
      </c>
      <c r="AU257" s="65" t="str">
        <f t="shared" si="15"/>
        <v>Exclude</v>
      </c>
    </row>
    <row r="258" spans="1:47" s="64" customFormat="1" x14ac:dyDescent="0.25">
      <c r="A258" s="63"/>
      <c r="U258" s="64" t="str">
        <f t="shared" si="12"/>
        <v>Exclude</v>
      </c>
      <c r="W258" s="65" t="str">
        <f t="shared" si="13"/>
        <v>Exclude</v>
      </c>
      <c r="Y258" s="63"/>
      <c r="AS258" s="64" t="str">
        <f t="shared" si="14"/>
        <v>Exclude</v>
      </c>
      <c r="AU258" s="65" t="str">
        <f t="shared" si="15"/>
        <v>Exclude</v>
      </c>
    </row>
    <row r="259" spans="1:47" s="64" customFormat="1" x14ac:dyDescent="0.25">
      <c r="A259" s="63"/>
      <c r="U259" s="64" t="str">
        <f t="shared" si="12"/>
        <v>Exclude</v>
      </c>
      <c r="W259" s="65" t="str">
        <f t="shared" si="13"/>
        <v>Exclude</v>
      </c>
      <c r="Y259" s="63"/>
      <c r="AS259" s="64" t="str">
        <f t="shared" si="14"/>
        <v>Exclude</v>
      </c>
      <c r="AU259" s="65" t="str">
        <f t="shared" si="15"/>
        <v>Exclude</v>
      </c>
    </row>
    <row r="260" spans="1:47" s="64" customFormat="1" x14ac:dyDescent="0.25">
      <c r="A260" s="63"/>
      <c r="U260" s="64" t="str">
        <f t="shared" si="12"/>
        <v>Exclude</v>
      </c>
      <c r="W260" s="65" t="str">
        <f t="shared" si="13"/>
        <v>Exclude</v>
      </c>
      <c r="Y260" s="63"/>
      <c r="AS260" s="64" t="str">
        <f t="shared" si="14"/>
        <v>Exclude</v>
      </c>
      <c r="AU260" s="65" t="str">
        <f t="shared" si="15"/>
        <v>Exclude</v>
      </c>
    </row>
    <row r="261" spans="1:47" s="64" customFormat="1" x14ac:dyDescent="0.25">
      <c r="A261" s="63"/>
      <c r="U261" s="64" t="str">
        <f t="shared" si="12"/>
        <v>Exclude</v>
      </c>
      <c r="W261" s="65" t="str">
        <f t="shared" si="13"/>
        <v>Exclude</v>
      </c>
      <c r="Y261" s="63"/>
      <c r="AS261" s="64" t="str">
        <f t="shared" si="14"/>
        <v>Exclude</v>
      </c>
      <c r="AU261" s="65" t="str">
        <f t="shared" si="15"/>
        <v>Exclude</v>
      </c>
    </row>
    <row r="262" spans="1:47" s="64" customFormat="1" x14ac:dyDescent="0.25">
      <c r="A262" s="63"/>
      <c r="U262" s="64" t="str">
        <f t="shared" si="12"/>
        <v>Exclude</v>
      </c>
      <c r="W262" s="65" t="str">
        <f t="shared" si="13"/>
        <v>Exclude</v>
      </c>
      <c r="Y262" s="63"/>
      <c r="AS262" s="64" t="str">
        <f t="shared" si="14"/>
        <v>Exclude</v>
      </c>
      <c r="AU262" s="65" t="str">
        <f t="shared" si="15"/>
        <v>Exclude</v>
      </c>
    </row>
    <row r="263" spans="1:47" s="64" customFormat="1" x14ac:dyDescent="0.25">
      <c r="A263" s="63"/>
      <c r="U263" s="64" t="str">
        <f t="shared" si="12"/>
        <v>Exclude</v>
      </c>
      <c r="W263" s="65" t="str">
        <f t="shared" si="13"/>
        <v>Exclude</v>
      </c>
      <c r="Y263" s="63"/>
      <c r="AS263" s="64" t="str">
        <f t="shared" si="14"/>
        <v>Exclude</v>
      </c>
      <c r="AU263" s="65" t="str">
        <f t="shared" si="15"/>
        <v>Exclude</v>
      </c>
    </row>
    <row r="264" spans="1:47" s="64" customFormat="1" x14ac:dyDescent="0.25">
      <c r="A264" s="63"/>
      <c r="U264" s="64" t="str">
        <f t="shared" si="12"/>
        <v>Exclude</v>
      </c>
      <c r="W264" s="65" t="str">
        <f t="shared" si="13"/>
        <v>Exclude</v>
      </c>
      <c r="Y264" s="63"/>
      <c r="AS264" s="64" t="str">
        <f t="shared" si="14"/>
        <v>Exclude</v>
      </c>
      <c r="AU264" s="65" t="str">
        <f t="shared" si="15"/>
        <v>Exclude</v>
      </c>
    </row>
    <row r="265" spans="1:47" s="64" customFormat="1" x14ac:dyDescent="0.25">
      <c r="A265" s="63"/>
      <c r="U265" s="64" t="str">
        <f t="shared" si="12"/>
        <v>Exclude</v>
      </c>
      <c r="W265" s="65" t="str">
        <f t="shared" si="13"/>
        <v>Exclude</v>
      </c>
      <c r="Y265" s="63"/>
      <c r="AS265" s="64" t="str">
        <f t="shared" si="14"/>
        <v>Exclude</v>
      </c>
      <c r="AU265" s="65" t="str">
        <f t="shared" si="15"/>
        <v>Exclude</v>
      </c>
    </row>
    <row r="266" spans="1:47" s="64" customFormat="1" x14ac:dyDescent="0.25">
      <c r="A266" s="63"/>
      <c r="U266" s="64" t="str">
        <f t="shared" si="12"/>
        <v>Exclude</v>
      </c>
      <c r="W266" s="65" t="str">
        <f t="shared" si="13"/>
        <v>Exclude</v>
      </c>
      <c r="Y266" s="63"/>
      <c r="AS266" s="64" t="str">
        <f t="shared" si="14"/>
        <v>Exclude</v>
      </c>
      <c r="AU266" s="65" t="str">
        <f t="shared" si="15"/>
        <v>Exclude</v>
      </c>
    </row>
    <row r="267" spans="1:47" s="64" customFormat="1" x14ac:dyDescent="0.25">
      <c r="A267" s="63"/>
      <c r="U267" s="64" t="str">
        <f t="shared" si="12"/>
        <v>Exclude</v>
      </c>
      <c r="W267" s="65" t="str">
        <f t="shared" si="13"/>
        <v>Exclude</v>
      </c>
      <c r="Y267" s="63"/>
      <c r="AS267" s="64" t="str">
        <f t="shared" si="14"/>
        <v>Exclude</v>
      </c>
      <c r="AU267" s="65" t="str">
        <f t="shared" si="15"/>
        <v>Exclude</v>
      </c>
    </row>
    <row r="268" spans="1:47" s="64" customFormat="1" x14ac:dyDescent="0.25">
      <c r="A268" s="63"/>
      <c r="U268" s="64" t="str">
        <f t="shared" si="12"/>
        <v>Exclude</v>
      </c>
      <c r="W268" s="65" t="str">
        <f t="shared" si="13"/>
        <v>Exclude</v>
      </c>
      <c r="Y268" s="63"/>
      <c r="AS268" s="64" t="str">
        <f t="shared" si="14"/>
        <v>Exclude</v>
      </c>
      <c r="AU268" s="65" t="str">
        <f t="shared" si="15"/>
        <v>Exclude</v>
      </c>
    </row>
    <row r="269" spans="1:47" s="64" customFormat="1" x14ac:dyDescent="0.25">
      <c r="A269" s="63"/>
      <c r="U269" s="64" t="str">
        <f t="shared" si="12"/>
        <v>Exclude</v>
      </c>
      <c r="W269" s="65" t="str">
        <f t="shared" si="13"/>
        <v>Exclude</v>
      </c>
      <c r="Y269" s="63"/>
      <c r="AS269" s="64" t="str">
        <f t="shared" si="14"/>
        <v>Exclude</v>
      </c>
      <c r="AU269" s="65" t="str">
        <f t="shared" si="15"/>
        <v>Exclude</v>
      </c>
    </row>
    <row r="270" spans="1:47" s="64" customFormat="1" x14ac:dyDescent="0.25">
      <c r="A270" s="63"/>
      <c r="U270" s="64" t="str">
        <f t="shared" si="12"/>
        <v>Exclude</v>
      </c>
      <c r="W270" s="65" t="str">
        <f t="shared" si="13"/>
        <v>Exclude</v>
      </c>
      <c r="Y270" s="63"/>
      <c r="AS270" s="64" t="str">
        <f t="shared" si="14"/>
        <v>Exclude</v>
      </c>
      <c r="AU270" s="65" t="str">
        <f t="shared" si="15"/>
        <v>Exclude</v>
      </c>
    </row>
    <row r="271" spans="1:47" s="64" customFormat="1" x14ac:dyDescent="0.25">
      <c r="A271" s="63"/>
      <c r="U271" s="64" t="str">
        <f t="shared" si="12"/>
        <v>Exclude</v>
      </c>
      <c r="W271" s="65" t="str">
        <f t="shared" si="13"/>
        <v>Exclude</v>
      </c>
      <c r="Y271" s="63"/>
      <c r="AS271" s="64" t="str">
        <f t="shared" si="14"/>
        <v>Exclude</v>
      </c>
      <c r="AU271" s="65" t="str">
        <f t="shared" si="15"/>
        <v>Exclude</v>
      </c>
    </row>
    <row r="272" spans="1:47" s="64" customFormat="1" x14ac:dyDescent="0.25">
      <c r="A272" s="63"/>
      <c r="U272" s="64" t="str">
        <f t="shared" si="12"/>
        <v>Exclude</v>
      </c>
      <c r="W272" s="65" t="str">
        <f t="shared" si="13"/>
        <v>Exclude</v>
      </c>
      <c r="Y272" s="63"/>
      <c r="AS272" s="64" t="str">
        <f t="shared" si="14"/>
        <v>Exclude</v>
      </c>
      <c r="AU272" s="65" t="str">
        <f t="shared" si="15"/>
        <v>Exclude</v>
      </c>
    </row>
    <row r="273" spans="1:47" s="64" customFormat="1" x14ac:dyDescent="0.25">
      <c r="A273" s="63"/>
      <c r="U273" s="64" t="str">
        <f t="shared" si="12"/>
        <v>Exclude</v>
      </c>
      <c r="W273" s="65" t="str">
        <f t="shared" si="13"/>
        <v>Exclude</v>
      </c>
      <c r="Y273" s="63"/>
      <c r="AS273" s="64" t="str">
        <f t="shared" si="14"/>
        <v>Exclude</v>
      </c>
      <c r="AU273" s="65" t="str">
        <f t="shared" si="15"/>
        <v>Exclude</v>
      </c>
    </row>
    <row r="274" spans="1:47" s="64" customFormat="1" x14ac:dyDescent="0.25">
      <c r="A274" s="63"/>
      <c r="U274" s="64" t="str">
        <f t="shared" si="12"/>
        <v>Exclude</v>
      </c>
      <c r="W274" s="65" t="str">
        <f t="shared" si="13"/>
        <v>Exclude</v>
      </c>
      <c r="Y274" s="63"/>
      <c r="AS274" s="64" t="str">
        <f t="shared" si="14"/>
        <v>Exclude</v>
      </c>
      <c r="AU274" s="65" t="str">
        <f t="shared" si="15"/>
        <v>Exclude</v>
      </c>
    </row>
    <row r="275" spans="1:47" s="64" customFormat="1" x14ac:dyDescent="0.25">
      <c r="A275" s="63"/>
      <c r="U275" s="64" t="str">
        <f t="shared" si="12"/>
        <v>Exclude</v>
      </c>
      <c r="W275" s="65" t="str">
        <f t="shared" si="13"/>
        <v>Exclude</v>
      </c>
      <c r="Y275" s="63"/>
      <c r="AS275" s="64" t="str">
        <f t="shared" si="14"/>
        <v>Exclude</v>
      </c>
      <c r="AU275" s="65" t="str">
        <f t="shared" si="15"/>
        <v>Exclude</v>
      </c>
    </row>
    <row r="276" spans="1:47" s="64" customFormat="1" x14ac:dyDescent="0.25">
      <c r="A276" s="63"/>
      <c r="U276" s="64" t="str">
        <f t="shared" si="12"/>
        <v>Exclude</v>
      </c>
      <c r="W276" s="65" t="str">
        <f t="shared" si="13"/>
        <v>Exclude</v>
      </c>
      <c r="Y276" s="63"/>
      <c r="AS276" s="64" t="str">
        <f t="shared" si="14"/>
        <v>Exclude</v>
      </c>
      <c r="AU276" s="65" t="str">
        <f t="shared" si="15"/>
        <v>Exclude</v>
      </c>
    </row>
    <row r="277" spans="1:47" s="64" customFormat="1" x14ac:dyDescent="0.25">
      <c r="A277" s="63"/>
      <c r="U277" s="64" t="str">
        <f t="shared" si="12"/>
        <v>Exclude</v>
      </c>
      <c r="W277" s="65" t="str">
        <f t="shared" si="13"/>
        <v>Exclude</v>
      </c>
      <c r="Y277" s="63"/>
      <c r="AS277" s="64" t="str">
        <f t="shared" si="14"/>
        <v>Exclude</v>
      </c>
      <c r="AU277" s="65" t="str">
        <f t="shared" si="15"/>
        <v>Exclude</v>
      </c>
    </row>
    <row r="278" spans="1:47" s="64" customFormat="1" x14ac:dyDescent="0.25">
      <c r="A278" s="63"/>
      <c r="U278" s="64" t="str">
        <f t="shared" si="12"/>
        <v>Exclude</v>
      </c>
      <c r="W278" s="65" t="str">
        <f t="shared" si="13"/>
        <v>Exclude</v>
      </c>
      <c r="Y278" s="63"/>
      <c r="AS278" s="64" t="str">
        <f t="shared" si="14"/>
        <v>Exclude</v>
      </c>
      <c r="AU278" s="65" t="str">
        <f t="shared" si="15"/>
        <v>Exclude</v>
      </c>
    </row>
    <row r="279" spans="1:47" s="64" customFormat="1" x14ac:dyDescent="0.25">
      <c r="A279" s="63"/>
      <c r="U279" s="64" t="str">
        <f t="shared" ref="U279:U342" si="16">IF(OR(R279="TruePositive",R279="TrueNegative"),IF(R278&lt;&gt;"Anticipatory",(N279),"Pant"),"Exclude")</f>
        <v>Exclude</v>
      </c>
      <c r="W279" s="65" t="str">
        <f t="shared" ref="W279:W342" si="17">IF(OR(R279="TruePositive",R279="TrueNegative"),IF(R278&lt;&gt;"Anticipatory",LOG10(N279),"Exclude"),"Exclude")</f>
        <v>Exclude</v>
      </c>
      <c r="Y279" s="63"/>
      <c r="AS279" s="64" t="str">
        <f t="shared" ref="AS279:AS342" si="18">IF(OR(AP279="TruePositive",AP279="TrueNegative"),IF(AP278&lt;&gt;"Anticipatory",(AL279),"Pant"),"Exclude")</f>
        <v>Exclude</v>
      </c>
      <c r="AU279" s="65" t="str">
        <f t="shared" ref="AU279:AU342" si="19">IF(OR(AP279="TruePositive",AP279="TrueNegative"),IF(AP278&lt;&gt;"Anticipatory",LOG10(AL279),"Exclude"),"Exclude")</f>
        <v>Exclude</v>
      </c>
    </row>
    <row r="280" spans="1:47" s="64" customFormat="1" x14ac:dyDescent="0.25">
      <c r="A280" s="63"/>
      <c r="U280" s="64" t="str">
        <f t="shared" si="16"/>
        <v>Exclude</v>
      </c>
      <c r="W280" s="65" t="str">
        <f t="shared" si="17"/>
        <v>Exclude</v>
      </c>
      <c r="Y280" s="63"/>
      <c r="AS280" s="64" t="str">
        <f t="shared" si="18"/>
        <v>Exclude</v>
      </c>
      <c r="AU280" s="65" t="str">
        <f t="shared" si="19"/>
        <v>Exclude</v>
      </c>
    </row>
    <row r="281" spans="1:47" s="64" customFormat="1" x14ac:dyDescent="0.25">
      <c r="A281" s="63"/>
      <c r="U281" s="64" t="str">
        <f t="shared" si="16"/>
        <v>Exclude</v>
      </c>
      <c r="W281" s="65" t="str">
        <f t="shared" si="17"/>
        <v>Exclude</v>
      </c>
      <c r="Y281" s="63"/>
      <c r="AS281" s="64" t="str">
        <f t="shared" si="18"/>
        <v>Exclude</v>
      </c>
      <c r="AU281" s="65" t="str">
        <f t="shared" si="19"/>
        <v>Exclude</v>
      </c>
    </row>
    <row r="282" spans="1:47" s="64" customFormat="1" x14ac:dyDescent="0.25">
      <c r="A282" s="63"/>
      <c r="U282" s="64" t="str">
        <f t="shared" si="16"/>
        <v>Exclude</v>
      </c>
      <c r="W282" s="65" t="str">
        <f t="shared" si="17"/>
        <v>Exclude</v>
      </c>
      <c r="Y282" s="63"/>
      <c r="AS282" s="64" t="str">
        <f t="shared" si="18"/>
        <v>Exclude</v>
      </c>
      <c r="AU282" s="65" t="str">
        <f t="shared" si="19"/>
        <v>Exclude</v>
      </c>
    </row>
    <row r="283" spans="1:47" s="64" customFormat="1" x14ac:dyDescent="0.25">
      <c r="A283" s="63"/>
      <c r="U283" s="64" t="str">
        <f t="shared" si="16"/>
        <v>Exclude</v>
      </c>
      <c r="W283" s="65" t="str">
        <f t="shared" si="17"/>
        <v>Exclude</v>
      </c>
      <c r="Y283" s="63"/>
      <c r="AS283" s="64" t="str">
        <f t="shared" si="18"/>
        <v>Exclude</v>
      </c>
      <c r="AU283" s="65" t="str">
        <f t="shared" si="19"/>
        <v>Exclude</v>
      </c>
    </row>
    <row r="284" spans="1:47" s="64" customFormat="1" x14ac:dyDescent="0.25">
      <c r="A284" s="63"/>
      <c r="U284" s="64" t="str">
        <f t="shared" si="16"/>
        <v>Exclude</v>
      </c>
      <c r="W284" s="65" t="str">
        <f t="shared" si="17"/>
        <v>Exclude</v>
      </c>
      <c r="Y284" s="63"/>
      <c r="AS284" s="64" t="str">
        <f t="shared" si="18"/>
        <v>Exclude</v>
      </c>
      <c r="AU284" s="65" t="str">
        <f t="shared" si="19"/>
        <v>Exclude</v>
      </c>
    </row>
    <row r="285" spans="1:47" s="64" customFormat="1" x14ac:dyDescent="0.25">
      <c r="A285" s="63"/>
      <c r="U285" s="64" t="str">
        <f t="shared" si="16"/>
        <v>Exclude</v>
      </c>
      <c r="W285" s="65" t="str">
        <f t="shared" si="17"/>
        <v>Exclude</v>
      </c>
      <c r="Y285" s="63"/>
      <c r="AS285" s="64" t="str">
        <f t="shared" si="18"/>
        <v>Exclude</v>
      </c>
      <c r="AU285" s="65" t="str">
        <f t="shared" si="19"/>
        <v>Exclude</v>
      </c>
    </row>
    <row r="286" spans="1:47" s="64" customFormat="1" x14ac:dyDescent="0.25">
      <c r="A286" s="63"/>
      <c r="U286" s="64" t="str">
        <f t="shared" si="16"/>
        <v>Exclude</v>
      </c>
      <c r="W286" s="65" t="str">
        <f t="shared" si="17"/>
        <v>Exclude</v>
      </c>
      <c r="Y286" s="63"/>
      <c r="AS286" s="64" t="str">
        <f t="shared" si="18"/>
        <v>Exclude</v>
      </c>
      <c r="AU286" s="65" t="str">
        <f t="shared" si="19"/>
        <v>Exclude</v>
      </c>
    </row>
    <row r="287" spans="1:47" s="64" customFormat="1" x14ac:dyDescent="0.25">
      <c r="A287" s="63"/>
      <c r="U287" s="64" t="str">
        <f t="shared" si="16"/>
        <v>Exclude</v>
      </c>
      <c r="W287" s="65" t="str">
        <f t="shared" si="17"/>
        <v>Exclude</v>
      </c>
      <c r="Y287" s="63"/>
      <c r="AS287" s="64" t="str">
        <f t="shared" si="18"/>
        <v>Exclude</v>
      </c>
      <c r="AU287" s="65" t="str">
        <f t="shared" si="19"/>
        <v>Exclude</v>
      </c>
    </row>
    <row r="288" spans="1:47" s="64" customFormat="1" x14ac:dyDescent="0.25">
      <c r="A288" s="63"/>
      <c r="U288" s="64" t="str">
        <f t="shared" si="16"/>
        <v>Exclude</v>
      </c>
      <c r="W288" s="65" t="str">
        <f t="shared" si="17"/>
        <v>Exclude</v>
      </c>
      <c r="Y288" s="63"/>
      <c r="AS288" s="64" t="str">
        <f t="shared" si="18"/>
        <v>Exclude</v>
      </c>
      <c r="AU288" s="65" t="str">
        <f t="shared" si="19"/>
        <v>Exclude</v>
      </c>
    </row>
    <row r="289" spans="1:47" s="64" customFormat="1" x14ac:dyDescent="0.25">
      <c r="A289" s="63"/>
      <c r="U289" s="64" t="str">
        <f t="shared" si="16"/>
        <v>Exclude</v>
      </c>
      <c r="W289" s="65" t="str">
        <f t="shared" si="17"/>
        <v>Exclude</v>
      </c>
      <c r="Y289" s="63"/>
      <c r="AS289" s="64" t="str">
        <f t="shared" si="18"/>
        <v>Exclude</v>
      </c>
      <c r="AU289" s="65" t="str">
        <f t="shared" si="19"/>
        <v>Exclude</v>
      </c>
    </row>
    <row r="290" spans="1:47" s="64" customFormat="1" x14ac:dyDescent="0.25">
      <c r="A290" s="63"/>
      <c r="U290" s="64" t="str">
        <f t="shared" si="16"/>
        <v>Exclude</v>
      </c>
      <c r="W290" s="65" t="str">
        <f t="shared" si="17"/>
        <v>Exclude</v>
      </c>
      <c r="Y290" s="63"/>
      <c r="AS290" s="64" t="str">
        <f t="shared" si="18"/>
        <v>Exclude</v>
      </c>
      <c r="AU290" s="65" t="str">
        <f t="shared" si="19"/>
        <v>Exclude</v>
      </c>
    </row>
    <row r="291" spans="1:47" s="64" customFormat="1" x14ac:dyDescent="0.25">
      <c r="A291" s="63"/>
      <c r="U291" s="64" t="str">
        <f t="shared" si="16"/>
        <v>Exclude</v>
      </c>
      <c r="W291" s="65" t="str">
        <f t="shared" si="17"/>
        <v>Exclude</v>
      </c>
      <c r="Y291" s="63"/>
      <c r="AS291" s="64" t="str">
        <f t="shared" si="18"/>
        <v>Exclude</v>
      </c>
      <c r="AU291" s="65" t="str">
        <f t="shared" si="19"/>
        <v>Exclude</v>
      </c>
    </row>
    <row r="292" spans="1:47" s="64" customFormat="1" x14ac:dyDescent="0.25">
      <c r="A292" s="63"/>
      <c r="U292" s="64" t="str">
        <f t="shared" si="16"/>
        <v>Exclude</v>
      </c>
      <c r="W292" s="65" t="str">
        <f t="shared" si="17"/>
        <v>Exclude</v>
      </c>
      <c r="Y292" s="63"/>
      <c r="AS292" s="64" t="str">
        <f t="shared" si="18"/>
        <v>Exclude</v>
      </c>
      <c r="AU292" s="65" t="str">
        <f t="shared" si="19"/>
        <v>Exclude</v>
      </c>
    </row>
    <row r="293" spans="1:47" s="64" customFormat="1" x14ac:dyDescent="0.25">
      <c r="A293" s="63"/>
      <c r="U293" s="64" t="str">
        <f t="shared" si="16"/>
        <v>Exclude</v>
      </c>
      <c r="W293" s="65" t="str">
        <f t="shared" si="17"/>
        <v>Exclude</v>
      </c>
      <c r="Y293" s="63"/>
      <c r="AS293" s="64" t="str">
        <f t="shared" si="18"/>
        <v>Exclude</v>
      </c>
      <c r="AU293" s="65" t="str">
        <f t="shared" si="19"/>
        <v>Exclude</v>
      </c>
    </row>
    <row r="294" spans="1:47" s="64" customFormat="1" x14ac:dyDescent="0.25">
      <c r="A294" s="63"/>
      <c r="U294" s="64" t="str">
        <f t="shared" si="16"/>
        <v>Exclude</v>
      </c>
      <c r="W294" s="65" t="str">
        <f t="shared" si="17"/>
        <v>Exclude</v>
      </c>
      <c r="Y294" s="63"/>
      <c r="AS294" s="64" t="str">
        <f t="shared" si="18"/>
        <v>Exclude</v>
      </c>
      <c r="AU294" s="65" t="str">
        <f t="shared" si="19"/>
        <v>Exclude</v>
      </c>
    </row>
    <row r="295" spans="1:47" s="64" customFormat="1" x14ac:dyDescent="0.25">
      <c r="A295" s="63"/>
      <c r="U295" s="64" t="str">
        <f t="shared" si="16"/>
        <v>Exclude</v>
      </c>
      <c r="W295" s="65" t="str">
        <f t="shared" si="17"/>
        <v>Exclude</v>
      </c>
      <c r="Y295" s="63"/>
      <c r="AS295" s="64" t="str">
        <f t="shared" si="18"/>
        <v>Exclude</v>
      </c>
      <c r="AU295" s="65" t="str">
        <f t="shared" si="19"/>
        <v>Exclude</v>
      </c>
    </row>
    <row r="296" spans="1:47" s="64" customFormat="1" x14ac:dyDescent="0.25">
      <c r="A296" s="63"/>
      <c r="U296" s="64" t="str">
        <f t="shared" si="16"/>
        <v>Exclude</v>
      </c>
      <c r="W296" s="65" t="str">
        <f t="shared" si="17"/>
        <v>Exclude</v>
      </c>
      <c r="Y296" s="63"/>
      <c r="AS296" s="64" t="str">
        <f t="shared" si="18"/>
        <v>Exclude</v>
      </c>
      <c r="AU296" s="65" t="str">
        <f t="shared" si="19"/>
        <v>Exclude</v>
      </c>
    </row>
    <row r="297" spans="1:47" s="64" customFormat="1" x14ac:dyDescent="0.25">
      <c r="A297" s="63"/>
      <c r="U297" s="64" t="str">
        <f t="shared" si="16"/>
        <v>Exclude</v>
      </c>
      <c r="W297" s="65" t="str">
        <f t="shared" si="17"/>
        <v>Exclude</v>
      </c>
      <c r="Y297" s="63"/>
      <c r="AS297" s="64" t="str">
        <f t="shared" si="18"/>
        <v>Exclude</v>
      </c>
      <c r="AU297" s="65" t="str">
        <f t="shared" si="19"/>
        <v>Exclude</v>
      </c>
    </row>
    <row r="298" spans="1:47" s="64" customFormat="1" x14ac:dyDescent="0.25">
      <c r="A298" s="63"/>
      <c r="U298" s="64" t="str">
        <f t="shared" si="16"/>
        <v>Exclude</v>
      </c>
      <c r="W298" s="65" t="str">
        <f t="shared" si="17"/>
        <v>Exclude</v>
      </c>
      <c r="Y298" s="63"/>
      <c r="AS298" s="64" t="str">
        <f t="shared" si="18"/>
        <v>Exclude</v>
      </c>
      <c r="AU298" s="65" t="str">
        <f t="shared" si="19"/>
        <v>Exclude</v>
      </c>
    </row>
    <row r="299" spans="1:47" s="64" customFormat="1" x14ac:dyDescent="0.25">
      <c r="A299" s="63"/>
      <c r="U299" s="64" t="str">
        <f t="shared" si="16"/>
        <v>Exclude</v>
      </c>
      <c r="W299" s="65" t="str">
        <f t="shared" si="17"/>
        <v>Exclude</v>
      </c>
      <c r="Y299" s="63"/>
      <c r="AS299" s="64" t="str">
        <f t="shared" si="18"/>
        <v>Exclude</v>
      </c>
      <c r="AU299" s="65" t="str">
        <f t="shared" si="19"/>
        <v>Exclude</v>
      </c>
    </row>
    <row r="300" spans="1:47" s="64" customFormat="1" x14ac:dyDescent="0.25">
      <c r="A300" s="63"/>
      <c r="U300" s="64" t="str">
        <f t="shared" si="16"/>
        <v>Exclude</v>
      </c>
      <c r="W300" s="65" t="str">
        <f t="shared" si="17"/>
        <v>Exclude</v>
      </c>
      <c r="Y300" s="63"/>
      <c r="AS300" s="64" t="str">
        <f t="shared" si="18"/>
        <v>Exclude</v>
      </c>
      <c r="AU300" s="65" t="str">
        <f t="shared" si="19"/>
        <v>Exclude</v>
      </c>
    </row>
    <row r="301" spans="1:47" s="64" customFormat="1" x14ac:dyDescent="0.25">
      <c r="A301" s="63"/>
      <c r="U301" s="64" t="str">
        <f t="shared" si="16"/>
        <v>Exclude</v>
      </c>
      <c r="W301" s="65" t="str">
        <f t="shared" si="17"/>
        <v>Exclude</v>
      </c>
      <c r="Y301" s="63"/>
      <c r="AS301" s="64" t="str">
        <f t="shared" si="18"/>
        <v>Exclude</v>
      </c>
      <c r="AU301" s="65" t="str">
        <f t="shared" si="19"/>
        <v>Exclude</v>
      </c>
    </row>
    <row r="302" spans="1:47" s="64" customFormat="1" x14ac:dyDescent="0.25">
      <c r="A302" s="63"/>
      <c r="U302" s="64" t="str">
        <f t="shared" si="16"/>
        <v>Exclude</v>
      </c>
      <c r="W302" s="65" t="str">
        <f t="shared" si="17"/>
        <v>Exclude</v>
      </c>
      <c r="Y302" s="63"/>
      <c r="AS302" s="64" t="str">
        <f t="shared" si="18"/>
        <v>Exclude</v>
      </c>
      <c r="AU302" s="65" t="str">
        <f t="shared" si="19"/>
        <v>Exclude</v>
      </c>
    </row>
    <row r="303" spans="1:47" s="64" customFormat="1" x14ac:dyDescent="0.25">
      <c r="A303" s="63"/>
      <c r="U303" s="64" t="str">
        <f t="shared" si="16"/>
        <v>Exclude</v>
      </c>
      <c r="W303" s="65" t="str">
        <f t="shared" si="17"/>
        <v>Exclude</v>
      </c>
      <c r="Y303" s="63"/>
      <c r="AS303" s="64" t="str">
        <f t="shared" si="18"/>
        <v>Exclude</v>
      </c>
      <c r="AU303" s="65" t="str">
        <f t="shared" si="19"/>
        <v>Exclude</v>
      </c>
    </row>
    <row r="304" spans="1:47" s="64" customFormat="1" x14ac:dyDescent="0.25">
      <c r="A304" s="63"/>
      <c r="U304" s="64" t="str">
        <f t="shared" si="16"/>
        <v>Exclude</v>
      </c>
      <c r="W304" s="65" t="str">
        <f t="shared" si="17"/>
        <v>Exclude</v>
      </c>
      <c r="Y304" s="63"/>
      <c r="AS304" s="64" t="str">
        <f t="shared" si="18"/>
        <v>Exclude</v>
      </c>
      <c r="AU304" s="65" t="str">
        <f t="shared" si="19"/>
        <v>Exclude</v>
      </c>
    </row>
    <row r="305" spans="1:47" s="64" customFormat="1" x14ac:dyDescent="0.25">
      <c r="A305" s="63"/>
      <c r="U305" s="64" t="str">
        <f t="shared" si="16"/>
        <v>Exclude</v>
      </c>
      <c r="W305" s="65" t="str">
        <f t="shared" si="17"/>
        <v>Exclude</v>
      </c>
      <c r="Y305" s="63"/>
      <c r="AS305" s="64" t="str">
        <f t="shared" si="18"/>
        <v>Exclude</v>
      </c>
      <c r="AU305" s="65" t="str">
        <f t="shared" si="19"/>
        <v>Exclude</v>
      </c>
    </row>
    <row r="306" spans="1:47" s="64" customFormat="1" x14ac:dyDescent="0.25">
      <c r="A306" s="63"/>
      <c r="U306" s="64" t="str">
        <f t="shared" si="16"/>
        <v>Exclude</v>
      </c>
      <c r="W306" s="65" t="str">
        <f t="shared" si="17"/>
        <v>Exclude</v>
      </c>
      <c r="Y306" s="63"/>
      <c r="AS306" s="64" t="str">
        <f t="shared" si="18"/>
        <v>Exclude</v>
      </c>
      <c r="AU306" s="65" t="str">
        <f t="shared" si="19"/>
        <v>Exclude</v>
      </c>
    </row>
    <row r="307" spans="1:47" s="64" customFormat="1" x14ac:dyDescent="0.25">
      <c r="A307" s="63"/>
      <c r="U307" s="64" t="str">
        <f t="shared" si="16"/>
        <v>Exclude</v>
      </c>
      <c r="W307" s="65" t="str">
        <f t="shared" si="17"/>
        <v>Exclude</v>
      </c>
      <c r="Y307" s="63"/>
      <c r="AS307" s="64" t="str">
        <f t="shared" si="18"/>
        <v>Exclude</v>
      </c>
      <c r="AU307" s="65" t="str">
        <f t="shared" si="19"/>
        <v>Exclude</v>
      </c>
    </row>
    <row r="308" spans="1:47" s="64" customFormat="1" x14ac:dyDescent="0.25">
      <c r="A308" s="63"/>
      <c r="U308" s="64" t="str">
        <f t="shared" si="16"/>
        <v>Exclude</v>
      </c>
      <c r="W308" s="65" t="str">
        <f t="shared" si="17"/>
        <v>Exclude</v>
      </c>
      <c r="Y308" s="63"/>
      <c r="AS308" s="64" t="str">
        <f t="shared" si="18"/>
        <v>Exclude</v>
      </c>
      <c r="AU308" s="65" t="str">
        <f t="shared" si="19"/>
        <v>Exclude</v>
      </c>
    </row>
    <row r="309" spans="1:47" s="64" customFormat="1" x14ac:dyDescent="0.25">
      <c r="A309" s="63"/>
      <c r="U309" s="64" t="str">
        <f t="shared" si="16"/>
        <v>Exclude</v>
      </c>
      <c r="W309" s="65" t="str">
        <f t="shared" si="17"/>
        <v>Exclude</v>
      </c>
      <c r="Y309" s="63"/>
      <c r="AS309" s="64" t="str">
        <f t="shared" si="18"/>
        <v>Exclude</v>
      </c>
      <c r="AU309" s="65" t="str">
        <f t="shared" si="19"/>
        <v>Exclude</v>
      </c>
    </row>
    <row r="310" spans="1:47" s="64" customFormat="1" x14ac:dyDescent="0.25">
      <c r="A310" s="63"/>
      <c r="U310" s="64" t="str">
        <f t="shared" si="16"/>
        <v>Exclude</v>
      </c>
      <c r="W310" s="65" t="str">
        <f t="shared" si="17"/>
        <v>Exclude</v>
      </c>
      <c r="Y310" s="63"/>
      <c r="AS310" s="64" t="str">
        <f t="shared" si="18"/>
        <v>Exclude</v>
      </c>
      <c r="AU310" s="65" t="str">
        <f t="shared" si="19"/>
        <v>Exclude</v>
      </c>
    </row>
    <row r="311" spans="1:47" s="64" customFormat="1" x14ac:dyDescent="0.25">
      <c r="A311" s="63"/>
      <c r="U311" s="64" t="str">
        <f t="shared" si="16"/>
        <v>Exclude</v>
      </c>
      <c r="W311" s="65" t="str">
        <f t="shared" si="17"/>
        <v>Exclude</v>
      </c>
      <c r="Y311" s="63"/>
      <c r="AS311" s="64" t="str">
        <f t="shared" si="18"/>
        <v>Exclude</v>
      </c>
      <c r="AU311" s="65" t="str">
        <f t="shared" si="19"/>
        <v>Exclude</v>
      </c>
    </row>
    <row r="312" spans="1:47" s="64" customFormat="1" x14ac:dyDescent="0.25">
      <c r="A312" s="63"/>
      <c r="U312" s="64" t="str">
        <f t="shared" si="16"/>
        <v>Exclude</v>
      </c>
      <c r="W312" s="65" t="str">
        <f t="shared" si="17"/>
        <v>Exclude</v>
      </c>
      <c r="Y312" s="63"/>
      <c r="AS312" s="64" t="str">
        <f t="shared" si="18"/>
        <v>Exclude</v>
      </c>
      <c r="AU312" s="65" t="str">
        <f t="shared" si="19"/>
        <v>Exclude</v>
      </c>
    </row>
    <row r="313" spans="1:47" s="64" customFormat="1" x14ac:dyDescent="0.25">
      <c r="A313" s="63"/>
      <c r="U313" s="64" t="str">
        <f t="shared" si="16"/>
        <v>Exclude</v>
      </c>
      <c r="W313" s="65" t="str">
        <f t="shared" si="17"/>
        <v>Exclude</v>
      </c>
      <c r="Y313" s="63"/>
      <c r="AS313" s="64" t="str">
        <f t="shared" si="18"/>
        <v>Exclude</v>
      </c>
      <c r="AU313" s="65" t="str">
        <f t="shared" si="19"/>
        <v>Exclude</v>
      </c>
    </row>
    <row r="314" spans="1:47" s="64" customFormat="1" x14ac:dyDescent="0.25">
      <c r="A314" s="63"/>
      <c r="U314" s="64" t="str">
        <f t="shared" si="16"/>
        <v>Exclude</v>
      </c>
      <c r="W314" s="65" t="str">
        <f t="shared" si="17"/>
        <v>Exclude</v>
      </c>
      <c r="Y314" s="63"/>
      <c r="AS314" s="64" t="str">
        <f t="shared" si="18"/>
        <v>Exclude</v>
      </c>
      <c r="AU314" s="65" t="str">
        <f t="shared" si="19"/>
        <v>Exclude</v>
      </c>
    </row>
    <row r="315" spans="1:47" s="64" customFormat="1" x14ac:dyDescent="0.25">
      <c r="A315" s="63"/>
      <c r="U315" s="64" t="str">
        <f t="shared" si="16"/>
        <v>Exclude</v>
      </c>
      <c r="W315" s="65" t="str">
        <f t="shared" si="17"/>
        <v>Exclude</v>
      </c>
      <c r="Y315" s="63"/>
      <c r="AS315" s="64" t="str">
        <f t="shared" si="18"/>
        <v>Exclude</v>
      </c>
      <c r="AU315" s="65" t="str">
        <f t="shared" si="19"/>
        <v>Exclude</v>
      </c>
    </row>
    <row r="316" spans="1:47" s="64" customFormat="1" x14ac:dyDescent="0.25">
      <c r="A316" s="63"/>
      <c r="U316" s="64" t="str">
        <f t="shared" si="16"/>
        <v>Exclude</v>
      </c>
      <c r="W316" s="65" t="str">
        <f t="shared" si="17"/>
        <v>Exclude</v>
      </c>
      <c r="Y316" s="63"/>
      <c r="AS316" s="64" t="str">
        <f t="shared" si="18"/>
        <v>Exclude</v>
      </c>
      <c r="AU316" s="65" t="str">
        <f t="shared" si="19"/>
        <v>Exclude</v>
      </c>
    </row>
    <row r="317" spans="1:47" s="64" customFormat="1" x14ac:dyDescent="0.25">
      <c r="A317" s="63"/>
      <c r="U317" s="64" t="str">
        <f t="shared" si="16"/>
        <v>Exclude</v>
      </c>
      <c r="W317" s="65" t="str">
        <f t="shared" si="17"/>
        <v>Exclude</v>
      </c>
      <c r="Y317" s="63"/>
      <c r="AS317" s="64" t="str">
        <f t="shared" si="18"/>
        <v>Exclude</v>
      </c>
      <c r="AU317" s="65" t="str">
        <f t="shared" si="19"/>
        <v>Exclude</v>
      </c>
    </row>
    <row r="318" spans="1:47" s="64" customFormat="1" x14ac:dyDescent="0.25">
      <c r="A318" s="63"/>
      <c r="U318" s="64" t="str">
        <f t="shared" si="16"/>
        <v>Exclude</v>
      </c>
      <c r="W318" s="65" t="str">
        <f t="shared" si="17"/>
        <v>Exclude</v>
      </c>
      <c r="Y318" s="63"/>
      <c r="AS318" s="64" t="str">
        <f t="shared" si="18"/>
        <v>Exclude</v>
      </c>
      <c r="AU318" s="65" t="str">
        <f t="shared" si="19"/>
        <v>Exclude</v>
      </c>
    </row>
    <row r="319" spans="1:47" s="64" customFormat="1" x14ac:dyDescent="0.25">
      <c r="A319" s="63"/>
      <c r="U319" s="64" t="str">
        <f t="shared" si="16"/>
        <v>Exclude</v>
      </c>
      <c r="W319" s="65" t="str">
        <f t="shared" si="17"/>
        <v>Exclude</v>
      </c>
      <c r="Y319" s="63"/>
      <c r="AS319" s="64" t="str">
        <f t="shared" si="18"/>
        <v>Exclude</v>
      </c>
      <c r="AU319" s="65" t="str">
        <f t="shared" si="19"/>
        <v>Exclude</v>
      </c>
    </row>
    <row r="320" spans="1:47" s="64" customFormat="1" x14ac:dyDescent="0.25">
      <c r="A320" s="63"/>
      <c r="U320" s="64" t="str">
        <f t="shared" si="16"/>
        <v>Exclude</v>
      </c>
      <c r="W320" s="65" t="str">
        <f t="shared" si="17"/>
        <v>Exclude</v>
      </c>
      <c r="Y320" s="63"/>
      <c r="AS320" s="64" t="str">
        <f t="shared" si="18"/>
        <v>Exclude</v>
      </c>
      <c r="AU320" s="65" t="str">
        <f t="shared" si="19"/>
        <v>Exclude</v>
      </c>
    </row>
    <row r="321" spans="1:47" s="64" customFormat="1" x14ac:dyDescent="0.25">
      <c r="A321" s="63"/>
      <c r="U321" s="64" t="str">
        <f t="shared" si="16"/>
        <v>Exclude</v>
      </c>
      <c r="W321" s="65" t="str">
        <f t="shared" si="17"/>
        <v>Exclude</v>
      </c>
      <c r="Y321" s="63"/>
      <c r="AS321" s="64" t="str">
        <f t="shared" si="18"/>
        <v>Exclude</v>
      </c>
      <c r="AU321" s="65" t="str">
        <f t="shared" si="19"/>
        <v>Exclude</v>
      </c>
    </row>
    <row r="322" spans="1:47" s="64" customFormat="1" x14ac:dyDescent="0.25">
      <c r="A322" s="63"/>
      <c r="U322" s="64" t="str">
        <f t="shared" si="16"/>
        <v>Exclude</v>
      </c>
      <c r="W322" s="65" t="str">
        <f t="shared" si="17"/>
        <v>Exclude</v>
      </c>
      <c r="Y322" s="63"/>
      <c r="AS322" s="64" t="str">
        <f t="shared" si="18"/>
        <v>Exclude</v>
      </c>
      <c r="AU322" s="65" t="str">
        <f t="shared" si="19"/>
        <v>Exclude</v>
      </c>
    </row>
    <row r="323" spans="1:47" s="64" customFormat="1" x14ac:dyDescent="0.25">
      <c r="A323" s="63"/>
      <c r="U323" s="64" t="str">
        <f t="shared" si="16"/>
        <v>Exclude</v>
      </c>
      <c r="W323" s="65" t="str">
        <f t="shared" si="17"/>
        <v>Exclude</v>
      </c>
      <c r="Y323" s="63"/>
      <c r="AS323" s="64" t="str">
        <f t="shared" si="18"/>
        <v>Exclude</v>
      </c>
      <c r="AU323" s="65" t="str">
        <f t="shared" si="19"/>
        <v>Exclude</v>
      </c>
    </row>
    <row r="324" spans="1:47" s="64" customFormat="1" x14ac:dyDescent="0.25">
      <c r="A324" s="63"/>
      <c r="U324" s="64" t="str">
        <f t="shared" si="16"/>
        <v>Exclude</v>
      </c>
      <c r="W324" s="65" t="str">
        <f t="shared" si="17"/>
        <v>Exclude</v>
      </c>
      <c r="Y324" s="63"/>
      <c r="AS324" s="64" t="str">
        <f t="shared" si="18"/>
        <v>Exclude</v>
      </c>
      <c r="AU324" s="65" t="str">
        <f t="shared" si="19"/>
        <v>Exclude</v>
      </c>
    </row>
    <row r="325" spans="1:47" s="64" customFormat="1" x14ac:dyDescent="0.25">
      <c r="A325" s="63"/>
      <c r="U325" s="64" t="str">
        <f t="shared" si="16"/>
        <v>Exclude</v>
      </c>
      <c r="W325" s="65" t="str">
        <f t="shared" si="17"/>
        <v>Exclude</v>
      </c>
      <c r="Y325" s="63"/>
      <c r="AS325" s="64" t="str">
        <f t="shared" si="18"/>
        <v>Exclude</v>
      </c>
      <c r="AU325" s="65" t="str">
        <f t="shared" si="19"/>
        <v>Exclude</v>
      </c>
    </row>
    <row r="326" spans="1:47" s="64" customFormat="1" x14ac:dyDescent="0.25">
      <c r="A326" s="63"/>
      <c r="U326" s="64" t="str">
        <f t="shared" si="16"/>
        <v>Exclude</v>
      </c>
      <c r="W326" s="65" t="str">
        <f t="shared" si="17"/>
        <v>Exclude</v>
      </c>
      <c r="Y326" s="63"/>
      <c r="AS326" s="64" t="str">
        <f t="shared" si="18"/>
        <v>Exclude</v>
      </c>
      <c r="AU326" s="65" t="str">
        <f t="shared" si="19"/>
        <v>Exclude</v>
      </c>
    </row>
    <row r="327" spans="1:47" s="64" customFormat="1" x14ac:dyDescent="0.25">
      <c r="A327" s="63"/>
      <c r="U327" s="64" t="str">
        <f t="shared" si="16"/>
        <v>Exclude</v>
      </c>
      <c r="W327" s="65" t="str">
        <f t="shared" si="17"/>
        <v>Exclude</v>
      </c>
      <c r="Y327" s="63"/>
      <c r="AS327" s="64" t="str">
        <f t="shared" si="18"/>
        <v>Exclude</v>
      </c>
      <c r="AU327" s="65" t="str">
        <f t="shared" si="19"/>
        <v>Exclude</v>
      </c>
    </row>
    <row r="328" spans="1:47" s="64" customFormat="1" x14ac:dyDescent="0.25">
      <c r="A328" s="63"/>
      <c r="U328" s="64" t="str">
        <f t="shared" si="16"/>
        <v>Exclude</v>
      </c>
      <c r="W328" s="65" t="str">
        <f t="shared" si="17"/>
        <v>Exclude</v>
      </c>
      <c r="Y328" s="63"/>
      <c r="AS328" s="64" t="str">
        <f t="shared" si="18"/>
        <v>Exclude</v>
      </c>
      <c r="AU328" s="65" t="str">
        <f t="shared" si="19"/>
        <v>Exclude</v>
      </c>
    </row>
    <row r="329" spans="1:47" s="64" customFormat="1" x14ac:dyDescent="0.25">
      <c r="A329" s="63"/>
      <c r="U329" s="64" t="str">
        <f t="shared" si="16"/>
        <v>Exclude</v>
      </c>
      <c r="W329" s="65" t="str">
        <f t="shared" si="17"/>
        <v>Exclude</v>
      </c>
      <c r="Y329" s="63"/>
      <c r="AS329" s="64" t="str">
        <f t="shared" si="18"/>
        <v>Exclude</v>
      </c>
      <c r="AU329" s="65" t="str">
        <f t="shared" si="19"/>
        <v>Exclude</v>
      </c>
    </row>
    <row r="330" spans="1:47" s="64" customFormat="1" x14ac:dyDescent="0.25">
      <c r="A330" s="63"/>
      <c r="U330" s="64" t="str">
        <f t="shared" si="16"/>
        <v>Exclude</v>
      </c>
      <c r="W330" s="65" t="str">
        <f t="shared" si="17"/>
        <v>Exclude</v>
      </c>
      <c r="Y330" s="63"/>
      <c r="AS330" s="64" t="str">
        <f t="shared" si="18"/>
        <v>Exclude</v>
      </c>
      <c r="AU330" s="65" t="str">
        <f t="shared" si="19"/>
        <v>Exclude</v>
      </c>
    </row>
    <row r="331" spans="1:47" s="64" customFormat="1" x14ac:dyDescent="0.25">
      <c r="A331" s="63"/>
      <c r="U331" s="64" t="str">
        <f t="shared" si="16"/>
        <v>Exclude</v>
      </c>
      <c r="W331" s="65" t="str">
        <f t="shared" si="17"/>
        <v>Exclude</v>
      </c>
      <c r="Y331" s="63"/>
      <c r="AS331" s="64" t="str">
        <f t="shared" si="18"/>
        <v>Exclude</v>
      </c>
      <c r="AU331" s="65" t="str">
        <f t="shared" si="19"/>
        <v>Exclude</v>
      </c>
    </row>
    <row r="332" spans="1:47" s="64" customFormat="1" x14ac:dyDescent="0.25">
      <c r="A332" s="63"/>
      <c r="U332" s="64" t="str">
        <f t="shared" si="16"/>
        <v>Exclude</v>
      </c>
      <c r="W332" s="65" t="str">
        <f t="shared" si="17"/>
        <v>Exclude</v>
      </c>
      <c r="Y332" s="63"/>
      <c r="AS332" s="64" t="str">
        <f t="shared" si="18"/>
        <v>Exclude</v>
      </c>
      <c r="AU332" s="65" t="str">
        <f t="shared" si="19"/>
        <v>Exclude</v>
      </c>
    </row>
    <row r="333" spans="1:47" s="64" customFormat="1" x14ac:dyDescent="0.25">
      <c r="A333" s="63"/>
      <c r="U333" s="64" t="str">
        <f t="shared" si="16"/>
        <v>Exclude</v>
      </c>
      <c r="W333" s="65" t="str">
        <f t="shared" si="17"/>
        <v>Exclude</v>
      </c>
      <c r="Y333" s="63"/>
      <c r="AS333" s="64" t="str">
        <f t="shared" si="18"/>
        <v>Exclude</v>
      </c>
      <c r="AU333" s="65" t="str">
        <f t="shared" si="19"/>
        <v>Exclude</v>
      </c>
    </row>
    <row r="334" spans="1:47" s="64" customFormat="1" x14ac:dyDescent="0.25">
      <c r="A334" s="63"/>
      <c r="U334" s="64" t="str">
        <f t="shared" si="16"/>
        <v>Exclude</v>
      </c>
      <c r="W334" s="65" t="str">
        <f t="shared" si="17"/>
        <v>Exclude</v>
      </c>
      <c r="Y334" s="63"/>
      <c r="AS334" s="64" t="str">
        <f t="shared" si="18"/>
        <v>Exclude</v>
      </c>
      <c r="AU334" s="65" t="str">
        <f t="shared" si="19"/>
        <v>Exclude</v>
      </c>
    </row>
    <row r="335" spans="1:47" s="64" customFormat="1" x14ac:dyDescent="0.25">
      <c r="A335" s="63"/>
      <c r="U335" s="64" t="str">
        <f t="shared" si="16"/>
        <v>Exclude</v>
      </c>
      <c r="W335" s="65" t="str">
        <f t="shared" si="17"/>
        <v>Exclude</v>
      </c>
      <c r="Y335" s="63"/>
      <c r="AS335" s="64" t="str">
        <f t="shared" si="18"/>
        <v>Exclude</v>
      </c>
      <c r="AU335" s="65" t="str">
        <f t="shared" si="19"/>
        <v>Exclude</v>
      </c>
    </row>
    <row r="336" spans="1:47" s="64" customFormat="1" x14ac:dyDescent="0.25">
      <c r="A336" s="63"/>
      <c r="U336" s="64" t="str">
        <f t="shared" si="16"/>
        <v>Exclude</v>
      </c>
      <c r="W336" s="65" t="str">
        <f t="shared" si="17"/>
        <v>Exclude</v>
      </c>
      <c r="Y336" s="63"/>
      <c r="AS336" s="64" t="str">
        <f t="shared" si="18"/>
        <v>Exclude</v>
      </c>
      <c r="AU336" s="65" t="str">
        <f t="shared" si="19"/>
        <v>Exclude</v>
      </c>
    </row>
    <row r="337" spans="1:47" s="64" customFormat="1" x14ac:dyDescent="0.25">
      <c r="A337" s="63"/>
      <c r="U337" s="64" t="str">
        <f t="shared" si="16"/>
        <v>Exclude</v>
      </c>
      <c r="W337" s="65" t="str">
        <f t="shared" si="17"/>
        <v>Exclude</v>
      </c>
      <c r="Y337" s="63"/>
      <c r="AS337" s="64" t="str">
        <f t="shared" si="18"/>
        <v>Exclude</v>
      </c>
      <c r="AU337" s="65" t="str">
        <f t="shared" si="19"/>
        <v>Exclude</v>
      </c>
    </row>
    <row r="338" spans="1:47" s="64" customFormat="1" x14ac:dyDescent="0.25">
      <c r="A338" s="63"/>
      <c r="U338" s="64" t="str">
        <f t="shared" si="16"/>
        <v>Exclude</v>
      </c>
      <c r="W338" s="65" t="str">
        <f t="shared" si="17"/>
        <v>Exclude</v>
      </c>
      <c r="Y338" s="63"/>
      <c r="AS338" s="64" t="str">
        <f t="shared" si="18"/>
        <v>Exclude</v>
      </c>
      <c r="AU338" s="65" t="str">
        <f t="shared" si="19"/>
        <v>Exclude</v>
      </c>
    </row>
    <row r="339" spans="1:47" s="64" customFormat="1" x14ac:dyDescent="0.25">
      <c r="A339" s="63"/>
      <c r="U339" s="64" t="str">
        <f t="shared" si="16"/>
        <v>Exclude</v>
      </c>
      <c r="W339" s="65" t="str">
        <f t="shared" si="17"/>
        <v>Exclude</v>
      </c>
      <c r="Y339" s="63"/>
      <c r="AS339" s="64" t="str">
        <f t="shared" si="18"/>
        <v>Exclude</v>
      </c>
      <c r="AU339" s="65" t="str">
        <f t="shared" si="19"/>
        <v>Exclude</v>
      </c>
    </row>
    <row r="340" spans="1:47" s="64" customFormat="1" x14ac:dyDescent="0.25">
      <c r="A340" s="63"/>
      <c r="U340" s="64" t="str">
        <f t="shared" si="16"/>
        <v>Exclude</v>
      </c>
      <c r="W340" s="65" t="str">
        <f t="shared" si="17"/>
        <v>Exclude</v>
      </c>
      <c r="Y340" s="63"/>
      <c r="AS340" s="64" t="str">
        <f t="shared" si="18"/>
        <v>Exclude</v>
      </c>
      <c r="AU340" s="65" t="str">
        <f t="shared" si="19"/>
        <v>Exclude</v>
      </c>
    </row>
    <row r="341" spans="1:47" s="64" customFormat="1" x14ac:dyDescent="0.25">
      <c r="A341" s="63"/>
      <c r="U341" s="64" t="str">
        <f t="shared" si="16"/>
        <v>Exclude</v>
      </c>
      <c r="W341" s="65" t="str">
        <f t="shared" si="17"/>
        <v>Exclude</v>
      </c>
      <c r="Y341" s="63"/>
      <c r="AS341" s="64" t="str">
        <f t="shared" si="18"/>
        <v>Exclude</v>
      </c>
      <c r="AU341" s="65" t="str">
        <f t="shared" si="19"/>
        <v>Exclude</v>
      </c>
    </row>
    <row r="342" spans="1:47" s="64" customFormat="1" x14ac:dyDescent="0.25">
      <c r="A342" s="63"/>
      <c r="U342" s="64" t="str">
        <f t="shared" si="16"/>
        <v>Exclude</v>
      </c>
      <c r="W342" s="65" t="str">
        <f t="shared" si="17"/>
        <v>Exclude</v>
      </c>
      <c r="Y342" s="63"/>
      <c r="AS342" s="64" t="str">
        <f t="shared" si="18"/>
        <v>Exclude</v>
      </c>
      <c r="AU342" s="65" t="str">
        <f t="shared" si="19"/>
        <v>Exclude</v>
      </c>
    </row>
    <row r="343" spans="1:47" s="64" customFormat="1" x14ac:dyDescent="0.25">
      <c r="A343" s="63"/>
      <c r="U343" s="64" t="str">
        <f t="shared" ref="U343:U406" si="20">IF(OR(R343="TruePositive",R343="TrueNegative"),IF(R342&lt;&gt;"Anticipatory",(N343),"Pant"),"Exclude")</f>
        <v>Exclude</v>
      </c>
      <c r="W343" s="65" t="str">
        <f t="shared" ref="W343:W406" si="21">IF(OR(R343="TruePositive",R343="TrueNegative"),IF(R342&lt;&gt;"Anticipatory",LOG10(N343),"Exclude"),"Exclude")</f>
        <v>Exclude</v>
      </c>
      <c r="Y343" s="63"/>
      <c r="AS343" s="64" t="str">
        <f t="shared" ref="AS343:AS406" si="22">IF(OR(AP343="TruePositive",AP343="TrueNegative"),IF(AP342&lt;&gt;"Anticipatory",(AL343),"Pant"),"Exclude")</f>
        <v>Exclude</v>
      </c>
      <c r="AU343" s="65" t="str">
        <f t="shared" ref="AU343:AU406" si="23">IF(OR(AP343="TruePositive",AP343="TrueNegative"),IF(AP342&lt;&gt;"Anticipatory",LOG10(AL343),"Exclude"),"Exclude")</f>
        <v>Exclude</v>
      </c>
    </row>
    <row r="344" spans="1:47" s="64" customFormat="1" x14ac:dyDescent="0.25">
      <c r="A344" s="63"/>
      <c r="U344" s="64" t="str">
        <f t="shared" si="20"/>
        <v>Exclude</v>
      </c>
      <c r="W344" s="65" t="str">
        <f t="shared" si="21"/>
        <v>Exclude</v>
      </c>
      <c r="Y344" s="63"/>
      <c r="AS344" s="64" t="str">
        <f t="shared" si="22"/>
        <v>Exclude</v>
      </c>
      <c r="AU344" s="65" t="str">
        <f t="shared" si="23"/>
        <v>Exclude</v>
      </c>
    </row>
    <row r="345" spans="1:47" s="64" customFormat="1" x14ac:dyDescent="0.25">
      <c r="A345" s="63"/>
      <c r="U345" s="64" t="str">
        <f t="shared" si="20"/>
        <v>Exclude</v>
      </c>
      <c r="W345" s="65" t="str">
        <f t="shared" si="21"/>
        <v>Exclude</v>
      </c>
      <c r="Y345" s="63"/>
      <c r="AS345" s="64" t="str">
        <f t="shared" si="22"/>
        <v>Exclude</v>
      </c>
      <c r="AU345" s="65" t="str">
        <f t="shared" si="23"/>
        <v>Exclude</v>
      </c>
    </row>
    <row r="346" spans="1:47" s="64" customFormat="1" x14ac:dyDescent="0.25">
      <c r="A346" s="63"/>
      <c r="U346" s="64" t="str">
        <f t="shared" si="20"/>
        <v>Exclude</v>
      </c>
      <c r="W346" s="65" t="str">
        <f t="shared" si="21"/>
        <v>Exclude</v>
      </c>
      <c r="Y346" s="63"/>
      <c r="AS346" s="64" t="str">
        <f t="shared" si="22"/>
        <v>Exclude</v>
      </c>
      <c r="AU346" s="65" t="str">
        <f t="shared" si="23"/>
        <v>Exclude</v>
      </c>
    </row>
    <row r="347" spans="1:47" s="64" customFormat="1" x14ac:dyDescent="0.25">
      <c r="A347" s="63"/>
      <c r="U347" s="64" t="str">
        <f t="shared" si="20"/>
        <v>Exclude</v>
      </c>
      <c r="W347" s="65" t="str">
        <f t="shared" si="21"/>
        <v>Exclude</v>
      </c>
      <c r="Y347" s="63"/>
      <c r="AS347" s="64" t="str">
        <f t="shared" si="22"/>
        <v>Exclude</v>
      </c>
      <c r="AU347" s="65" t="str">
        <f t="shared" si="23"/>
        <v>Exclude</v>
      </c>
    </row>
    <row r="348" spans="1:47" s="64" customFormat="1" x14ac:dyDescent="0.25">
      <c r="A348" s="63"/>
      <c r="U348" s="64" t="str">
        <f t="shared" si="20"/>
        <v>Exclude</v>
      </c>
      <c r="W348" s="65" t="str">
        <f t="shared" si="21"/>
        <v>Exclude</v>
      </c>
      <c r="Y348" s="63"/>
      <c r="AS348" s="64" t="str">
        <f t="shared" si="22"/>
        <v>Exclude</v>
      </c>
      <c r="AU348" s="65" t="str">
        <f t="shared" si="23"/>
        <v>Exclude</v>
      </c>
    </row>
    <row r="349" spans="1:47" s="64" customFormat="1" x14ac:dyDescent="0.25">
      <c r="A349" s="63"/>
      <c r="U349" s="64" t="str">
        <f t="shared" si="20"/>
        <v>Exclude</v>
      </c>
      <c r="W349" s="65" t="str">
        <f t="shared" si="21"/>
        <v>Exclude</v>
      </c>
      <c r="Y349" s="63"/>
      <c r="AS349" s="64" t="str">
        <f t="shared" si="22"/>
        <v>Exclude</v>
      </c>
      <c r="AU349" s="65" t="str">
        <f t="shared" si="23"/>
        <v>Exclude</v>
      </c>
    </row>
    <row r="350" spans="1:47" s="64" customFormat="1" x14ac:dyDescent="0.25">
      <c r="A350" s="63"/>
      <c r="U350" s="64" t="str">
        <f t="shared" si="20"/>
        <v>Exclude</v>
      </c>
      <c r="W350" s="65" t="str">
        <f t="shared" si="21"/>
        <v>Exclude</v>
      </c>
      <c r="Y350" s="63"/>
      <c r="AS350" s="64" t="str">
        <f t="shared" si="22"/>
        <v>Exclude</v>
      </c>
      <c r="AU350" s="65" t="str">
        <f t="shared" si="23"/>
        <v>Exclude</v>
      </c>
    </row>
    <row r="351" spans="1:47" s="64" customFormat="1" x14ac:dyDescent="0.25">
      <c r="A351" s="63"/>
      <c r="U351" s="64" t="str">
        <f t="shared" si="20"/>
        <v>Exclude</v>
      </c>
      <c r="W351" s="65" t="str">
        <f t="shared" si="21"/>
        <v>Exclude</v>
      </c>
      <c r="Y351" s="63"/>
      <c r="AS351" s="64" t="str">
        <f t="shared" si="22"/>
        <v>Exclude</v>
      </c>
      <c r="AU351" s="65" t="str">
        <f t="shared" si="23"/>
        <v>Exclude</v>
      </c>
    </row>
    <row r="352" spans="1:47" s="64" customFormat="1" x14ac:dyDescent="0.25">
      <c r="A352" s="63"/>
      <c r="U352" s="64" t="str">
        <f t="shared" si="20"/>
        <v>Exclude</v>
      </c>
      <c r="W352" s="65" t="str">
        <f t="shared" si="21"/>
        <v>Exclude</v>
      </c>
      <c r="Y352" s="63"/>
      <c r="AS352" s="64" t="str">
        <f t="shared" si="22"/>
        <v>Exclude</v>
      </c>
      <c r="AU352" s="65" t="str">
        <f t="shared" si="23"/>
        <v>Exclude</v>
      </c>
    </row>
    <row r="353" spans="1:47" s="64" customFormat="1" x14ac:dyDescent="0.25">
      <c r="A353" s="63"/>
      <c r="U353" s="64" t="str">
        <f t="shared" si="20"/>
        <v>Exclude</v>
      </c>
      <c r="W353" s="65" t="str">
        <f t="shared" si="21"/>
        <v>Exclude</v>
      </c>
      <c r="Y353" s="63"/>
      <c r="AS353" s="64" t="str">
        <f t="shared" si="22"/>
        <v>Exclude</v>
      </c>
      <c r="AU353" s="65" t="str">
        <f t="shared" si="23"/>
        <v>Exclude</v>
      </c>
    </row>
    <row r="354" spans="1:47" s="64" customFormat="1" x14ac:dyDescent="0.25">
      <c r="A354" s="63"/>
      <c r="U354" s="64" t="str">
        <f t="shared" si="20"/>
        <v>Exclude</v>
      </c>
      <c r="W354" s="65" t="str">
        <f t="shared" si="21"/>
        <v>Exclude</v>
      </c>
      <c r="Y354" s="63"/>
      <c r="AS354" s="64" t="str">
        <f t="shared" si="22"/>
        <v>Exclude</v>
      </c>
      <c r="AU354" s="65" t="str">
        <f t="shared" si="23"/>
        <v>Exclude</v>
      </c>
    </row>
    <row r="355" spans="1:47" s="64" customFormat="1" x14ac:dyDescent="0.25">
      <c r="A355" s="63"/>
      <c r="U355" s="64" t="str">
        <f t="shared" si="20"/>
        <v>Exclude</v>
      </c>
      <c r="W355" s="65" t="str">
        <f t="shared" si="21"/>
        <v>Exclude</v>
      </c>
      <c r="Y355" s="63"/>
      <c r="AS355" s="64" t="str">
        <f t="shared" si="22"/>
        <v>Exclude</v>
      </c>
      <c r="AU355" s="65" t="str">
        <f t="shared" si="23"/>
        <v>Exclude</v>
      </c>
    </row>
    <row r="356" spans="1:47" s="64" customFormat="1" x14ac:dyDescent="0.25">
      <c r="A356" s="63"/>
      <c r="U356" s="64" t="str">
        <f t="shared" si="20"/>
        <v>Exclude</v>
      </c>
      <c r="W356" s="65" t="str">
        <f t="shared" si="21"/>
        <v>Exclude</v>
      </c>
      <c r="Y356" s="63"/>
      <c r="AS356" s="64" t="str">
        <f t="shared" si="22"/>
        <v>Exclude</v>
      </c>
      <c r="AU356" s="65" t="str">
        <f t="shared" si="23"/>
        <v>Exclude</v>
      </c>
    </row>
    <row r="357" spans="1:47" s="64" customFormat="1" x14ac:dyDescent="0.25">
      <c r="A357" s="63"/>
      <c r="U357" s="64" t="str">
        <f t="shared" si="20"/>
        <v>Exclude</v>
      </c>
      <c r="W357" s="65" t="str">
        <f t="shared" si="21"/>
        <v>Exclude</v>
      </c>
      <c r="Y357" s="63"/>
      <c r="AS357" s="64" t="str">
        <f t="shared" si="22"/>
        <v>Exclude</v>
      </c>
      <c r="AU357" s="65" t="str">
        <f t="shared" si="23"/>
        <v>Exclude</v>
      </c>
    </row>
    <row r="358" spans="1:47" s="64" customFormat="1" x14ac:dyDescent="0.25">
      <c r="A358" s="63"/>
      <c r="U358" s="64" t="str">
        <f t="shared" si="20"/>
        <v>Exclude</v>
      </c>
      <c r="W358" s="65" t="str">
        <f t="shared" si="21"/>
        <v>Exclude</v>
      </c>
      <c r="Y358" s="63"/>
      <c r="AS358" s="64" t="str">
        <f t="shared" si="22"/>
        <v>Exclude</v>
      </c>
      <c r="AU358" s="65" t="str">
        <f t="shared" si="23"/>
        <v>Exclude</v>
      </c>
    </row>
    <row r="359" spans="1:47" s="64" customFormat="1" x14ac:dyDescent="0.25">
      <c r="A359" s="63"/>
      <c r="U359" s="64" t="str">
        <f t="shared" si="20"/>
        <v>Exclude</v>
      </c>
      <c r="W359" s="65" t="str">
        <f t="shared" si="21"/>
        <v>Exclude</v>
      </c>
      <c r="Y359" s="63"/>
      <c r="AS359" s="64" t="str">
        <f t="shared" si="22"/>
        <v>Exclude</v>
      </c>
      <c r="AU359" s="65" t="str">
        <f t="shared" si="23"/>
        <v>Exclude</v>
      </c>
    </row>
    <row r="360" spans="1:47" s="64" customFormat="1" x14ac:dyDescent="0.25">
      <c r="A360" s="63"/>
      <c r="U360" s="64" t="str">
        <f t="shared" si="20"/>
        <v>Exclude</v>
      </c>
      <c r="W360" s="65" t="str">
        <f t="shared" si="21"/>
        <v>Exclude</v>
      </c>
      <c r="Y360" s="63"/>
      <c r="AS360" s="64" t="str">
        <f t="shared" si="22"/>
        <v>Exclude</v>
      </c>
      <c r="AU360" s="65" t="str">
        <f t="shared" si="23"/>
        <v>Exclude</v>
      </c>
    </row>
    <row r="361" spans="1:47" s="64" customFormat="1" x14ac:dyDescent="0.25">
      <c r="A361" s="63"/>
      <c r="U361" s="64" t="str">
        <f t="shared" si="20"/>
        <v>Exclude</v>
      </c>
      <c r="W361" s="65" t="str">
        <f t="shared" si="21"/>
        <v>Exclude</v>
      </c>
      <c r="Y361" s="63"/>
      <c r="AS361" s="64" t="str">
        <f t="shared" si="22"/>
        <v>Exclude</v>
      </c>
      <c r="AU361" s="65" t="str">
        <f t="shared" si="23"/>
        <v>Exclude</v>
      </c>
    </row>
    <row r="362" spans="1:47" s="64" customFormat="1" x14ac:dyDescent="0.25">
      <c r="A362" s="63"/>
      <c r="U362" s="64" t="str">
        <f t="shared" si="20"/>
        <v>Exclude</v>
      </c>
      <c r="W362" s="65" t="str">
        <f t="shared" si="21"/>
        <v>Exclude</v>
      </c>
      <c r="Y362" s="63"/>
      <c r="AS362" s="64" t="str">
        <f t="shared" si="22"/>
        <v>Exclude</v>
      </c>
      <c r="AU362" s="65" t="str">
        <f t="shared" si="23"/>
        <v>Exclude</v>
      </c>
    </row>
    <row r="363" spans="1:47" s="64" customFormat="1" x14ac:dyDescent="0.25">
      <c r="A363" s="63"/>
      <c r="U363" s="64" t="str">
        <f t="shared" si="20"/>
        <v>Exclude</v>
      </c>
      <c r="W363" s="65" t="str">
        <f t="shared" si="21"/>
        <v>Exclude</v>
      </c>
      <c r="Y363" s="63"/>
      <c r="AS363" s="64" t="str">
        <f t="shared" si="22"/>
        <v>Exclude</v>
      </c>
      <c r="AU363" s="65" t="str">
        <f t="shared" si="23"/>
        <v>Exclude</v>
      </c>
    </row>
    <row r="364" spans="1:47" s="64" customFormat="1" x14ac:dyDescent="0.25">
      <c r="A364" s="63"/>
      <c r="U364" s="64" t="str">
        <f t="shared" si="20"/>
        <v>Exclude</v>
      </c>
      <c r="W364" s="65" t="str">
        <f t="shared" si="21"/>
        <v>Exclude</v>
      </c>
      <c r="Y364" s="63"/>
      <c r="AS364" s="64" t="str">
        <f t="shared" si="22"/>
        <v>Exclude</v>
      </c>
      <c r="AU364" s="65" t="str">
        <f t="shared" si="23"/>
        <v>Exclude</v>
      </c>
    </row>
    <row r="365" spans="1:47" s="64" customFormat="1" x14ac:dyDescent="0.25">
      <c r="A365" s="63"/>
      <c r="U365" s="64" t="str">
        <f t="shared" si="20"/>
        <v>Exclude</v>
      </c>
      <c r="W365" s="65" t="str">
        <f t="shared" si="21"/>
        <v>Exclude</v>
      </c>
      <c r="Y365" s="63"/>
      <c r="AS365" s="64" t="str">
        <f t="shared" si="22"/>
        <v>Exclude</v>
      </c>
      <c r="AU365" s="65" t="str">
        <f t="shared" si="23"/>
        <v>Exclude</v>
      </c>
    </row>
    <row r="366" spans="1:47" s="64" customFormat="1" x14ac:dyDescent="0.25">
      <c r="A366" s="63"/>
      <c r="U366" s="64" t="str">
        <f t="shared" si="20"/>
        <v>Exclude</v>
      </c>
      <c r="W366" s="65" t="str">
        <f t="shared" si="21"/>
        <v>Exclude</v>
      </c>
      <c r="Y366" s="63"/>
      <c r="AS366" s="64" t="str">
        <f t="shared" si="22"/>
        <v>Exclude</v>
      </c>
      <c r="AU366" s="65" t="str">
        <f t="shared" si="23"/>
        <v>Exclude</v>
      </c>
    </row>
    <row r="367" spans="1:47" s="64" customFormat="1" x14ac:dyDescent="0.25">
      <c r="A367" s="63"/>
      <c r="U367" s="64" t="str">
        <f t="shared" si="20"/>
        <v>Exclude</v>
      </c>
      <c r="W367" s="65" t="str">
        <f t="shared" si="21"/>
        <v>Exclude</v>
      </c>
      <c r="Y367" s="63"/>
      <c r="AS367" s="64" t="str">
        <f t="shared" si="22"/>
        <v>Exclude</v>
      </c>
      <c r="AU367" s="65" t="str">
        <f t="shared" si="23"/>
        <v>Exclude</v>
      </c>
    </row>
    <row r="368" spans="1:47" s="64" customFormat="1" x14ac:dyDescent="0.25">
      <c r="A368" s="63"/>
      <c r="U368" s="64" t="str">
        <f t="shared" si="20"/>
        <v>Exclude</v>
      </c>
      <c r="W368" s="65" t="str">
        <f t="shared" si="21"/>
        <v>Exclude</v>
      </c>
      <c r="Y368" s="63"/>
      <c r="AS368" s="64" t="str">
        <f t="shared" si="22"/>
        <v>Exclude</v>
      </c>
      <c r="AU368" s="65" t="str">
        <f t="shared" si="23"/>
        <v>Exclude</v>
      </c>
    </row>
    <row r="369" spans="1:47" s="64" customFormat="1" x14ac:dyDescent="0.25">
      <c r="A369" s="63"/>
      <c r="U369" s="64" t="str">
        <f t="shared" si="20"/>
        <v>Exclude</v>
      </c>
      <c r="W369" s="65" t="str">
        <f t="shared" si="21"/>
        <v>Exclude</v>
      </c>
      <c r="Y369" s="63"/>
      <c r="AS369" s="64" t="str">
        <f t="shared" si="22"/>
        <v>Exclude</v>
      </c>
      <c r="AU369" s="65" t="str">
        <f t="shared" si="23"/>
        <v>Exclude</v>
      </c>
    </row>
    <row r="370" spans="1:47" s="64" customFormat="1" x14ac:dyDescent="0.25">
      <c r="A370" s="63"/>
      <c r="U370" s="64" t="str">
        <f t="shared" si="20"/>
        <v>Exclude</v>
      </c>
      <c r="W370" s="65" t="str">
        <f t="shared" si="21"/>
        <v>Exclude</v>
      </c>
      <c r="Y370" s="63"/>
      <c r="AS370" s="64" t="str">
        <f t="shared" si="22"/>
        <v>Exclude</v>
      </c>
      <c r="AU370" s="65" t="str">
        <f t="shared" si="23"/>
        <v>Exclude</v>
      </c>
    </row>
    <row r="371" spans="1:47" s="64" customFormat="1" x14ac:dyDescent="0.25">
      <c r="A371" s="63"/>
      <c r="U371" s="64" t="str">
        <f t="shared" si="20"/>
        <v>Exclude</v>
      </c>
      <c r="W371" s="65" t="str">
        <f t="shared" si="21"/>
        <v>Exclude</v>
      </c>
      <c r="Y371" s="63"/>
      <c r="AS371" s="64" t="str">
        <f t="shared" si="22"/>
        <v>Exclude</v>
      </c>
      <c r="AU371" s="65" t="str">
        <f t="shared" si="23"/>
        <v>Exclude</v>
      </c>
    </row>
    <row r="372" spans="1:47" s="64" customFormat="1" x14ac:dyDescent="0.25">
      <c r="A372" s="63"/>
      <c r="U372" s="64" t="str">
        <f t="shared" si="20"/>
        <v>Exclude</v>
      </c>
      <c r="W372" s="65" t="str">
        <f t="shared" si="21"/>
        <v>Exclude</v>
      </c>
      <c r="Y372" s="63"/>
      <c r="AS372" s="64" t="str">
        <f t="shared" si="22"/>
        <v>Exclude</v>
      </c>
      <c r="AU372" s="65" t="str">
        <f t="shared" si="23"/>
        <v>Exclude</v>
      </c>
    </row>
    <row r="373" spans="1:47" s="64" customFormat="1" x14ac:dyDescent="0.25">
      <c r="A373" s="63"/>
      <c r="U373" s="64" t="str">
        <f t="shared" si="20"/>
        <v>Exclude</v>
      </c>
      <c r="W373" s="65" t="str">
        <f t="shared" si="21"/>
        <v>Exclude</v>
      </c>
      <c r="Y373" s="63"/>
      <c r="AS373" s="64" t="str">
        <f t="shared" si="22"/>
        <v>Exclude</v>
      </c>
      <c r="AU373" s="65" t="str">
        <f t="shared" si="23"/>
        <v>Exclude</v>
      </c>
    </row>
    <row r="374" spans="1:47" s="64" customFormat="1" x14ac:dyDescent="0.25">
      <c r="A374" s="63"/>
      <c r="U374" s="64" t="str">
        <f t="shared" si="20"/>
        <v>Exclude</v>
      </c>
      <c r="W374" s="65" t="str">
        <f t="shared" si="21"/>
        <v>Exclude</v>
      </c>
      <c r="Y374" s="63"/>
      <c r="AS374" s="64" t="str">
        <f t="shared" si="22"/>
        <v>Exclude</v>
      </c>
      <c r="AU374" s="65" t="str">
        <f t="shared" si="23"/>
        <v>Exclude</v>
      </c>
    </row>
    <row r="375" spans="1:47" s="64" customFormat="1" x14ac:dyDescent="0.25">
      <c r="A375" s="63"/>
      <c r="U375" s="64" t="str">
        <f t="shared" si="20"/>
        <v>Exclude</v>
      </c>
      <c r="W375" s="65" t="str">
        <f t="shared" si="21"/>
        <v>Exclude</v>
      </c>
      <c r="Y375" s="63"/>
      <c r="AS375" s="64" t="str">
        <f t="shared" si="22"/>
        <v>Exclude</v>
      </c>
      <c r="AU375" s="65" t="str">
        <f t="shared" si="23"/>
        <v>Exclude</v>
      </c>
    </row>
    <row r="376" spans="1:47" s="64" customFormat="1" x14ac:dyDescent="0.25">
      <c r="A376" s="63"/>
      <c r="U376" s="64" t="str">
        <f t="shared" si="20"/>
        <v>Exclude</v>
      </c>
      <c r="W376" s="65" t="str">
        <f t="shared" si="21"/>
        <v>Exclude</v>
      </c>
      <c r="Y376" s="63"/>
      <c r="AS376" s="64" t="str">
        <f t="shared" si="22"/>
        <v>Exclude</v>
      </c>
      <c r="AU376" s="65" t="str">
        <f t="shared" si="23"/>
        <v>Exclude</v>
      </c>
    </row>
    <row r="377" spans="1:47" s="64" customFormat="1" x14ac:dyDescent="0.25">
      <c r="A377" s="63"/>
      <c r="U377" s="64" t="str">
        <f t="shared" si="20"/>
        <v>Exclude</v>
      </c>
      <c r="W377" s="65" t="str">
        <f t="shared" si="21"/>
        <v>Exclude</v>
      </c>
      <c r="Y377" s="63"/>
      <c r="AS377" s="64" t="str">
        <f t="shared" si="22"/>
        <v>Exclude</v>
      </c>
      <c r="AU377" s="65" t="str">
        <f t="shared" si="23"/>
        <v>Exclude</v>
      </c>
    </row>
    <row r="378" spans="1:47" s="64" customFormat="1" x14ac:dyDescent="0.25">
      <c r="A378" s="63"/>
      <c r="U378" s="64" t="str">
        <f t="shared" si="20"/>
        <v>Exclude</v>
      </c>
      <c r="W378" s="65" t="str">
        <f t="shared" si="21"/>
        <v>Exclude</v>
      </c>
      <c r="Y378" s="63"/>
      <c r="AS378" s="64" t="str">
        <f t="shared" si="22"/>
        <v>Exclude</v>
      </c>
      <c r="AU378" s="65" t="str">
        <f t="shared" si="23"/>
        <v>Exclude</v>
      </c>
    </row>
    <row r="379" spans="1:47" s="64" customFormat="1" x14ac:dyDescent="0.25">
      <c r="A379" s="63"/>
      <c r="U379" s="64" t="str">
        <f t="shared" si="20"/>
        <v>Exclude</v>
      </c>
      <c r="W379" s="65" t="str">
        <f t="shared" si="21"/>
        <v>Exclude</v>
      </c>
      <c r="Y379" s="63"/>
      <c r="AS379" s="64" t="str">
        <f t="shared" si="22"/>
        <v>Exclude</v>
      </c>
      <c r="AU379" s="65" t="str">
        <f t="shared" si="23"/>
        <v>Exclude</v>
      </c>
    </row>
    <row r="380" spans="1:47" s="64" customFormat="1" x14ac:dyDescent="0.25">
      <c r="A380" s="63"/>
      <c r="U380" s="64" t="str">
        <f t="shared" si="20"/>
        <v>Exclude</v>
      </c>
      <c r="W380" s="65" t="str">
        <f t="shared" si="21"/>
        <v>Exclude</v>
      </c>
      <c r="Y380" s="63"/>
      <c r="AS380" s="64" t="str">
        <f t="shared" si="22"/>
        <v>Exclude</v>
      </c>
      <c r="AU380" s="65" t="str">
        <f t="shared" si="23"/>
        <v>Exclude</v>
      </c>
    </row>
    <row r="381" spans="1:47" s="64" customFormat="1" x14ac:dyDescent="0.25">
      <c r="A381" s="63"/>
      <c r="U381" s="64" t="str">
        <f t="shared" si="20"/>
        <v>Exclude</v>
      </c>
      <c r="W381" s="65" t="str">
        <f t="shared" si="21"/>
        <v>Exclude</v>
      </c>
      <c r="Y381" s="63"/>
      <c r="AS381" s="64" t="str">
        <f t="shared" si="22"/>
        <v>Exclude</v>
      </c>
      <c r="AU381" s="65" t="str">
        <f t="shared" si="23"/>
        <v>Exclude</v>
      </c>
    </row>
    <row r="382" spans="1:47" s="64" customFormat="1" x14ac:dyDescent="0.25">
      <c r="A382" s="63"/>
      <c r="U382" s="64" t="str">
        <f t="shared" si="20"/>
        <v>Exclude</v>
      </c>
      <c r="W382" s="65" t="str">
        <f t="shared" si="21"/>
        <v>Exclude</v>
      </c>
      <c r="Y382" s="63"/>
      <c r="AS382" s="64" t="str">
        <f t="shared" si="22"/>
        <v>Exclude</v>
      </c>
      <c r="AU382" s="65" t="str">
        <f t="shared" si="23"/>
        <v>Exclude</v>
      </c>
    </row>
    <row r="383" spans="1:47" s="64" customFormat="1" x14ac:dyDescent="0.25">
      <c r="A383" s="63"/>
      <c r="U383" s="64" t="str">
        <f t="shared" si="20"/>
        <v>Exclude</v>
      </c>
      <c r="W383" s="65" t="str">
        <f t="shared" si="21"/>
        <v>Exclude</v>
      </c>
      <c r="Y383" s="63"/>
      <c r="AS383" s="64" t="str">
        <f t="shared" si="22"/>
        <v>Exclude</v>
      </c>
      <c r="AU383" s="65" t="str">
        <f t="shared" si="23"/>
        <v>Exclude</v>
      </c>
    </row>
    <row r="384" spans="1:47" s="64" customFormat="1" x14ac:dyDescent="0.25">
      <c r="A384" s="63"/>
      <c r="U384" s="64" t="str">
        <f t="shared" si="20"/>
        <v>Exclude</v>
      </c>
      <c r="W384" s="65" t="str">
        <f t="shared" si="21"/>
        <v>Exclude</v>
      </c>
      <c r="Y384" s="63"/>
      <c r="AS384" s="64" t="str">
        <f t="shared" si="22"/>
        <v>Exclude</v>
      </c>
      <c r="AU384" s="65" t="str">
        <f t="shared" si="23"/>
        <v>Exclude</v>
      </c>
    </row>
    <row r="385" spans="1:47" s="64" customFormat="1" x14ac:dyDescent="0.25">
      <c r="A385" s="63"/>
      <c r="U385" s="64" t="str">
        <f t="shared" si="20"/>
        <v>Exclude</v>
      </c>
      <c r="W385" s="65" t="str">
        <f t="shared" si="21"/>
        <v>Exclude</v>
      </c>
      <c r="Y385" s="63"/>
      <c r="AS385" s="64" t="str">
        <f t="shared" si="22"/>
        <v>Exclude</v>
      </c>
      <c r="AU385" s="65" t="str">
        <f t="shared" si="23"/>
        <v>Exclude</v>
      </c>
    </row>
    <row r="386" spans="1:47" s="64" customFormat="1" x14ac:dyDescent="0.25">
      <c r="A386" s="63"/>
      <c r="U386" s="64" t="str">
        <f t="shared" si="20"/>
        <v>Exclude</v>
      </c>
      <c r="W386" s="65" t="str">
        <f t="shared" si="21"/>
        <v>Exclude</v>
      </c>
      <c r="Y386" s="63"/>
      <c r="AS386" s="64" t="str">
        <f t="shared" si="22"/>
        <v>Exclude</v>
      </c>
      <c r="AU386" s="65" t="str">
        <f t="shared" si="23"/>
        <v>Exclude</v>
      </c>
    </row>
    <row r="387" spans="1:47" s="64" customFormat="1" x14ac:dyDescent="0.25">
      <c r="A387" s="63"/>
      <c r="U387" s="64" t="str">
        <f t="shared" si="20"/>
        <v>Exclude</v>
      </c>
      <c r="W387" s="65" t="str">
        <f t="shared" si="21"/>
        <v>Exclude</v>
      </c>
      <c r="Y387" s="63"/>
      <c r="AS387" s="64" t="str">
        <f t="shared" si="22"/>
        <v>Exclude</v>
      </c>
      <c r="AU387" s="65" t="str">
        <f t="shared" si="23"/>
        <v>Exclude</v>
      </c>
    </row>
    <row r="388" spans="1:47" s="64" customFormat="1" x14ac:dyDescent="0.25">
      <c r="A388" s="63"/>
      <c r="U388" s="64" t="str">
        <f t="shared" si="20"/>
        <v>Exclude</v>
      </c>
      <c r="W388" s="65" t="str">
        <f t="shared" si="21"/>
        <v>Exclude</v>
      </c>
      <c r="Y388" s="63"/>
      <c r="AS388" s="64" t="str">
        <f t="shared" si="22"/>
        <v>Exclude</v>
      </c>
      <c r="AU388" s="65" t="str">
        <f t="shared" si="23"/>
        <v>Exclude</v>
      </c>
    </row>
    <row r="389" spans="1:47" s="64" customFormat="1" x14ac:dyDescent="0.25">
      <c r="A389" s="63"/>
      <c r="U389" s="64" t="str">
        <f t="shared" si="20"/>
        <v>Exclude</v>
      </c>
      <c r="W389" s="65" t="str">
        <f t="shared" si="21"/>
        <v>Exclude</v>
      </c>
      <c r="Y389" s="63"/>
      <c r="AS389" s="64" t="str">
        <f t="shared" si="22"/>
        <v>Exclude</v>
      </c>
      <c r="AU389" s="65" t="str">
        <f t="shared" si="23"/>
        <v>Exclude</v>
      </c>
    </row>
    <row r="390" spans="1:47" s="64" customFormat="1" x14ac:dyDescent="0.25">
      <c r="A390" s="63"/>
      <c r="U390" s="64" t="str">
        <f t="shared" si="20"/>
        <v>Exclude</v>
      </c>
      <c r="W390" s="65" t="str">
        <f t="shared" si="21"/>
        <v>Exclude</v>
      </c>
      <c r="Y390" s="63"/>
      <c r="AS390" s="64" t="str">
        <f t="shared" si="22"/>
        <v>Exclude</v>
      </c>
      <c r="AU390" s="65" t="str">
        <f t="shared" si="23"/>
        <v>Exclude</v>
      </c>
    </row>
    <row r="391" spans="1:47" s="64" customFormat="1" x14ac:dyDescent="0.25">
      <c r="A391" s="63"/>
      <c r="U391" s="64" t="str">
        <f t="shared" si="20"/>
        <v>Exclude</v>
      </c>
      <c r="W391" s="65" t="str">
        <f t="shared" si="21"/>
        <v>Exclude</v>
      </c>
      <c r="Y391" s="63"/>
      <c r="AS391" s="64" t="str">
        <f t="shared" si="22"/>
        <v>Exclude</v>
      </c>
      <c r="AU391" s="65" t="str">
        <f t="shared" si="23"/>
        <v>Exclude</v>
      </c>
    </row>
    <row r="392" spans="1:47" s="64" customFormat="1" x14ac:dyDescent="0.25">
      <c r="A392" s="63"/>
      <c r="U392" s="64" t="str">
        <f t="shared" si="20"/>
        <v>Exclude</v>
      </c>
      <c r="W392" s="65" t="str">
        <f t="shared" si="21"/>
        <v>Exclude</v>
      </c>
      <c r="Y392" s="63"/>
      <c r="AS392" s="64" t="str">
        <f t="shared" si="22"/>
        <v>Exclude</v>
      </c>
      <c r="AU392" s="65" t="str">
        <f t="shared" si="23"/>
        <v>Exclude</v>
      </c>
    </row>
    <row r="393" spans="1:47" s="64" customFormat="1" x14ac:dyDescent="0.25">
      <c r="A393" s="63"/>
      <c r="U393" s="64" t="str">
        <f t="shared" si="20"/>
        <v>Exclude</v>
      </c>
      <c r="W393" s="65" t="str">
        <f t="shared" si="21"/>
        <v>Exclude</v>
      </c>
      <c r="Y393" s="63"/>
      <c r="AS393" s="64" t="str">
        <f t="shared" si="22"/>
        <v>Exclude</v>
      </c>
      <c r="AU393" s="65" t="str">
        <f t="shared" si="23"/>
        <v>Exclude</v>
      </c>
    </row>
    <row r="394" spans="1:47" s="64" customFormat="1" x14ac:dyDescent="0.25">
      <c r="A394" s="63"/>
      <c r="U394" s="64" t="str">
        <f t="shared" si="20"/>
        <v>Exclude</v>
      </c>
      <c r="W394" s="65" t="str">
        <f t="shared" si="21"/>
        <v>Exclude</v>
      </c>
      <c r="Y394" s="63"/>
      <c r="AS394" s="64" t="str">
        <f t="shared" si="22"/>
        <v>Exclude</v>
      </c>
      <c r="AU394" s="65" t="str">
        <f t="shared" si="23"/>
        <v>Exclude</v>
      </c>
    </row>
    <row r="395" spans="1:47" s="64" customFormat="1" x14ac:dyDescent="0.25">
      <c r="A395" s="63"/>
      <c r="U395" s="64" t="str">
        <f t="shared" si="20"/>
        <v>Exclude</v>
      </c>
      <c r="W395" s="65" t="str">
        <f t="shared" si="21"/>
        <v>Exclude</v>
      </c>
      <c r="Y395" s="63"/>
      <c r="AS395" s="64" t="str">
        <f t="shared" si="22"/>
        <v>Exclude</v>
      </c>
      <c r="AU395" s="65" t="str">
        <f t="shared" si="23"/>
        <v>Exclude</v>
      </c>
    </row>
    <row r="396" spans="1:47" s="64" customFormat="1" x14ac:dyDescent="0.25">
      <c r="A396" s="63"/>
      <c r="U396" s="64" t="str">
        <f t="shared" si="20"/>
        <v>Exclude</v>
      </c>
      <c r="W396" s="65" t="str">
        <f t="shared" si="21"/>
        <v>Exclude</v>
      </c>
      <c r="Y396" s="63"/>
      <c r="AS396" s="64" t="str">
        <f t="shared" si="22"/>
        <v>Exclude</v>
      </c>
      <c r="AU396" s="65" t="str">
        <f t="shared" si="23"/>
        <v>Exclude</v>
      </c>
    </row>
    <row r="397" spans="1:47" s="64" customFormat="1" x14ac:dyDescent="0.25">
      <c r="A397" s="63"/>
      <c r="U397" s="64" t="str">
        <f t="shared" si="20"/>
        <v>Exclude</v>
      </c>
      <c r="W397" s="65" t="str">
        <f t="shared" si="21"/>
        <v>Exclude</v>
      </c>
      <c r="Y397" s="63"/>
      <c r="AS397" s="64" t="str">
        <f t="shared" si="22"/>
        <v>Exclude</v>
      </c>
      <c r="AU397" s="65" t="str">
        <f t="shared" si="23"/>
        <v>Exclude</v>
      </c>
    </row>
    <row r="398" spans="1:47" s="64" customFormat="1" x14ac:dyDescent="0.25">
      <c r="A398" s="63"/>
      <c r="U398" s="64" t="str">
        <f t="shared" si="20"/>
        <v>Exclude</v>
      </c>
      <c r="W398" s="65" t="str">
        <f t="shared" si="21"/>
        <v>Exclude</v>
      </c>
      <c r="Y398" s="63"/>
      <c r="AS398" s="64" t="str">
        <f t="shared" si="22"/>
        <v>Exclude</v>
      </c>
      <c r="AU398" s="65" t="str">
        <f t="shared" si="23"/>
        <v>Exclude</v>
      </c>
    </row>
    <row r="399" spans="1:47" s="64" customFormat="1" x14ac:dyDescent="0.25">
      <c r="A399" s="63"/>
      <c r="U399" s="64" t="str">
        <f t="shared" si="20"/>
        <v>Exclude</v>
      </c>
      <c r="W399" s="65" t="str">
        <f t="shared" si="21"/>
        <v>Exclude</v>
      </c>
      <c r="Y399" s="63"/>
      <c r="AS399" s="64" t="str">
        <f t="shared" si="22"/>
        <v>Exclude</v>
      </c>
      <c r="AU399" s="65" t="str">
        <f t="shared" si="23"/>
        <v>Exclude</v>
      </c>
    </row>
    <row r="400" spans="1:47" s="64" customFormat="1" x14ac:dyDescent="0.25">
      <c r="A400" s="63"/>
      <c r="U400" s="64" t="str">
        <f t="shared" si="20"/>
        <v>Exclude</v>
      </c>
      <c r="W400" s="65" t="str">
        <f t="shared" si="21"/>
        <v>Exclude</v>
      </c>
      <c r="Y400" s="63"/>
      <c r="AS400" s="64" t="str">
        <f t="shared" si="22"/>
        <v>Exclude</v>
      </c>
      <c r="AU400" s="65" t="str">
        <f t="shared" si="23"/>
        <v>Exclude</v>
      </c>
    </row>
    <row r="401" spans="1:47" s="64" customFormat="1" x14ac:dyDescent="0.25">
      <c r="A401" s="63"/>
      <c r="U401" s="64" t="str">
        <f t="shared" si="20"/>
        <v>Exclude</v>
      </c>
      <c r="W401" s="65" t="str">
        <f t="shared" si="21"/>
        <v>Exclude</v>
      </c>
      <c r="Y401" s="63"/>
      <c r="AS401" s="64" t="str">
        <f t="shared" si="22"/>
        <v>Exclude</v>
      </c>
      <c r="AU401" s="65" t="str">
        <f t="shared" si="23"/>
        <v>Exclude</v>
      </c>
    </row>
    <row r="402" spans="1:47" s="64" customFormat="1" x14ac:dyDescent="0.25">
      <c r="A402" s="63"/>
      <c r="U402" s="64" t="str">
        <f t="shared" si="20"/>
        <v>Exclude</v>
      </c>
      <c r="W402" s="65" t="str">
        <f t="shared" si="21"/>
        <v>Exclude</v>
      </c>
      <c r="Y402" s="63"/>
      <c r="AS402" s="64" t="str">
        <f t="shared" si="22"/>
        <v>Exclude</v>
      </c>
      <c r="AU402" s="65" t="str">
        <f t="shared" si="23"/>
        <v>Exclude</v>
      </c>
    </row>
    <row r="403" spans="1:47" s="64" customFormat="1" x14ac:dyDescent="0.25">
      <c r="A403" s="63"/>
      <c r="U403" s="64" t="str">
        <f t="shared" si="20"/>
        <v>Exclude</v>
      </c>
      <c r="W403" s="65" t="str">
        <f t="shared" si="21"/>
        <v>Exclude</v>
      </c>
      <c r="Y403" s="63"/>
      <c r="AS403" s="64" t="str">
        <f t="shared" si="22"/>
        <v>Exclude</v>
      </c>
      <c r="AU403" s="65" t="str">
        <f t="shared" si="23"/>
        <v>Exclude</v>
      </c>
    </row>
    <row r="404" spans="1:47" s="64" customFormat="1" x14ac:dyDescent="0.25">
      <c r="A404" s="63"/>
      <c r="U404" s="64" t="str">
        <f t="shared" si="20"/>
        <v>Exclude</v>
      </c>
      <c r="W404" s="65" t="str">
        <f t="shared" si="21"/>
        <v>Exclude</v>
      </c>
      <c r="Y404" s="63"/>
      <c r="AS404" s="64" t="str">
        <f t="shared" si="22"/>
        <v>Exclude</v>
      </c>
      <c r="AU404" s="65" t="str">
        <f t="shared" si="23"/>
        <v>Exclude</v>
      </c>
    </row>
    <row r="405" spans="1:47" s="64" customFormat="1" x14ac:dyDescent="0.25">
      <c r="A405" s="63"/>
      <c r="U405" s="64" t="str">
        <f t="shared" si="20"/>
        <v>Exclude</v>
      </c>
      <c r="W405" s="65" t="str">
        <f t="shared" si="21"/>
        <v>Exclude</v>
      </c>
      <c r="Y405" s="63"/>
      <c r="AS405" s="64" t="str">
        <f t="shared" si="22"/>
        <v>Exclude</v>
      </c>
      <c r="AU405" s="65" t="str">
        <f t="shared" si="23"/>
        <v>Exclude</v>
      </c>
    </row>
    <row r="406" spans="1:47" s="64" customFormat="1" x14ac:dyDescent="0.25">
      <c r="A406" s="63"/>
      <c r="U406" s="64" t="str">
        <f t="shared" si="20"/>
        <v>Exclude</v>
      </c>
      <c r="W406" s="65" t="str">
        <f t="shared" si="21"/>
        <v>Exclude</v>
      </c>
      <c r="Y406" s="63"/>
      <c r="AS406" s="64" t="str">
        <f t="shared" si="22"/>
        <v>Exclude</v>
      </c>
      <c r="AU406" s="65" t="str">
        <f t="shared" si="23"/>
        <v>Exclude</v>
      </c>
    </row>
    <row r="407" spans="1:47" s="64" customFormat="1" x14ac:dyDescent="0.25">
      <c r="A407" s="63"/>
      <c r="U407" s="64" t="str">
        <f t="shared" ref="U407:U470" si="24">IF(OR(R407="TruePositive",R407="TrueNegative"),IF(R406&lt;&gt;"Anticipatory",(N407),"Pant"),"Exclude")</f>
        <v>Exclude</v>
      </c>
      <c r="W407" s="65" t="str">
        <f t="shared" ref="W407:W470" si="25">IF(OR(R407="TruePositive",R407="TrueNegative"),IF(R406&lt;&gt;"Anticipatory",LOG10(N407),"Exclude"),"Exclude")</f>
        <v>Exclude</v>
      </c>
      <c r="Y407" s="63"/>
      <c r="AS407" s="64" t="str">
        <f t="shared" ref="AS407:AS470" si="26">IF(OR(AP407="TruePositive",AP407="TrueNegative"),IF(AP406&lt;&gt;"Anticipatory",(AL407),"Pant"),"Exclude")</f>
        <v>Exclude</v>
      </c>
      <c r="AU407" s="65" t="str">
        <f t="shared" ref="AU407:AU470" si="27">IF(OR(AP407="TruePositive",AP407="TrueNegative"),IF(AP406&lt;&gt;"Anticipatory",LOG10(AL407),"Exclude"),"Exclude")</f>
        <v>Exclude</v>
      </c>
    </row>
    <row r="408" spans="1:47" s="64" customFormat="1" x14ac:dyDescent="0.25">
      <c r="A408" s="63"/>
      <c r="U408" s="64" t="str">
        <f t="shared" si="24"/>
        <v>Exclude</v>
      </c>
      <c r="W408" s="65" t="str">
        <f t="shared" si="25"/>
        <v>Exclude</v>
      </c>
      <c r="Y408" s="63"/>
      <c r="AS408" s="64" t="str">
        <f t="shared" si="26"/>
        <v>Exclude</v>
      </c>
      <c r="AU408" s="65" t="str">
        <f t="shared" si="27"/>
        <v>Exclude</v>
      </c>
    </row>
    <row r="409" spans="1:47" s="64" customFormat="1" x14ac:dyDescent="0.25">
      <c r="A409" s="63"/>
      <c r="U409" s="64" t="str">
        <f t="shared" si="24"/>
        <v>Exclude</v>
      </c>
      <c r="W409" s="65" t="str">
        <f t="shared" si="25"/>
        <v>Exclude</v>
      </c>
      <c r="Y409" s="63"/>
      <c r="AS409" s="64" t="str">
        <f t="shared" si="26"/>
        <v>Exclude</v>
      </c>
      <c r="AU409" s="65" t="str">
        <f t="shared" si="27"/>
        <v>Exclude</v>
      </c>
    </row>
    <row r="410" spans="1:47" s="64" customFormat="1" x14ac:dyDescent="0.25">
      <c r="A410" s="63"/>
      <c r="U410" s="64" t="str">
        <f t="shared" si="24"/>
        <v>Exclude</v>
      </c>
      <c r="W410" s="65" t="str">
        <f t="shared" si="25"/>
        <v>Exclude</v>
      </c>
      <c r="Y410" s="63"/>
      <c r="AS410" s="64" t="str">
        <f t="shared" si="26"/>
        <v>Exclude</v>
      </c>
      <c r="AU410" s="65" t="str">
        <f t="shared" si="27"/>
        <v>Exclude</v>
      </c>
    </row>
    <row r="411" spans="1:47" s="64" customFormat="1" x14ac:dyDescent="0.25">
      <c r="A411" s="63"/>
      <c r="U411" s="64" t="str">
        <f t="shared" si="24"/>
        <v>Exclude</v>
      </c>
      <c r="W411" s="65" t="str">
        <f t="shared" si="25"/>
        <v>Exclude</v>
      </c>
      <c r="Y411" s="63"/>
      <c r="AS411" s="64" t="str">
        <f t="shared" si="26"/>
        <v>Exclude</v>
      </c>
      <c r="AU411" s="65" t="str">
        <f t="shared" si="27"/>
        <v>Exclude</v>
      </c>
    </row>
    <row r="412" spans="1:47" s="64" customFormat="1" x14ac:dyDescent="0.25">
      <c r="A412" s="63"/>
      <c r="U412" s="64" t="str">
        <f t="shared" si="24"/>
        <v>Exclude</v>
      </c>
      <c r="W412" s="65" t="str">
        <f t="shared" si="25"/>
        <v>Exclude</v>
      </c>
      <c r="Y412" s="63"/>
      <c r="AS412" s="64" t="str">
        <f t="shared" si="26"/>
        <v>Exclude</v>
      </c>
      <c r="AU412" s="65" t="str">
        <f t="shared" si="27"/>
        <v>Exclude</v>
      </c>
    </row>
    <row r="413" spans="1:47" s="64" customFormat="1" x14ac:dyDescent="0.25">
      <c r="A413" s="63"/>
      <c r="U413" s="64" t="str">
        <f t="shared" si="24"/>
        <v>Exclude</v>
      </c>
      <c r="W413" s="65" t="str">
        <f t="shared" si="25"/>
        <v>Exclude</v>
      </c>
      <c r="Y413" s="63"/>
      <c r="AS413" s="64" t="str">
        <f t="shared" si="26"/>
        <v>Exclude</v>
      </c>
      <c r="AU413" s="65" t="str">
        <f t="shared" si="27"/>
        <v>Exclude</v>
      </c>
    </row>
    <row r="414" spans="1:47" s="64" customFormat="1" x14ac:dyDescent="0.25">
      <c r="A414" s="63"/>
      <c r="U414" s="64" t="str">
        <f t="shared" si="24"/>
        <v>Exclude</v>
      </c>
      <c r="W414" s="65" t="str">
        <f t="shared" si="25"/>
        <v>Exclude</v>
      </c>
      <c r="Y414" s="63"/>
      <c r="AS414" s="64" t="str">
        <f t="shared" si="26"/>
        <v>Exclude</v>
      </c>
      <c r="AU414" s="65" t="str">
        <f t="shared" si="27"/>
        <v>Exclude</v>
      </c>
    </row>
    <row r="415" spans="1:47" s="64" customFormat="1" x14ac:dyDescent="0.25">
      <c r="A415" s="63"/>
      <c r="U415" s="64" t="str">
        <f t="shared" si="24"/>
        <v>Exclude</v>
      </c>
      <c r="W415" s="65" t="str">
        <f t="shared" si="25"/>
        <v>Exclude</v>
      </c>
      <c r="Y415" s="63"/>
      <c r="AS415" s="64" t="str">
        <f t="shared" si="26"/>
        <v>Exclude</v>
      </c>
      <c r="AU415" s="65" t="str">
        <f t="shared" si="27"/>
        <v>Exclude</v>
      </c>
    </row>
    <row r="416" spans="1:47" s="64" customFormat="1" x14ac:dyDescent="0.25">
      <c r="A416" s="63"/>
      <c r="U416" s="64" t="str">
        <f t="shared" si="24"/>
        <v>Exclude</v>
      </c>
      <c r="W416" s="65" t="str">
        <f t="shared" si="25"/>
        <v>Exclude</v>
      </c>
      <c r="Y416" s="63"/>
      <c r="AS416" s="64" t="str">
        <f t="shared" si="26"/>
        <v>Exclude</v>
      </c>
      <c r="AU416" s="65" t="str">
        <f t="shared" si="27"/>
        <v>Exclude</v>
      </c>
    </row>
    <row r="417" spans="1:47" s="64" customFormat="1" x14ac:dyDescent="0.25">
      <c r="A417" s="63"/>
      <c r="U417" s="64" t="str">
        <f t="shared" si="24"/>
        <v>Exclude</v>
      </c>
      <c r="W417" s="65" t="str">
        <f t="shared" si="25"/>
        <v>Exclude</v>
      </c>
      <c r="Y417" s="63"/>
      <c r="AS417" s="64" t="str">
        <f t="shared" si="26"/>
        <v>Exclude</v>
      </c>
      <c r="AU417" s="65" t="str">
        <f t="shared" si="27"/>
        <v>Exclude</v>
      </c>
    </row>
    <row r="418" spans="1:47" s="64" customFormat="1" x14ac:dyDescent="0.25">
      <c r="A418" s="63"/>
      <c r="U418" s="64" t="str">
        <f t="shared" si="24"/>
        <v>Exclude</v>
      </c>
      <c r="W418" s="65" t="str">
        <f t="shared" si="25"/>
        <v>Exclude</v>
      </c>
      <c r="Y418" s="63"/>
      <c r="AS418" s="64" t="str">
        <f t="shared" si="26"/>
        <v>Exclude</v>
      </c>
      <c r="AU418" s="65" t="str">
        <f t="shared" si="27"/>
        <v>Exclude</v>
      </c>
    </row>
    <row r="419" spans="1:47" s="64" customFormat="1" x14ac:dyDescent="0.25">
      <c r="A419" s="63"/>
      <c r="U419" s="64" t="str">
        <f t="shared" si="24"/>
        <v>Exclude</v>
      </c>
      <c r="W419" s="65" t="str">
        <f t="shared" si="25"/>
        <v>Exclude</v>
      </c>
      <c r="Y419" s="63"/>
      <c r="AS419" s="64" t="str">
        <f t="shared" si="26"/>
        <v>Exclude</v>
      </c>
      <c r="AU419" s="65" t="str">
        <f t="shared" si="27"/>
        <v>Exclude</v>
      </c>
    </row>
    <row r="420" spans="1:47" s="64" customFormat="1" x14ac:dyDescent="0.25">
      <c r="A420" s="63"/>
      <c r="U420" s="64" t="str">
        <f t="shared" si="24"/>
        <v>Exclude</v>
      </c>
      <c r="W420" s="65" t="str">
        <f t="shared" si="25"/>
        <v>Exclude</v>
      </c>
      <c r="Y420" s="63"/>
      <c r="AS420" s="64" t="str">
        <f t="shared" si="26"/>
        <v>Exclude</v>
      </c>
      <c r="AU420" s="65" t="str">
        <f t="shared" si="27"/>
        <v>Exclude</v>
      </c>
    </row>
    <row r="421" spans="1:47" s="64" customFormat="1" x14ac:dyDescent="0.25">
      <c r="A421" s="63"/>
      <c r="U421" s="64" t="str">
        <f t="shared" si="24"/>
        <v>Exclude</v>
      </c>
      <c r="W421" s="65" t="str">
        <f t="shared" si="25"/>
        <v>Exclude</v>
      </c>
      <c r="Y421" s="63"/>
      <c r="AS421" s="64" t="str">
        <f t="shared" si="26"/>
        <v>Exclude</v>
      </c>
      <c r="AU421" s="65" t="str">
        <f t="shared" si="27"/>
        <v>Exclude</v>
      </c>
    </row>
    <row r="422" spans="1:47" s="64" customFormat="1" x14ac:dyDescent="0.25">
      <c r="A422" s="63"/>
      <c r="U422" s="64" t="str">
        <f t="shared" si="24"/>
        <v>Exclude</v>
      </c>
      <c r="W422" s="65" t="str">
        <f t="shared" si="25"/>
        <v>Exclude</v>
      </c>
      <c r="Y422" s="63"/>
      <c r="AS422" s="64" t="str">
        <f t="shared" si="26"/>
        <v>Exclude</v>
      </c>
      <c r="AU422" s="65" t="str">
        <f t="shared" si="27"/>
        <v>Exclude</v>
      </c>
    </row>
    <row r="423" spans="1:47" s="64" customFormat="1" x14ac:dyDescent="0.25">
      <c r="A423" s="63"/>
      <c r="U423" s="64" t="str">
        <f t="shared" si="24"/>
        <v>Exclude</v>
      </c>
      <c r="W423" s="65" t="str">
        <f t="shared" si="25"/>
        <v>Exclude</v>
      </c>
      <c r="Y423" s="63"/>
      <c r="AS423" s="64" t="str">
        <f t="shared" si="26"/>
        <v>Exclude</v>
      </c>
      <c r="AU423" s="65" t="str">
        <f t="shared" si="27"/>
        <v>Exclude</v>
      </c>
    </row>
    <row r="424" spans="1:47" s="64" customFormat="1" x14ac:dyDescent="0.25">
      <c r="A424" s="63"/>
      <c r="U424" s="64" t="str">
        <f t="shared" si="24"/>
        <v>Exclude</v>
      </c>
      <c r="W424" s="65" t="str">
        <f t="shared" si="25"/>
        <v>Exclude</v>
      </c>
      <c r="Y424" s="63"/>
      <c r="AS424" s="64" t="str">
        <f t="shared" si="26"/>
        <v>Exclude</v>
      </c>
      <c r="AU424" s="65" t="str">
        <f t="shared" si="27"/>
        <v>Exclude</v>
      </c>
    </row>
    <row r="425" spans="1:47" s="64" customFormat="1" x14ac:dyDescent="0.25">
      <c r="A425" s="63"/>
      <c r="U425" s="64" t="str">
        <f t="shared" si="24"/>
        <v>Exclude</v>
      </c>
      <c r="W425" s="65" t="str">
        <f t="shared" si="25"/>
        <v>Exclude</v>
      </c>
      <c r="Y425" s="63"/>
      <c r="AS425" s="64" t="str">
        <f t="shared" si="26"/>
        <v>Exclude</v>
      </c>
      <c r="AU425" s="65" t="str">
        <f t="shared" si="27"/>
        <v>Exclude</v>
      </c>
    </row>
    <row r="426" spans="1:47" s="64" customFormat="1" x14ac:dyDescent="0.25">
      <c r="A426" s="63"/>
      <c r="U426" s="64" t="str">
        <f t="shared" si="24"/>
        <v>Exclude</v>
      </c>
      <c r="W426" s="65" t="str">
        <f t="shared" si="25"/>
        <v>Exclude</v>
      </c>
      <c r="Y426" s="63"/>
      <c r="AS426" s="64" t="str">
        <f t="shared" si="26"/>
        <v>Exclude</v>
      </c>
      <c r="AU426" s="65" t="str">
        <f t="shared" si="27"/>
        <v>Exclude</v>
      </c>
    </row>
    <row r="427" spans="1:47" s="64" customFormat="1" x14ac:dyDescent="0.25">
      <c r="A427" s="63"/>
      <c r="U427" s="64" t="str">
        <f t="shared" si="24"/>
        <v>Exclude</v>
      </c>
      <c r="W427" s="65" t="str">
        <f t="shared" si="25"/>
        <v>Exclude</v>
      </c>
      <c r="Y427" s="63"/>
      <c r="AS427" s="64" t="str">
        <f t="shared" si="26"/>
        <v>Exclude</v>
      </c>
      <c r="AU427" s="65" t="str">
        <f t="shared" si="27"/>
        <v>Exclude</v>
      </c>
    </row>
    <row r="428" spans="1:47" s="64" customFormat="1" x14ac:dyDescent="0.25">
      <c r="A428" s="63"/>
      <c r="U428" s="64" t="str">
        <f t="shared" si="24"/>
        <v>Exclude</v>
      </c>
      <c r="W428" s="65" t="str">
        <f t="shared" si="25"/>
        <v>Exclude</v>
      </c>
      <c r="Y428" s="63"/>
      <c r="AS428" s="64" t="str">
        <f t="shared" si="26"/>
        <v>Exclude</v>
      </c>
      <c r="AU428" s="65" t="str">
        <f t="shared" si="27"/>
        <v>Exclude</v>
      </c>
    </row>
    <row r="429" spans="1:47" s="64" customFormat="1" x14ac:dyDescent="0.25">
      <c r="A429" s="63"/>
      <c r="U429" s="64" t="str">
        <f t="shared" si="24"/>
        <v>Exclude</v>
      </c>
      <c r="W429" s="65" t="str">
        <f t="shared" si="25"/>
        <v>Exclude</v>
      </c>
      <c r="Y429" s="63"/>
      <c r="AS429" s="64" t="str">
        <f t="shared" si="26"/>
        <v>Exclude</v>
      </c>
      <c r="AU429" s="65" t="str">
        <f t="shared" si="27"/>
        <v>Exclude</v>
      </c>
    </row>
    <row r="430" spans="1:47" s="64" customFormat="1" x14ac:dyDescent="0.25">
      <c r="A430" s="63"/>
      <c r="U430" s="64" t="str">
        <f t="shared" si="24"/>
        <v>Exclude</v>
      </c>
      <c r="W430" s="65" t="str">
        <f t="shared" si="25"/>
        <v>Exclude</v>
      </c>
      <c r="Y430" s="63"/>
      <c r="AS430" s="64" t="str">
        <f t="shared" si="26"/>
        <v>Exclude</v>
      </c>
      <c r="AU430" s="65" t="str">
        <f t="shared" si="27"/>
        <v>Exclude</v>
      </c>
    </row>
    <row r="431" spans="1:47" s="64" customFormat="1" x14ac:dyDescent="0.25">
      <c r="A431" s="63"/>
      <c r="U431" s="64" t="str">
        <f t="shared" si="24"/>
        <v>Exclude</v>
      </c>
      <c r="W431" s="65" t="str">
        <f t="shared" si="25"/>
        <v>Exclude</v>
      </c>
      <c r="Y431" s="63"/>
      <c r="AS431" s="64" t="str">
        <f t="shared" si="26"/>
        <v>Exclude</v>
      </c>
      <c r="AU431" s="65" t="str">
        <f t="shared" si="27"/>
        <v>Exclude</v>
      </c>
    </row>
    <row r="432" spans="1:47" s="64" customFormat="1" x14ac:dyDescent="0.25">
      <c r="A432" s="63"/>
      <c r="U432" s="64" t="str">
        <f t="shared" si="24"/>
        <v>Exclude</v>
      </c>
      <c r="W432" s="65" t="str">
        <f t="shared" si="25"/>
        <v>Exclude</v>
      </c>
      <c r="Y432" s="63"/>
      <c r="AS432" s="64" t="str">
        <f t="shared" si="26"/>
        <v>Exclude</v>
      </c>
      <c r="AU432" s="65" t="str">
        <f t="shared" si="27"/>
        <v>Exclude</v>
      </c>
    </row>
    <row r="433" spans="1:47" s="64" customFormat="1" x14ac:dyDescent="0.25">
      <c r="A433" s="63"/>
      <c r="U433" s="64" t="str">
        <f t="shared" si="24"/>
        <v>Exclude</v>
      </c>
      <c r="W433" s="65" t="str">
        <f t="shared" si="25"/>
        <v>Exclude</v>
      </c>
      <c r="Y433" s="63"/>
      <c r="AS433" s="64" t="str">
        <f t="shared" si="26"/>
        <v>Exclude</v>
      </c>
      <c r="AU433" s="65" t="str">
        <f t="shared" si="27"/>
        <v>Exclude</v>
      </c>
    </row>
    <row r="434" spans="1:47" s="64" customFormat="1" x14ac:dyDescent="0.25">
      <c r="A434" s="63"/>
      <c r="U434" s="64" t="str">
        <f t="shared" si="24"/>
        <v>Exclude</v>
      </c>
      <c r="W434" s="65" t="str">
        <f t="shared" si="25"/>
        <v>Exclude</v>
      </c>
      <c r="Y434" s="63"/>
      <c r="AS434" s="64" t="str">
        <f t="shared" si="26"/>
        <v>Exclude</v>
      </c>
      <c r="AU434" s="65" t="str">
        <f t="shared" si="27"/>
        <v>Exclude</v>
      </c>
    </row>
    <row r="435" spans="1:47" s="64" customFormat="1" x14ac:dyDescent="0.25">
      <c r="A435" s="63"/>
      <c r="U435" s="64" t="str">
        <f t="shared" si="24"/>
        <v>Exclude</v>
      </c>
      <c r="W435" s="65" t="str">
        <f t="shared" si="25"/>
        <v>Exclude</v>
      </c>
      <c r="Y435" s="63"/>
      <c r="AS435" s="64" t="str">
        <f t="shared" si="26"/>
        <v>Exclude</v>
      </c>
      <c r="AU435" s="65" t="str">
        <f t="shared" si="27"/>
        <v>Exclude</v>
      </c>
    </row>
    <row r="436" spans="1:47" s="64" customFormat="1" x14ac:dyDescent="0.25">
      <c r="A436" s="63"/>
      <c r="U436" s="64" t="str">
        <f t="shared" si="24"/>
        <v>Exclude</v>
      </c>
      <c r="W436" s="65" t="str">
        <f t="shared" si="25"/>
        <v>Exclude</v>
      </c>
      <c r="Y436" s="63"/>
      <c r="AS436" s="64" t="str">
        <f t="shared" si="26"/>
        <v>Exclude</v>
      </c>
      <c r="AU436" s="65" t="str">
        <f t="shared" si="27"/>
        <v>Exclude</v>
      </c>
    </row>
    <row r="437" spans="1:47" s="64" customFormat="1" x14ac:dyDescent="0.25">
      <c r="A437" s="63"/>
      <c r="U437" s="64" t="str">
        <f t="shared" si="24"/>
        <v>Exclude</v>
      </c>
      <c r="W437" s="65" t="str">
        <f t="shared" si="25"/>
        <v>Exclude</v>
      </c>
      <c r="Y437" s="63"/>
      <c r="AS437" s="64" t="str">
        <f t="shared" si="26"/>
        <v>Exclude</v>
      </c>
      <c r="AU437" s="65" t="str">
        <f t="shared" si="27"/>
        <v>Exclude</v>
      </c>
    </row>
    <row r="438" spans="1:47" s="64" customFormat="1" x14ac:dyDescent="0.25">
      <c r="A438" s="63"/>
      <c r="U438" s="64" t="str">
        <f t="shared" si="24"/>
        <v>Exclude</v>
      </c>
      <c r="W438" s="65" t="str">
        <f t="shared" si="25"/>
        <v>Exclude</v>
      </c>
      <c r="Y438" s="63"/>
      <c r="AS438" s="64" t="str">
        <f t="shared" si="26"/>
        <v>Exclude</v>
      </c>
      <c r="AU438" s="65" t="str">
        <f t="shared" si="27"/>
        <v>Exclude</v>
      </c>
    </row>
    <row r="439" spans="1:47" s="64" customFormat="1" x14ac:dyDescent="0.25">
      <c r="A439" s="63"/>
      <c r="U439" s="64" t="str">
        <f t="shared" si="24"/>
        <v>Exclude</v>
      </c>
      <c r="W439" s="65" t="str">
        <f t="shared" si="25"/>
        <v>Exclude</v>
      </c>
      <c r="Y439" s="63"/>
      <c r="AS439" s="64" t="str">
        <f t="shared" si="26"/>
        <v>Exclude</v>
      </c>
      <c r="AU439" s="65" t="str">
        <f t="shared" si="27"/>
        <v>Exclude</v>
      </c>
    </row>
    <row r="440" spans="1:47" s="64" customFormat="1" x14ac:dyDescent="0.25">
      <c r="A440" s="63"/>
      <c r="U440" s="64" t="str">
        <f t="shared" si="24"/>
        <v>Exclude</v>
      </c>
      <c r="W440" s="65" t="str">
        <f t="shared" si="25"/>
        <v>Exclude</v>
      </c>
      <c r="Y440" s="63"/>
      <c r="AS440" s="64" t="str">
        <f t="shared" si="26"/>
        <v>Exclude</v>
      </c>
      <c r="AU440" s="65" t="str">
        <f t="shared" si="27"/>
        <v>Exclude</v>
      </c>
    </row>
    <row r="441" spans="1:47" s="64" customFormat="1" x14ac:dyDescent="0.25">
      <c r="A441" s="63"/>
      <c r="U441" s="64" t="str">
        <f t="shared" si="24"/>
        <v>Exclude</v>
      </c>
      <c r="W441" s="65" t="str">
        <f t="shared" si="25"/>
        <v>Exclude</v>
      </c>
      <c r="Y441" s="63"/>
      <c r="AS441" s="64" t="str">
        <f t="shared" si="26"/>
        <v>Exclude</v>
      </c>
      <c r="AU441" s="65" t="str">
        <f t="shared" si="27"/>
        <v>Exclude</v>
      </c>
    </row>
    <row r="442" spans="1:47" s="64" customFormat="1" x14ac:dyDescent="0.25">
      <c r="A442" s="63"/>
      <c r="U442" s="64" t="str">
        <f t="shared" si="24"/>
        <v>Exclude</v>
      </c>
      <c r="W442" s="65" t="str">
        <f t="shared" si="25"/>
        <v>Exclude</v>
      </c>
      <c r="Y442" s="63"/>
      <c r="AS442" s="64" t="str">
        <f t="shared" si="26"/>
        <v>Exclude</v>
      </c>
      <c r="AU442" s="65" t="str">
        <f t="shared" si="27"/>
        <v>Exclude</v>
      </c>
    </row>
    <row r="443" spans="1:47" s="64" customFormat="1" x14ac:dyDescent="0.25">
      <c r="A443" s="63"/>
      <c r="U443" s="64" t="str">
        <f t="shared" si="24"/>
        <v>Exclude</v>
      </c>
      <c r="W443" s="65" t="str">
        <f t="shared" si="25"/>
        <v>Exclude</v>
      </c>
      <c r="Y443" s="63"/>
      <c r="AS443" s="64" t="str">
        <f t="shared" si="26"/>
        <v>Exclude</v>
      </c>
      <c r="AU443" s="65" t="str">
        <f t="shared" si="27"/>
        <v>Exclude</v>
      </c>
    </row>
    <row r="444" spans="1:47" s="64" customFormat="1" x14ac:dyDescent="0.25">
      <c r="A444" s="63"/>
      <c r="U444" s="64" t="str">
        <f t="shared" si="24"/>
        <v>Exclude</v>
      </c>
      <c r="W444" s="65" t="str">
        <f t="shared" si="25"/>
        <v>Exclude</v>
      </c>
      <c r="Y444" s="63"/>
      <c r="AS444" s="64" t="str">
        <f t="shared" si="26"/>
        <v>Exclude</v>
      </c>
      <c r="AU444" s="65" t="str">
        <f t="shared" si="27"/>
        <v>Exclude</v>
      </c>
    </row>
    <row r="445" spans="1:47" s="64" customFormat="1" x14ac:dyDescent="0.25">
      <c r="A445" s="63"/>
      <c r="U445" s="64" t="str">
        <f t="shared" si="24"/>
        <v>Exclude</v>
      </c>
      <c r="W445" s="65" t="str">
        <f t="shared" si="25"/>
        <v>Exclude</v>
      </c>
      <c r="Y445" s="63"/>
      <c r="AS445" s="64" t="str">
        <f t="shared" si="26"/>
        <v>Exclude</v>
      </c>
      <c r="AU445" s="65" t="str">
        <f t="shared" si="27"/>
        <v>Exclude</v>
      </c>
    </row>
    <row r="446" spans="1:47" s="64" customFormat="1" x14ac:dyDescent="0.25">
      <c r="A446" s="63"/>
      <c r="U446" s="64" t="str">
        <f t="shared" si="24"/>
        <v>Exclude</v>
      </c>
      <c r="W446" s="65" t="str">
        <f t="shared" si="25"/>
        <v>Exclude</v>
      </c>
      <c r="Y446" s="63"/>
      <c r="AS446" s="64" t="str">
        <f t="shared" si="26"/>
        <v>Exclude</v>
      </c>
      <c r="AU446" s="65" t="str">
        <f t="shared" si="27"/>
        <v>Exclude</v>
      </c>
    </row>
    <row r="447" spans="1:47" s="64" customFormat="1" x14ac:dyDescent="0.25">
      <c r="A447" s="63"/>
      <c r="U447" s="64" t="str">
        <f t="shared" si="24"/>
        <v>Exclude</v>
      </c>
      <c r="W447" s="65" t="str">
        <f t="shared" si="25"/>
        <v>Exclude</v>
      </c>
      <c r="Y447" s="63"/>
      <c r="AS447" s="64" t="str">
        <f t="shared" si="26"/>
        <v>Exclude</v>
      </c>
      <c r="AU447" s="65" t="str">
        <f t="shared" si="27"/>
        <v>Exclude</v>
      </c>
    </row>
    <row r="448" spans="1:47" s="64" customFormat="1" x14ac:dyDescent="0.25">
      <c r="A448" s="63"/>
      <c r="U448" s="64" t="str">
        <f t="shared" si="24"/>
        <v>Exclude</v>
      </c>
      <c r="W448" s="65" t="str">
        <f t="shared" si="25"/>
        <v>Exclude</v>
      </c>
      <c r="Y448" s="63"/>
      <c r="AS448" s="64" t="str">
        <f t="shared" si="26"/>
        <v>Exclude</v>
      </c>
      <c r="AU448" s="65" t="str">
        <f t="shared" si="27"/>
        <v>Exclude</v>
      </c>
    </row>
    <row r="449" spans="1:47" s="64" customFormat="1" x14ac:dyDescent="0.25">
      <c r="A449" s="63"/>
      <c r="U449" s="64" t="str">
        <f t="shared" si="24"/>
        <v>Exclude</v>
      </c>
      <c r="W449" s="65" t="str">
        <f t="shared" si="25"/>
        <v>Exclude</v>
      </c>
      <c r="Y449" s="63"/>
      <c r="AS449" s="64" t="str">
        <f t="shared" si="26"/>
        <v>Exclude</v>
      </c>
      <c r="AU449" s="65" t="str">
        <f t="shared" si="27"/>
        <v>Exclude</v>
      </c>
    </row>
    <row r="450" spans="1:47" s="64" customFormat="1" x14ac:dyDescent="0.25">
      <c r="A450" s="63"/>
      <c r="U450" s="64" t="str">
        <f t="shared" si="24"/>
        <v>Exclude</v>
      </c>
      <c r="W450" s="65" t="str">
        <f t="shared" si="25"/>
        <v>Exclude</v>
      </c>
      <c r="Y450" s="63"/>
      <c r="AS450" s="64" t="str">
        <f t="shared" si="26"/>
        <v>Exclude</v>
      </c>
      <c r="AU450" s="65" t="str">
        <f t="shared" si="27"/>
        <v>Exclude</v>
      </c>
    </row>
    <row r="451" spans="1:47" s="64" customFormat="1" x14ac:dyDescent="0.25">
      <c r="A451" s="63"/>
      <c r="U451" s="64" t="str">
        <f t="shared" si="24"/>
        <v>Exclude</v>
      </c>
      <c r="W451" s="65" t="str">
        <f t="shared" si="25"/>
        <v>Exclude</v>
      </c>
      <c r="Y451" s="63"/>
      <c r="AS451" s="64" t="str">
        <f t="shared" si="26"/>
        <v>Exclude</v>
      </c>
      <c r="AU451" s="65" t="str">
        <f t="shared" si="27"/>
        <v>Exclude</v>
      </c>
    </row>
    <row r="452" spans="1:47" s="64" customFormat="1" x14ac:dyDescent="0.25">
      <c r="A452" s="63"/>
      <c r="U452" s="64" t="str">
        <f t="shared" si="24"/>
        <v>Exclude</v>
      </c>
      <c r="W452" s="65" t="str">
        <f t="shared" si="25"/>
        <v>Exclude</v>
      </c>
      <c r="Y452" s="63"/>
      <c r="AS452" s="64" t="str">
        <f t="shared" si="26"/>
        <v>Exclude</v>
      </c>
      <c r="AU452" s="65" t="str">
        <f t="shared" si="27"/>
        <v>Exclude</v>
      </c>
    </row>
    <row r="453" spans="1:47" s="64" customFormat="1" x14ac:dyDescent="0.25">
      <c r="A453" s="63"/>
      <c r="U453" s="64" t="str">
        <f t="shared" si="24"/>
        <v>Exclude</v>
      </c>
      <c r="W453" s="65" t="str">
        <f t="shared" si="25"/>
        <v>Exclude</v>
      </c>
      <c r="Y453" s="63"/>
      <c r="AS453" s="64" t="str">
        <f t="shared" si="26"/>
        <v>Exclude</v>
      </c>
      <c r="AU453" s="65" t="str">
        <f t="shared" si="27"/>
        <v>Exclude</v>
      </c>
    </row>
    <row r="454" spans="1:47" s="64" customFormat="1" x14ac:dyDescent="0.25">
      <c r="A454" s="63"/>
      <c r="U454" s="64" t="str">
        <f t="shared" si="24"/>
        <v>Exclude</v>
      </c>
      <c r="W454" s="65" t="str">
        <f t="shared" si="25"/>
        <v>Exclude</v>
      </c>
      <c r="Y454" s="63"/>
      <c r="AS454" s="64" t="str">
        <f t="shared" si="26"/>
        <v>Exclude</v>
      </c>
      <c r="AU454" s="65" t="str">
        <f t="shared" si="27"/>
        <v>Exclude</v>
      </c>
    </row>
    <row r="455" spans="1:47" s="64" customFormat="1" x14ac:dyDescent="0.25">
      <c r="A455" s="63"/>
      <c r="U455" s="64" t="str">
        <f t="shared" si="24"/>
        <v>Exclude</v>
      </c>
      <c r="W455" s="65" t="str">
        <f t="shared" si="25"/>
        <v>Exclude</v>
      </c>
      <c r="Y455" s="63"/>
      <c r="AS455" s="64" t="str">
        <f t="shared" si="26"/>
        <v>Exclude</v>
      </c>
      <c r="AU455" s="65" t="str">
        <f t="shared" si="27"/>
        <v>Exclude</v>
      </c>
    </row>
    <row r="456" spans="1:47" s="64" customFormat="1" x14ac:dyDescent="0.25">
      <c r="A456" s="63"/>
      <c r="U456" s="64" t="str">
        <f t="shared" si="24"/>
        <v>Exclude</v>
      </c>
      <c r="W456" s="65" t="str">
        <f t="shared" si="25"/>
        <v>Exclude</v>
      </c>
      <c r="Y456" s="63"/>
      <c r="AS456" s="64" t="str">
        <f t="shared" si="26"/>
        <v>Exclude</v>
      </c>
      <c r="AU456" s="65" t="str">
        <f t="shared" si="27"/>
        <v>Exclude</v>
      </c>
    </row>
    <row r="457" spans="1:47" s="64" customFormat="1" x14ac:dyDescent="0.25">
      <c r="A457" s="63"/>
      <c r="U457" s="64" t="str">
        <f t="shared" si="24"/>
        <v>Exclude</v>
      </c>
      <c r="W457" s="65" t="str">
        <f t="shared" si="25"/>
        <v>Exclude</v>
      </c>
      <c r="Y457" s="63"/>
      <c r="AS457" s="64" t="str">
        <f t="shared" si="26"/>
        <v>Exclude</v>
      </c>
      <c r="AU457" s="65" t="str">
        <f t="shared" si="27"/>
        <v>Exclude</v>
      </c>
    </row>
    <row r="458" spans="1:47" s="64" customFormat="1" x14ac:dyDescent="0.25">
      <c r="A458" s="63"/>
      <c r="U458" s="64" t="str">
        <f t="shared" si="24"/>
        <v>Exclude</v>
      </c>
      <c r="W458" s="65" t="str">
        <f t="shared" si="25"/>
        <v>Exclude</v>
      </c>
      <c r="Y458" s="63"/>
      <c r="AS458" s="64" t="str">
        <f t="shared" si="26"/>
        <v>Exclude</v>
      </c>
      <c r="AU458" s="65" t="str">
        <f t="shared" si="27"/>
        <v>Exclude</v>
      </c>
    </row>
    <row r="459" spans="1:47" s="64" customFormat="1" x14ac:dyDescent="0.25">
      <c r="A459" s="63"/>
      <c r="U459" s="64" t="str">
        <f t="shared" si="24"/>
        <v>Exclude</v>
      </c>
      <c r="W459" s="65" t="str">
        <f t="shared" si="25"/>
        <v>Exclude</v>
      </c>
      <c r="Y459" s="63"/>
      <c r="AS459" s="64" t="str">
        <f t="shared" si="26"/>
        <v>Exclude</v>
      </c>
      <c r="AU459" s="65" t="str">
        <f t="shared" si="27"/>
        <v>Exclude</v>
      </c>
    </row>
    <row r="460" spans="1:47" s="64" customFormat="1" x14ac:dyDescent="0.25">
      <c r="A460" s="63"/>
      <c r="U460" s="64" t="str">
        <f t="shared" si="24"/>
        <v>Exclude</v>
      </c>
      <c r="W460" s="65" t="str">
        <f t="shared" si="25"/>
        <v>Exclude</v>
      </c>
      <c r="Y460" s="63"/>
      <c r="AS460" s="64" t="str">
        <f t="shared" si="26"/>
        <v>Exclude</v>
      </c>
      <c r="AU460" s="65" t="str">
        <f t="shared" si="27"/>
        <v>Exclude</v>
      </c>
    </row>
    <row r="461" spans="1:47" s="64" customFormat="1" x14ac:dyDescent="0.25">
      <c r="A461" s="63"/>
      <c r="U461" s="64" t="str">
        <f t="shared" si="24"/>
        <v>Exclude</v>
      </c>
      <c r="W461" s="65" t="str">
        <f t="shared" si="25"/>
        <v>Exclude</v>
      </c>
      <c r="Y461" s="63"/>
      <c r="AS461" s="64" t="str">
        <f t="shared" si="26"/>
        <v>Exclude</v>
      </c>
      <c r="AU461" s="65" t="str">
        <f t="shared" si="27"/>
        <v>Exclude</v>
      </c>
    </row>
    <row r="462" spans="1:47" s="64" customFormat="1" x14ac:dyDescent="0.25">
      <c r="A462" s="63"/>
      <c r="U462" s="64" t="str">
        <f t="shared" si="24"/>
        <v>Exclude</v>
      </c>
      <c r="W462" s="65" t="str">
        <f t="shared" si="25"/>
        <v>Exclude</v>
      </c>
      <c r="Y462" s="63"/>
      <c r="AS462" s="64" t="str">
        <f t="shared" si="26"/>
        <v>Exclude</v>
      </c>
      <c r="AU462" s="65" t="str">
        <f t="shared" si="27"/>
        <v>Exclude</v>
      </c>
    </row>
    <row r="463" spans="1:47" s="64" customFormat="1" x14ac:dyDescent="0.25">
      <c r="A463" s="63"/>
      <c r="U463" s="64" t="str">
        <f t="shared" si="24"/>
        <v>Exclude</v>
      </c>
      <c r="W463" s="65" t="str">
        <f t="shared" si="25"/>
        <v>Exclude</v>
      </c>
      <c r="Y463" s="63"/>
      <c r="AS463" s="64" t="str">
        <f t="shared" si="26"/>
        <v>Exclude</v>
      </c>
      <c r="AU463" s="65" t="str">
        <f t="shared" si="27"/>
        <v>Exclude</v>
      </c>
    </row>
    <row r="464" spans="1:47" s="64" customFormat="1" x14ac:dyDescent="0.25">
      <c r="A464" s="63"/>
      <c r="U464" s="64" t="str">
        <f t="shared" si="24"/>
        <v>Exclude</v>
      </c>
      <c r="W464" s="65" t="str">
        <f t="shared" si="25"/>
        <v>Exclude</v>
      </c>
      <c r="Y464" s="63"/>
      <c r="AS464" s="64" t="str">
        <f t="shared" si="26"/>
        <v>Exclude</v>
      </c>
      <c r="AU464" s="65" t="str">
        <f t="shared" si="27"/>
        <v>Exclude</v>
      </c>
    </row>
    <row r="465" spans="1:47" s="64" customFormat="1" x14ac:dyDescent="0.25">
      <c r="A465" s="63"/>
      <c r="U465" s="64" t="str">
        <f t="shared" si="24"/>
        <v>Exclude</v>
      </c>
      <c r="W465" s="65" t="str">
        <f t="shared" si="25"/>
        <v>Exclude</v>
      </c>
      <c r="Y465" s="63"/>
      <c r="AS465" s="64" t="str">
        <f t="shared" si="26"/>
        <v>Exclude</v>
      </c>
      <c r="AU465" s="65" t="str">
        <f t="shared" si="27"/>
        <v>Exclude</v>
      </c>
    </row>
    <row r="466" spans="1:47" s="64" customFormat="1" x14ac:dyDescent="0.25">
      <c r="A466" s="63"/>
      <c r="U466" s="64" t="str">
        <f t="shared" si="24"/>
        <v>Exclude</v>
      </c>
      <c r="W466" s="65" t="str">
        <f t="shared" si="25"/>
        <v>Exclude</v>
      </c>
      <c r="Y466" s="63"/>
      <c r="AS466" s="64" t="str">
        <f t="shared" si="26"/>
        <v>Exclude</v>
      </c>
      <c r="AU466" s="65" t="str">
        <f t="shared" si="27"/>
        <v>Exclude</v>
      </c>
    </row>
    <row r="467" spans="1:47" s="64" customFormat="1" x14ac:dyDescent="0.25">
      <c r="A467" s="63"/>
      <c r="U467" s="64" t="str">
        <f t="shared" si="24"/>
        <v>Exclude</v>
      </c>
      <c r="W467" s="65" t="str">
        <f t="shared" si="25"/>
        <v>Exclude</v>
      </c>
      <c r="Y467" s="63"/>
      <c r="AS467" s="64" t="str">
        <f t="shared" si="26"/>
        <v>Exclude</v>
      </c>
      <c r="AU467" s="65" t="str">
        <f t="shared" si="27"/>
        <v>Exclude</v>
      </c>
    </row>
    <row r="468" spans="1:47" s="64" customFormat="1" x14ac:dyDescent="0.25">
      <c r="A468" s="63"/>
      <c r="U468" s="64" t="str">
        <f t="shared" si="24"/>
        <v>Exclude</v>
      </c>
      <c r="W468" s="65" t="str">
        <f t="shared" si="25"/>
        <v>Exclude</v>
      </c>
      <c r="Y468" s="63"/>
      <c r="AS468" s="64" t="str">
        <f t="shared" si="26"/>
        <v>Exclude</v>
      </c>
      <c r="AU468" s="65" t="str">
        <f t="shared" si="27"/>
        <v>Exclude</v>
      </c>
    </row>
    <row r="469" spans="1:47" s="64" customFormat="1" x14ac:dyDescent="0.25">
      <c r="A469" s="63"/>
      <c r="U469" s="64" t="str">
        <f t="shared" si="24"/>
        <v>Exclude</v>
      </c>
      <c r="W469" s="65" t="str">
        <f t="shared" si="25"/>
        <v>Exclude</v>
      </c>
      <c r="Y469" s="63"/>
      <c r="AS469" s="64" t="str">
        <f t="shared" si="26"/>
        <v>Exclude</v>
      </c>
      <c r="AU469" s="65" t="str">
        <f t="shared" si="27"/>
        <v>Exclude</v>
      </c>
    </row>
    <row r="470" spans="1:47" s="64" customFormat="1" x14ac:dyDescent="0.25">
      <c r="A470" s="63"/>
      <c r="U470" s="64" t="str">
        <f t="shared" si="24"/>
        <v>Exclude</v>
      </c>
      <c r="W470" s="65" t="str">
        <f t="shared" si="25"/>
        <v>Exclude</v>
      </c>
      <c r="Y470" s="63"/>
      <c r="AS470" s="64" t="str">
        <f t="shared" si="26"/>
        <v>Exclude</v>
      </c>
      <c r="AU470" s="65" t="str">
        <f t="shared" si="27"/>
        <v>Exclude</v>
      </c>
    </row>
    <row r="471" spans="1:47" s="64" customFormat="1" x14ac:dyDescent="0.25">
      <c r="A471" s="63"/>
      <c r="U471" s="64" t="str">
        <f t="shared" ref="U471:U534" si="28">IF(OR(R471="TruePositive",R471="TrueNegative"),IF(R470&lt;&gt;"Anticipatory",(N471),"Pant"),"Exclude")</f>
        <v>Exclude</v>
      </c>
      <c r="W471" s="65" t="str">
        <f t="shared" ref="W471:W534" si="29">IF(OR(R471="TruePositive",R471="TrueNegative"),IF(R470&lt;&gt;"Anticipatory",LOG10(N471),"Exclude"),"Exclude")</f>
        <v>Exclude</v>
      </c>
      <c r="Y471" s="63"/>
      <c r="AS471" s="64" t="str">
        <f t="shared" ref="AS471:AS534" si="30">IF(OR(AP471="TruePositive",AP471="TrueNegative"),IF(AP470&lt;&gt;"Anticipatory",(AL471),"Pant"),"Exclude")</f>
        <v>Exclude</v>
      </c>
      <c r="AU471" s="65" t="str">
        <f t="shared" ref="AU471:AU534" si="31">IF(OR(AP471="TruePositive",AP471="TrueNegative"),IF(AP470&lt;&gt;"Anticipatory",LOG10(AL471),"Exclude"),"Exclude")</f>
        <v>Exclude</v>
      </c>
    </row>
    <row r="472" spans="1:47" s="64" customFormat="1" x14ac:dyDescent="0.25">
      <c r="A472" s="63"/>
      <c r="U472" s="64" t="str">
        <f t="shared" si="28"/>
        <v>Exclude</v>
      </c>
      <c r="W472" s="65" t="str">
        <f t="shared" si="29"/>
        <v>Exclude</v>
      </c>
      <c r="Y472" s="63"/>
      <c r="AS472" s="64" t="str">
        <f t="shared" si="30"/>
        <v>Exclude</v>
      </c>
      <c r="AU472" s="65" t="str">
        <f t="shared" si="31"/>
        <v>Exclude</v>
      </c>
    </row>
    <row r="473" spans="1:47" s="64" customFormat="1" x14ac:dyDescent="0.25">
      <c r="A473" s="63"/>
      <c r="U473" s="64" t="str">
        <f t="shared" si="28"/>
        <v>Exclude</v>
      </c>
      <c r="W473" s="65" t="str">
        <f t="shared" si="29"/>
        <v>Exclude</v>
      </c>
      <c r="Y473" s="63"/>
      <c r="AS473" s="64" t="str">
        <f t="shared" si="30"/>
        <v>Exclude</v>
      </c>
      <c r="AU473" s="65" t="str">
        <f t="shared" si="31"/>
        <v>Exclude</v>
      </c>
    </row>
    <row r="474" spans="1:47" s="64" customFormat="1" x14ac:dyDescent="0.25">
      <c r="A474" s="63"/>
      <c r="U474" s="64" t="str">
        <f t="shared" si="28"/>
        <v>Exclude</v>
      </c>
      <c r="W474" s="65" t="str">
        <f t="shared" si="29"/>
        <v>Exclude</v>
      </c>
      <c r="Y474" s="63"/>
      <c r="AS474" s="64" t="str">
        <f t="shared" si="30"/>
        <v>Exclude</v>
      </c>
      <c r="AU474" s="65" t="str">
        <f t="shared" si="31"/>
        <v>Exclude</v>
      </c>
    </row>
    <row r="475" spans="1:47" s="64" customFormat="1" x14ac:dyDescent="0.25">
      <c r="A475" s="63"/>
      <c r="U475" s="64" t="str">
        <f t="shared" si="28"/>
        <v>Exclude</v>
      </c>
      <c r="W475" s="65" t="str">
        <f t="shared" si="29"/>
        <v>Exclude</v>
      </c>
      <c r="Y475" s="63"/>
      <c r="AS475" s="64" t="str">
        <f t="shared" si="30"/>
        <v>Exclude</v>
      </c>
      <c r="AU475" s="65" t="str">
        <f t="shared" si="31"/>
        <v>Exclude</v>
      </c>
    </row>
    <row r="476" spans="1:47" s="64" customFormat="1" x14ac:dyDescent="0.25">
      <c r="A476" s="63"/>
      <c r="U476" s="64" t="str">
        <f t="shared" si="28"/>
        <v>Exclude</v>
      </c>
      <c r="W476" s="65" t="str">
        <f t="shared" si="29"/>
        <v>Exclude</v>
      </c>
      <c r="Y476" s="63"/>
      <c r="AS476" s="64" t="str">
        <f t="shared" si="30"/>
        <v>Exclude</v>
      </c>
      <c r="AU476" s="65" t="str">
        <f t="shared" si="31"/>
        <v>Exclude</v>
      </c>
    </row>
    <row r="477" spans="1:47" s="64" customFormat="1" x14ac:dyDescent="0.25">
      <c r="A477" s="63"/>
      <c r="U477" s="64" t="str">
        <f t="shared" si="28"/>
        <v>Exclude</v>
      </c>
      <c r="W477" s="65" t="str">
        <f t="shared" si="29"/>
        <v>Exclude</v>
      </c>
      <c r="Y477" s="63"/>
      <c r="AS477" s="64" t="str">
        <f t="shared" si="30"/>
        <v>Exclude</v>
      </c>
      <c r="AU477" s="65" t="str">
        <f t="shared" si="31"/>
        <v>Exclude</v>
      </c>
    </row>
    <row r="478" spans="1:47" s="64" customFormat="1" x14ac:dyDescent="0.25">
      <c r="A478" s="63"/>
      <c r="U478" s="64" t="str">
        <f t="shared" si="28"/>
        <v>Exclude</v>
      </c>
      <c r="W478" s="65" t="str">
        <f t="shared" si="29"/>
        <v>Exclude</v>
      </c>
      <c r="Y478" s="63"/>
      <c r="AS478" s="64" t="str">
        <f t="shared" si="30"/>
        <v>Exclude</v>
      </c>
      <c r="AU478" s="65" t="str">
        <f t="shared" si="31"/>
        <v>Exclude</v>
      </c>
    </row>
    <row r="479" spans="1:47" s="64" customFormat="1" x14ac:dyDescent="0.25">
      <c r="A479" s="63"/>
      <c r="U479" s="64" t="str">
        <f t="shared" si="28"/>
        <v>Exclude</v>
      </c>
      <c r="W479" s="65" t="str">
        <f t="shared" si="29"/>
        <v>Exclude</v>
      </c>
      <c r="Y479" s="63"/>
      <c r="AS479" s="64" t="str">
        <f t="shared" si="30"/>
        <v>Exclude</v>
      </c>
      <c r="AU479" s="65" t="str">
        <f t="shared" si="31"/>
        <v>Exclude</v>
      </c>
    </row>
    <row r="480" spans="1:47" s="64" customFormat="1" x14ac:dyDescent="0.25">
      <c r="A480" s="63"/>
      <c r="U480" s="64" t="str">
        <f t="shared" si="28"/>
        <v>Exclude</v>
      </c>
      <c r="W480" s="65" t="str">
        <f t="shared" si="29"/>
        <v>Exclude</v>
      </c>
      <c r="Y480" s="63"/>
      <c r="AS480" s="64" t="str">
        <f t="shared" si="30"/>
        <v>Exclude</v>
      </c>
      <c r="AU480" s="65" t="str">
        <f t="shared" si="31"/>
        <v>Exclude</v>
      </c>
    </row>
    <row r="481" spans="1:47" s="64" customFormat="1" x14ac:dyDescent="0.25">
      <c r="A481" s="63"/>
      <c r="U481" s="64" t="str">
        <f t="shared" si="28"/>
        <v>Exclude</v>
      </c>
      <c r="W481" s="65" t="str">
        <f t="shared" si="29"/>
        <v>Exclude</v>
      </c>
      <c r="Y481" s="63"/>
      <c r="AS481" s="64" t="str">
        <f t="shared" si="30"/>
        <v>Exclude</v>
      </c>
      <c r="AU481" s="65" t="str">
        <f t="shared" si="31"/>
        <v>Exclude</v>
      </c>
    </row>
    <row r="482" spans="1:47" s="64" customFormat="1" x14ac:dyDescent="0.25">
      <c r="A482" s="63"/>
      <c r="U482" s="64" t="str">
        <f t="shared" si="28"/>
        <v>Exclude</v>
      </c>
      <c r="W482" s="65" t="str">
        <f t="shared" si="29"/>
        <v>Exclude</v>
      </c>
      <c r="Y482" s="63"/>
      <c r="AS482" s="64" t="str">
        <f t="shared" si="30"/>
        <v>Exclude</v>
      </c>
      <c r="AU482" s="65" t="str">
        <f t="shared" si="31"/>
        <v>Exclude</v>
      </c>
    </row>
    <row r="483" spans="1:47" s="64" customFormat="1" x14ac:dyDescent="0.25">
      <c r="A483" s="63"/>
      <c r="U483" s="64" t="str">
        <f t="shared" si="28"/>
        <v>Exclude</v>
      </c>
      <c r="W483" s="65" t="str">
        <f t="shared" si="29"/>
        <v>Exclude</v>
      </c>
      <c r="Y483" s="63"/>
      <c r="AS483" s="64" t="str">
        <f t="shared" si="30"/>
        <v>Exclude</v>
      </c>
      <c r="AU483" s="65" t="str">
        <f t="shared" si="31"/>
        <v>Exclude</v>
      </c>
    </row>
    <row r="484" spans="1:47" s="64" customFormat="1" x14ac:dyDescent="0.25">
      <c r="A484" s="63"/>
      <c r="U484" s="64" t="str">
        <f t="shared" si="28"/>
        <v>Exclude</v>
      </c>
      <c r="W484" s="65" t="str">
        <f t="shared" si="29"/>
        <v>Exclude</v>
      </c>
      <c r="Y484" s="63"/>
      <c r="AS484" s="64" t="str">
        <f t="shared" si="30"/>
        <v>Exclude</v>
      </c>
      <c r="AU484" s="65" t="str">
        <f t="shared" si="31"/>
        <v>Exclude</v>
      </c>
    </row>
    <row r="485" spans="1:47" s="64" customFormat="1" x14ac:dyDescent="0.25">
      <c r="A485" s="63"/>
      <c r="U485" s="64" t="str">
        <f t="shared" si="28"/>
        <v>Exclude</v>
      </c>
      <c r="W485" s="65" t="str">
        <f t="shared" si="29"/>
        <v>Exclude</v>
      </c>
      <c r="Y485" s="63"/>
      <c r="AS485" s="64" t="str">
        <f t="shared" si="30"/>
        <v>Exclude</v>
      </c>
      <c r="AU485" s="65" t="str">
        <f t="shared" si="31"/>
        <v>Exclude</v>
      </c>
    </row>
    <row r="486" spans="1:47" s="64" customFormat="1" x14ac:dyDescent="0.25">
      <c r="A486" s="63"/>
      <c r="U486" s="64" t="str">
        <f t="shared" si="28"/>
        <v>Exclude</v>
      </c>
      <c r="W486" s="65" t="str">
        <f t="shared" si="29"/>
        <v>Exclude</v>
      </c>
      <c r="Y486" s="63"/>
      <c r="AS486" s="64" t="str">
        <f t="shared" si="30"/>
        <v>Exclude</v>
      </c>
      <c r="AU486" s="65" t="str">
        <f t="shared" si="31"/>
        <v>Exclude</v>
      </c>
    </row>
    <row r="487" spans="1:47" s="64" customFormat="1" x14ac:dyDescent="0.25">
      <c r="A487" s="63"/>
      <c r="U487" s="64" t="str">
        <f t="shared" si="28"/>
        <v>Exclude</v>
      </c>
      <c r="W487" s="65" t="str">
        <f t="shared" si="29"/>
        <v>Exclude</v>
      </c>
      <c r="Y487" s="63"/>
      <c r="AS487" s="64" t="str">
        <f t="shared" si="30"/>
        <v>Exclude</v>
      </c>
      <c r="AU487" s="65" t="str">
        <f t="shared" si="31"/>
        <v>Exclude</v>
      </c>
    </row>
    <row r="488" spans="1:47" s="64" customFormat="1" x14ac:dyDescent="0.25">
      <c r="A488" s="63"/>
      <c r="U488" s="64" t="str">
        <f t="shared" si="28"/>
        <v>Exclude</v>
      </c>
      <c r="W488" s="65" t="str">
        <f t="shared" si="29"/>
        <v>Exclude</v>
      </c>
      <c r="Y488" s="63"/>
      <c r="AS488" s="64" t="str">
        <f t="shared" si="30"/>
        <v>Exclude</v>
      </c>
      <c r="AU488" s="65" t="str">
        <f t="shared" si="31"/>
        <v>Exclude</v>
      </c>
    </row>
    <row r="489" spans="1:47" s="64" customFormat="1" x14ac:dyDescent="0.25">
      <c r="A489" s="63"/>
      <c r="U489" s="64" t="str">
        <f t="shared" si="28"/>
        <v>Exclude</v>
      </c>
      <c r="W489" s="65" t="str">
        <f t="shared" si="29"/>
        <v>Exclude</v>
      </c>
      <c r="Y489" s="63"/>
      <c r="AS489" s="64" t="str">
        <f t="shared" si="30"/>
        <v>Exclude</v>
      </c>
      <c r="AU489" s="65" t="str">
        <f t="shared" si="31"/>
        <v>Exclude</v>
      </c>
    </row>
    <row r="490" spans="1:47" s="64" customFormat="1" x14ac:dyDescent="0.25">
      <c r="A490" s="63"/>
      <c r="U490" s="64" t="str">
        <f t="shared" si="28"/>
        <v>Exclude</v>
      </c>
      <c r="W490" s="65" t="str">
        <f t="shared" si="29"/>
        <v>Exclude</v>
      </c>
      <c r="Y490" s="63"/>
      <c r="AS490" s="64" t="str">
        <f t="shared" si="30"/>
        <v>Exclude</v>
      </c>
      <c r="AU490" s="65" t="str">
        <f t="shared" si="31"/>
        <v>Exclude</v>
      </c>
    </row>
    <row r="491" spans="1:47" s="64" customFormat="1" x14ac:dyDescent="0.25">
      <c r="A491" s="63"/>
      <c r="U491" s="64" t="str">
        <f t="shared" si="28"/>
        <v>Exclude</v>
      </c>
      <c r="W491" s="65" t="str">
        <f t="shared" si="29"/>
        <v>Exclude</v>
      </c>
      <c r="Y491" s="63"/>
      <c r="AS491" s="64" t="str">
        <f t="shared" si="30"/>
        <v>Exclude</v>
      </c>
      <c r="AU491" s="65" t="str">
        <f t="shared" si="31"/>
        <v>Exclude</v>
      </c>
    </row>
    <row r="492" spans="1:47" s="64" customFormat="1" x14ac:dyDescent="0.25">
      <c r="A492" s="63"/>
      <c r="U492" s="64" t="str">
        <f t="shared" si="28"/>
        <v>Exclude</v>
      </c>
      <c r="W492" s="65" t="str">
        <f t="shared" si="29"/>
        <v>Exclude</v>
      </c>
      <c r="Y492" s="63"/>
      <c r="AS492" s="64" t="str">
        <f t="shared" si="30"/>
        <v>Exclude</v>
      </c>
      <c r="AU492" s="65" t="str">
        <f t="shared" si="31"/>
        <v>Exclude</v>
      </c>
    </row>
    <row r="493" spans="1:47" s="64" customFormat="1" x14ac:dyDescent="0.25">
      <c r="A493" s="63"/>
      <c r="U493" s="64" t="str">
        <f t="shared" si="28"/>
        <v>Exclude</v>
      </c>
      <c r="W493" s="65" t="str">
        <f t="shared" si="29"/>
        <v>Exclude</v>
      </c>
      <c r="Y493" s="63"/>
      <c r="AS493" s="64" t="str">
        <f t="shared" si="30"/>
        <v>Exclude</v>
      </c>
      <c r="AU493" s="65" t="str">
        <f t="shared" si="31"/>
        <v>Exclude</v>
      </c>
    </row>
    <row r="494" spans="1:47" s="64" customFormat="1" x14ac:dyDescent="0.25">
      <c r="A494" s="63"/>
      <c r="U494" s="64" t="str">
        <f t="shared" si="28"/>
        <v>Exclude</v>
      </c>
      <c r="W494" s="65" t="str">
        <f t="shared" si="29"/>
        <v>Exclude</v>
      </c>
      <c r="Y494" s="63"/>
      <c r="AS494" s="64" t="str">
        <f t="shared" si="30"/>
        <v>Exclude</v>
      </c>
      <c r="AU494" s="65" t="str">
        <f t="shared" si="31"/>
        <v>Exclude</v>
      </c>
    </row>
    <row r="495" spans="1:47" s="64" customFormat="1" x14ac:dyDescent="0.25">
      <c r="A495" s="63"/>
      <c r="U495" s="64" t="str">
        <f t="shared" si="28"/>
        <v>Exclude</v>
      </c>
      <c r="W495" s="65" t="str">
        <f t="shared" si="29"/>
        <v>Exclude</v>
      </c>
      <c r="Y495" s="63"/>
      <c r="AS495" s="64" t="str">
        <f t="shared" si="30"/>
        <v>Exclude</v>
      </c>
      <c r="AU495" s="65" t="str">
        <f t="shared" si="31"/>
        <v>Exclude</v>
      </c>
    </row>
    <row r="496" spans="1:47" s="64" customFormat="1" x14ac:dyDescent="0.25">
      <c r="A496" s="63"/>
      <c r="U496" s="64" t="str">
        <f t="shared" si="28"/>
        <v>Exclude</v>
      </c>
      <c r="W496" s="65" t="str">
        <f t="shared" si="29"/>
        <v>Exclude</v>
      </c>
      <c r="Y496" s="63"/>
      <c r="AS496" s="64" t="str">
        <f t="shared" si="30"/>
        <v>Exclude</v>
      </c>
      <c r="AU496" s="65" t="str">
        <f t="shared" si="31"/>
        <v>Exclude</v>
      </c>
    </row>
    <row r="497" spans="1:47" s="64" customFormat="1" x14ac:dyDescent="0.25">
      <c r="A497" s="63"/>
      <c r="U497" s="64" t="str">
        <f t="shared" si="28"/>
        <v>Exclude</v>
      </c>
      <c r="W497" s="65" t="str">
        <f t="shared" si="29"/>
        <v>Exclude</v>
      </c>
      <c r="Y497" s="63"/>
      <c r="AS497" s="64" t="str">
        <f t="shared" si="30"/>
        <v>Exclude</v>
      </c>
      <c r="AU497" s="65" t="str">
        <f t="shared" si="31"/>
        <v>Exclude</v>
      </c>
    </row>
    <row r="498" spans="1:47" s="64" customFormat="1" x14ac:dyDescent="0.25">
      <c r="A498" s="63"/>
      <c r="U498" s="64" t="str">
        <f t="shared" si="28"/>
        <v>Exclude</v>
      </c>
      <c r="W498" s="65" t="str">
        <f t="shared" si="29"/>
        <v>Exclude</v>
      </c>
      <c r="Y498" s="63"/>
      <c r="AS498" s="64" t="str">
        <f t="shared" si="30"/>
        <v>Exclude</v>
      </c>
      <c r="AU498" s="65" t="str">
        <f t="shared" si="31"/>
        <v>Exclude</v>
      </c>
    </row>
    <row r="499" spans="1:47" s="64" customFormat="1" x14ac:dyDescent="0.25">
      <c r="A499" s="63"/>
      <c r="U499" s="64" t="str">
        <f t="shared" si="28"/>
        <v>Exclude</v>
      </c>
      <c r="W499" s="65" t="str">
        <f t="shared" si="29"/>
        <v>Exclude</v>
      </c>
      <c r="Y499" s="63"/>
      <c r="AS499" s="64" t="str">
        <f t="shared" si="30"/>
        <v>Exclude</v>
      </c>
      <c r="AU499" s="65" t="str">
        <f t="shared" si="31"/>
        <v>Exclude</v>
      </c>
    </row>
    <row r="500" spans="1:47" s="64" customFormat="1" x14ac:dyDescent="0.25">
      <c r="A500" s="63"/>
      <c r="U500" s="64" t="str">
        <f t="shared" si="28"/>
        <v>Exclude</v>
      </c>
      <c r="W500" s="65" t="str">
        <f t="shared" si="29"/>
        <v>Exclude</v>
      </c>
      <c r="Y500" s="63"/>
      <c r="AS500" s="64" t="str">
        <f t="shared" si="30"/>
        <v>Exclude</v>
      </c>
      <c r="AU500" s="65" t="str">
        <f t="shared" si="31"/>
        <v>Exclude</v>
      </c>
    </row>
    <row r="501" spans="1:47" s="64" customFormat="1" x14ac:dyDescent="0.25">
      <c r="A501" s="63"/>
      <c r="U501" s="64" t="str">
        <f t="shared" si="28"/>
        <v>Exclude</v>
      </c>
      <c r="W501" s="65" t="str">
        <f t="shared" si="29"/>
        <v>Exclude</v>
      </c>
      <c r="Y501" s="63"/>
      <c r="AS501" s="64" t="str">
        <f t="shared" si="30"/>
        <v>Exclude</v>
      </c>
      <c r="AU501" s="65" t="str">
        <f t="shared" si="31"/>
        <v>Exclude</v>
      </c>
    </row>
    <row r="502" spans="1:47" s="64" customFormat="1" x14ac:dyDescent="0.25">
      <c r="A502" s="63"/>
      <c r="U502" s="64" t="str">
        <f t="shared" si="28"/>
        <v>Exclude</v>
      </c>
      <c r="W502" s="65" t="str">
        <f t="shared" si="29"/>
        <v>Exclude</v>
      </c>
      <c r="Y502" s="63"/>
      <c r="AS502" s="64" t="str">
        <f t="shared" si="30"/>
        <v>Exclude</v>
      </c>
      <c r="AU502" s="65" t="str">
        <f t="shared" si="31"/>
        <v>Exclude</v>
      </c>
    </row>
    <row r="503" spans="1:47" s="64" customFormat="1" x14ac:dyDescent="0.25">
      <c r="A503" s="63"/>
      <c r="U503" s="64" t="str">
        <f t="shared" si="28"/>
        <v>Exclude</v>
      </c>
      <c r="W503" s="65" t="str">
        <f t="shared" si="29"/>
        <v>Exclude</v>
      </c>
      <c r="Y503" s="63"/>
      <c r="AS503" s="64" t="str">
        <f t="shared" si="30"/>
        <v>Exclude</v>
      </c>
      <c r="AU503" s="65" t="str">
        <f t="shared" si="31"/>
        <v>Exclude</v>
      </c>
    </row>
    <row r="504" spans="1:47" s="64" customFormat="1" x14ac:dyDescent="0.25">
      <c r="A504" s="63"/>
      <c r="U504" s="64" t="str">
        <f t="shared" si="28"/>
        <v>Exclude</v>
      </c>
      <c r="W504" s="65" t="str">
        <f t="shared" si="29"/>
        <v>Exclude</v>
      </c>
      <c r="Y504" s="63"/>
      <c r="AS504" s="64" t="str">
        <f t="shared" si="30"/>
        <v>Exclude</v>
      </c>
      <c r="AU504" s="65" t="str">
        <f t="shared" si="31"/>
        <v>Exclude</v>
      </c>
    </row>
    <row r="505" spans="1:47" s="64" customFormat="1" x14ac:dyDescent="0.25">
      <c r="A505" s="63"/>
      <c r="U505" s="64" t="str">
        <f t="shared" si="28"/>
        <v>Exclude</v>
      </c>
      <c r="W505" s="65" t="str">
        <f t="shared" si="29"/>
        <v>Exclude</v>
      </c>
      <c r="Y505" s="63"/>
      <c r="AS505" s="64" t="str">
        <f t="shared" si="30"/>
        <v>Exclude</v>
      </c>
      <c r="AU505" s="65" t="str">
        <f t="shared" si="31"/>
        <v>Exclude</v>
      </c>
    </row>
    <row r="506" spans="1:47" s="64" customFormat="1" x14ac:dyDescent="0.25">
      <c r="A506" s="63"/>
      <c r="U506" s="64" t="str">
        <f t="shared" si="28"/>
        <v>Exclude</v>
      </c>
      <c r="W506" s="65" t="str">
        <f t="shared" si="29"/>
        <v>Exclude</v>
      </c>
      <c r="Y506" s="63"/>
      <c r="AS506" s="64" t="str">
        <f t="shared" si="30"/>
        <v>Exclude</v>
      </c>
      <c r="AU506" s="65" t="str">
        <f t="shared" si="31"/>
        <v>Exclude</v>
      </c>
    </row>
    <row r="507" spans="1:47" s="64" customFormat="1" x14ac:dyDescent="0.25">
      <c r="A507" s="63"/>
      <c r="U507" s="64" t="str">
        <f t="shared" si="28"/>
        <v>Exclude</v>
      </c>
      <c r="W507" s="65" t="str">
        <f t="shared" si="29"/>
        <v>Exclude</v>
      </c>
      <c r="Y507" s="63"/>
      <c r="AS507" s="64" t="str">
        <f t="shared" si="30"/>
        <v>Exclude</v>
      </c>
      <c r="AU507" s="65" t="str">
        <f t="shared" si="31"/>
        <v>Exclude</v>
      </c>
    </row>
    <row r="508" spans="1:47" s="64" customFormat="1" x14ac:dyDescent="0.25">
      <c r="A508" s="63"/>
      <c r="U508" s="64" t="str">
        <f t="shared" si="28"/>
        <v>Exclude</v>
      </c>
      <c r="W508" s="65" t="str">
        <f t="shared" si="29"/>
        <v>Exclude</v>
      </c>
      <c r="Y508" s="63"/>
      <c r="AS508" s="64" t="str">
        <f t="shared" si="30"/>
        <v>Exclude</v>
      </c>
      <c r="AU508" s="65" t="str">
        <f t="shared" si="31"/>
        <v>Exclude</v>
      </c>
    </row>
    <row r="509" spans="1:47" s="64" customFormat="1" x14ac:dyDescent="0.25">
      <c r="A509" s="63"/>
      <c r="U509" s="64" t="str">
        <f t="shared" si="28"/>
        <v>Exclude</v>
      </c>
      <c r="W509" s="65" t="str">
        <f t="shared" si="29"/>
        <v>Exclude</v>
      </c>
      <c r="Y509" s="63"/>
      <c r="AS509" s="64" t="str">
        <f t="shared" si="30"/>
        <v>Exclude</v>
      </c>
      <c r="AU509" s="65" t="str">
        <f t="shared" si="31"/>
        <v>Exclude</v>
      </c>
    </row>
    <row r="510" spans="1:47" s="64" customFormat="1" x14ac:dyDescent="0.25">
      <c r="A510" s="63"/>
      <c r="U510" s="64" t="str">
        <f t="shared" si="28"/>
        <v>Exclude</v>
      </c>
      <c r="W510" s="65" t="str">
        <f t="shared" si="29"/>
        <v>Exclude</v>
      </c>
      <c r="Y510" s="63"/>
      <c r="AS510" s="64" t="str">
        <f t="shared" si="30"/>
        <v>Exclude</v>
      </c>
      <c r="AU510" s="65" t="str">
        <f t="shared" si="31"/>
        <v>Exclude</v>
      </c>
    </row>
    <row r="511" spans="1:47" s="64" customFormat="1" x14ac:dyDescent="0.25">
      <c r="A511" s="63"/>
      <c r="U511" s="64" t="str">
        <f t="shared" si="28"/>
        <v>Exclude</v>
      </c>
      <c r="W511" s="65" t="str">
        <f t="shared" si="29"/>
        <v>Exclude</v>
      </c>
      <c r="Y511" s="63"/>
      <c r="AS511" s="64" t="str">
        <f t="shared" si="30"/>
        <v>Exclude</v>
      </c>
      <c r="AU511" s="65" t="str">
        <f t="shared" si="31"/>
        <v>Exclude</v>
      </c>
    </row>
    <row r="512" spans="1:47" s="64" customFormat="1" x14ac:dyDescent="0.25">
      <c r="A512" s="63"/>
      <c r="U512" s="64" t="str">
        <f t="shared" si="28"/>
        <v>Exclude</v>
      </c>
      <c r="W512" s="65" t="str">
        <f t="shared" si="29"/>
        <v>Exclude</v>
      </c>
      <c r="Y512" s="63"/>
      <c r="AS512" s="64" t="str">
        <f t="shared" si="30"/>
        <v>Exclude</v>
      </c>
      <c r="AU512" s="65" t="str">
        <f t="shared" si="31"/>
        <v>Exclude</v>
      </c>
    </row>
    <row r="513" spans="1:47" s="64" customFormat="1" x14ac:dyDescent="0.25">
      <c r="A513" s="63"/>
      <c r="U513" s="64" t="str">
        <f t="shared" si="28"/>
        <v>Exclude</v>
      </c>
      <c r="W513" s="65" t="str">
        <f t="shared" si="29"/>
        <v>Exclude</v>
      </c>
      <c r="Y513" s="63"/>
      <c r="AS513" s="64" t="str">
        <f t="shared" si="30"/>
        <v>Exclude</v>
      </c>
      <c r="AU513" s="65" t="str">
        <f t="shared" si="31"/>
        <v>Exclude</v>
      </c>
    </row>
    <row r="514" spans="1:47" s="64" customFormat="1" x14ac:dyDescent="0.25">
      <c r="A514" s="63"/>
      <c r="U514" s="64" t="str">
        <f t="shared" si="28"/>
        <v>Exclude</v>
      </c>
      <c r="W514" s="65" t="str">
        <f t="shared" si="29"/>
        <v>Exclude</v>
      </c>
      <c r="Y514" s="63"/>
      <c r="AS514" s="64" t="str">
        <f t="shared" si="30"/>
        <v>Exclude</v>
      </c>
      <c r="AU514" s="65" t="str">
        <f t="shared" si="31"/>
        <v>Exclude</v>
      </c>
    </row>
    <row r="515" spans="1:47" s="64" customFormat="1" x14ac:dyDescent="0.25">
      <c r="A515" s="63"/>
      <c r="U515" s="64" t="str">
        <f t="shared" si="28"/>
        <v>Exclude</v>
      </c>
      <c r="W515" s="65" t="str">
        <f t="shared" si="29"/>
        <v>Exclude</v>
      </c>
      <c r="Y515" s="63"/>
      <c r="AS515" s="64" t="str">
        <f t="shared" si="30"/>
        <v>Exclude</v>
      </c>
      <c r="AU515" s="65" t="str">
        <f t="shared" si="31"/>
        <v>Exclude</v>
      </c>
    </row>
    <row r="516" spans="1:47" s="64" customFormat="1" x14ac:dyDescent="0.25">
      <c r="A516" s="63"/>
      <c r="U516" s="64" t="str">
        <f t="shared" si="28"/>
        <v>Exclude</v>
      </c>
      <c r="W516" s="65" t="str">
        <f t="shared" si="29"/>
        <v>Exclude</v>
      </c>
      <c r="Y516" s="63"/>
      <c r="AS516" s="64" t="str">
        <f t="shared" si="30"/>
        <v>Exclude</v>
      </c>
      <c r="AU516" s="65" t="str">
        <f t="shared" si="31"/>
        <v>Exclude</v>
      </c>
    </row>
    <row r="517" spans="1:47" s="64" customFormat="1" x14ac:dyDescent="0.25">
      <c r="A517" s="63"/>
      <c r="U517" s="64" t="str">
        <f t="shared" si="28"/>
        <v>Exclude</v>
      </c>
      <c r="W517" s="65" t="str">
        <f t="shared" si="29"/>
        <v>Exclude</v>
      </c>
      <c r="Y517" s="63"/>
      <c r="AS517" s="64" t="str">
        <f t="shared" si="30"/>
        <v>Exclude</v>
      </c>
      <c r="AU517" s="65" t="str">
        <f t="shared" si="31"/>
        <v>Exclude</v>
      </c>
    </row>
    <row r="518" spans="1:47" s="64" customFormat="1" x14ac:dyDescent="0.25">
      <c r="A518" s="63"/>
      <c r="U518" s="64" t="str">
        <f t="shared" si="28"/>
        <v>Exclude</v>
      </c>
      <c r="W518" s="65" t="str">
        <f t="shared" si="29"/>
        <v>Exclude</v>
      </c>
      <c r="Y518" s="63"/>
      <c r="AS518" s="64" t="str">
        <f t="shared" si="30"/>
        <v>Exclude</v>
      </c>
      <c r="AU518" s="65" t="str">
        <f t="shared" si="31"/>
        <v>Exclude</v>
      </c>
    </row>
    <row r="519" spans="1:47" s="64" customFormat="1" x14ac:dyDescent="0.25">
      <c r="A519" s="63"/>
      <c r="U519" s="64" t="str">
        <f t="shared" si="28"/>
        <v>Exclude</v>
      </c>
      <c r="W519" s="65" t="str">
        <f t="shared" si="29"/>
        <v>Exclude</v>
      </c>
      <c r="Y519" s="63"/>
      <c r="AS519" s="64" t="str">
        <f t="shared" si="30"/>
        <v>Exclude</v>
      </c>
      <c r="AU519" s="65" t="str">
        <f t="shared" si="31"/>
        <v>Exclude</v>
      </c>
    </row>
    <row r="520" spans="1:47" s="64" customFormat="1" x14ac:dyDescent="0.25">
      <c r="A520" s="63"/>
      <c r="U520" s="64" t="str">
        <f t="shared" si="28"/>
        <v>Exclude</v>
      </c>
      <c r="W520" s="65" t="str">
        <f t="shared" si="29"/>
        <v>Exclude</v>
      </c>
      <c r="Y520" s="63"/>
      <c r="AS520" s="64" t="str">
        <f t="shared" si="30"/>
        <v>Exclude</v>
      </c>
      <c r="AU520" s="65" t="str">
        <f t="shared" si="31"/>
        <v>Exclude</v>
      </c>
    </row>
    <row r="521" spans="1:47" s="64" customFormat="1" x14ac:dyDescent="0.25">
      <c r="A521" s="63"/>
      <c r="U521" s="64" t="str">
        <f t="shared" si="28"/>
        <v>Exclude</v>
      </c>
      <c r="W521" s="65" t="str">
        <f t="shared" si="29"/>
        <v>Exclude</v>
      </c>
      <c r="Y521" s="63"/>
      <c r="AS521" s="64" t="str">
        <f t="shared" si="30"/>
        <v>Exclude</v>
      </c>
      <c r="AU521" s="65" t="str">
        <f t="shared" si="31"/>
        <v>Exclude</v>
      </c>
    </row>
    <row r="522" spans="1:47" s="64" customFormat="1" x14ac:dyDescent="0.25">
      <c r="A522" s="63"/>
      <c r="U522" s="64" t="str">
        <f t="shared" si="28"/>
        <v>Exclude</v>
      </c>
      <c r="W522" s="65" t="str">
        <f t="shared" si="29"/>
        <v>Exclude</v>
      </c>
      <c r="Y522" s="63"/>
      <c r="AS522" s="64" t="str">
        <f t="shared" si="30"/>
        <v>Exclude</v>
      </c>
      <c r="AU522" s="65" t="str">
        <f t="shared" si="31"/>
        <v>Exclude</v>
      </c>
    </row>
    <row r="523" spans="1:47" s="64" customFormat="1" x14ac:dyDescent="0.25">
      <c r="A523" s="63"/>
      <c r="U523" s="64" t="str">
        <f t="shared" si="28"/>
        <v>Exclude</v>
      </c>
      <c r="W523" s="65" t="str">
        <f t="shared" si="29"/>
        <v>Exclude</v>
      </c>
      <c r="Y523" s="63"/>
      <c r="AS523" s="64" t="str">
        <f t="shared" si="30"/>
        <v>Exclude</v>
      </c>
      <c r="AU523" s="65" t="str">
        <f t="shared" si="31"/>
        <v>Exclude</v>
      </c>
    </row>
    <row r="524" spans="1:47" s="64" customFormat="1" x14ac:dyDescent="0.25">
      <c r="A524" s="63"/>
      <c r="U524" s="64" t="str">
        <f t="shared" si="28"/>
        <v>Exclude</v>
      </c>
      <c r="W524" s="65" t="str">
        <f t="shared" si="29"/>
        <v>Exclude</v>
      </c>
      <c r="Y524" s="63"/>
      <c r="AS524" s="64" t="str">
        <f t="shared" si="30"/>
        <v>Exclude</v>
      </c>
      <c r="AU524" s="65" t="str">
        <f t="shared" si="31"/>
        <v>Exclude</v>
      </c>
    </row>
    <row r="525" spans="1:47" s="64" customFormat="1" x14ac:dyDescent="0.25">
      <c r="A525" s="63"/>
      <c r="U525" s="64" t="str">
        <f t="shared" si="28"/>
        <v>Exclude</v>
      </c>
      <c r="W525" s="65" t="str">
        <f t="shared" si="29"/>
        <v>Exclude</v>
      </c>
      <c r="Y525" s="63"/>
      <c r="AS525" s="64" t="str">
        <f t="shared" si="30"/>
        <v>Exclude</v>
      </c>
      <c r="AU525" s="65" t="str">
        <f t="shared" si="31"/>
        <v>Exclude</v>
      </c>
    </row>
    <row r="526" spans="1:47" s="64" customFormat="1" x14ac:dyDescent="0.25">
      <c r="A526" s="63"/>
      <c r="U526" s="64" t="str">
        <f t="shared" si="28"/>
        <v>Exclude</v>
      </c>
      <c r="W526" s="65" t="str">
        <f t="shared" si="29"/>
        <v>Exclude</v>
      </c>
      <c r="Y526" s="63"/>
      <c r="AS526" s="64" t="str">
        <f t="shared" si="30"/>
        <v>Exclude</v>
      </c>
      <c r="AU526" s="65" t="str">
        <f t="shared" si="31"/>
        <v>Exclude</v>
      </c>
    </row>
    <row r="527" spans="1:47" s="64" customFormat="1" x14ac:dyDescent="0.25">
      <c r="A527" s="63"/>
      <c r="U527" s="64" t="str">
        <f t="shared" si="28"/>
        <v>Exclude</v>
      </c>
      <c r="W527" s="65" t="str">
        <f t="shared" si="29"/>
        <v>Exclude</v>
      </c>
      <c r="Y527" s="63"/>
      <c r="AS527" s="64" t="str">
        <f t="shared" si="30"/>
        <v>Exclude</v>
      </c>
      <c r="AU527" s="65" t="str">
        <f t="shared" si="31"/>
        <v>Exclude</v>
      </c>
    </row>
    <row r="528" spans="1:47" s="64" customFormat="1" x14ac:dyDescent="0.25">
      <c r="A528" s="63"/>
      <c r="U528" s="64" t="str">
        <f t="shared" si="28"/>
        <v>Exclude</v>
      </c>
      <c r="W528" s="65" t="str">
        <f t="shared" si="29"/>
        <v>Exclude</v>
      </c>
      <c r="Y528" s="63"/>
      <c r="AS528" s="64" t="str">
        <f t="shared" si="30"/>
        <v>Exclude</v>
      </c>
      <c r="AU528" s="65" t="str">
        <f t="shared" si="31"/>
        <v>Exclude</v>
      </c>
    </row>
    <row r="529" spans="1:47" s="64" customFormat="1" x14ac:dyDescent="0.25">
      <c r="A529" s="63"/>
      <c r="U529" s="64" t="str">
        <f t="shared" si="28"/>
        <v>Exclude</v>
      </c>
      <c r="W529" s="65" t="str">
        <f t="shared" si="29"/>
        <v>Exclude</v>
      </c>
      <c r="Y529" s="63"/>
      <c r="AS529" s="64" t="str">
        <f t="shared" si="30"/>
        <v>Exclude</v>
      </c>
      <c r="AU529" s="65" t="str">
        <f t="shared" si="31"/>
        <v>Exclude</v>
      </c>
    </row>
    <row r="530" spans="1:47" s="64" customFormat="1" x14ac:dyDescent="0.25">
      <c r="A530" s="63"/>
      <c r="U530" s="64" t="str">
        <f t="shared" si="28"/>
        <v>Exclude</v>
      </c>
      <c r="W530" s="65" t="str">
        <f t="shared" si="29"/>
        <v>Exclude</v>
      </c>
      <c r="Y530" s="63"/>
      <c r="AS530" s="64" t="str">
        <f t="shared" si="30"/>
        <v>Exclude</v>
      </c>
      <c r="AU530" s="65" t="str">
        <f t="shared" si="31"/>
        <v>Exclude</v>
      </c>
    </row>
    <row r="531" spans="1:47" s="64" customFormat="1" x14ac:dyDescent="0.25">
      <c r="A531" s="63"/>
      <c r="U531" s="64" t="str">
        <f t="shared" si="28"/>
        <v>Exclude</v>
      </c>
      <c r="W531" s="65" t="str">
        <f t="shared" si="29"/>
        <v>Exclude</v>
      </c>
      <c r="Y531" s="63"/>
      <c r="AS531" s="64" t="str">
        <f t="shared" si="30"/>
        <v>Exclude</v>
      </c>
      <c r="AU531" s="65" t="str">
        <f t="shared" si="31"/>
        <v>Exclude</v>
      </c>
    </row>
    <row r="532" spans="1:47" s="64" customFormat="1" x14ac:dyDescent="0.25">
      <c r="A532" s="63"/>
      <c r="U532" s="64" t="str">
        <f t="shared" si="28"/>
        <v>Exclude</v>
      </c>
      <c r="W532" s="65" t="str">
        <f t="shared" si="29"/>
        <v>Exclude</v>
      </c>
      <c r="Y532" s="63"/>
      <c r="AS532" s="64" t="str">
        <f t="shared" si="30"/>
        <v>Exclude</v>
      </c>
      <c r="AU532" s="65" t="str">
        <f t="shared" si="31"/>
        <v>Exclude</v>
      </c>
    </row>
    <row r="533" spans="1:47" s="64" customFormat="1" x14ac:dyDescent="0.25">
      <c r="A533" s="63"/>
      <c r="U533" s="64" t="str">
        <f t="shared" si="28"/>
        <v>Exclude</v>
      </c>
      <c r="W533" s="65" t="str">
        <f t="shared" si="29"/>
        <v>Exclude</v>
      </c>
      <c r="Y533" s="63"/>
      <c r="AS533" s="64" t="str">
        <f t="shared" si="30"/>
        <v>Exclude</v>
      </c>
      <c r="AU533" s="65" t="str">
        <f t="shared" si="31"/>
        <v>Exclude</v>
      </c>
    </row>
    <row r="534" spans="1:47" s="64" customFormat="1" x14ac:dyDescent="0.25">
      <c r="A534" s="63"/>
      <c r="U534" s="64" t="str">
        <f t="shared" si="28"/>
        <v>Exclude</v>
      </c>
      <c r="W534" s="65" t="str">
        <f t="shared" si="29"/>
        <v>Exclude</v>
      </c>
      <c r="Y534" s="63"/>
      <c r="AS534" s="64" t="str">
        <f t="shared" si="30"/>
        <v>Exclude</v>
      </c>
      <c r="AU534" s="65" t="str">
        <f t="shared" si="31"/>
        <v>Exclude</v>
      </c>
    </row>
    <row r="535" spans="1:47" s="64" customFormat="1" x14ac:dyDescent="0.25">
      <c r="A535" s="63"/>
      <c r="U535" s="64" t="str">
        <f t="shared" ref="U535:U598" si="32">IF(OR(R535="TruePositive",R535="TrueNegative"),IF(R534&lt;&gt;"Anticipatory",(N535),"Pant"),"Exclude")</f>
        <v>Exclude</v>
      </c>
      <c r="W535" s="65" t="str">
        <f t="shared" ref="W535:W598" si="33">IF(OR(R535="TruePositive",R535="TrueNegative"),IF(R534&lt;&gt;"Anticipatory",LOG10(N535),"Exclude"),"Exclude")</f>
        <v>Exclude</v>
      </c>
      <c r="Y535" s="63"/>
      <c r="AS535" s="64" t="str">
        <f t="shared" ref="AS535:AS598" si="34">IF(OR(AP535="TruePositive",AP535="TrueNegative"),IF(AP534&lt;&gt;"Anticipatory",(AL535),"Pant"),"Exclude")</f>
        <v>Exclude</v>
      </c>
      <c r="AU535" s="65" t="str">
        <f t="shared" ref="AU535:AU598" si="35">IF(OR(AP535="TruePositive",AP535="TrueNegative"),IF(AP534&lt;&gt;"Anticipatory",LOG10(AL535),"Exclude"),"Exclude")</f>
        <v>Exclude</v>
      </c>
    </row>
    <row r="536" spans="1:47" s="64" customFormat="1" x14ac:dyDescent="0.25">
      <c r="A536" s="63"/>
      <c r="U536" s="64" t="str">
        <f t="shared" si="32"/>
        <v>Exclude</v>
      </c>
      <c r="W536" s="65" t="str">
        <f t="shared" si="33"/>
        <v>Exclude</v>
      </c>
      <c r="Y536" s="63"/>
      <c r="AS536" s="64" t="str">
        <f t="shared" si="34"/>
        <v>Exclude</v>
      </c>
      <c r="AU536" s="65" t="str">
        <f t="shared" si="35"/>
        <v>Exclude</v>
      </c>
    </row>
    <row r="537" spans="1:47" s="64" customFormat="1" x14ac:dyDescent="0.25">
      <c r="A537" s="63"/>
      <c r="U537" s="64" t="str">
        <f t="shared" si="32"/>
        <v>Exclude</v>
      </c>
      <c r="W537" s="65" t="str">
        <f t="shared" si="33"/>
        <v>Exclude</v>
      </c>
      <c r="Y537" s="63"/>
      <c r="AS537" s="64" t="str">
        <f t="shared" si="34"/>
        <v>Exclude</v>
      </c>
      <c r="AU537" s="65" t="str">
        <f t="shared" si="35"/>
        <v>Exclude</v>
      </c>
    </row>
    <row r="538" spans="1:47" s="64" customFormat="1" x14ac:dyDescent="0.25">
      <c r="A538" s="63"/>
      <c r="U538" s="64" t="str">
        <f t="shared" si="32"/>
        <v>Exclude</v>
      </c>
      <c r="W538" s="65" t="str">
        <f t="shared" si="33"/>
        <v>Exclude</v>
      </c>
      <c r="Y538" s="63"/>
      <c r="AS538" s="64" t="str">
        <f t="shared" si="34"/>
        <v>Exclude</v>
      </c>
      <c r="AU538" s="65" t="str">
        <f t="shared" si="35"/>
        <v>Exclude</v>
      </c>
    </row>
    <row r="539" spans="1:47" s="64" customFormat="1" x14ac:dyDescent="0.25">
      <c r="A539" s="63"/>
      <c r="U539" s="64" t="str">
        <f t="shared" si="32"/>
        <v>Exclude</v>
      </c>
      <c r="W539" s="65" t="str">
        <f t="shared" si="33"/>
        <v>Exclude</v>
      </c>
      <c r="Y539" s="63"/>
      <c r="AS539" s="64" t="str">
        <f t="shared" si="34"/>
        <v>Exclude</v>
      </c>
      <c r="AU539" s="65" t="str">
        <f t="shared" si="35"/>
        <v>Exclude</v>
      </c>
    </row>
    <row r="540" spans="1:47" s="64" customFormat="1" x14ac:dyDescent="0.25">
      <c r="A540" s="63"/>
      <c r="U540" s="64" t="str">
        <f t="shared" si="32"/>
        <v>Exclude</v>
      </c>
      <c r="W540" s="65" t="str">
        <f t="shared" si="33"/>
        <v>Exclude</v>
      </c>
      <c r="Y540" s="63"/>
      <c r="AS540" s="64" t="str">
        <f t="shared" si="34"/>
        <v>Exclude</v>
      </c>
      <c r="AU540" s="65" t="str">
        <f t="shared" si="35"/>
        <v>Exclude</v>
      </c>
    </row>
    <row r="541" spans="1:47" s="64" customFormat="1" x14ac:dyDescent="0.25">
      <c r="A541" s="63"/>
      <c r="U541" s="64" t="str">
        <f t="shared" si="32"/>
        <v>Exclude</v>
      </c>
      <c r="W541" s="65" t="str">
        <f t="shared" si="33"/>
        <v>Exclude</v>
      </c>
      <c r="Y541" s="63"/>
      <c r="AS541" s="64" t="str">
        <f t="shared" si="34"/>
        <v>Exclude</v>
      </c>
      <c r="AU541" s="65" t="str">
        <f t="shared" si="35"/>
        <v>Exclude</v>
      </c>
    </row>
    <row r="542" spans="1:47" s="64" customFormat="1" x14ac:dyDescent="0.25">
      <c r="A542" s="63"/>
      <c r="U542" s="64" t="str">
        <f t="shared" si="32"/>
        <v>Exclude</v>
      </c>
      <c r="W542" s="65" t="str">
        <f t="shared" si="33"/>
        <v>Exclude</v>
      </c>
      <c r="Y542" s="63"/>
      <c r="AS542" s="64" t="str">
        <f t="shared" si="34"/>
        <v>Exclude</v>
      </c>
      <c r="AU542" s="65" t="str">
        <f t="shared" si="35"/>
        <v>Exclude</v>
      </c>
    </row>
    <row r="543" spans="1:47" s="64" customFormat="1" x14ac:dyDescent="0.25">
      <c r="A543" s="63"/>
      <c r="U543" s="64" t="str">
        <f t="shared" si="32"/>
        <v>Exclude</v>
      </c>
      <c r="W543" s="65" t="str">
        <f t="shared" si="33"/>
        <v>Exclude</v>
      </c>
      <c r="Y543" s="63"/>
      <c r="AS543" s="64" t="str">
        <f t="shared" si="34"/>
        <v>Exclude</v>
      </c>
      <c r="AU543" s="65" t="str">
        <f t="shared" si="35"/>
        <v>Exclude</v>
      </c>
    </row>
    <row r="544" spans="1:47" s="64" customFormat="1" x14ac:dyDescent="0.25">
      <c r="A544" s="63"/>
      <c r="U544" s="64" t="str">
        <f t="shared" si="32"/>
        <v>Exclude</v>
      </c>
      <c r="W544" s="65" t="str">
        <f t="shared" si="33"/>
        <v>Exclude</v>
      </c>
      <c r="Y544" s="63"/>
      <c r="AS544" s="64" t="str">
        <f t="shared" si="34"/>
        <v>Exclude</v>
      </c>
      <c r="AU544" s="65" t="str">
        <f t="shared" si="35"/>
        <v>Exclude</v>
      </c>
    </row>
    <row r="545" spans="1:47" s="64" customFormat="1" x14ac:dyDescent="0.25">
      <c r="A545" s="63"/>
      <c r="U545" s="64" t="str">
        <f t="shared" si="32"/>
        <v>Exclude</v>
      </c>
      <c r="W545" s="65" t="str">
        <f t="shared" si="33"/>
        <v>Exclude</v>
      </c>
      <c r="Y545" s="63"/>
      <c r="AS545" s="64" t="str">
        <f t="shared" si="34"/>
        <v>Exclude</v>
      </c>
      <c r="AU545" s="65" t="str">
        <f t="shared" si="35"/>
        <v>Exclude</v>
      </c>
    </row>
    <row r="546" spans="1:47" s="64" customFormat="1" x14ac:dyDescent="0.25">
      <c r="A546" s="63"/>
      <c r="U546" s="64" t="str">
        <f t="shared" si="32"/>
        <v>Exclude</v>
      </c>
      <c r="W546" s="65" t="str">
        <f t="shared" si="33"/>
        <v>Exclude</v>
      </c>
      <c r="Y546" s="63"/>
      <c r="AS546" s="64" t="str">
        <f t="shared" si="34"/>
        <v>Exclude</v>
      </c>
      <c r="AU546" s="65" t="str">
        <f t="shared" si="35"/>
        <v>Exclude</v>
      </c>
    </row>
    <row r="547" spans="1:47" s="64" customFormat="1" x14ac:dyDescent="0.25">
      <c r="A547" s="63"/>
      <c r="U547" s="64" t="str">
        <f t="shared" si="32"/>
        <v>Exclude</v>
      </c>
      <c r="W547" s="65" t="str">
        <f t="shared" si="33"/>
        <v>Exclude</v>
      </c>
      <c r="Y547" s="63"/>
      <c r="AS547" s="64" t="str">
        <f t="shared" si="34"/>
        <v>Exclude</v>
      </c>
      <c r="AU547" s="65" t="str">
        <f t="shared" si="35"/>
        <v>Exclude</v>
      </c>
    </row>
    <row r="548" spans="1:47" s="64" customFormat="1" x14ac:dyDescent="0.25">
      <c r="A548" s="63"/>
      <c r="U548" s="64" t="str">
        <f t="shared" si="32"/>
        <v>Exclude</v>
      </c>
      <c r="W548" s="65" t="str">
        <f t="shared" si="33"/>
        <v>Exclude</v>
      </c>
      <c r="Y548" s="63"/>
      <c r="AS548" s="64" t="str">
        <f t="shared" si="34"/>
        <v>Exclude</v>
      </c>
      <c r="AU548" s="65" t="str">
        <f t="shared" si="35"/>
        <v>Exclude</v>
      </c>
    </row>
    <row r="549" spans="1:47" s="64" customFormat="1" x14ac:dyDescent="0.25">
      <c r="A549" s="63"/>
      <c r="U549" s="64" t="str">
        <f t="shared" si="32"/>
        <v>Exclude</v>
      </c>
      <c r="W549" s="65" t="str">
        <f t="shared" si="33"/>
        <v>Exclude</v>
      </c>
      <c r="Y549" s="63"/>
      <c r="AS549" s="64" t="str">
        <f t="shared" si="34"/>
        <v>Exclude</v>
      </c>
      <c r="AU549" s="65" t="str">
        <f t="shared" si="35"/>
        <v>Exclude</v>
      </c>
    </row>
    <row r="550" spans="1:47" s="64" customFormat="1" x14ac:dyDescent="0.25">
      <c r="A550" s="63"/>
      <c r="U550" s="64" t="str">
        <f t="shared" si="32"/>
        <v>Exclude</v>
      </c>
      <c r="W550" s="65" t="str">
        <f t="shared" si="33"/>
        <v>Exclude</v>
      </c>
      <c r="Y550" s="63"/>
      <c r="AS550" s="64" t="str">
        <f t="shared" si="34"/>
        <v>Exclude</v>
      </c>
      <c r="AU550" s="65" t="str">
        <f t="shared" si="35"/>
        <v>Exclude</v>
      </c>
    </row>
    <row r="551" spans="1:47" s="64" customFormat="1" x14ac:dyDescent="0.25">
      <c r="A551" s="63"/>
      <c r="U551" s="64" t="str">
        <f t="shared" si="32"/>
        <v>Exclude</v>
      </c>
      <c r="W551" s="65" t="str">
        <f t="shared" si="33"/>
        <v>Exclude</v>
      </c>
      <c r="Y551" s="63"/>
      <c r="AS551" s="64" t="str">
        <f t="shared" si="34"/>
        <v>Exclude</v>
      </c>
      <c r="AU551" s="65" t="str">
        <f t="shared" si="35"/>
        <v>Exclude</v>
      </c>
    </row>
    <row r="552" spans="1:47" s="64" customFormat="1" x14ac:dyDescent="0.25">
      <c r="A552" s="63"/>
      <c r="U552" s="64" t="str">
        <f t="shared" si="32"/>
        <v>Exclude</v>
      </c>
      <c r="W552" s="65" t="str">
        <f t="shared" si="33"/>
        <v>Exclude</v>
      </c>
      <c r="Y552" s="63"/>
      <c r="AS552" s="64" t="str">
        <f t="shared" si="34"/>
        <v>Exclude</v>
      </c>
      <c r="AU552" s="65" t="str">
        <f t="shared" si="35"/>
        <v>Exclude</v>
      </c>
    </row>
    <row r="553" spans="1:47" s="64" customFormat="1" x14ac:dyDescent="0.25">
      <c r="A553" s="63"/>
      <c r="U553" s="64" t="str">
        <f t="shared" si="32"/>
        <v>Exclude</v>
      </c>
      <c r="W553" s="65" t="str">
        <f t="shared" si="33"/>
        <v>Exclude</v>
      </c>
      <c r="Y553" s="63"/>
      <c r="AS553" s="64" t="str">
        <f t="shared" si="34"/>
        <v>Exclude</v>
      </c>
      <c r="AU553" s="65" t="str">
        <f t="shared" si="35"/>
        <v>Exclude</v>
      </c>
    </row>
    <row r="554" spans="1:47" s="64" customFormat="1" x14ac:dyDescent="0.25">
      <c r="A554" s="63"/>
      <c r="U554" s="64" t="str">
        <f t="shared" si="32"/>
        <v>Exclude</v>
      </c>
      <c r="W554" s="65" t="str">
        <f t="shared" si="33"/>
        <v>Exclude</v>
      </c>
      <c r="Y554" s="63"/>
      <c r="AS554" s="64" t="str">
        <f t="shared" si="34"/>
        <v>Exclude</v>
      </c>
      <c r="AU554" s="65" t="str">
        <f t="shared" si="35"/>
        <v>Exclude</v>
      </c>
    </row>
    <row r="555" spans="1:47" s="64" customFormat="1" x14ac:dyDescent="0.25">
      <c r="A555" s="63"/>
      <c r="U555" s="64" t="str">
        <f t="shared" si="32"/>
        <v>Exclude</v>
      </c>
      <c r="W555" s="65" t="str">
        <f t="shared" si="33"/>
        <v>Exclude</v>
      </c>
      <c r="Y555" s="63"/>
      <c r="AS555" s="64" t="str">
        <f t="shared" si="34"/>
        <v>Exclude</v>
      </c>
      <c r="AU555" s="65" t="str">
        <f t="shared" si="35"/>
        <v>Exclude</v>
      </c>
    </row>
    <row r="556" spans="1:47" s="64" customFormat="1" x14ac:dyDescent="0.25">
      <c r="A556" s="63"/>
      <c r="U556" s="64" t="str">
        <f t="shared" si="32"/>
        <v>Exclude</v>
      </c>
      <c r="W556" s="65" t="str">
        <f t="shared" si="33"/>
        <v>Exclude</v>
      </c>
      <c r="Y556" s="63"/>
      <c r="AS556" s="64" t="str">
        <f t="shared" si="34"/>
        <v>Exclude</v>
      </c>
      <c r="AU556" s="65" t="str">
        <f t="shared" si="35"/>
        <v>Exclude</v>
      </c>
    </row>
    <row r="557" spans="1:47" s="64" customFormat="1" x14ac:dyDescent="0.25">
      <c r="A557" s="63"/>
      <c r="U557" s="64" t="str">
        <f t="shared" si="32"/>
        <v>Exclude</v>
      </c>
      <c r="W557" s="65" t="str">
        <f t="shared" si="33"/>
        <v>Exclude</v>
      </c>
      <c r="Y557" s="63"/>
      <c r="AS557" s="64" t="str">
        <f t="shared" si="34"/>
        <v>Exclude</v>
      </c>
      <c r="AU557" s="65" t="str">
        <f t="shared" si="35"/>
        <v>Exclude</v>
      </c>
    </row>
    <row r="558" spans="1:47" s="64" customFormat="1" x14ac:dyDescent="0.25">
      <c r="A558" s="63"/>
      <c r="U558" s="64" t="str">
        <f t="shared" si="32"/>
        <v>Exclude</v>
      </c>
      <c r="W558" s="65" t="str">
        <f t="shared" si="33"/>
        <v>Exclude</v>
      </c>
      <c r="Y558" s="63"/>
      <c r="AS558" s="64" t="str">
        <f t="shared" si="34"/>
        <v>Exclude</v>
      </c>
      <c r="AU558" s="65" t="str">
        <f t="shared" si="35"/>
        <v>Exclude</v>
      </c>
    </row>
    <row r="559" spans="1:47" s="64" customFormat="1" x14ac:dyDescent="0.25">
      <c r="A559" s="63"/>
      <c r="U559" s="64" t="str">
        <f t="shared" si="32"/>
        <v>Exclude</v>
      </c>
      <c r="W559" s="65" t="str">
        <f t="shared" si="33"/>
        <v>Exclude</v>
      </c>
      <c r="Y559" s="63"/>
      <c r="AS559" s="64" t="str">
        <f t="shared" si="34"/>
        <v>Exclude</v>
      </c>
      <c r="AU559" s="65" t="str">
        <f t="shared" si="35"/>
        <v>Exclude</v>
      </c>
    </row>
    <row r="560" spans="1:47" s="64" customFormat="1" x14ac:dyDescent="0.25">
      <c r="A560" s="63"/>
      <c r="U560" s="64" t="str">
        <f t="shared" si="32"/>
        <v>Exclude</v>
      </c>
      <c r="W560" s="65" t="str">
        <f t="shared" si="33"/>
        <v>Exclude</v>
      </c>
      <c r="Y560" s="63"/>
      <c r="AS560" s="64" t="str">
        <f t="shared" si="34"/>
        <v>Exclude</v>
      </c>
      <c r="AU560" s="65" t="str">
        <f t="shared" si="35"/>
        <v>Exclude</v>
      </c>
    </row>
    <row r="561" spans="1:47" s="64" customFormat="1" x14ac:dyDescent="0.25">
      <c r="A561" s="63"/>
      <c r="U561" s="64" t="str">
        <f t="shared" si="32"/>
        <v>Exclude</v>
      </c>
      <c r="W561" s="65" t="str">
        <f t="shared" si="33"/>
        <v>Exclude</v>
      </c>
      <c r="Y561" s="63"/>
      <c r="AS561" s="64" t="str">
        <f t="shared" si="34"/>
        <v>Exclude</v>
      </c>
      <c r="AU561" s="65" t="str">
        <f t="shared" si="35"/>
        <v>Exclude</v>
      </c>
    </row>
    <row r="562" spans="1:47" s="64" customFormat="1" x14ac:dyDescent="0.25">
      <c r="A562" s="63"/>
      <c r="U562" s="64" t="str">
        <f t="shared" si="32"/>
        <v>Exclude</v>
      </c>
      <c r="W562" s="65" t="str">
        <f t="shared" si="33"/>
        <v>Exclude</v>
      </c>
      <c r="Y562" s="63"/>
      <c r="AS562" s="64" t="str">
        <f t="shared" si="34"/>
        <v>Exclude</v>
      </c>
      <c r="AU562" s="65" t="str">
        <f t="shared" si="35"/>
        <v>Exclude</v>
      </c>
    </row>
    <row r="563" spans="1:47" s="64" customFormat="1" x14ac:dyDescent="0.25">
      <c r="A563" s="63"/>
      <c r="U563" s="64" t="str">
        <f t="shared" si="32"/>
        <v>Exclude</v>
      </c>
      <c r="W563" s="65" t="str">
        <f t="shared" si="33"/>
        <v>Exclude</v>
      </c>
      <c r="Y563" s="63"/>
      <c r="AS563" s="64" t="str">
        <f t="shared" si="34"/>
        <v>Exclude</v>
      </c>
      <c r="AU563" s="65" t="str">
        <f t="shared" si="35"/>
        <v>Exclude</v>
      </c>
    </row>
    <row r="564" spans="1:47" s="64" customFormat="1" x14ac:dyDescent="0.25">
      <c r="A564" s="63"/>
      <c r="U564" s="64" t="str">
        <f t="shared" si="32"/>
        <v>Exclude</v>
      </c>
      <c r="W564" s="65" t="str">
        <f t="shared" si="33"/>
        <v>Exclude</v>
      </c>
      <c r="Y564" s="63"/>
      <c r="AS564" s="64" t="str">
        <f t="shared" si="34"/>
        <v>Exclude</v>
      </c>
      <c r="AU564" s="65" t="str">
        <f t="shared" si="35"/>
        <v>Exclude</v>
      </c>
    </row>
    <row r="565" spans="1:47" s="64" customFormat="1" x14ac:dyDescent="0.25">
      <c r="A565" s="63"/>
      <c r="U565" s="64" t="str">
        <f t="shared" si="32"/>
        <v>Exclude</v>
      </c>
      <c r="W565" s="65" t="str">
        <f t="shared" si="33"/>
        <v>Exclude</v>
      </c>
      <c r="Y565" s="63"/>
      <c r="AS565" s="64" t="str">
        <f t="shared" si="34"/>
        <v>Exclude</v>
      </c>
      <c r="AU565" s="65" t="str">
        <f t="shared" si="35"/>
        <v>Exclude</v>
      </c>
    </row>
    <row r="566" spans="1:47" s="64" customFormat="1" x14ac:dyDescent="0.25">
      <c r="A566" s="63"/>
      <c r="U566" s="64" t="str">
        <f t="shared" si="32"/>
        <v>Exclude</v>
      </c>
      <c r="W566" s="65" t="str">
        <f t="shared" si="33"/>
        <v>Exclude</v>
      </c>
      <c r="Y566" s="63"/>
      <c r="AS566" s="64" t="str">
        <f t="shared" si="34"/>
        <v>Exclude</v>
      </c>
      <c r="AU566" s="65" t="str">
        <f t="shared" si="35"/>
        <v>Exclude</v>
      </c>
    </row>
    <row r="567" spans="1:47" s="64" customFormat="1" x14ac:dyDescent="0.25">
      <c r="A567" s="63"/>
      <c r="U567" s="64" t="str">
        <f t="shared" si="32"/>
        <v>Exclude</v>
      </c>
      <c r="W567" s="65" t="str">
        <f t="shared" si="33"/>
        <v>Exclude</v>
      </c>
      <c r="Y567" s="63"/>
      <c r="AS567" s="64" t="str">
        <f t="shared" si="34"/>
        <v>Exclude</v>
      </c>
      <c r="AU567" s="65" t="str">
        <f t="shared" si="35"/>
        <v>Exclude</v>
      </c>
    </row>
    <row r="568" spans="1:47" s="64" customFormat="1" x14ac:dyDescent="0.25">
      <c r="A568" s="63"/>
      <c r="U568" s="64" t="str">
        <f t="shared" si="32"/>
        <v>Exclude</v>
      </c>
      <c r="W568" s="65" t="str">
        <f t="shared" si="33"/>
        <v>Exclude</v>
      </c>
      <c r="Y568" s="63"/>
      <c r="AS568" s="64" t="str">
        <f t="shared" si="34"/>
        <v>Exclude</v>
      </c>
      <c r="AU568" s="65" t="str">
        <f t="shared" si="35"/>
        <v>Exclude</v>
      </c>
    </row>
    <row r="569" spans="1:47" s="64" customFormat="1" x14ac:dyDescent="0.25">
      <c r="A569" s="63"/>
      <c r="U569" s="64" t="str">
        <f t="shared" si="32"/>
        <v>Exclude</v>
      </c>
      <c r="W569" s="65" t="str">
        <f t="shared" si="33"/>
        <v>Exclude</v>
      </c>
      <c r="Y569" s="63"/>
      <c r="AS569" s="64" t="str">
        <f t="shared" si="34"/>
        <v>Exclude</v>
      </c>
      <c r="AU569" s="65" t="str">
        <f t="shared" si="35"/>
        <v>Exclude</v>
      </c>
    </row>
    <row r="570" spans="1:47" s="64" customFormat="1" x14ac:dyDescent="0.25">
      <c r="A570" s="63"/>
      <c r="U570" s="64" t="str">
        <f t="shared" si="32"/>
        <v>Exclude</v>
      </c>
      <c r="W570" s="65" t="str">
        <f t="shared" si="33"/>
        <v>Exclude</v>
      </c>
      <c r="Y570" s="63"/>
      <c r="AS570" s="64" t="str">
        <f t="shared" si="34"/>
        <v>Exclude</v>
      </c>
      <c r="AU570" s="65" t="str">
        <f t="shared" si="35"/>
        <v>Exclude</v>
      </c>
    </row>
    <row r="571" spans="1:47" s="64" customFormat="1" x14ac:dyDescent="0.25">
      <c r="A571" s="63"/>
      <c r="U571" s="64" t="str">
        <f t="shared" si="32"/>
        <v>Exclude</v>
      </c>
      <c r="W571" s="65" t="str">
        <f t="shared" si="33"/>
        <v>Exclude</v>
      </c>
      <c r="Y571" s="63"/>
      <c r="AS571" s="64" t="str">
        <f t="shared" si="34"/>
        <v>Exclude</v>
      </c>
      <c r="AU571" s="65" t="str">
        <f t="shared" si="35"/>
        <v>Exclude</v>
      </c>
    </row>
    <row r="572" spans="1:47" s="64" customFormat="1" x14ac:dyDescent="0.25">
      <c r="A572" s="63"/>
      <c r="U572" s="64" t="str">
        <f t="shared" si="32"/>
        <v>Exclude</v>
      </c>
      <c r="W572" s="65" t="str">
        <f t="shared" si="33"/>
        <v>Exclude</v>
      </c>
      <c r="Y572" s="63"/>
      <c r="AS572" s="64" t="str">
        <f t="shared" si="34"/>
        <v>Exclude</v>
      </c>
      <c r="AU572" s="65" t="str">
        <f t="shared" si="35"/>
        <v>Exclude</v>
      </c>
    </row>
    <row r="573" spans="1:47" s="64" customFormat="1" x14ac:dyDescent="0.25">
      <c r="A573" s="63"/>
      <c r="U573" s="64" t="str">
        <f t="shared" si="32"/>
        <v>Exclude</v>
      </c>
      <c r="W573" s="65" t="str">
        <f t="shared" si="33"/>
        <v>Exclude</v>
      </c>
      <c r="Y573" s="63"/>
      <c r="AS573" s="64" t="str">
        <f t="shared" si="34"/>
        <v>Exclude</v>
      </c>
      <c r="AU573" s="65" t="str">
        <f t="shared" si="35"/>
        <v>Exclude</v>
      </c>
    </row>
    <row r="574" spans="1:47" s="64" customFormat="1" x14ac:dyDescent="0.25">
      <c r="A574" s="63"/>
      <c r="U574" s="64" t="str">
        <f t="shared" si="32"/>
        <v>Exclude</v>
      </c>
      <c r="W574" s="65" t="str">
        <f t="shared" si="33"/>
        <v>Exclude</v>
      </c>
      <c r="Y574" s="63"/>
      <c r="AS574" s="64" t="str">
        <f t="shared" si="34"/>
        <v>Exclude</v>
      </c>
      <c r="AU574" s="65" t="str">
        <f t="shared" si="35"/>
        <v>Exclude</v>
      </c>
    </row>
    <row r="575" spans="1:47" s="64" customFormat="1" x14ac:dyDescent="0.25">
      <c r="A575" s="63"/>
      <c r="U575" s="64" t="str">
        <f t="shared" si="32"/>
        <v>Exclude</v>
      </c>
      <c r="W575" s="65" t="str">
        <f t="shared" si="33"/>
        <v>Exclude</v>
      </c>
      <c r="Y575" s="63"/>
      <c r="AS575" s="64" t="str">
        <f t="shared" si="34"/>
        <v>Exclude</v>
      </c>
      <c r="AU575" s="65" t="str">
        <f t="shared" si="35"/>
        <v>Exclude</v>
      </c>
    </row>
    <row r="576" spans="1:47" s="64" customFormat="1" x14ac:dyDescent="0.25">
      <c r="A576" s="63"/>
      <c r="U576" s="64" t="str">
        <f t="shared" si="32"/>
        <v>Exclude</v>
      </c>
      <c r="W576" s="65" t="str">
        <f t="shared" si="33"/>
        <v>Exclude</v>
      </c>
      <c r="Y576" s="63"/>
      <c r="AS576" s="64" t="str">
        <f t="shared" si="34"/>
        <v>Exclude</v>
      </c>
      <c r="AU576" s="65" t="str">
        <f t="shared" si="35"/>
        <v>Exclude</v>
      </c>
    </row>
    <row r="577" spans="1:47" s="64" customFormat="1" x14ac:dyDescent="0.25">
      <c r="A577" s="63"/>
      <c r="U577" s="64" t="str">
        <f t="shared" si="32"/>
        <v>Exclude</v>
      </c>
      <c r="W577" s="65" t="str">
        <f t="shared" si="33"/>
        <v>Exclude</v>
      </c>
      <c r="Y577" s="63"/>
      <c r="AS577" s="64" t="str">
        <f t="shared" si="34"/>
        <v>Exclude</v>
      </c>
      <c r="AU577" s="65" t="str">
        <f t="shared" si="35"/>
        <v>Exclude</v>
      </c>
    </row>
    <row r="578" spans="1:47" s="64" customFormat="1" x14ac:dyDescent="0.25">
      <c r="A578" s="63"/>
      <c r="U578" s="64" t="str">
        <f t="shared" si="32"/>
        <v>Exclude</v>
      </c>
      <c r="W578" s="65" t="str">
        <f t="shared" si="33"/>
        <v>Exclude</v>
      </c>
      <c r="Y578" s="63"/>
      <c r="AS578" s="64" t="str">
        <f t="shared" si="34"/>
        <v>Exclude</v>
      </c>
      <c r="AU578" s="65" t="str">
        <f t="shared" si="35"/>
        <v>Exclude</v>
      </c>
    </row>
    <row r="579" spans="1:47" s="64" customFormat="1" x14ac:dyDescent="0.25">
      <c r="A579" s="63"/>
      <c r="U579" s="64" t="str">
        <f t="shared" si="32"/>
        <v>Exclude</v>
      </c>
      <c r="W579" s="65" t="str">
        <f t="shared" si="33"/>
        <v>Exclude</v>
      </c>
      <c r="Y579" s="63"/>
      <c r="AS579" s="64" t="str">
        <f t="shared" si="34"/>
        <v>Exclude</v>
      </c>
      <c r="AU579" s="65" t="str">
        <f t="shared" si="35"/>
        <v>Exclude</v>
      </c>
    </row>
    <row r="580" spans="1:47" s="64" customFormat="1" x14ac:dyDescent="0.25">
      <c r="A580" s="63"/>
      <c r="U580" s="64" t="str">
        <f t="shared" si="32"/>
        <v>Exclude</v>
      </c>
      <c r="W580" s="65" t="str">
        <f t="shared" si="33"/>
        <v>Exclude</v>
      </c>
      <c r="Y580" s="63"/>
      <c r="AS580" s="64" t="str">
        <f t="shared" si="34"/>
        <v>Exclude</v>
      </c>
      <c r="AU580" s="65" t="str">
        <f t="shared" si="35"/>
        <v>Exclude</v>
      </c>
    </row>
    <row r="581" spans="1:47" s="64" customFormat="1" x14ac:dyDescent="0.25">
      <c r="A581" s="63"/>
      <c r="U581" s="64" t="str">
        <f t="shared" si="32"/>
        <v>Exclude</v>
      </c>
      <c r="W581" s="65" t="str">
        <f t="shared" si="33"/>
        <v>Exclude</v>
      </c>
      <c r="Y581" s="63"/>
      <c r="AS581" s="64" t="str">
        <f t="shared" si="34"/>
        <v>Exclude</v>
      </c>
      <c r="AU581" s="65" t="str">
        <f t="shared" si="35"/>
        <v>Exclude</v>
      </c>
    </row>
    <row r="582" spans="1:47" s="64" customFormat="1" x14ac:dyDescent="0.25">
      <c r="A582" s="63"/>
      <c r="U582" s="64" t="str">
        <f t="shared" si="32"/>
        <v>Exclude</v>
      </c>
      <c r="W582" s="65" t="str">
        <f t="shared" si="33"/>
        <v>Exclude</v>
      </c>
      <c r="Y582" s="63"/>
      <c r="AS582" s="64" t="str">
        <f t="shared" si="34"/>
        <v>Exclude</v>
      </c>
      <c r="AU582" s="65" t="str">
        <f t="shared" si="35"/>
        <v>Exclude</v>
      </c>
    </row>
    <row r="583" spans="1:47" s="64" customFormat="1" x14ac:dyDescent="0.25">
      <c r="A583" s="63"/>
      <c r="U583" s="64" t="str">
        <f t="shared" si="32"/>
        <v>Exclude</v>
      </c>
      <c r="W583" s="65" t="str">
        <f t="shared" si="33"/>
        <v>Exclude</v>
      </c>
      <c r="Y583" s="63"/>
      <c r="AS583" s="64" t="str">
        <f t="shared" si="34"/>
        <v>Exclude</v>
      </c>
      <c r="AU583" s="65" t="str">
        <f t="shared" si="35"/>
        <v>Exclude</v>
      </c>
    </row>
    <row r="584" spans="1:47" s="64" customFormat="1" x14ac:dyDescent="0.25">
      <c r="A584" s="63"/>
      <c r="U584" s="64" t="str">
        <f t="shared" si="32"/>
        <v>Exclude</v>
      </c>
      <c r="W584" s="65" t="str">
        <f t="shared" si="33"/>
        <v>Exclude</v>
      </c>
      <c r="Y584" s="63"/>
      <c r="AS584" s="64" t="str">
        <f t="shared" si="34"/>
        <v>Exclude</v>
      </c>
      <c r="AU584" s="65" t="str">
        <f t="shared" si="35"/>
        <v>Exclude</v>
      </c>
    </row>
    <row r="585" spans="1:47" s="64" customFormat="1" x14ac:dyDescent="0.25">
      <c r="A585" s="63"/>
      <c r="U585" s="64" t="str">
        <f t="shared" si="32"/>
        <v>Exclude</v>
      </c>
      <c r="W585" s="65" t="str">
        <f t="shared" si="33"/>
        <v>Exclude</v>
      </c>
      <c r="Y585" s="63"/>
      <c r="AS585" s="64" t="str">
        <f t="shared" si="34"/>
        <v>Exclude</v>
      </c>
      <c r="AU585" s="65" t="str">
        <f t="shared" si="35"/>
        <v>Exclude</v>
      </c>
    </row>
    <row r="586" spans="1:47" s="64" customFormat="1" x14ac:dyDescent="0.25">
      <c r="A586" s="63"/>
      <c r="U586" s="64" t="str">
        <f t="shared" si="32"/>
        <v>Exclude</v>
      </c>
      <c r="W586" s="65" t="str">
        <f t="shared" si="33"/>
        <v>Exclude</v>
      </c>
      <c r="Y586" s="63"/>
      <c r="AS586" s="64" t="str">
        <f t="shared" si="34"/>
        <v>Exclude</v>
      </c>
      <c r="AU586" s="65" t="str">
        <f t="shared" si="35"/>
        <v>Exclude</v>
      </c>
    </row>
    <row r="587" spans="1:47" s="64" customFormat="1" x14ac:dyDescent="0.25">
      <c r="A587" s="63"/>
      <c r="U587" s="64" t="str">
        <f t="shared" si="32"/>
        <v>Exclude</v>
      </c>
      <c r="W587" s="65" t="str">
        <f t="shared" si="33"/>
        <v>Exclude</v>
      </c>
      <c r="Y587" s="63"/>
      <c r="AS587" s="64" t="str">
        <f t="shared" si="34"/>
        <v>Exclude</v>
      </c>
      <c r="AU587" s="65" t="str">
        <f t="shared" si="35"/>
        <v>Exclude</v>
      </c>
    </row>
    <row r="588" spans="1:47" s="64" customFormat="1" x14ac:dyDescent="0.25">
      <c r="A588" s="63"/>
      <c r="U588" s="64" t="str">
        <f t="shared" si="32"/>
        <v>Exclude</v>
      </c>
      <c r="W588" s="65" t="str">
        <f t="shared" si="33"/>
        <v>Exclude</v>
      </c>
      <c r="Y588" s="63"/>
      <c r="AS588" s="64" t="str">
        <f t="shared" si="34"/>
        <v>Exclude</v>
      </c>
      <c r="AU588" s="65" t="str">
        <f t="shared" si="35"/>
        <v>Exclude</v>
      </c>
    </row>
    <row r="589" spans="1:47" s="64" customFormat="1" x14ac:dyDescent="0.25">
      <c r="A589" s="63"/>
      <c r="U589" s="64" t="str">
        <f t="shared" si="32"/>
        <v>Exclude</v>
      </c>
      <c r="W589" s="65" t="str">
        <f t="shared" si="33"/>
        <v>Exclude</v>
      </c>
      <c r="Y589" s="63"/>
      <c r="AS589" s="64" t="str">
        <f t="shared" si="34"/>
        <v>Exclude</v>
      </c>
      <c r="AU589" s="65" t="str">
        <f t="shared" si="35"/>
        <v>Exclude</v>
      </c>
    </row>
    <row r="590" spans="1:47" s="64" customFormat="1" x14ac:dyDescent="0.25">
      <c r="A590" s="63"/>
      <c r="U590" s="64" t="str">
        <f t="shared" si="32"/>
        <v>Exclude</v>
      </c>
      <c r="W590" s="65" t="str">
        <f t="shared" si="33"/>
        <v>Exclude</v>
      </c>
      <c r="Y590" s="63"/>
      <c r="AS590" s="64" t="str">
        <f t="shared" si="34"/>
        <v>Exclude</v>
      </c>
      <c r="AU590" s="65" t="str">
        <f t="shared" si="35"/>
        <v>Exclude</v>
      </c>
    </row>
    <row r="591" spans="1:47" s="64" customFormat="1" x14ac:dyDescent="0.25">
      <c r="A591" s="63"/>
      <c r="U591" s="64" t="str">
        <f t="shared" si="32"/>
        <v>Exclude</v>
      </c>
      <c r="W591" s="65" t="str">
        <f t="shared" si="33"/>
        <v>Exclude</v>
      </c>
      <c r="Y591" s="63"/>
      <c r="AS591" s="64" t="str">
        <f t="shared" si="34"/>
        <v>Exclude</v>
      </c>
      <c r="AU591" s="65" t="str">
        <f t="shared" si="35"/>
        <v>Exclude</v>
      </c>
    </row>
    <row r="592" spans="1:47" s="64" customFormat="1" x14ac:dyDescent="0.25">
      <c r="A592" s="63"/>
      <c r="U592" s="64" t="str">
        <f t="shared" si="32"/>
        <v>Exclude</v>
      </c>
      <c r="W592" s="65" t="str">
        <f t="shared" si="33"/>
        <v>Exclude</v>
      </c>
      <c r="Y592" s="63"/>
      <c r="AS592" s="64" t="str">
        <f t="shared" si="34"/>
        <v>Exclude</v>
      </c>
      <c r="AU592" s="65" t="str">
        <f t="shared" si="35"/>
        <v>Exclude</v>
      </c>
    </row>
    <row r="593" spans="1:47" s="64" customFormat="1" x14ac:dyDescent="0.25">
      <c r="A593" s="63"/>
      <c r="U593" s="64" t="str">
        <f t="shared" si="32"/>
        <v>Exclude</v>
      </c>
      <c r="W593" s="65" t="str">
        <f t="shared" si="33"/>
        <v>Exclude</v>
      </c>
      <c r="Y593" s="63"/>
      <c r="AS593" s="64" t="str">
        <f t="shared" si="34"/>
        <v>Exclude</v>
      </c>
      <c r="AU593" s="65" t="str">
        <f t="shared" si="35"/>
        <v>Exclude</v>
      </c>
    </row>
    <row r="594" spans="1:47" s="64" customFormat="1" x14ac:dyDescent="0.25">
      <c r="A594" s="63"/>
      <c r="U594" s="64" t="str">
        <f t="shared" si="32"/>
        <v>Exclude</v>
      </c>
      <c r="W594" s="65" t="str">
        <f t="shared" si="33"/>
        <v>Exclude</v>
      </c>
      <c r="Y594" s="63"/>
      <c r="AS594" s="64" t="str">
        <f t="shared" si="34"/>
        <v>Exclude</v>
      </c>
      <c r="AU594" s="65" t="str">
        <f t="shared" si="35"/>
        <v>Exclude</v>
      </c>
    </row>
    <row r="595" spans="1:47" s="64" customFormat="1" x14ac:dyDescent="0.25">
      <c r="A595" s="63"/>
      <c r="U595" s="64" t="str">
        <f t="shared" si="32"/>
        <v>Exclude</v>
      </c>
      <c r="W595" s="65" t="str">
        <f t="shared" si="33"/>
        <v>Exclude</v>
      </c>
      <c r="Y595" s="63"/>
      <c r="AS595" s="64" t="str">
        <f t="shared" si="34"/>
        <v>Exclude</v>
      </c>
      <c r="AU595" s="65" t="str">
        <f t="shared" si="35"/>
        <v>Exclude</v>
      </c>
    </row>
    <row r="596" spans="1:47" s="64" customFormat="1" x14ac:dyDescent="0.25">
      <c r="A596" s="63"/>
      <c r="U596" s="64" t="str">
        <f t="shared" si="32"/>
        <v>Exclude</v>
      </c>
      <c r="W596" s="65" t="str">
        <f t="shared" si="33"/>
        <v>Exclude</v>
      </c>
      <c r="Y596" s="63"/>
      <c r="AS596" s="64" t="str">
        <f t="shared" si="34"/>
        <v>Exclude</v>
      </c>
      <c r="AU596" s="65" t="str">
        <f t="shared" si="35"/>
        <v>Exclude</v>
      </c>
    </row>
    <row r="597" spans="1:47" s="64" customFormat="1" x14ac:dyDescent="0.25">
      <c r="A597" s="63"/>
      <c r="U597" s="64" t="str">
        <f t="shared" si="32"/>
        <v>Exclude</v>
      </c>
      <c r="W597" s="65" t="str">
        <f t="shared" si="33"/>
        <v>Exclude</v>
      </c>
      <c r="Y597" s="63"/>
      <c r="AS597" s="64" t="str">
        <f t="shared" si="34"/>
        <v>Exclude</v>
      </c>
      <c r="AU597" s="65" t="str">
        <f t="shared" si="35"/>
        <v>Exclude</v>
      </c>
    </row>
    <row r="598" spans="1:47" s="64" customFormat="1" x14ac:dyDescent="0.25">
      <c r="A598" s="63"/>
      <c r="U598" s="64" t="str">
        <f t="shared" si="32"/>
        <v>Exclude</v>
      </c>
      <c r="W598" s="65" t="str">
        <f t="shared" si="33"/>
        <v>Exclude</v>
      </c>
      <c r="Y598" s="63"/>
      <c r="AS598" s="64" t="str">
        <f t="shared" si="34"/>
        <v>Exclude</v>
      </c>
      <c r="AU598" s="65" t="str">
        <f t="shared" si="35"/>
        <v>Exclude</v>
      </c>
    </row>
    <row r="599" spans="1:47" s="64" customFormat="1" x14ac:dyDescent="0.25">
      <c r="A599" s="63"/>
      <c r="U599" s="64" t="str">
        <f t="shared" ref="U599:U601" si="36">IF(OR(R599="TruePositive",R599="TrueNegative"),IF(R598&lt;&gt;"Anticipatory",(N599),"Pant"),"Exclude")</f>
        <v>Exclude</v>
      </c>
      <c r="W599" s="65" t="str">
        <f t="shared" ref="W599:W602" si="37">IF(OR(R599="TruePositive",R599="TrueNegative"),IF(R598&lt;&gt;"Anticipatory",LOG10(N599),"Exclude"),"Exclude")</f>
        <v>Exclude</v>
      </c>
      <c r="Y599" s="63"/>
      <c r="AS599" s="64" t="str">
        <f t="shared" ref="AS599:AS601" si="38">IF(OR(AP599="TruePositive",AP599="TrueNegative"),IF(AP598&lt;&gt;"Anticipatory",(AL599),"Pant"),"Exclude")</f>
        <v>Exclude</v>
      </c>
      <c r="AU599" s="65" t="str">
        <f t="shared" ref="AU599:AU602" si="39">IF(OR(AP599="TruePositive",AP599="TrueNegative"),IF(AP598&lt;&gt;"Anticipatory",LOG10(AL599),"Exclude"),"Exclude")</f>
        <v>Exclude</v>
      </c>
    </row>
    <row r="600" spans="1:47" s="64" customFormat="1" x14ac:dyDescent="0.25">
      <c r="A600" s="63"/>
      <c r="U600" s="64" t="str">
        <f t="shared" si="36"/>
        <v>Exclude</v>
      </c>
      <c r="W600" s="65" t="str">
        <f t="shared" si="37"/>
        <v>Exclude</v>
      </c>
      <c r="Y600" s="63"/>
      <c r="AS600" s="64" t="str">
        <f t="shared" si="38"/>
        <v>Exclude</v>
      </c>
      <c r="AU600" s="65" t="str">
        <f t="shared" si="39"/>
        <v>Exclude</v>
      </c>
    </row>
    <row r="601" spans="1:47" s="64" customFormat="1" x14ac:dyDescent="0.25">
      <c r="A601" s="63"/>
      <c r="U601" s="64" t="str">
        <f t="shared" si="36"/>
        <v>Exclude</v>
      </c>
      <c r="W601" s="65" t="str">
        <f t="shared" si="37"/>
        <v>Exclude</v>
      </c>
      <c r="Y601" s="63"/>
      <c r="AS601" s="64" t="str">
        <f t="shared" si="38"/>
        <v>Exclude</v>
      </c>
      <c r="AU601" s="65" t="str">
        <f t="shared" si="39"/>
        <v>Exclude</v>
      </c>
    </row>
    <row r="602" spans="1:47" s="64" customFormat="1" x14ac:dyDescent="0.25">
      <c r="A602" s="63"/>
      <c r="U602" s="64" t="str">
        <f t="shared" ref="U602" si="40">IF(OR(R602="TruePositive",R602="TrueNegative"),IF(R601&lt;&gt;"Anticipatory",(N602),"Exclude"),"Exclude")</f>
        <v>Exclude</v>
      </c>
      <c r="W602" s="65" t="str">
        <f t="shared" si="37"/>
        <v>Exclude</v>
      </c>
      <c r="Y602" s="63"/>
      <c r="AS602" s="64" t="str">
        <f t="shared" ref="AS602" si="41">IF(OR(AP602="TruePositive",AP602="TrueNegative"),IF(AP601&lt;&gt;"Anticipatory",(AL602),"Exclude"),"Exclude")</f>
        <v>Exclude</v>
      </c>
      <c r="AU602" s="65" t="str">
        <f t="shared" si="39"/>
        <v>Exclude</v>
      </c>
    </row>
    <row r="603" spans="1:47" s="64" customFormat="1" x14ac:dyDescent="0.25">
      <c r="A603" s="63"/>
      <c r="W603" s="65"/>
      <c r="Y603" s="63"/>
    </row>
    <row r="604" spans="1:47" s="64" customFormat="1" x14ac:dyDescent="0.25">
      <c r="A604" s="63"/>
      <c r="W604" s="65"/>
      <c r="Y604" s="63"/>
    </row>
    <row r="605" spans="1:47" s="64" customFormat="1" x14ac:dyDescent="0.25">
      <c r="A605" s="63"/>
      <c r="W605" s="65"/>
      <c r="Y605" s="63"/>
    </row>
    <row r="606" spans="1:47" s="64" customFormat="1" x14ac:dyDescent="0.25">
      <c r="A606" s="63"/>
      <c r="W606" s="65"/>
      <c r="Y606" s="63"/>
    </row>
    <row r="607" spans="1:47" s="64" customFormat="1" x14ac:dyDescent="0.25">
      <c r="A607" s="63"/>
      <c r="W607" s="65"/>
      <c r="Y607" s="63"/>
    </row>
    <row r="608" spans="1:47" s="64" customFormat="1" x14ac:dyDescent="0.25">
      <c r="A608" s="63"/>
      <c r="W608" s="65"/>
      <c r="Y608" s="63"/>
    </row>
    <row r="609" spans="1:25" s="64" customFormat="1" x14ac:dyDescent="0.25">
      <c r="A609" s="63"/>
      <c r="W609" s="65"/>
      <c r="Y609" s="63"/>
    </row>
    <row r="610" spans="1:25" s="64" customFormat="1" x14ac:dyDescent="0.25">
      <c r="A610" s="63"/>
      <c r="W610" s="65"/>
      <c r="Y610" s="63"/>
    </row>
    <row r="611" spans="1:25" s="64" customFormat="1" x14ac:dyDescent="0.25">
      <c r="A611" s="63"/>
      <c r="W611" s="65"/>
      <c r="Y611" s="63"/>
    </row>
    <row r="612" spans="1:25" s="64" customFormat="1" x14ac:dyDescent="0.25">
      <c r="A612" s="63"/>
      <c r="W612" s="65"/>
      <c r="Y612" s="63"/>
    </row>
    <row r="613" spans="1:25" s="64" customFormat="1" x14ac:dyDescent="0.25">
      <c r="A613" s="63"/>
      <c r="W613" s="65"/>
      <c r="Y613" s="63"/>
    </row>
    <row r="614" spans="1:25" s="64" customFormat="1" x14ac:dyDescent="0.25">
      <c r="A614" s="63"/>
      <c r="W614" s="65"/>
      <c r="Y614" s="63"/>
    </row>
    <row r="615" spans="1:25" s="64" customFormat="1" x14ac:dyDescent="0.25">
      <c r="A615" s="63"/>
      <c r="W615" s="65"/>
      <c r="Y615" s="63"/>
    </row>
    <row r="616" spans="1:25" s="64" customFormat="1" x14ac:dyDescent="0.25">
      <c r="A616" s="63"/>
      <c r="W616" s="65"/>
      <c r="Y616" s="63"/>
    </row>
    <row r="617" spans="1:25" s="64" customFormat="1" x14ac:dyDescent="0.25">
      <c r="A617" s="63"/>
      <c r="W617" s="65"/>
      <c r="Y617" s="63"/>
    </row>
    <row r="618" spans="1:25" s="64" customFormat="1" x14ac:dyDescent="0.25">
      <c r="A618" s="63"/>
      <c r="W618" s="65"/>
      <c r="Y618" s="63"/>
    </row>
    <row r="619" spans="1:25" s="64" customFormat="1" x14ac:dyDescent="0.25">
      <c r="A619" s="63"/>
      <c r="W619" s="65"/>
      <c r="Y619" s="63"/>
    </row>
    <row r="620" spans="1:25" s="64" customFormat="1" x14ac:dyDescent="0.25">
      <c r="A620" s="63"/>
      <c r="W620" s="65"/>
      <c r="Y620" s="63"/>
    </row>
    <row r="621" spans="1:25" s="64" customFormat="1" x14ac:dyDescent="0.25">
      <c r="A621" s="63"/>
      <c r="W621" s="65"/>
      <c r="Y621" s="63"/>
    </row>
    <row r="622" spans="1:25" s="64" customFormat="1" x14ac:dyDescent="0.25">
      <c r="A622" s="63"/>
      <c r="W622" s="65"/>
      <c r="Y622" s="63"/>
    </row>
    <row r="623" spans="1:25" s="64" customFormat="1" x14ac:dyDescent="0.25">
      <c r="A623" s="63"/>
      <c r="W623" s="65"/>
      <c r="Y623" s="63"/>
    </row>
    <row r="624" spans="1:25" s="64" customFormat="1" x14ac:dyDescent="0.25">
      <c r="A624" s="63"/>
      <c r="W624" s="65"/>
      <c r="Y624" s="63"/>
    </row>
    <row r="625" spans="1:25" s="64" customFormat="1" x14ac:dyDescent="0.25">
      <c r="A625" s="63"/>
      <c r="W625" s="65"/>
      <c r="Y625" s="63"/>
    </row>
    <row r="626" spans="1:25" s="64" customFormat="1" x14ac:dyDescent="0.25">
      <c r="A626" s="63"/>
      <c r="W626" s="65"/>
      <c r="Y626" s="63"/>
    </row>
    <row r="627" spans="1:25" s="64" customFormat="1" x14ac:dyDescent="0.25">
      <c r="A627" s="63"/>
      <c r="W627" s="65"/>
      <c r="Y627" s="63"/>
    </row>
    <row r="628" spans="1:25" s="64" customFormat="1" x14ac:dyDescent="0.25">
      <c r="A628" s="63"/>
      <c r="W628" s="65"/>
      <c r="Y628" s="63"/>
    </row>
    <row r="629" spans="1:25" s="64" customFormat="1" x14ac:dyDescent="0.25">
      <c r="A629" s="63"/>
      <c r="Y629" s="63"/>
    </row>
    <row r="630" spans="1:25" s="64" customFormat="1" x14ac:dyDescent="0.25">
      <c r="A630" s="63"/>
      <c r="Y630" s="63"/>
    </row>
    <row r="631" spans="1:25" s="64" customFormat="1" x14ac:dyDescent="0.25">
      <c r="A631" s="63"/>
      <c r="Y631" s="63"/>
    </row>
    <row r="632" spans="1:25" s="64" customFormat="1" x14ac:dyDescent="0.25">
      <c r="A632" s="63"/>
      <c r="Y632" s="63"/>
    </row>
    <row r="633" spans="1:25" s="64" customFormat="1" x14ac:dyDescent="0.25">
      <c r="A633" s="63"/>
      <c r="Y633" s="63"/>
    </row>
    <row r="634" spans="1:25" s="64" customFormat="1" x14ac:dyDescent="0.25">
      <c r="A634" s="63"/>
      <c r="Y634" s="63"/>
    </row>
    <row r="635" spans="1:25" s="64" customFormat="1" x14ac:dyDescent="0.25">
      <c r="A635" s="63"/>
      <c r="Y635" s="63"/>
    </row>
    <row r="636" spans="1:25" s="64" customFormat="1" x14ac:dyDescent="0.25">
      <c r="A636" s="63"/>
      <c r="Y636" s="63"/>
    </row>
    <row r="637" spans="1:25" s="64" customFormat="1" x14ac:dyDescent="0.25">
      <c r="A637" s="63"/>
      <c r="Y637" s="63"/>
    </row>
    <row r="638" spans="1:25" s="64" customFormat="1" x14ac:dyDescent="0.25">
      <c r="A638" s="63"/>
      <c r="Y638" s="63"/>
    </row>
    <row r="639" spans="1:25" s="64" customFormat="1" x14ac:dyDescent="0.25">
      <c r="A639" s="63"/>
      <c r="Y639" s="63"/>
    </row>
    <row r="640" spans="1:25" s="64" customFormat="1" x14ac:dyDescent="0.25">
      <c r="A640" s="63"/>
      <c r="Y640" s="63"/>
    </row>
    <row r="641" spans="1:25" s="64" customFormat="1" x14ac:dyDescent="0.25">
      <c r="A641" s="63"/>
      <c r="Y641" s="63"/>
    </row>
    <row r="642" spans="1:25" s="64" customFormat="1" x14ac:dyDescent="0.25">
      <c r="A642" s="63"/>
      <c r="Y642" s="63"/>
    </row>
    <row r="643" spans="1:25" s="64" customFormat="1" x14ac:dyDescent="0.25">
      <c r="A643" s="63"/>
      <c r="Y643" s="63"/>
    </row>
    <row r="644" spans="1:25" s="64" customFormat="1" x14ac:dyDescent="0.25">
      <c r="A644" s="63"/>
      <c r="Y644" s="63"/>
    </row>
    <row r="645" spans="1:25" s="64" customFormat="1" x14ac:dyDescent="0.25">
      <c r="A645" s="63"/>
      <c r="Y645" s="63"/>
    </row>
    <row r="646" spans="1:25" s="64" customFormat="1" x14ac:dyDescent="0.25">
      <c r="A646" s="63"/>
      <c r="Y646" s="63"/>
    </row>
    <row r="647" spans="1:25" s="64" customFormat="1" x14ac:dyDescent="0.25">
      <c r="A647" s="63"/>
      <c r="Y647" s="63"/>
    </row>
    <row r="648" spans="1:25" s="64" customFormat="1" x14ac:dyDescent="0.25">
      <c r="A648" s="63"/>
      <c r="Y648" s="63"/>
    </row>
    <row r="649" spans="1:25" s="64" customFormat="1" x14ac:dyDescent="0.25">
      <c r="A649" s="63"/>
      <c r="Y649" s="63"/>
    </row>
    <row r="650" spans="1:25" s="64" customFormat="1" x14ac:dyDescent="0.25">
      <c r="A650" s="63"/>
      <c r="Y650" s="63"/>
    </row>
    <row r="651" spans="1:25" s="64" customFormat="1" x14ac:dyDescent="0.25">
      <c r="A651" s="63"/>
      <c r="Y651" s="63"/>
    </row>
    <row r="652" spans="1:25" s="64" customFormat="1" x14ac:dyDescent="0.25">
      <c r="A652" s="63"/>
      <c r="Y652" s="63"/>
    </row>
    <row r="653" spans="1:25" s="64" customFormat="1" x14ac:dyDescent="0.25">
      <c r="A653" s="63"/>
      <c r="Y653" s="63"/>
    </row>
    <row r="654" spans="1:25" s="64" customFormat="1" x14ac:dyDescent="0.25">
      <c r="A654" s="63"/>
      <c r="Y654" s="63"/>
    </row>
    <row r="655" spans="1:25" s="64" customFormat="1" x14ac:dyDescent="0.25">
      <c r="A655" s="63"/>
      <c r="Y655" s="63"/>
    </row>
  </sheetData>
  <conditionalFormatting sqref="X603:XFD647 X22:X602 AV22:XFD602 A22:V647">
    <cfRule type="expression" dxfId="318" priority="14">
      <formula>MOD(ROW(),2)=0</formula>
    </cfRule>
  </conditionalFormatting>
  <conditionalFormatting sqref="W22:W647">
    <cfRule type="expression" dxfId="317" priority="13">
      <formula>MOD(ROW(),2)=0</formula>
    </cfRule>
  </conditionalFormatting>
  <conditionalFormatting sqref="W1:W4 W6:W11 W16:W20 W22:W1048576">
    <cfRule type="containsText" dxfId="316" priority="12" operator="containsText" text="Exclude">
      <formula>NOT(ISERROR(SEARCH("Exclude",W1)))</formula>
    </cfRule>
  </conditionalFormatting>
  <conditionalFormatting sqref="A6:C6 H6">
    <cfRule type="containsErrors" dxfId="315" priority="11">
      <formula>ISERROR(A6)</formula>
    </cfRule>
  </conditionalFormatting>
  <conditionalFormatting sqref="W21">
    <cfRule type="containsText" dxfId="314" priority="10" operator="containsText" text="Exclude">
      <formula>NOT(ISERROR(SEARCH("Exclude",W21)))</formula>
    </cfRule>
  </conditionalFormatting>
  <conditionalFormatting sqref="U1:U1048576">
    <cfRule type="containsText" dxfId="313" priority="2" operator="containsText" text="Pant">
      <formula>NOT(ISERROR(SEARCH("Pant",U1)))</formula>
    </cfRule>
    <cfRule type="containsText" dxfId="312" priority="9" operator="containsText" text="Exclude">
      <formula>NOT(ISERROR(SEARCH("Exclude",U1)))</formula>
    </cfRule>
  </conditionalFormatting>
  <conditionalFormatting sqref="Y22:AT602">
    <cfRule type="expression" dxfId="311" priority="8">
      <formula>MOD(ROW(),2)=0</formula>
    </cfRule>
  </conditionalFormatting>
  <conditionalFormatting sqref="AU22:AU602">
    <cfRule type="expression" dxfId="310" priority="7">
      <formula>MOD(ROW(),2)=0</formula>
    </cfRule>
  </conditionalFormatting>
  <conditionalFormatting sqref="AU6:AU11 AU16:AU20 AU22:AU602">
    <cfRule type="containsText" dxfId="309" priority="6" operator="containsText" text="Exclude">
      <formula>NOT(ISERROR(SEARCH("Exclude",AU6)))</formula>
    </cfRule>
  </conditionalFormatting>
  <conditionalFormatting sqref="Y6:AA6 AF6">
    <cfRule type="containsErrors" dxfId="308" priority="5">
      <formula>ISERROR(Y6)</formula>
    </cfRule>
  </conditionalFormatting>
  <conditionalFormatting sqref="AU21">
    <cfRule type="containsText" dxfId="307" priority="4" operator="containsText" text="Exclude">
      <formula>NOT(ISERROR(SEARCH("Exclude",AU21)))</formula>
    </cfRule>
  </conditionalFormatting>
  <conditionalFormatting sqref="AS5:AS602">
    <cfRule type="containsText" dxfId="306" priority="3" operator="containsText" text="Exclude">
      <formula>NOT(ISERROR(SEARCH("Exclude",AS5)))</formula>
    </cfRule>
  </conditionalFormatting>
  <conditionalFormatting sqref="AS1:AS1048576">
    <cfRule type="containsText" dxfId="305" priority="1" operator="containsText" text="Pant">
      <formula>NOT(ISERROR(SEARCH("Pant",AS1)))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extToColumns">
                <anchor moveWithCells="1" sizeWithCells="1">
                  <from>
                    <xdr:col>7</xdr:col>
                    <xdr:colOff>857250</xdr:colOff>
                    <xdr:row>0</xdr:row>
                    <xdr:rowOff>19050</xdr:rowOff>
                  </from>
                  <to>
                    <xdr:col>12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V655"/>
  <sheetViews>
    <sheetView zoomScale="90" zoomScaleNormal="90" workbookViewId="0">
      <pane ySplit="13" topLeftCell="A14" activePane="bottomLeft" state="frozen"/>
      <selection pane="bottomLeft" activeCell="AP21" sqref="AP21:AP634"/>
    </sheetView>
  </sheetViews>
  <sheetFormatPr defaultColWidth="9.140625" defaultRowHeight="15" x14ac:dyDescent="0.25"/>
  <cols>
    <col min="1" max="1" width="19.7109375" style="65" customWidth="1"/>
    <col min="2" max="2" width="16.42578125" style="65" customWidth="1"/>
    <col min="3" max="3" width="21" style="65" customWidth="1"/>
    <col min="4" max="4" width="16.85546875" style="65" bestFit="1" customWidth="1"/>
    <col min="5" max="5" width="20" style="65" customWidth="1"/>
    <col min="6" max="6" width="16.140625" style="65" bestFit="1" customWidth="1"/>
    <col min="7" max="8" width="13" style="65" customWidth="1"/>
    <col min="9" max="9" width="12.85546875" style="65" customWidth="1"/>
    <col min="10" max="10" width="7.7109375" style="65" customWidth="1"/>
    <col min="11" max="11" width="10.85546875" style="65" customWidth="1"/>
    <col min="12" max="12" width="7" style="65" customWidth="1"/>
    <col min="13" max="13" width="12.7109375" style="65" bestFit="1" customWidth="1"/>
    <col min="14" max="14" width="7" style="65" customWidth="1"/>
    <col min="15" max="15" width="15.42578125" style="65" bestFit="1" customWidth="1"/>
    <col min="16" max="16" width="2.28515625" style="65" bestFit="1" customWidth="1"/>
    <col min="17" max="17" width="13.5703125" style="65" bestFit="1" customWidth="1"/>
    <col min="18" max="18" width="13.7109375" style="65" bestFit="1" customWidth="1"/>
    <col min="19" max="20" width="13.28515625" style="65" customWidth="1"/>
    <col min="21" max="21" width="10.5703125" style="65" customWidth="1"/>
    <col min="22" max="24" width="9.140625" style="65"/>
    <col min="25" max="25" width="20.42578125" style="63" customWidth="1"/>
    <col min="26" max="26" width="14.140625" style="65" customWidth="1"/>
    <col min="27" max="27" width="21.42578125" style="65" customWidth="1"/>
    <col min="28" max="28" width="14.5703125" style="65" customWidth="1"/>
    <col min="29" max="29" width="20" style="65" customWidth="1"/>
    <col min="30" max="30" width="19.42578125" style="65" customWidth="1"/>
    <col min="31" max="31" width="14.140625" style="65" customWidth="1"/>
    <col min="32" max="32" width="17.42578125" style="65" customWidth="1"/>
    <col min="33" max="16384" width="9.140625" style="65"/>
  </cols>
  <sheetData>
    <row r="1" spans="1:48" customFormat="1" ht="22.5" x14ac:dyDescent="0.3">
      <c r="C1" s="1" t="s">
        <v>11</v>
      </c>
      <c r="I1" s="4"/>
      <c r="J1" s="4"/>
      <c r="K1" s="4"/>
      <c r="L1" s="4"/>
      <c r="M1" s="33"/>
      <c r="N1" s="33"/>
      <c r="O1" s="33"/>
      <c r="P1" s="33"/>
      <c r="Q1" s="33"/>
      <c r="R1" s="33"/>
      <c r="Y1" s="24"/>
    </row>
    <row r="2" spans="1:48" customFormat="1" x14ac:dyDescent="0.25">
      <c r="D2" s="2"/>
      <c r="F2" s="29" t="s">
        <v>59</v>
      </c>
      <c r="I2" s="4"/>
      <c r="J2" s="4"/>
      <c r="K2" s="4"/>
      <c r="L2" s="4"/>
      <c r="M2" s="33"/>
      <c r="N2" s="33"/>
      <c r="O2" s="33"/>
      <c r="P2" s="33"/>
      <c r="Q2" s="33"/>
      <c r="R2" s="33"/>
      <c r="Y2" s="24"/>
      <c r="AD2" s="29" t="s">
        <v>59</v>
      </c>
    </row>
    <row r="3" spans="1:48" s="20" customFormat="1" x14ac:dyDescent="0.25">
      <c r="D3" s="21"/>
      <c r="F3" s="20">
        <f>SUM(F6-(COUNTIF(W22:W533,"SameTrial")))</f>
        <v>95</v>
      </c>
      <c r="I3" s="22"/>
      <c r="J3" s="22"/>
      <c r="K3" s="22"/>
      <c r="L3" s="22"/>
      <c r="M3" s="33"/>
      <c r="N3" s="33"/>
      <c r="O3" s="33"/>
      <c r="P3" s="33"/>
      <c r="Q3" s="33"/>
      <c r="R3" s="33"/>
      <c r="Y3" s="24"/>
      <c r="AD3" s="28">
        <f>SUM(AD6-(COUNTIF(AU22:AU533,"SameTrial")))</f>
        <v>0</v>
      </c>
    </row>
    <row r="4" spans="1:48" s="20" customFormat="1" x14ac:dyDescent="0.25">
      <c r="B4" s="33"/>
      <c r="C4" s="33"/>
      <c r="D4" s="40"/>
      <c r="E4" s="33"/>
      <c r="F4" s="33"/>
      <c r="G4" s="33"/>
      <c r="H4" s="33"/>
      <c r="I4" s="22"/>
      <c r="J4" s="22"/>
      <c r="K4" s="22"/>
      <c r="L4" s="22"/>
      <c r="M4" s="33"/>
      <c r="N4" s="33"/>
      <c r="O4" s="33"/>
      <c r="P4" s="33"/>
      <c r="Q4" s="33"/>
      <c r="R4" s="33"/>
      <c r="Y4" s="24"/>
      <c r="AG4" s="33"/>
      <c r="AH4" s="33"/>
      <c r="AI4" s="33"/>
      <c r="AJ4" s="33"/>
    </row>
    <row r="5" spans="1:48" customFormat="1" x14ac:dyDescent="0.25">
      <c r="A5" s="2" t="s">
        <v>0</v>
      </c>
      <c r="B5" s="40" t="s">
        <v>1</v>
      </c>
      <c r="C5" s="40" t="s">
        <v>2</v>
      </c>
      <c r="D5" s="40" t="s">
        <v>3</v>
      </c>
      <c r="E5" s="40" t="s">
        <v>4</v>
      </c>
      <c r="F5" s="40" t="s">
        <v>5</v>
      </c>
      <c r="G5" s="40" t="s">
        <v>6</v>
      </c>
      <c r="H5" s="40" t="s">
        <v>13</v>
      </c>
      <c r="I5" s="4"/>
      <c r="J5" s="4"/>
      <c r="K5" s="4"/>
      <c r="L5" s="4"/>
      <c r="M5" s="33"/>
      <c r="N5" s="33"/>
      <c r="O5" s="33"/>
      <c r="P5" s="33"/>
      <c r="Q5" s="33"/>
      <c r="R5" s="33"/>
      <c r="S5" s="2"/>
      <c r="T5" s="2"/>
      <c r="Y5" s="41" t="s">
        <v>0</v>
      </c>
      <c r="Z5" s="40" t="s">
        <v>1</v>
      </c>
      <c r="AA5" s="40" t="s">
        <v>2</v>
      </c>
      <c r="AB5" s="40" t="s">
        <v>3</v>
      </c>
      <c r="AC5" s="40" t="s">
        <v>4</v>
      </c>
      <c r="AD5" s="40" t="s">
        <v>5</v>
      </c>
      <c r="AE5" s="40" t="s">
        <v>6</v>
      </c>
      <c r="AF5" s="40" t="s">
        <v>13</v>
      </c>
      <c r="AG5" s="40" t="s">
        <v>70</v>
      </c>
      <c r="AH5" s="33"/>
      <c r="AI5" s="33"/>
      <c r="AJ5" s="33"/>
      <c r="AK5" s="33"/>
      <c r="AL5" s="33"/>
      <c r="AM5" s="33"/>
      <c r="AN5" s="33"/>
      <c r="AO5" s="33"/>
      <c r="AP5" s="33"/>
      <c r="AQ5" s="29"/>
      <c r="AR5" s="29"/>
      <c r="AS5" s="28"/>
      <c r="AT5" s="28"/>
      <c r="AU5" s="28"/>
      <c r="AV5" s="28"/>
    </row>
    <row r="6" spans="1:48" customFormat="1" x14ac:dyDescent="0.25">
      <c r="A6" s="17">
        <f>AVERAGE(W22:W612)</f>
        <v>2.7155043541055472</v>
      </c>
      <c r="B6" s="43">
        <f>STDEV(W22:W612)</f>
        <v>0.16713255956984369</v>
      </c>
      <c r="C6" s="43">
        <f>ASIN(SQRT(D6/(SUM(F6-(COUNTIF(W22:W612,"SameTrial"))))))</f>
        <v>0.86467730371629825</v>
      </c>
      <c r="D6" s="33">
        <f>COUNTIFS(R22:R533,"TruePositive",W22:W533,"&lt;&gt;Exclude",W22:W533,"&lt;&gt;SameTrial")+COUNTIFS(R22:R533,"TrueNegative",W22:W533,"&lt;&gt;Exclude",W22:W533,"&lt;&gt;SameTrial")</f>
        <v>55</v>
      </c>
      <c r="E6" s="33">
        <f>COUNTIF(R22:R533,"FalsePositive")+COUNTIF(R22:R533,"FalseNegative")+COUNTIF(R22:R533,"Anticipatory")+COUNTIF(R22:R533,"Post")</f>
        <v>40</v>
      </c>
      <c r="F6" s="33">
        <f>COUNTIF(R22:R533,"FalsePositive")+COUNTIF(R22:R533,"FalseNegative")+COUNTIF(R22:R533,"Anticipatory")+COUNTIF(R22:R533,"Post")+COUNTIF(R22:R533,"TruePositive")+COUNTIF(R22:R533,"TrueNegative")</f>
        <v>120</v>
      </c>
      <c r="G6" s="33">
        <f>SUM(D6+(COUNTIFS(R22:R533,"FalsePositive",W22:W533,"&lt;&gt;SameTrial")+COUNTIFS(R22:R533,"FalseNegative",W22:W533,"&lt;&gt;SameTrial")))</f>
        <v>80</v>
      </c>
      <c r="H6" s="33">
        <f>(Norms!M38)</f>
        <v>74.943047683129109</v>
      </c>
      <c r="I6" s="4"/>
      <c r="J6" s="4"/>
      <c r="K6" s="4"/>
      <c r="L6" s="4"/>
      <c r="M6" s="33"/>
      <c r="N6" s="33"/>
      <c r="O6" s="33"/>
      <c r="P6" s="33"/>
      <c r="Q6" s="33"/>
      <c r="R6" s="33"/>
      <c r="Y6" s="42" t="e">
        <f>AVERAGE(AU22:AU612)</f>
        <v>#DIV/0!</v>
      </c>
      <c r="Z6" s="43" t="e">
        <f>STDEV(AU22:AU612)</f>
        <v>#DIV/0!</v>
      </c>
      <c r="AA6" s="43" t="e">
        <f>ASIN(SQRT(AB6/(SUM(AD6-(COUNTIF(AU22:AU612,"SameTrial"))))))</f>
        <v>#DIV/0!</v>
      </c>
      <c r="AB6" s="33">
        <f>COUNTIFS(AP22:AP533,"TruePositive",AU22:AU533,"&lt;&gt;Exclude",AU22:AU533,"&lt;&gt;SameTrial")+COUNTIFS(AP22:AP533,"TrueNegative",AU22:AU533,"&lt;&gt;Exclude",AU22:AU533,"&lt;&gt;SameTrial")</f>
        <v>0</v>
      </c>
      <c r="AC6" s="33">
        <f>COUNTIF(AP22:AP533,"FalsePositive")+COUNTIF(AP22:AP533,"FalseNegative")+COUNTIF(AP22:AP533,"Anticipatory")+COUNTIF(AP22:AP533,"Post")</f>
        <v>0</v>
      </c>
      <c r="AD6" s="33">
        <f>COUNTIF(AP22:AP533,"FalsePositive")+COUNTIF(AP22:AP533,"FalseNegative")+COUNTIF(AP22:AP533,"Anticipatory")+COUNTIF(AP22:AP533,"Post")+COUNTIF(AP22:AP533,"TruePositive")+COUNTIF(AP22:AP533,"TrueNegative")</f>
        <v>0</v>
      </c>
      <c r="AE6" s="33">
        <f>SUM(AB6+(COUNTIFS(AP22:AP533,"FalsePositive",AU22:AU533,"&lt;&gt;SameTrial")+COUNTIFS(AP22:AP533,"FalseNegative",AU22:AU533,"&lt;&gt;SameTrial")))</f>
        <v>0</v>
      </c>
      <c r="AF6" s="33" t="e">
        <f>(Norms!S38)</f>
        <v>#VALUE!</v>
      </c>
      <c r="AG6" s="33" t="e">
        <f>SUM((AF12+'One Back'!AF12)/2)/VLOOKUP(Detection!E2,Norms!A71:D77,4)</f>
        <v>#VALUE!</v>
      </c>
      <c r="AH6" s="33"/>
      <c r="AI6" s="33"/>
      <c r="AJ6" s="33"/>
      <c r="AK6" s="33"/>
      <c r="AL6" s="33"/>
      <c r="AM6" s="33"/>
      <c r="AN6" s="33"/>
      <c r="AO6" s="33"/>
      <c r="AP6" s="33"/>
      <c r="AQ6" s="28"/>
      <c r="AR6" s="28"/>
      <c r="AS6" s="28"/>
      <c r="AT6" s="28"/>
      <c r="AU6" s="28"/>
      <c r="AV6" s="28"/>
    </row>
    <row r="7" spans="1:48" customFormat="1" x14ac:dyDescent="0.25">
      <c r="B7" s="33"/>
      <c r="C7" s="33"/>
      <c r="D7" s="33"/>
      <c r="E7" s="33"/>
      <c r="F7" s="33"/>
      <c r="G7" s="33"/>
      <c r="H7" s="33"/>
      <c r="I7" s="4"/>
      <c r="J7" s="4"/>
      <c r="K7" s="4"/>
      <c r="L7" s="4"/>
      <c r="M7" s="33"/>
      <c r="N7" s="33"/>
      <c r="O7" s="33"/>
      <c r="P7" s="33"/>
      <c r="Q7" s="33"/>
      <c r="R7" s="33"/>
      <c r="Y7" s="44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28"/>
      <c r="AR7" s="28"/>
      <c r="AS7" s="28"/>
      <c r="AT7" s="28"/>
      <c r="AU7" s="28"/>
      <c r="AV7" s="28"/>
    </row>
    <row r="8" spans="1:48" s="28" customFormat="1" x14ac:dyDescent="0.25">
      <c r="A8" s="48" t="s">
        <v>63</v>
      </c>
      <c r="B8" s="29" t="s">
        <v>47</v>
      </c>
      <c r="C8" s="29" t="s">
        <v>64</v>
      </c>
      <c r="D8" s="29" t="s">
        <v>48</v>
      </c>
      <c r="E8" s="29" t="s">
        <v>49</v>
      </c>
      <c r="F8" s="40" t="s">
        <v>50</v>
      </c>
      <c r="G8" s="40" t="s">
        <v>51</v>
      </c>
      <c r="H8" s="40" t="s">
        <v>58</v>
      </c>
      <c r="I8" s="30"/>
      <c r="J8" s="30"/>
      <c r="K8" s="30"/>
      <c r="L8" s="30"/>
      <c r="M8" s="33"/>
      <c r="N8" s="33"/>
      <c r="O8" s="33"/>
      <c r="P8" s="33"/>
      <c r="Q8" s="33"/>
      <c r="R8" s="33"/>
      <c r="Y8" s="50" t="s">
        <v>63</v>
      </c>
      <c r="Z8" s="40" t="s">
        <v>47</v>
      </c>
      <c r="AA8" s="40" t="s">
        <v>64</v>
      </c>
      <c r="AB8" s="40" t="s">
        <v>48</v>
      </c>
      <c r="AC8" s="40" t="s">
        <v>49</v>
      </c>
      <c r="AD8" s="40" t="s">
        <v>50</v>
      </c>
      <c r="AE8" s="40" t="s">
        <v>51</v>
      </c>
      <c r="AF8" s="40" t="s">
        <v>58</v>
      </c>
      <c r="AG8" s="33"/>
      <c r="AH8" s="33"/>
      <c r="AI8" s="33"/>
      <c r="AJ8" s="33"/>
      <c r="AK8" s="33"/>
      <c r="AL8" s="33"/>
      <c r="AM8" s="33"/>
      <c r="AN8" s="33"/>
      <c r="AO8" s="33"/>
      <c r="AP8" s="33"/>
    </row>
    <row r="9" spans="1:48" s="28" customFormat="1" x14ac:dyDescent="0.25">
      <c r="A9" s="27">
        <f>(G6/80)*100</f>
        <v>100</v>
      </c>
      <c r="B9" s="28" t="str">
        <f>IF(A9&gt;=100,"Yes","No")</f>
        <v>Yes</v>
      </c>
      <c r="C9" s="28">
        <f>(D6/F3)*100</f>
        <v>57.894736842105267</v>
      </c>
      <c r="D9" s="28" t="str">
        <f>IF(B9="No","",IF(C9&gt;50,"Yes","No"))</f>
        <v>Yes</v>
      </c>
      <c r="E9" s="28">
        <f>AVERAGE(U22:U612)</f>
        <v>559.27659574468089</v>
      </c>
      <c r="F9" s="28">
        <f>STDEV(U22:U612)</f>
        <v>237.8526856953836</v>
      </c>
      <c r="G9" s="28">
        <f>D6/F3</f>
        <v>0.57894736842105265</v>
      </c>
      <c r="H9" s="28">
        <f>COUNTIF(R22:R533,"FalsePositive")+COUNTIF(R22:R533,"FalseNegative")</f>
        <v>25</v>
      </c>
      <c r="I9" s="30"/>
      <c r="J9" s="30"/>
      <c r="K9" s="30"/>
      <c r="L9" s="30"/>
      <c r="M9" s="33"/>
      <c r="N9" s="33"/>
      <c r="O9" s="33"/>
      <c r="P9" s="33"/>
      <c r="Q9" s="33"/>
      <c r="R9" s="33"/>
      <c r="Y9" s="45">
        <f>(AE6/80)*100</f>
        <v>0</v>
      </c>
      <c r="Z9" s="33" t="str">
        <f>IF(Y9&gt;=100,"Yes","No")</f>
        <v>No</v>
      </c>
      <c r="AA9" s="33" t="e">
        <f>(AB6/AD3)*100</f>
        <v>#DIV/0!</v>
      </c>
      <c r="AB9" s="33" t="e">
        <f>IF(AA9&gt;50,"Yes","NO")</f>
        <v>#DIV/0!</v>
      </c>
      <c r="AC9" s="33" t="e">
        <f>AVERAGE(AS22:AS612)</f>
        <v>#DIV/0!</v>
      </c>
      <c r="AD9" s="33" t="e">
        <f>STDEV(AS22:AS612)</f>
        <v>#DIV/0!</v>
      </c>
      <c r="AE9" s="33" t="e">
        <f>AB6/AD3</f>
        <v>#DIV/0!</v>
      </c>
      <c r="AF9" s="33">
        <f>COUNTIF(AP22:AP533,"FalsePositive")+COUNTIF(AP22:AP533,"FalseNegative")</f>
        <v>0</v>
      </c>
      <c r="AG9" s="33"/>
      <c r="AH9" s="33"/>
      <c r="AI9" s="33"/>
      <c r="AJ9" s="33"/>
      <c r="AK9" s="33"/>
      <c r="AL9" s="33"/>
      <c r="AM9" s="33"/>
      <c r="AN9" s="33"/>
      <c r="AO9" s="33"/>
      <c r="AP9" s="33"/>
    </row>
    <row r="10" spans="1:48" s="28" customFormat="1" x14ac:dyDescent="0.25">
      <c r="I10" s="30"/>
      <c r="J10" s="30"/>
      <c r="K10" s="30"/>
      <c r="L10" s="30"/>
      <c r="M10" s="33"/>
      <c r="N10" s="33"/>
      <c r="O10" s="33"/>
      <c r="P10" s="33"/>
      <c r="Q10" s="33"/>
      <c r="R10" s="33"/>
      <c r="Y10" s="24"/>
      <c r="AG10" s="33"/>
      <c r="AH10" s="33"/>
      <c r="AI10" s="33"/>
      <c r="AJ10" s="33"/>
      <c r="AK10" s="33"/>
      <c r="AL10" s="33"/>
      <c r="AM10" s="33"/>
      <c r="AN10" s="33"/>
      <c r="AO10" s="33"/>
      <c r="AP10" s="33"/>
    </row>
    <row r="11" spans="1:48" customFormat="1" x14ac:dyDescent="0.25">
      <c r="A11" s="29" t="s">
        <v>52</v>
      </c>
      <c r="B11" s="29" t="s">
        <v>65</v>
      </c>
      <c r="C11" s="29" t="s">
        <v>54</v>
      </c>
      <c r="D11" s="29" t="s">
        <v>55</v>
      </c>
      <c r="E11" s="48" t="s">
        <v>66</v>
      </c>
      <c r="F11" s="29" t="s">
        <v>68</v>
      </c>
      <c r="M11" s="28"/>
      <c r="N11" s="28"/>
      <c r="O11" s="28"/>
      <c r="P11" s="28"/>
      <c r="Q11" s="28"/>
      <c r="R11" s="28"/>
      <c r="Y11" s="37" t="s">
        <v>52</v>
      </c>
      <c r="Z11" s="29" t="s">
        <v>65</v>
      </c>
      <c r="AA11" s="29" t="s">
        <v>54</v>
      </c>
      <c r="AB11" s="29" t="s">
        <v>55</v>
      </c>
      <c r="AC11" s="48" t="s">
        <v>66</v>
      </c>
      <c r="AD11" s="29" t="s">
        <v>68</v>
      </c>
      <c r="AE11" s="28"/>
      <c r="AF11" s="29" t="s">
        <v>62</v>
      </c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</row>
    <row r="12" spans="1:48" s="28" customFormat="1" x14ac:dyDescent="0.25">
      <c r="A12" s="27">
        <f>COUNTIF(R22:R533,"Anticipatory")+COUNTIF(R22:R533,"Post")</f>
        <v>15</v>
      </c>
      <c r="B12" s="28">
        <f>IF(B9="No","",SUM('OCL2'!C6-VLOOKUP(Detection!E2,Norms!A26:E32,2,TRUE))/VLOOKUP(Detection!E2,Norms!A26:E32,3,TRUE))</f>
        <v>-0.9316280991973781</v>
      </c>
      <c r="C12" s="28">
        <f>COUNTIF(R22:R533,"Anticipatory")</f>
        <v>12</v>
      </c>
      <c r="D12" s="28">
        <f>COUNTIF(R22:R533,"Post")</f>
        <v>3</v>
      </c>
      <c r="E12" s="28">
        <f>COUNTIFS(R22:R533,"TruePositive",W22:W533,"&lt;&gt;Exclude",W22:W533,"&lt;&gt;SameTrial",W22:W533,"&lt;&gt;Pant")+COUNTIFS(R22:R533,"TrueNegative",W22:W533,"&lt;&gt;Exclude",W22:W533,"&lt;&gt;SameTrial",W22:W533,"&lt;&gt;Pant")</f>
        <v>47</v>
      </c>
      <c r="F12" s="28">
        <f>IF(B9="No","",SUM(B12*10)+100)</f>
        <v>90.683719008026216</v>
      </c>
      <c r="Y12" s="39">
        <f>COUNTIF(AP22:AP533,"Anticipatory")+COUNTIF(AP22:AP533,"Post")</f>
        <v>0</v>
      </c>
      <c r="Z12" s="28" t="str">
        <f>IF(Z9="No","",SUM('OCL2'!AA6-VLOOKUP(Detection!E2,Norms!A26:E32,2,TRUE))/VLOOKUP(Detection!E2,Norms!A26:E32,3,TRUE))</f>
        <v/>
      </c>
      <c r="AA12" s="28">
        <f>COUNTIF(AP22:AP533,"Anticipatory")</f>
        <v>0</v>
      </c>
      <c r="AB12" s="28">
        <f>COUNTIF(AP22:AP533,"Post")</f>
        <v>0</v>
      </c>
      <c r="AC12" s="28">
        <f>COUNTIFS(AP22:AP533,"TruePositive",AU22:AU533,"&lt;&gt;Exclude",AU22:AU533,"&lt;&gt;SameTrial",AU22:AU533,"&lt;&gt;Pant")+COUNTIFS(AP22:AP533,"TrueNegative",AU22:AU533,"&lt;&gt;Exclude",AU22:AU533,"&lt;&gt;SameTrial",AU22:AU533,"&lt;&gt;Pant")</f>
        <v>0</v>
      </c>
      <c r="AD12" s="28" t="str">
        <f>IF(Z9="No","",SUM(Z12*10)+100)</f>
        <v/>
      </c>
      <c r="AF12" s="28" t="str">
        <f>IF(OR(Z9="No",B9="No"),"",SUM((AA6-C6)*1)/(VLOOKUP(Detection!E2,Norms!A26:E32,5)*SQRT(2)))</f>
        <v/>
      </c>
    </row>
    <row r="13" spans="1:48" customFormat="1" x14ac:dyDescent="0.25">
      <c r="M13" s="28"/>
      <c r="N13" s="28"/>
      <c r="O13" s="28"/>
      <c r="P13" s="28"/>
      <c r="Q13" s="28"/>
      <c r="R13" s="28"/>
      <c r="U13" s="29" t="s">
        <v>57</v>
      </c>
      <c r="W13" s="2" t="s">
        <v>7</v>
      </c>
      <c r="Y13" s="24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9" t="s">
        <v>57</v>
      </c>
      <c r="AT13" s="28"/>
      <c r="AU13" s="29" t="s">
        <v>7</v>
      </c>
      <c r="AV13" s="28"/>
    </row>
    <row r="14" spans="1:48" s="28" customFormat="1" x14ac:dyDescent="0.25">
      <c r="U14" s="29"/>
      <c r="W14" s="29"/>
      <c r="Y14" s="24"/>
      <c r="AS14" s="29"/>
      <c r="AU14" s="29"/>
    </row>
    <row r="15" spans="1:48" s="28" customFormat="1" x14ac:dyDescent="0.25">
      <c r="U15" s="29"/>
      <c r="W15" s="29"/>
      <c r="Y15" s="24"/>
      <c r="AS15" s="29"/>
      <c r="AU15" s="29"/>
    </row>
    <row r="16" spans="1:48" s="28" customFormat="1" x14ac:dyDescent="0.25">
      <c r="U16" s="29"/>
      <c r="W16" s="29"/>
      <c r="Y16" s="24"/>
      <c r="AS16" s="29"/>
      <c r="AU16" s="29"/>
    </row>
    <row r="17" spans="1:47" s="28" customFormat="1" x14ac:dyDescent="0.25">
      <c r="U17" s="29"/>
      <c r="W17" s="29"/>
      <c r="Y17" s="24"/>
      <c r="AS17" s="29"/>
      <c r="AU17" s="29"/>
    </row>
    <row r="18" spans="1:47" s="28" customFormat="1" x14ac:dyDescent="0.25">
      <c r="U18" s="29"/>
      <c r="W18" s="29"/>
      <c r="Y18" s="24"/>
      <c r="AS18" s="29"/>
      <c r="AU18" s="29"/>
    </row>
    <row r="19" spans="1:47" s="3" customFormat="1" x14ac:dyDescent="0.25">
      <c r="Y19" s="36"/>
    </row>
    <row r="20" spans="1:47" s="3" customFormat="1" x14ac:dyDescent="0.25">
      <c r="Y20" s="36"/>
    </row>
    <row r="21" spans="1:47" s="35" customFormat="1" ht="18.75" x14ac:dyDescent="0.3">
      <c r="A21" s="34" t="s">
        <v>60</v>
      </c>
      <c r="Y21" s="34" t="s">
        <v>61</v>
      </c>
    </row>
    <row r="22" spans="1:47" s="67" customFormat="1" x14ac:dyDescent="0.25">
      <c r="A22" s="66" t="s">
        <v>170</v>
      </c>
      <c r="B22" s="67">
        <v>1</v>
      </c>
      <c r="C22" s="67" t="s">
        <v>171</v>
      </c>
      <c r="D22" s="67">
        <v>1</v>
      </c>
      <c r="E22" s="67" t="s">
        <v>172</v>
      </c>
      <c r="F22" s="67" t="s">
        <v>191</v>
      </c>
      <c r="G22" s="67" t="s">
        <v>174</v>
      </c>
      <c r="H22" s="67" t="s">
        <v>185</v>
      </c>
      <c r="I22" s="67" t="s">
        <v>176</v>
      </c>
      <c r="J22" s="67">
        <v>690</v>
      </c>
      <c r="K22" s="67" t="s">
        <v>177</v>
      </c>
      <c r="L22" s="67">
        <v>1173</v>
      </c>
      <c r="M22" s="67" t="s">
        <v>178</v>
      </c>
      <c r="N22" s="67">
        <v>482</v>
      </c>
      <c r="O22" s="67" t="s">
        <v>179</v>
      </c>
      <c r="P22" s="67" t="s">
        <v>187</v>
      </c>
      <c r="Q22" s="67" t="s">
        <v>181</v>
      </c>
      <c r="R22" s="67" t="s">
        <v>188</v>
      </c>
      <c r="U22" s="65">
        <f>IF(OR(R22="TruePositive",R22="TrueNegative"),IF(R21&lt;&gt;"Anticipatory",IF(OR(R21="FalseNegative",R21="FalsePositive"),"SameTrial",(N22)),"Pant"),IF(OR(R22="FalsePositive",R22="FalseNegative"),IF(R21&lt;&gt;"Anticipatory",IF(OR(R21="FalsePositive",R21="FalseNegative"),"SameTrial","Exclude"),"Exclude"),"Exclude"))</f>
        <v>482</v>
      </c>
      <c r="W22" s="65">
        <f>IF(OR(R22="TruePositive",R22="TrueNegative"),IF(R21&lt;&gt;"Anticipatory",IF(OR(R21="FalseNegative",R21="FalsePositive"),"SameTrial",LOG10(N22)),"Pant"),IF(OR(R22="FalsePositive",R22="FalseNegative"),IF(R21&lt;&gt;"Anticipatory",IF(OR(R21="FalsePositive",R21="FalseNegative"),"SameTrial","Exclude"),"Exclude"),"Exclude"))</f>
        <v>2.6830470382388496</v>
      </c>
      <c r="Y22" s="66"/>
      <c r="AS22" s="65" t="str">
        <f>IF(OR(AP22="TruePositive",AP22="TrueNegative"),IF(AP21&lt;&gt;"Anticipatory",IF(OR(AP21="FalseNegative",AP21="FalsePositive"),"SameTrial",(AL22)),"Pant"),IF(OR(AP22="FalsePositive",AP22="FalseNegative"),IF(AP21&lt;&gt;"Anticipatory",IF(OR(AP21="FalsePositive",AP21="FalseNegative"),"SameTrial","Exclude"),"Exclude"),"Exclude"))</f>
        <v>Exclude</v>
      </c>
      <c r="AU22" s="65" t="str">
        <f>IF(OR(AP22="TruePositive",AP22="TrueNegative"),IF(AP21&lt;&gt;"Anticipatory",IF(OR(AP21="FalseNegative",AP21="FalsePositive"),"SameTrial",LOG10(AL22)),"Pant"),IF(OR(AP22="FalsePositive",AP22="FalseNegative"),IF(AP21&lt;&gt;"Anticipatory",IF(OR(AP21="FalsePositive",AP21="FalseNegative"),"SameTrial","Exclude"),"Exclude"),"Exclude"))</f>
        <v>Exclude</v>
      </c>
    </row>
    <row r="23" spans="1:47" s="64" customFormat="1" x14ac:dyDescent="0.25">
      <c r="A23" s="63" t="s">
        <v>170</v>
      </c>
      <c r="B23" s="64">
        <v>1</v>
      </c>
      <c r="C23" s="64" t="s">
        <v>171</v>
      </c>
      <c r="D23" s="64">
        <v>2</v>
      </c>
      <c r="E23" s="64" t="s">
        <v>172</v>
      </c>
      <c r="F23" s="64" t="s">
        <v>192</v>
      </c>
      <c r="G23" s="64" t="s">
        <v>174</v>
      </c>
      <c r="H23" s="64" t="s">
        <v>185</v>
      </c>
      <c r="I23" s="64" t="s">
        <v>176</v>
      </c>
      <c r="J23" s="64">
        <v>819</v>
      </c>
      <c r="K23" s="64" t="s">
        <v>177</v>
      </c>
      <c r="L23" s="64">
        <v>2742</v>
      </c>
      <c r="M23" s="64" t="s">
        <v>178</v>
      </c>
      <c r="N23" s="64">
        <v>260</v>
      </c>
      <c r="O23" s="64" t="s">
        <v>179</v>
      </c>
      <c r="P23" s="64" t="s">
        <v>187</v>
      </c>
      <c r="Q23" s="64" t="s">
        <v>181</v>
      </c>
      <c r="R23" s="64" t="s">
        <v>188</v>
      </c>
      <c r="U23" s="65">
        <f t="shared" ref="U23:U86" si="0">IF(OR(R23="TruePositive",R23="TrueNegative"),IF(R22&lt;&gt;"Anticipatory",IF(OR(R22="FalseNegative",R22="FalsePositive"),"SameTrial",(N23)),"Pant"),IF(OR(R23="FalsePositive",R23="FalseNegative"),IF(R22&lt;&gt;"Anticipatory",IF(OR(R22="FalsePositive",R22="FalseNegative"),"SameTrial","Exclude"),"Exclude"),"Exclude"))</f>
        <v>260</v>
      </c>
      <c r="W23" s="65">
        <f t="shared" ref="W23:W86" si="1">IF(OR(R23="TruePositive",R23="TrueNegative"),IF(R22&lt;&gt;"Anticipatory",IF(OR(R22="FalseNegative",R22="FalsePositive"),"SameTrial",LOG10(N23)),"Pant"),IF(OR(R23="FalsePositive",R23="FalseNegative"),IF(R22&lt;&gt;"Anticipatory",IF(OR(R22="FalsePositive",R22="FalseNegative"),"SameTrial","Exclude"),"Exclude"),"Exclude"))</f>
        <v>2.4149733479708178</v>
      </c>
      <c r="Y23" s="63"/>
      <c r="AS23" s="65" t="str">
        <f t="shared" ref="AS23:AS86" si="2">IF(OR(AP23="TruePositive",AP23="TrueNegative"),IF(AP22&lt;&gt;"Anticipatory",IF(OR(AP22="FalseNegative",AP22="FalsePositive"),"SameTrial",(AL23)),"Pant"),IF(OR(AP23="FalsePositive",AP23="FalseNegative"),IF(AP22&lt;&gt;"Anticipatory",IF(OR(AP22="FalsePositive",AP22="FalseNegative"),"SameTrial","Exclude"),"Exclude"),"Exclude"))</f>
        <v>Exclude</v>
      </c>
      <c r="AU23" s="65" t="str">
        <f t="shared" ref="AU23:AU86" si="3">IF(OR(AP23="TruePositive",AP23="TrueNegative"),IF(AP22&lt;&gt;"Anticipatory",IF(OR(AP22="FalseNegative",AP22="FalsePositive"),"SameTrial",LOG10(AL23)),"Pant"),IF(OR(AP23="FalsePositive",AP23="FalseNegative"),IF(AP22&lt;&gt;"Anticipatory",IF(OR(AP22="FalsePositive",AP22="FalseNegative"),"SameTrial","Exclude"),"Exclude"),"Exclude"))</f>
        <v>Exclude</v>
      </c>
    </row>
    <row r="24" spans="1:47" s="64" customFormat="1" x14ac:dyDescent="0.25">
      <c r="A24" s="63" t="s">
        <v>170</v>
      </c>
      <c r="B24" s="64">
        <v>1</v>
      </c>
      <c r="C24" s="64" t="s">
        <v>171</v>
      </c>
      <c r="D24" s="64">
        <v>3</v>
      </c>
      <c r="E24" s="64" t="s">
        <v>172</v>
      </c>
      <c r="F24" s="64" t="s">
        <v>191</v>
      </c>
      <c r="G24" s="64" t="s">
        <v>174</v>
      </c>
      <c r="H24" s="64" t="s">
        <v>175</v>
      </c>
      <c r="I24" s="64" t="s">
        <v>176</v>
      </c>
      <c r="J24" s="64">
        <v>977</v>
      </c>
      <c r="K24" s="64" t="s">
        <v>177</v>
      </c>
      <c r="L24" s="64">
        <v>4446</v>
      </c>
      <c r="M24" s="64" t="s">
        <v>178</v>
      </c>
      <c r="N24" s="64">
        <v>233</v>
      </c>
      <c r="O24" s="64" t="s">
        <v>179</v>
      </c>
      <c r="P24" s="64" t="s">
        <v>187</v>
      </c>
      <c r="Q24" s="64" t="s">
        <v>181</v>
      </c>
      <c r="R24" s="64" t="s">
        <v>189</v>
      </c>
      <c r="U24" s="65" t="str">
        <f t="shared" si="0"/>
        <v>Exclude</v>
      </c>
      <c r="W24" s="65" t="str">
        <f t="shared" si="1"/>
        <v>Exclude</v>
      </c>
      <c r="Y24" s="63"/>
      <c r="AS24" s="65" t="str">
        <f t="shared" si="2"/>
        <v>Exclude</v>
      </c>
      <c r="AU24" s="65" t="str">
        <f t="shared" si="3"/>
        <v>Exclude</v>
      </c>
    </row>
    <row r="25" spans="1:47" s="64" customFormat="1" x14ac:dyDescent="0.25">
      <c r="A25" s="63" t="s">
        <v>170</v>
      </c>
      <c r="B25" s="64">
        <v>1</v>
      </c>
      <c r="C25" s="64" t="s">
        <v>171</v>
      </c>
      <c r="D25" s="64">
        <v>3</v>
      </c>
      <c r="E25" s="64" t="s">
        <v>172</v>
      </c>
      <c r="F25" s="64" t="s">
        <v>191</v>
      </c>
      <c r="G25" s="64" t="s">
        <v>174</v>
      </c>
      <c r="H25" s="64" t="s">
        <v>175</v>
      </c>
      <c r="I25" s="64" t="s">
        <v>176</v>
      </c>
      <c r="J25" s="64">
        <v>977</v>
      </c>
      <c r="K25" s="64" t="s">
        <v>177</v>
      </c>
      <c r="L25" s="64">
        <v>4717</v>
      </c>
      <c r="M25" s="64" t="s">
        <v>178</v>
      </c>
      <c r="N25" s="64">
        <v>504</v>
      </c>
      <c r="O25" s="64" t="s">
        <v>179</v>
      </c>
      <c r="P25" s="64" t="s">
        <v>180</v>
      </c>
      <c r="Q25" s="64" t="s">
        <v>181</v>
      </c>
      <c r="R25" s="64" t="s">
        <v>92</v>
      </c>
      <c r="U25" s="65" t="str">
        <f t="shared" si="0"/>
        <v>SameTrial</v>
      </c>
      <c r="W25" s="65" t="str">
        <f t="shared" si="1"/>
        <v>SameTrial</v>
      </c>
      <c r="Y25" s="63"/>
      <c r="AS25" s="65" t="str">
        <f t="shared" si="2"/>
        <v>Exclude</v>
      </c>
      <c r="AU25" s="65" t="str">
        <f t="shared" si="3"/>
        <v>Exclude</v>
      </c>
    </row>
    <row r="26" spans="1:47" s="64" customFormat="1" x14ac:dyDescent="0.25">
      <c r="A26" s="63" t="s">
        <v>170</v>
      </c>
      <c r="B26" s="64">
        <v>1</v>
      </c>
      <c r="C26" s="64" t="s">
        <v>171</v>
      </c>
      <c r="D26" s="64">
        <v>4</v>
      </c>
      <c r="E26" s="64" t="s">
        <v>172</v>
      </c>
      <c r="F26" s="64" t="s">
        <v>192</v>
      </c>
      <c r="G26" s="64" t="s">
        <v>174</v>
      </c>
      <c r="H26" s="64" t="s">
        <v>175</v>
      </c>
      <c r="I26" s="64" t="s">
        <v>176</v>
      </c>
      <c r="J26" s="64">
        <v>1267</v>
      </c>
      <c r="K26" s="64" t="s">
        <v>177</v>
      </c>
      <c r="L26" s="64">
        <v>6717</v>
      </c>
      <c r="M26" s="64" t="s">
        <v>178</v>
      </c>
      <c r="N26" s="64">
        <v>238</v>
      </c>
      <c r="O26" s="64" t="s">
        <v>179</v>
      </c>
      <c r="P26" s="64" t="s">
        <v>187</v>
      </c>
      <c r="Q26" s="64" t="s">
        <v>181</v>
      </c>
      <c r="R26" s="64" t="s">
        <v>189</v>
      </c>
      <c r="U26" s="65" t="str">
        <f t="shared" si="0"/>
        <v>Exclude</v>
      </c>
      <c r="W26" s="65" t="str">
        <f t="shared" si="1"/>
        <v>Exclude</v>
      </c>
      <c r="Y26" s="63"/>
      <c r="AS26" s="65" t="str">
        <f t="shared" si="2"/>
        <v>Exclude</v>
      </c>
      <c r="AU26" s="65" t="str">
        <f t="shared" si="3"/>
        <v>Exclude</v>
      </c>
    </row>
    <row r="27" spans="1:47" s="64" customFormat="1" x14ac:dyDescent="0.25">
      <c r="A27" s="63" t="s">
        <v>170</v>
      </c>
      <c r="B27" s="64">
        <v>1</v>
      </c>
      <c r="C27" s="64" t="s">
        <v>171</v>
      </c>
      <c r="D27" s="64">
        <v>4</v>
      </c>
      <c r="E27" s="64" t="s">
        <v>172</v>
      </c>
      <c r="F27" s="64" t="s">
        <v>192</v>
      </c>
      <c r="G27" s="64" t="s">
        <v>174</v>
      </c>
      <c r="H27" s="64" t="s">
        <v>175</v>
      </c>
      <c r="I27" s="64" t="s">
        <v>176</v>
      </c>
      <c r="J27" s="64">
        <v>1267</v>
      </c>
      <c r="K27" s="64" t="s">
        <v>177</v>
      </c>
      <c r="L27" s="64">
        <v>6999</v>
      </c>
      <c r="M27" s="64" t="s">
        <v>178</v>
      </c>
      <c r="N27" s="64">
        <v>520</v>
      </c>
      <c r="O27" s="64" t="s">
        <v>179</v>
      </c>
      <c r="P27" s="64" t="s">
        <v>180</v>
      </c>
      <c r="Q27" s="64" t="s">
        <v>181</v>
      </c>
      <c r="R27" s="64" t="s">
        <v>92</v>
      </c>
      <c r="U27" s="65" t="str">
        <f t="shared" si="0"/>
        <v>SameTrial</v>
      </c>
      <c r="W27" s="65" t="str">
        <f t="shared" si="1"/>
        <v>SameTrial</v>
      </c>
      <c r="Y27" s="63"/>
      <c r="AS27" s="65" t="str">
        <f t="shared" si="2"/>
        <v>Exclude</v>
      </c>
      <c r="AU27" s="65" t="str">
        <f t="shared" si="3"/>
        <v>Exclude</v>
      </c>
    </row>
    <row r="28" spans="1:47" s="64" customFormat="1" x14ac:dyDescent="0.25">
      <c r="A28" s="63" t="s">
        <v>170</v>
      </c>
      <c r="B28" s="64">
        <v>1</v>
      </c>
      <c r="C28" s="64" t="s">
        <v>171</v>
      </c>
      <c r="D28" s="64">
        <v>5</v>
      </c>
      <c r="E28" s="64" t="s">
        <v>172</v>
      </c>
      <c r="F28" s="64" t="s">
        <v>193</v>
      </c>
      <c r="G28" s="64" t="s">
        <v>174</v>
      </c>
      <c r="H28" s="64" t="s">
        <v>185</v>
      </c>
      <c r="I28" s="64" t="s">
        <v>176</v>
      </c>
      <c r="J28" s="64">
        <v>602</v>
      </c>
      <c r="K28" s="64" t="s">
        <v>177</v>
      </c>
      <c r="L28" s="64">
        <v>8350</v>
      </c>
      <c r="M28" s="64" t="s">
        <v>178</v>
      </c>
      <c r="N28" s="64">
        <v>252</v>
      </c>
      <c r="O28" s="64" t="s">
        <v>179</v>
      </c>
      <c r="P28" s="64" t="s">
        <v>187</v>
      </c>
      <c r="Q28" s="64" t="s">
        <v>181</v>
      </c>
      <c r="R28" s="64" t="s">
        <v>188</v>
      </c>
      <c r="U28" s="65">
        <f t="shared" si="0"/>
        <v>252</v>
      </c>
      <c r="W28" s="65">
        <f t="shared" si="1"/>
        <v>2.4014005407815442</v>
      </c>
      <c r="Y28" s="63"/>
      <c r="AS28" s="65" t="str">
        <f t="shared" si="2"/>
        <v>Exclude</v>
      </c>
      <c r="AU28" s="65" t="str">
        <f t="shared" si="3"/>
        <v>Exclude</v>
      </c>
    </row>
    <row r="29" spans="1:47" s="64" customFormat="1" x14ac:dyDescent="0.25">
      <c r="A29" s="63" t="s">
        <v>170</v>
      </c>
      <c r="B29" s="64">
        <v>1</v>
      </c>
      <c r="C29" s="64" t="s">
        <v>171</v>
      </c>
      <c r="D29" s="64">
        <v>6</v>
      </c>
      <c r="E29" s="64" t="s">
        <v>172</v>
      </c>
      <c r="F29" s="64" t="s">
        <v>194</v>
      </c>
      <c r="G29" s="64" t="s">
        <v>174</v>
      </c>
      <c r="H29" s="64" t="s">
        <v>185</v>
      </c>
      <c r="I29" s="64" t="s">
        <v>176</v>
      </c>
      <c r="J29" s="64">
        <v>1167</v>
      </c>
      <c r="K29" s="64" t="s">
        <v>177</v>
      </c>
      <c r="L29" s="64">
        <v>10213</v>
      </c>
      <c r="M29" s="64" t="s">
        <v>178</v>
      </c>
      <c r="N29" s="64">
        <v>184</v>
      </c>
      <c r="O29" s="64" t="s">
        <v>179</v>
      </c>
      <c r="P29" s="64" t="s">
        <v>187</v>
      </c>
      <c r="Q29" s="64" t="s">
        <v>181</v>
      </c>
      <c r="R29" s="64" t="s">
        <v>188</v>
      </c>
      <c r="U29" s="65">
        <f t="shared" si="0"/>
        <v>184</v>
      </c>
      <c r="W29" s="65">
        <f t="shared" si="1"/>
        <v>2.2648178230095364</v>
      </c>
      <c r="Y29" s="63"/>
      <c r="AS29" s="65" t="str">
        <f t="shared" si="2"/>
        <v>Exclude</v>
      </c>
      <c r="AU29" s="65" t="str">
        <f t="shared" si="3"/>
        <v>Exclude</v>
      </c>
    </row>
    <row r="30" spans="1:47" s="64" customFormat="1" x14ac:dyDescent="0.25">
      <c r="A30" s="63" t="s">
        <v>170</v>
      </c>
      <c r="B30" s="64">
        <v>1</v>
      </c>
      <c r="C30" s="64" t="s">
        <v>171</v>
      </c>
      <c r="D30" s="64">
        <v>7</v>
      </c>
      <c r="E30" s="64" t="s">
        <v>172</v>
      </c>
      <c r="F30" s="64" t="s">
        <v>193</v>
      </c>
      <c r="G30" s="64" t="s">
        <v>174</v>
      </c>
      <c r="H30" s="64" t="s">
        <v>175</v>
      </c>
      <c r="I30" s="64" t="s">
        <v>176</v>
      </c>
      <c r="J30" s="64">
        <v>634</v>
      </c>
      <c r="K30" s="64" t="s">
        <v>177</v>
      </c>
      <c r="L30" s="64">
        <v>11620</v>
      </c>
      <c r="M30" s="64" t="s">
        <v>178</v>
      </c>
      <c r="N30" s="64">
        <v>274</v>
      </c>
      <c r="O30" s="64" t="s">
        <v>179</v>
      </c>
      <c r="P30" s="64" t="s">
        <v>187</v>
      </c>
      <c r="Q30" s="64" t="s">
        <v>181</v>
      </c>
      <c r="R30" s="64" t="s">
        <v>189</v>
      </c>
      <c r="U30" s="65" t="str">
        <f>IF(OR(R30="TruePositive",R30="TrueNegative"),IF(R29&lt;&gt;"Anticipatory",IF(OR(R29="FalseNegative",R29="FalsePositive"),"SameTrial",(N30)),"Pant"),IF(OR(R30="FalsePositive",R30="FalseNegative"),IF(R29&lt;&gt;"Anticipatory",IF(OR(R29="FalsePositive",R29="FalseNegative"),"SameTrial","Exclude"),"Exclude"),"Exclude"))</f>
        <v>Exclude</v>
      </c>
      <c r="W30" s="65" t="str">
        <f t="shared" si="1"/>
        <v>Exclude</v>
      </c>
      <c r="Y30" s="63"/>
      <c r="AS30" s="65" t="str">
        <f t="shared" si="2"/>
        <v>Exclude</v>
      </c>
      <c r="AU30" s="65" t="str">
        <f t="shared" si="3"/>
        <v>Exclude</v>
      </c>
    </row>
    <row r="31" spans="1:47" s="64" customFormat="1" x14ac:dyDescent="0.25">
      <c r="A31" s="63" t="s">
        <v>170</v>
      </c>
      <c r="B31" s="64">
        <v>1</v>
      </c>
      <c r="C31" s="64" t="s">
        <v>171</v>
      </c>
      <c r="D31" s="64">
        <v>7</v>
      </c>
      <c r="E31" s="64" t="s">
        <v>172</v>
      </c>
      <c r="F31" s="64" t="s">
        <v>193</v>
      </c>
      <c r="G31" s="64" t="s">
        <v>174</v>
      </c>
      <c r="H31" s="64" t="s">
        <v>175</v>
      </c>
      <c r="I31" s="64" t="s">
        <v>176</v>
      </c>
      <c r="J31" s="64">
        <v>634</v>
      </c>
      <c r="K31" s="64" t="s">
        <v>177</v>
      </c>
      <c r="L31" s="64">
        <v>11924</v>
      </c>
      <c r="M31" s="64" t="s">
        <v>178</v>
      </c>
      <c r="N31" s="64">
        <v>578</v>
      </c>
      <c r="O31" s="64" t="s">
        <v>179</v>
      </c>
      <c r="P31" s="64" t="s">
        <v>180</v>
      </c>
      <c r="Q31" s="64" t="s">
        <v>181</v>
      </c>
      <c r="R31" s="64" t="s">
        <v>92</v>
      </c>
      <c r="U31" s="65" t="str">
        <f t="shared" si="0"/>
        <v>SameTrial</v>
      </c>
      <c r="W31" s="65" t="str">
        <f t="shared" si="1"/>
        <v>SameTrial</v>
      </c>
      <c r="Y31" s="63"/>
      <c r="AS31" s="65" t="str">
        <f t="shared" si="2"/>
        <v>Exclude</v>
      </c>
      <c r="AU31" s="65" t="str">
        <f t="shared" si="3"/>
        <v>Exclude</v>
      </c>
    </row>
    <row r="32" spans="1:47" s="64" customFormat="1" x14ac:dyDescent="0.25">
      <c r="A32" s="63" t="s">
        <v>170</v>
      </c>
      <c r="B32" s="64">
        <v>1</v>
      </c>
      <c r="C32" s="64" t="s">
        <v>171</v>
      </c>
      <c r="D32" s="64">
        <v>8</v>
      </c>
      <c r="E32" s="64" t="s">
        <v>172</v>
      </c>
      <c r="F32" s="64" t="s">
        <v>195</v>
      </c>
      <c r="G32" s="64" t="s">
        <v>174</v>
      </c>
      <c r="H32" s="64" t="s">
        <v>185</v>
      </c>
      <c r="I32" s="64" t="s">
        <v>176</v>
      </c>
      <c r="J32" s="64">
        <v>1157</v>
      </c>
      <c r="K32" s="64" t="s">
        <v>177</v>
      </c>
      <c r="L32" s="64">
        <v>13899</v>
      </c>
      <c r="M32" s="64" t="s">
        <v>178</v>
      </c>
      <c r="N32" s="64">
        <v>315</v>
      </c>
      <c r="O32" s="64" t="s">
        <v>179</v>
      </c>
      <c r="P32" s="64" t="s">
        <v>187</v>
      </c>
      <c r="Q32" s="64" t="s">
        <v>181</v>
      </c>
      <c r="R32" s="64" t="s">
        <v>188</v>
      </c>
      <c r="U32" s="65">
        <f t="shared" si="0"/>
        <v>315</v>
      </c>
      <c r="W32" s="65">
        <f t="shared" si="1"/>
        <v>2.4983105537896004</v>
      </c>
      <c r="Y32" s="63"/>
      <c r="AS32" s="65" t="str">
        <f t="shared" si="2"/>
        <v>Exclude</v>
      </c>
      <c r="AU32" s="65" t="str">
        <f t="shared" si="3"/>
        <v>Exclude</v>
      </c>
    </row>
    <row r="33" spans="1:47" s="64" customFormat="1" x14ac:dyDescent="0.25">
      <c r="A33" s="63" t="s">
        <v>170</v>
      </c>
      <c r="B33" s="64">
        <v>1</v>
      </c>
      <c r="C33" s="64" t="s">
        <v>171</v>
      </c>
      <c r="D33" s="64">
        <v>9</v>
      </c>
      <c r="E33" s="64" t="s">
        <v>172</v>
      </c>
      <c r="F33" s="64" t="s">
        <v>196</v>
      </c>
      <c r="G33" s="64" t="s">
        <v>174</v>
      </c>
      <c r="H33" s="64" t="s">
        <v>185</v>
      </c>
      <c r="I33" s="64" t="s">
        <v>176</v>
      </c>
      <c r="J33" s="64">
        <v>1234</v>
      </c>
      <c r="K33" s="64" t="s">
        <v>177</v>
      </c>
      <c r="L33" s="64">
        <v>16000</v>
      </c>
      <c r="M33" s="64" t="s">
        <v>178</v>
      </c>
      <c r="N33" s="64">
        <v>379</v>
      </c>
      <c r="O33" s="64" t="s">
        <v>179</v>
      </c>
      <c r="P33" s="64" t="s">
        <v>180</v>
      </c>
      <c r="Q33" s="64" t="s">
        <v>181</v>
      </c>
      <c r="R33" s="64" t="s">
        <v>186</v>
      </c>
      <c r="U33" s="65" t="str">
        <f t="shared" si="0"/>
        <v>Exclude</v>
      </c>
      <c r="W33" s="65" t="str">
        <f t="shared" si="1"/>
        <v>Exclude</v>
      </c>
      <c r="Y33" s="63"/>
      <c r="AS33" s="65" t="str">
        <f t="shared" si="2"/>
        <v>Exclude</v>
      </c>
      <c r="AU33" s="65" t="str">
        <f t="shared" si="3"/>
        <v>Exclude</v>
      </c>
    </row>
    <row r="34" spans="1:47" s="64" customFormat="1" x14ac:dyDescent="0.25">
      <c r="A34" s="63" t="s">
        <v>170</v>
      </c>
      <c r="B34" s="64">
        <v>1</v>
      </c>
      <c r="C34" s="64" t="s">
        <v>171</v>
      </c>
      <c r="D34" s="64">
        <v>9</v>
      </c>
      <c r="E34" s="64" t="s">
        <v>172</v>
      </c>
      <c r="F34" s="64" t="s">
        <v>196</v>
      </c>
      <c r="G34" s="64" t="s">
        <v>174</v>
      </c>
      <c r="H34" s="64" t="s">
        <v>185</v>
      </c>
      <c r="I34" s="64" t="s">
        <v>176</v>
      </c>
      <c r="J34" s="64">
        <v>1234</v>
      </c>
      <c r="K34" s="64" t="s">
        <v>177</v>
      </c>
      <c r="L34" s="64">
        <v>16323</v>
      </c>
      <c r="M34" s="64" t="s">
        <v>178</v>
      </c>
      <c r="N34" s="64">
        <v>702</v>
      </c>
      <c r="O34" s="64" t="s">
        <v>179</v>
      </c>
      <c r="P34" s="64" t="s">
        <v>187</v>
      </c>
      <c r="Q34" s="64" t="s">
        <v>181</v>
      </c>
      <c r="R34" s="64" t="s">
        <v>188</v>
      </c>
      <c r="U34" s="65" t="str">
        <f t="shared" si="0"/>
        <v>SameTrial</v>
      </c>
      <c r="W34" s="65" t="str">
        <f t="shared" si="1"/>
        <v>SameTrial</v>
      </c>
      <c r="Y34" s="63"/>
      <c r="AS34" s="65" t="str">
        <f t="shared" si="2"/>
        <v>Exclude</v>
      </c>
      <c r="AU34" s="65" t="str">
        <f t="shared" si="3"/>
        <v>Exclude</v>
      </c>
    </row>
    <row r="35" spans="1:47" s="64" customFormat="1" x14ac:dyDescent="0.25">
      <c r="A35" s="63" t="s">
        <v>170</v>
      </c>
      <c r="B35" s="64">
        <v>1</v>
      </c>
      <c r="C35" s="64" t="s">
        <v>171</v>
      </c>
      <c r="D35" s="64">
        <v>10</v>
      </c>
      <c r="E35" s="64" t="s">
        <v>172</v>
      </c>
      <c r="F35" s="64" t="s">
        <v>195</v>
      </c>
      <c r="G35" s="64" t="s">
        <v>174</v>
      </c>
      <c r="H35" s="64" t="s">
        <v>175</v>
      </c>
      <c r="I35" s="64" t="s">
        <v>176</v>
      </c>
      <c r="J35" s="64">
        <v>1337</v>
      </c>
      <c r="K35" s="64" t="s">
        <v>177</v>
      </c>
      <c r="L35" s="64">
        <v>18443</v>
      </c>
      <c r="M35" s="64" t="s">
        <v>178</v>
      </c>
      <c r="N35" s="64">
        <v>296</v>
      </c>
      <c r="O35" s="64" t="s">
        <v>179</v>
      </c>
      <c r="P35" s="64" t="s">
        <v>187</v>
      </c>
      <c r="Q35" s="64" t="s">
        <v>181</v>
      </c>
      <c r="R35" s="64" t="s">
        <v>189</v>
      </c>
      <c r="U35" s="65" t="str">
        <f t="shared" si="0"/>
        <v>Exclude</v>
      </c>
      <c r="W35" s="65" t="str">
        <f t="shared" si="1"/>
        <v>Exclude</v>
      </c>
      <c r="Y35" s="63"/>
      <c r="AS35" s="65" t="str">
        <f t="shared" si="2"/>
        <v>Exclude</v>
      </c>
      <c r="AU35" s="65" t="str">
        <f t="shared" si="3"/>
        <v>Exclude</v>
      </c>
    </row>
    <row r="36" spans="1:47" s="64" customFormat="1" x14ac:dyDescent="0.25">
      <c r="A36" s="63" t="s">
        <v>170</v>
      </c>
      <c r="B36" s="64">
        <v>1</v>
      </c>
      <c r="C36" s="64" t="s">
        <v>171</v>
      </c>
      <c r="D36" s="64">
        <v>10</v>
      </c>
      <c r="E36" s="64" t="s">
        <v>172</v>
      </c>
      <c r="F36" s="64" t="s">
        <v>195</v>
      </c>
      <c r="G36" s="64" t="s">
        <v>174</v>
      </c>
      <c r="H36" s="64" t="s">
        <v>175</v>
      </c>
      <c r="I36" s="64" t="s">
        <v>176</v>
      </c>
      <c r="J36" s="64">
        <v>1337</v>
      </c>
      <c r="K36" s="64" t="s">
        <v>177</v>
      </c>
      <c r="L36" s="64">
        <v>18840</v>
      </c>
      <c r="M36" s="64" t="s">
        <v>178</v>
      </c>
      <c r="N36" s="64">
        <v>693</v>
      </c>
      <c r="O36" s="64" t="s">
        <v>179</v>
      </c>
      <c r="P36" s="64" t="s">
        <v>180</v>
      </c>
      <c r="Q36" s="64" t="s">
        <v>181</v>
      </c>
      <c r="R36" s="64" t="s">
        <v>92</v>
      </c>
      <c r="U36" s="65" t="str">
        <f t="shared" si="0"/>
        <v>SameTrial</v>
      </c>
      <c r="W36" s="65" t="str">
        <f t="shared" si="1"/>
        <v>SameTrial</v>
      </c>
      <c r="Y36" s="63"/>
      <c r="AS36" s="65" t="str">
        <f t="shared" si="2"/>
        <v>Exclude</v>
      </c>
      <c r="AU36" s="65" t="str">
        <f t="shared" si="3"/>
        <v>Exclude</v>
      </c>
    </row>
    <row r="37" spans="1:47" s="64" customFormat="1" x14ac:dyDescent="0.25">
      <c r="A37" s="63" t="s">
        <v>170</v>
      </c>
      <c r="B37" s="64">
        <v>2</v>
      </c>
      <c r="C37" s="64" t="s">
        <v>171</v>
      </c>
      <c r="D37" s="64">
        <v>1</v>
      </c>
      <c r="E37" s="64" t="s">
        <v>172</v>
      </c>
      <c r="F37" s="64" t="s">
        <v>193</v>
      </c>
      <c r="G37" s="64" t="s">
        <v>174</v>
      </c>
      <c r="H37" s="64" t="s">
        <v>175</v>
      </c>
      <c r="I37" s="64" t="s">
        <v>176</v>
      </c>
      <c r="J37" s="64">
        <v>1427</v>
      </c>
      <c r="K37" s="64" t="s">
        <v>177</v>
      </c>
      <c r="L37" s="64">
        <v>21014</v>
      </c>
      <c r="M37" s="64" t="s">
        <v>178</v>
      </c>
      <c r="N37" s="64">
        <v>254</v>
      </c>
      <c r="O37" s="64" t="s">
        <v>179</v>
      </c>
      <c r="P37" s="64" t="s">
        <v>187</v>
      </c>
      <c r="Q37" s="64" t="s">
        <v>181</v>
      </c>
      <c r="R37" s="64" t="s">
        <v>189</v>
      </c>
      <c r="U37" s="65" t="str">
        <f t="shared" si="0"/>
        <v>Exclude</v>
      </c>
      <c r="W37" s="65" t="str">
        <f t="shared" si="1"/>
        <v>Exclude</v>
      </c>
      <c r="Y37" s="63"/>
      <c r="AS37" s="65" t="str">
        <f t="shared" si="2"/>
        <v>Exclude</v>
      </c>
      <c r="AU37" s="65" t="str">
        <f t="shared" si="3"/>
        <v>Exclude</v>
      </c>
    </row>
    <row r="38" spans="1:47" s="64" customFormat="1" x14ac:dyDescent="0.25">
      <c r="A38" s="63" t="s">
        <v>170</v>
      </c>
      <c r="B38" s="64">
        <v>2</v>
      </c>
      <c r="C38" s="64" t="s">
        <v>171</v>
      </c>
      <c r="D38" s="64">
        <v>1</v>
      </c>
      <c r="E38" s="64" t="s">
        <v>172</v>
      </c>
      <c r="F38" s="64" t="s">
        <v>193</v>
      </c>
      <c r="G38" s="64" t="s">
        <v>174</v>
      </c>
      <c r="H38" s="64" t="s">
        <v>175</v>
      </c>
      <c r="I38" s="64" t="s">
        <v>176</v>
      </c>
      <c r="J38" s="64">
        <v>1427</v>
      </c>
      <c r="K38" s="64" t="s">
        <v>177</v>
      </c>
      <c r="L38" s="64">
        <v>21342</v>
      </c>
      <c r="M38" s="64" t="s">
        <v>178</v>
      </c>
      <c r="N38" s="64">
        <v>582</v>
      </c>
      <c r="O38" s="64" t="s">
        <v>179</v>
      </c>
      <c r="P38" s="64" t="s">
        <v>180</v>
      </c>
      <c r="Q38" s="64" t="s">
        <v>181</v>
      </c>
      <c r="R38" s="64" t="s">
        <v>92</v>
      </c>
      <c r="U38" s="65" t="str">
        <f t="shared" si="0"/>
        <v>SameTrial</v>
      </c>
      <c r="W38" s="65" t="str">
        <f t="shared" si="1"/>
        <v>SameTrial</v>
      </c>
      <c r="Y38" s="63"/>
      <c r="AS38" s="65" t="str">
        <f t="shared" si="2"/>
        <v>Exclude</v>
      </c>
      <c r="AU38" s="65" t="str">
        <f t="shared" si="3"/>
        <v>Exclude</v>
      </c>
    </row>
    <row r="39" spans="1:47" s="64" customFormat="1" x14ac:dyDescent="0.25">
      <c r="A39" s="63" t="s">
        <v>170</v>
      </c>
      <c r="B39" s="64">
        <v>2</v>
      </c>
      <c r="C39" s="64" t="s">
        <v>171</v>
      </c>
      <c r="D39" s="64">
        <v>2</v>
      </c>
      <c r="E39" s="64" t="s">
        <v>172</v>
      </c>
      <c r="F39" s="64" t="s">
        <v>197</v>
      </c>
      <c r="G39" s="64" t="s">
        <v>174</v>
      </c>
      <c r="H39" s="64" t="s">
        <v>198</v>
      </c>
      <c r="I39" s="64" t="s">
        <v>176</v>
      </c>
      <c r="J39" s="64">
        <v>-1</v>
      </c>
      <c r="K39" s="64" t="s">
        <v>177</v>
      </c>
      <c r="L39" s="64">
        <v>22493</v>
      </c>
      <c r="M39" s="64" t="s">
        <v>178</v>
      </c>
      <c r="N39" s="64">
        <v>663</v>
      </c>
      <c r="O39" s="64" t="s">
        <v>179</v>
      </c>
      <c r="P39" s="64" t="s">
        <v>187</v>
      </c>
      <c r="Q39" s="64" t="s">
        <v>181</v>
      </c>
      <c r="R39" s="64" t="s">
        <v>182</v>
      </c>
      <c r="U39" s="65" t="str">
        <f t="shared" si="0"/>
        <v>Exclude</v>
      </c>
      <c r="W39" s="65" t="str">
        <f t="shared" si="1"/>
        <v>Exclude</v>
      </c>
      <c r="Y39" s="63"/>
      <c r="AS39" s="65" t="str">
        <f t="shared" si="2"/>
        <v>Exclude</v>
      </c>
      <c r="AU39" s="65" t="str">
        <f t="shared" si="3"/>
        <v>Exclude</v>
      </c>
    </row>
    <row r="40" spans="1:47" s="64" customFormat="1" x14ac:dyDescent="0.25">
      <c r="A40" s="63" t="s">
        <v>170</v>
      </c>
      <c r="B40" s="64">
        <v>2</v>
      </c>
      <c r="C40" s="64" t="s">
        <v>171</v>
      </c>
      <c r="D40" s="64">
        <v>2</v>
      </c>
      <c r="E40" s="64" t="s">
        <v>172</v>
      </c>
      <c r="F40" s="64" t="s">
        <v>197</v>
      </c>
      <c r="G40" s="64" t="s">
        <v>174</v>
      </c>
      <c r="H40" s="64" t="s">
        <v>198</v>
      </c>
      <c r="I40" s="64" t="s">
        <v>176</v>
      </c>
      <c r="J40" s="64">
        <v>986</v>
      </c>
      <c r="K40" s="64" t="s">
        <v>177</v>
      </c>
      <c r="L40" s="64">
        <v>23152</v>
      </c>
      <c r="M40" s="64" t="s">
        <v>178</v>
      </c>
      <c r="N40" s="64">
        <v>336</v>
      </c>
      <c r="O40" s="64" t="s">
        <v>179</v>
      </c>
      <c r="P40" s="64" t="s">
        <v>180</v>
      </c>
      <c r="Q40" s="64" t="s">
        <v>181</v>
      </c>
      <c r="R40" s="64" t="s">
        <v>186</v>
      </c>
      <c r="U40" s="65" t="str">
        <f t="shared" si="0"/>
        <v>Exclude</v>
      </c>
      <c r="W40" s="65" t="str">
        <f t="shared" si="1"/>
        <v>Exclude</v>
      </c>
      <c r="Y40" s="63"/>
      <c r="AS40" s="65" t="str">
        <f t="shared" si="2"/>
        <v>Exclude</v>
      </c>
      <c r="AU40" s="65" t="str">
        <f t="shared" si="3"/>
        <v>Exclude</v>
      </c>
    </row>
    <row r="41" spans="1:47" s="64" customFormat="1" x14ac:dyDescent="0.25">
      <c r="A41" s="63" t="s">
        <v>170</v>
      </c>
      <c r="B41" s="64">
        <v>2</v>
      </c>
      <c r="C41" s="64" t="s">
        <v>171</v>
      </c>
      <c r="D41" s="64">
        <v>2</v>
      </c>
      <c r="E41" s="64" t="s">
        <v>172</v>
      </c>
      <c r="F41" s="64" t="s">
        <v>197</v>
      </c>
      <c r="G41" s="64" t="s">
        <v>174</v>
      </c>
      <c r="H41" s="64" t="s">
        <v>198</v>
      </c>
      <c r="I41" s="64" t="s">
        <v>176</v>
      </c>
      <c r="J41" s="64">
        <v>986</v>
      </c>
      <c r="K41" s="64" t="s">
        <v>177</v>
      </c>
      <c r="L41" s="64">
        <v>23534</v>
      </c>
      <c r="M41" s="64" t="s">
        <v>178</v>
      </c>
      <c r="N41" s="64">
        <v>718</v>
      </c>
      <c r="O41" s="64" t="s">
        <v>179</v>
      </c>
      <c r="P41" s="64" t="s">
        <v>187</v>
      </c>
      <c r="Q41" s="64" t="s">
        <v>181</v>
      </c>
      <c r="R41" s="64" t="s">
        <v>188</v>
      </c>
      <c r="U41" s="65" t="str">
        <f t="shared" si="0"/>
        <v>SameTrial</v>
      </c>
      <c r="W41" s="65" t="str">
        <f t="shared" si="1"/>
        <v>SameTrial</v>
      </c>
      <c r="Y41" s="63"/>
      <c r="AS41" s="65" t="str">
        <f t="shared" si="2"/>
        <v>Exclude</v>
      </c>
      <c r="AU41" s="65" t="str">
        <f t="shared" si="3"/>
        <v>Exclude</v>
      </c>
    </row>
    <row r="42" spans="1:47" s="64" customFormat="1" x14ac:dyDescent="0.25">
      <c r="A42" s="63" t="s">
        <v>170</v>
      </c>
      <c r="B42" s="64">
        <v>2</v>
      </c>
      <c r="C42" s="64" t="s">
        <v>171</v>
      </c>
      <c r="D42" s="64">
        <v>3</v>
      </c>
      <c r="E42" s="64" t="s">
        <v>172</v>
      </c>
      <c r="F42" s="64" t="s">
        <v>199</v>
      </c>
      <c r="G42" s="64" t="s">
        <v>174</v>
      </c>
      <c r="H42" s="64" t="s">
        <v>185</v>
      </c>
      <c r="I42" s="64" t="s">
        <v>176</v>
      </c>
      <c r="J42" s="64">
        <v>-1</v>
      </c>
      <c r="K42" s="64" t="s">
        <v>177</v>
      </c>
      <c r="L42" s="64">
        <v>24461</v>
      </c>
      <c r="M42" s="64" t="s">
        <v>178</v>
      </c>
      <c r="N42" s="64">
        <v>436</v>
      </c>
      <c r="O42" s="64" t="s">
        <v>179</v>
      </c>
      <c r="P42" s="64" t="s">
        <v>187</v>
      </c>
      <c r="Q42" s="64" t="s">
        <v>181</v>
      </c>
      <c r="R42" s="64" t="s">
        <v>182</v>
      </c>
      <c r="U42" s="65" t="str">
        <f t="shared" si="0"/>
        <v>Exclude</v>
      </c>
      <c r="W42" s="65" t="str">
        <f t="shared" si="1"/>
        <v>Exclude</v>
      </c>
      <c r="Y42" s="63"/>
      <c r="AS42" s="65" t="str">
        <f t="shared" si="2"/>
        <v>Exclude</v>
      </c>
      <c r="AU42" s="65" t="str">
        <f t="shared" si="3"/>
        <v>Exclude</v>
      </c>
    </row>
    <row r="43" spans="1:47" s="64" customFormat="1" x14ac:dyDescent="0.25">
      <c r="A43" s="63" t="s">
        <v>170</v>
      </c>
      <c r="B43" s="64">
        <v>2</v>
      </c>
      <c r="C43" s="64" t="s">
        <v>171</v>
      </c>
      <c r="D43" s="64">
        <v>3</v>
      </c>
      <c r="E43" s="64" t="s">
        <v>172</v>
      </c>
      <c r="F43" s="64" t="s">
        <v>199</v>
      </c>
      <c r="G43" s="64" t="s">
        <v>174</v>
      </c>
      <c r="H43" s="64" t="s">
        <v>185</v>
      </c>
      <c r="I43" s="64" t="s">
        <v>176</v>
      </c>
      <c r="J43" s="64">
        <v>1354</v>
      </c>
      <c r="K43" s="64" t="s">
        <v>177</v>
      </c>
      <c r="L43" s="64">
        <v>25649</v>
      </c>
      <c r="M43" s="64" t="s">
        <v>178</v>
      </c>
      <c r="N43" s="64">
        <v>270</v>
      </c>
      <c r="O43" s="64" t="s">
        <v>179</v>
      </c>
      <c r="P43" s="64" t="s">
        <v>180</v>
      </c>
      <c r="Q43" s="64" t="s">
        <v>181</v>
      </c>
      <c r="R43" s="64" t="s">
        <v>186</v>
      </c>
      <c r="U43" s="65" t="str">
        <f t="shared" si="0"/>
        <v>Exclude</v>
      </c>
      <c r="W43" s="65" t="str">
        <f t="shared" si="1"/>
        <v>Exclude</v>
      </c>
      <c r="Y43" s="63"/>
      <c r="AS43" s="65" t="str">
        <f t="shared" si="2"/>
        <v>Exclude</v>
      </c>
      <c r="AU43" s="65" t="str">
        <f t="shared" si="3"/>
        <v>Exclude</v>
      </c>
    </row>
    <row r="44" spans="1:47" s="64" customFormat="1" x14ac:dyDescent="0.25">
      <c r="A44" s="63" t="s">
        <v>170</v>
      </c>
      <c r="B44" s="64">
        <v>2</v>
      </c>
      <c r="C44" s="64" t="s">
        <v>171</v>
      </c>
      <c r="D44" s="64">
        <v>3</v>
      </c>
      <c r="E44" s="64" t="s">
        <v>172</v>
      </c>
      <c r="F44" s="64" t="s">
        <v>199</v>
      </c>
      <c r="G44" s="64" t="s">
        <v>174</v>
      </c>
      <c r="H44" s="64" t="s">
        <v>185</v>
      </c>
      <c r="I44" s="64" t="s">
        <v>176</v>
      </c>
      <c r="J44" s="64">
        <v>1354</v>
      </c>
      <c r="K44" s="64" t="s">
        <v>177</v>
      </c>
      <c r="L44" s="64">
        <v>26028</v>
      </c>
      <c r="M44" s="64" t="s">
        <v>178</v>
      </c>
      <c r="N44" s="64">
        <v>649</v>
      </c>
      <c r="O44" s="64" t="s">
        <v>179</v>
      </c>
      <c r="P44" s="64" t="s">
        <v>187</v>
      </c>
      <c r="Q44" s="64" t="s">
        <v>181</v>
      </c>
      <c r="R44" s="64" t="s">
        <v>188</v>
      </c>
      <c r="U44" s="65" t="str">
        <f t="shared" si="0"/>
        <v>SameTrial</v>
      </c>
      <c r="W44" s="65" t="str">
        <f t="shared" si="1"/>
        <v>SameTrial</v>
      </c>
      <c r="Y44" s="63"/>
      <c r="AS44" s="65" t="str">
        <f t="shared" si="2"/>
        <v>Exclude</v>
      </c>
      <c r="AU44" s="65" t="str">
        <f t="shared" si="3"/>
        <v>Exclude</v>
      </c>
    </row>
    <row r="45" spans="1:47" s="64" customFormat="1" x14ac:dyDescent="0.25">
      <c r="A45" s="63" t="s">
        <v>170</v>
      </c>
      <c r="B45" s="64">
        <v>2</v>
      </c>
      <c r="C45" s="64" t="s">
        <v>171</v>
      </c>
      <c r="D45" s="64">
        <v>4</v>
      </c>
      <c r="E45" s="64" t="s">
        <v>172</v>
      </c>
      <c r="F45" s="64" t="s">
        <v>191</v>
      </c>
      <c r="G45" s="64" t="s">
        <v>174</v>
      </c>
      <c r="H45" s="64" t="s">
        <v>175</v>
      </c>
      <c r="I45" s="64" t="s">
        <v>176</v>
      </c>
      <c r="J45" s="64">
        <v>751</v>
      </c>
      <c r="K45" s="64" t="s">
        <v>177</v>
      </c>
      <c r="L45" s="64">
        <v>27598</v>
      </c>
      <c r="M45" s="64" t="s">
        <v>178</v>
      </c>
      <c r="N45" s="64">
        <v>319</v>
      </c>
      <c r="O45" s="64" t="s">
        <v>179</v>
      </c>
      <c r="P45" s="64" t="s">
        <v>187</v>
      </c>
      <c r="Q45" s="64" t="s">
        <v>181</v>
      </c>
      <c r="R45" s="64" t="s">
        <v>189</v>
      </c>
      <c r="U45" s="65" t="str">
        <f t="shared" si="0"/>
        <v>Exclude</v>
      </c>
      <c r="W45" s="65" t="str">
        <f t="shared" si="1"/>
        <v>Exclude</v>
      </c>
      <c r="Y45" s="63"/>
      <c r="AS45" s="65" t="str">
        <f t="shared" si="2"/>
        <v>Exclude</v>
      </c>
      <c r="AU45" s="65" t="str">
        <f t="shared" si="3"/>
        <v>Exclude</v>
      </c>
    </row>
    <row r="46" spans="1:47" s="64" customFormat="1" x14ac:dyDescent="0.25">
      <c r="A46" s="63" t="s">
        <v>170</v>
      </c>
      <c r="B46" s="64">
        <v>2</v>
      </c>
      <c r="C46" s="64" t="s">
        <v>171</v>
      </c>
      <c r="D46" s="64">
        <v>4</v>
      </c>
      <c r="E46" s="64" t="s">
        <v>172</v>
      </c>
      <c r="F46" s="64" t="s">
        <v>191</v>
      </c>
      <c r="G46" s="64" t="s">
        <v>174</v>
      </c>
      <c r="H46" s="64" t="s">
        <v>175</v>
      </c>
      <c r="I46" s="64" t="s">
        <v>176</v>
      </c>
      <c r="J46" s="64">
        <v>751</v>
      </c>
      <c r="K46" s="64" t="s">
        <v>177</v>
      </c>
      <c r="L46" s="64">
        <v>27951</v>
      </c>
      <c r="M46" s="64" t="s">
        <v>178</v>
      </c>
      <c r="N46" s="64">
        <v>672</v>
      </c>
      <c r="O46" s="64" t="s">
        <v>179</v>
      </c>
      <c r="P46" s="64" t="s">
        <v>180</v>
      </c>
      <c r="Q46" s="64" t="s">
        <v>181</v>
      </c>
      <c r="R46" s="64" t="s">
        <v>92</v>
      </c>
      <c r="U46" s="65" t="str">
        <f t="shared" si="0"/>
        <v>SameTrial</v>
      </c>
      <c r="W46" s="65" t="str">
        <f t="shared" si="1"/>
        <v>SameTrial</v>
      </c>
      <c r="Y46" s="63"/>
      <c r="AS46" s="65" t="str">
        <f t="shared" si="2"/>
        <v>Exclude</v>
      </c>
      <c r="AU46" s="65" t="str">
        <f t="shared" si="3"/>
        <v>Exclude</v>
      </c>
    </row>
    <row r="47" spans="1:47" s="64" customFormat="1" x14ac:dyDescent="0.25">
      <c r="A47" s="63" t="s">
        <v>170</v>
      </c>
      <c r="B47" s="64">
        <v>2</v>
      </c>
      <c r="C47" s="64" t="s">
        <v>171</v>
      </c>
      <c r="D47" s="64">
        <v>5</v>
      </c>
      <c r="E47" s="64" t="s">
        <v>172</v>
      </c>
      <c r="F47" s="64" t="s">
        <v>200</v>
      </c>
      <c r="G47" s="64" t="s">
        <v>174</v>
      </c>
      <c r="H47" s="64" t="s">
        <v>185</v>
      </c>
      <c r="I47" s="64" t="s">
        <v>176</v>
      </c>
      <c r="J47" s="64">
        <v>936</v>
      </c>
      <c r="K47" s="64" t="s">
        <v>177</v>
      </c>
      <c r="L47" s="64">
        <v>29738</v>
      </c>
      <c r="M47" s="64" t="s">
        <v>178</v>
      </c>
      <c r="N47" s="64">
        <v>352</v>
      </c>
      <c r="O47" s="64" t="s">
        <v>179</v>
      </c>
      <c r="P47" s="64" t="s">
        <v>187</v>
      </c>
      <c r="Q47" s="64" t="s">
        <v>181</v>
      </c>
      <c r="R47" s="64" t="s">
        <v>188</v>
      </c>
      <c r="U47" s="65">
        <f t="shared" si="0"/>
        <v>352</v>
      </c>
      <c r="W47" s="65">
        <f t="shared" si="1"/>
        <v>2.5465426634781312</v>
      </c>
      <c r="Y47" s="63"/>
      <c r="AS47" s="65" t="str">
        <f t="shared" si="2"/>
        <v>Exclude</v>
      </c>
      <c r="AU47" s="65" t="str">
        <f t="shared" si="3"/>
        <v>Exclude</v>
      </c>
    </row>
    <row r="48" spans="1:47" s="64" customFormat="1" x14ac:dyDescent="0.25">
      <c r="A48" s="63" t="s">
        <v>170</v>
      </c>
      <c r="B48" s="64">
        <v>2</v>
      </c>
      <c r="C48" s="64" t="s">
        <v>171</v>
      </c>
      <c r="D48" s="64">
        <v>6</v>
      </c>
      <c r="E48" s="64" t="s">
        <v>172</v>
      </c>
      <c r="F48" s="64" t="s">
        <v>201</v>
      </c>
      <c r="G48" s="64" t="s">
        <v>174</v>
      </c>
      <c r="H48" s="64" t="s">
        <v>185</v>
      </c>
      <c r="I48" s="64" t="s">
        <v>176</v>
      </c>
      <c r="J48" s="64">
        <v>551</v>
      </c>
      <c r="K48" s="64" t="s">
        <v>177</v>
      </c>
      <c r="L48" s="64">
        <v>31232</v>
      </c>
      <c r="M48" s="64" t="s">
        <v>178</v>
      </c>
      <c r="N48" s="64">
        <v>442</v>
      </c>
      <c r="O48" s="64" t="s">
        <v>179</v>
      </c>
      <c r="P48" s="64" t="s">
        <v>187</v>
      </c>
      <c r="Q48" s="64" t="s">
        <v>181</v>
      </c>
      <c r="R48" s="64" t="s">
        <v>188</v>
      </c>
      <c r="U48" s="65">
        <f t="shared" si="0"/>
        <v>442</v>
      </c>
      <c r="W48" s="65">
        <f t="shared" si="1"/>
        <v>2.6454222693490919</v>
      </c>
      <c r="Y48" s="63"/>
      <c r="AS48" s="65" t="str">
        <f t="shared" si="2"/>
        <v>Exclude</v>
      </c>
      <c r="AU48" s="65" t="str">
        <f t="shared" si="3"/>
        <v>Exclude</v>
      </c>
    </row>
    <row r="49" spans="1:47" s="64" customFormat="1" x14ac:dyDescent="0.25">
      <c r="A49" s="63" t="s">
        <v>170</v>
      </c>
      <c r="B49" s="64">
        <v>2</v>
      </c>
      <c r="C49" s="64" t="s">
        <v>171</v>
      </c>
      <c r="D49" s="64">
        <v>7</v>
      </c>
      <c r="E49" s="64" t="s">
        <v>172</v>
      </c>
      <c r="F49" s="64" t="s">
        <v>195</v>
      </c>
      <c r="G49" s="64" t="s">
        <v>174</v>
      </c>
      <c r="H49" s="64" t="s">
        <v>175</v>
      </c>
      <c r="I49" s="64" t="s">
        <v>176</v>
      </c>
      <c r="J49" s="64">
        <v>1052</v>
      </c>
      <c r="K49" s="64" t="s">
        <v>177</v>
      </c>
      <c r="L49" s="64">
        <v>33138</v>
      </c>
      <c r="M49" s="64" t="s">
        <v>178</v>
      </c>
      <c r="N49" s="64">
        <v>360</v>
      </c>
      <c r="O49" s="64" t="s">
        <v>179</v>
      </c>
      <c r="P49" s="64" t="s">
        <v>187</v>
      </c>
      <c r="Q49" s="64" t="s">
        <v>181</v>
      </c>
      <c r="R49" s="64" t="s">
        <v>189</v>
      </c>
      <c r="U49" s="65" t="str">
        <f t="shared" si="0"/>
        <v>Exclude</v>
      </c>
      <c r="W49" s="65" t="str">
        <f t="shared" si="1"/>
        <v>Exclude</v>
      </c>
      <c r="Y49" s="63"/>
      <c r="AS49" s="65" t="str">
        <f t="shared" si="2"/>
        <v>Exclude</v>
      </c>
      <c r="AU49" s="65" t="str">
        <f t="shared" si="3"/>
        <v>Exclude</v>
      </c>
    </row>
    <row r="50" spans="1:47" s="64" customFormat="1" x14ac:dyDescent="0.25">
      <c r="A50" s="63" t="s">
        <v>170</v>
      </c>
      <c r="B50" s="64">
        <v>2</v>
      </c>
      <c r="C50" s="64" t="s">
        <v>171</v>
      </c>
      <c r="D50" s="64">
        <v>7</v>
      </c>
      <c r="E50" s="64" t="s">
        <v>172</v>
      </c>
      <c r="F50" s="64" t="s">
        <v>195</v>
      </c>
      <c r="G50" s="64" t="s">
        <v>174</v>
      </c>
      <c r="H50" s="64" t="s">
        <v>175</v>
      </c>
      <c r="I50" s="64" t="s">
        <v>176</v>
      </c>
      <c r="J50" s="64">
        <v>1052</v>
      </c>
      <c r="K50" s="64" t="s">
        <v>177</v>
      </c>
      <c r="L50" s="64">
        <v>33463</v>
      </c>
      <c r="M50" s="64" t="s">
        <v>178</v>
      </c>
      <c r="N50" s="64">
        <v>685</v>
      </c>
      <c r="O50" s="64" t="s">
        <v>179</v>
      </c>
      <c r="P50" s="64" t="s">
        <v>180</v>
      </c>
      <c r="Q50" s="64" t="s">
        <v>181</v>
      </c>
      <c r="R50" s="64" t="s">
        <v>92</v>
      </c>
      <c r="U50" s="65" t="str">
        <f t="shared" si="0"/>
        <v>SameTrial</v>
      </c>
      <c r="W50" s="65" t="str">
        <f t="shared" si="1"/>
        <v>SameTrial</v>
      </c>
      <c r="Y50" s="63"/>
      <c r="AS50" s="65" t="str">
        <f t="shared" si="2"/>
        <v>Exclude</v>
      </c>
      <c r="AU50" s="65" t="str">
        <f t="shared" si="3"/>
        <v>Exclude</v>
      </c>
    </row>
    <row r="51" spans="1:47" s="64" customFormat="1" x14ac:dyDescent="0.25">
      <c r="A51" s="63" t="s">
        <v>170</v>
      </c>
      <c r="B51" s="64">
        <v>2</v>
      </c>
      <c r="C51" s="64" t="s">
        <v>171</v>
      </c>
      <c r="D51" s="64">
        <v>8</v>
      </c>
      <c r="E51" s="64" t="s">
        <v>172</v>
      </c>
      <c r="F51" s="64" t="s">
        <v>192</v>
      </c>
      <c r="G51" s="64" t="s">
        <v>174</v>
      </c>
      <c r="H51" s="64" t="s">
        <v>175</v>
      </c>
      <c r="I51" s="64" t="s">
        <v>176</v>
      </c>
      <c r="J51" s="64">
        <v>1208</v>
      </c>
      <c r="K51" s="64" t="s">
        <v>177</v>
      </c>
      <c r="L51" s="64">
        <v>35474</v>
      </c>
      <c r="M51" s="64" t="s">
        <v>178</v>
      </c>
      <c r="N51" s="64">
        <v>314</v>
      </c>
      <c r="O51" s="64" t="s">
        <v>179</v>
      </c>
      <c r="P51" s="64" t="s">
        <v>187</v>
      </c>
      <c r="Q51" s="64" t="s">
        <v>181</v>
      </c>
      <c r="R51" s="64" t="s">
        <v>189</v>
      </c>
      <c r="U51" s="65" t="str">
        <f t="shared" si="0"/>
        <v>Exclude</v>
      </c>
      <c r="W51" s="65" t="str">
        <f t="shared" si="1"/>
        <v>Exclude</v>
      </c>
      <c r="Y51" s="63"/>
      <c r="AS51" s="65" t="str">
        <f t="shared" si="2"/>
        <v>Exclude</v>
      </c>
      <c r="AU51" s="65" t="str">
        <f t="shared" si="3"/>
        <v>Exclude</v>
      </c>
    </row>
    <row r="52" spans="1:47" s="64" customFormat="1" x14ac:dyDescent="0.25">
      <c r="A52" s="63" t="s">
        <v>170</v>
      </c>
      <c r="B52" s="64">
        <v>2</v>
      </c>
      <c r="C52" s="64" t="s">
        <v>171</v>
      </c>
      <c r="D52" s="64">
        <v>8</v>
      </c>
      <c r="E52" s="64" t="s">
        <v>172</v>
      </c>
      <c r="F52" s="64" t="s">
        <v>192</v>
      </c>
      <c r="G52" s="64" t="s">
        <v>174</v>
      </c>
      <c r="H52" s="64" t="s">
        <v>175</v>
      </c>
      <c r="I52" s="64" t="s">
        <v>176</v>
      </c>
      <c r="J52" s="64">
        <v>1208</v>
      </c>
      <c r="K52" s="64" t="s">
        <v>177</v>
      </c>
      <c r="L52" s="64">
        <v>35788</v>
      </c>
      <c r="M52" s="64" t="s">
        <v>178</v>
      </c>
      <c r="N52" s="64">
        <v>628</v>
      </c>
      <c r="O52" s="64" t="s">
        <v>179</v>
      </c>
      <c r="P52" s="64" t="s">
        <v>180</v>
      </c>
      <c r="Q52" s="64" t="s">
        <v>181</v>
      </c>
      <c r="R52" s="64" t="s">
        <v>92</v>
      </c>
      <c r="U52" s="65" t="str">
        <f t="shared" si="0"/>
        <v>SameTrial</v>
      </c>
      <c r="W52" s="65" t="str">
        <f t="shared" si="1"/>
        <v>SameTrial</v>
      </c>
      <c r="Y52" s="63"/>
      <c r="AS52" s="65" t="str">
        <f t="shared" si="2"/>
        <v>Exclude</v>
      </c>
      <c r="AU52" s="65" t="str">
        <f t="shared" si="3"/>
        <v>Exclude</v>
      </c>
    </row>
    <row r="53" spans="1:47" s="64" customFormat="1" x14ac:dyDescent="0.25">
      <c r="A53" s="63" t="s">
        <v>170</v>
      </c>
      <c r="B53" s="64">
        <v>2</v>
      </c>
      <c r="C53" s="64" t="s">
        <v>171</v>
      </c>
      <c r="D53" s="64">
        <v>9</v>
      </c>
      <c r="E53" s="64" t="s">
        <v>172</v>
      </c>
      <c r="F53" s="64" t="s">
        <v>202</v>
      </c>
      <c r="G53" s="64" t="s">
        <v>174</v>
      </c>
      <c r="H53" s="64" t="s">
        <v>185</v>
      </c>
      <c r="I53" s="64" t="s">
        <v>176</v>
      </c>
      <c r="J53" s="64">
        <v>1512</v>
      </c>
      <c r="K53" s="64" t="s">
        <v>177</v>
      </c>
      <c r="L53" s="64">
        <v>38120</v>
      </c>
      <c r="M53" s="64" t="s">
        <v>178</v>
      </c>
      <c r="N53" s="64">
        <v>330</v>
      </c>
      <c r="O53" s="64" t="s">
        <v>179</v>
      </c>
      <c r="P53" s="64" t="s">
        <v>187</v>
      </c>
      <c r="Q53" s="64" t="s">
        <v>181</v>
      </c>
      <c r="R53" s="64" t="s">
        <v>188</v>
      </c>
      <c r="U53" s="65">
        <f t="shared" si="0"/>
        <v>330</v>
      </c>
      <c r="W53" s="65">
        <f t="shared" si="1"/>
        <v>2.5185139398778875</v>
      </c>
      <c r="Y53" s="63"/>
      <c r="AS53" s="65" t="str">
        <f t="shared" si="2"/>
        <v>Exclude</v>
      </c>
      <c r="AU53" s="65" t="str">
        <f t="shared" si="3"/>
        <v>Exclude</v>
      </c>
    </row>
    <row r="54" spans="1:47" s="64" customFormat="1" x14ac:dyDescent="0.25">
      <c r="A54" s="63" t="s">
        <v>170</v>
      </c>
      <c r="B54" s="64">
        <v>2</v>
      </c>
      <c r="C54" s="64" t="s">
        <v>171</v>
      </c>
      <c r="D54" s="64">
        <v>10</v>
      </c>
      <c r="E54" s="64" t="s">
        <v>172</v>
      </c>
      <c r="F54" s="64" t="s">
        <v>203</v>
      </c>
      <c r="G54" s="64" t="s">
        <v>174</v>
      </c>
      <c r="H54" s="64" t="s">
        <v>185</v>
      </c>
      <c r="I54" s="64" t="s">
        <v>176</v>
      </c>
      <c r="J54" s="64">
        <v>804</v>
      </c>
      <c r="K54" s="64" t="s">
        <v>177</v>
      </c>
      <c r="L54" s="64">
        <v>39950</v>
      </c>
      <c r="M54" s="64" t="s">
        <v>178</v>
      </c>
      <c r="N54" s="64">
        <v>537</v>
      </c>
      <c r="O54" s="64" t="s">
        <v>179</v>
      </c>
      <c r="P54" s="64" t="s">
        <v>187</v>
      </c>
      <c r="Q54" s="64" t="s">
        <v>181</v>
      </c>
      <c r="R54" s="64" t="s">
        <v>188</v>
      </c>
      <c r="U54" s="65">
        <f t="shared" si="0"/>
        <v>537</v>
      </c>
      <c r="W54" s="65">
        <f t="shared" si="1"/>
        <v>2.7299742856995555</v>
      </c>
      <c r="Y54" s="63"/>
      <c r="AS54" s="65" t="str">
        <f t="shared" si="2"/>
        <v>Exclude</v>
      </c>
      <c r="AU54" s="65" t="str">
        <f t="shared" si="3"/>
        <v>Exclude</v>
      </c>
    </row>
    <row r="55" spans="1:47" s="64" customFormat="1" x14ac:dyDescent="0.25">
      <c r="A55" s="63" t="s">
        <v>170</v>
      </c>
      <c r="B55" s="64">
        <v>3</v>
      </c>
      <c r="C55" s="64" t="s">
        <v>171</v>
      </c>
      <c r="D55" s="64">
        <v>1</v>
      </c>
      <c r="E55" s="64" t="s">
        <v>172</v>
      </c>
      <c r="F55" s="64" t="s">
        <v>204</v>
      </c>
      <c r="G55" s="64" t="s">
        <v>174</v>
      </c>
      <c r="H55" s="64" t="s">
        <v>185</v>
      </c>
      <c r="I55" s="64" t="s">
        <v>176</v>
      </c>
      <c r="J55" s="64">
        <v>1452</v>
      </c>
      <c r="K55" s="64" t="s">
        <v>177</v>
      </c>
      <c r="L55" s="64">
        <v>42306</v>
      </c>
      <c r="M55" s="64" t="s">
        <v>178</v>
      </c>
      <c r="N55" s="64">
        <v>416</v>
      </c>
      <c r="O55" s="64" t="s">
        <v>179</v>
      </c>
      <c r="P55" s="64" t="s">
        <v>187</v>
      </c>
      <c r="Q55" s="64" t="s">
        <v>181</v>
      </c>
      <c r="R55" s="64" t="s">
        <v>188</v>
      </c>
      <c r="U55" s="65">
        <f t="shared" si="0"/>
        <v>416</v>
      </c>
      <c r="W55" s="65">
        <f t="shared" si="1"/>
        <v>2.6190933306267428</v>
      </c>
      <c r="Y55" s="63"/>
      <c r="AS55" s="65" t="str">
        <f t="shared" si="2"/>
        <v>Exclude</v>
      </c>
      <c r="AU55" s="65" t="str">
        <f t="shared" si="3"/>
        <v>Exclude</v>
      </c>
    </row>
    <row r="56" spans="1:47" s="64" customFormat="1" x14ac:dyDescent="0.25">
      <c r="A56" s="63" t="s">
        <v>170</v>
      </c>
      <c r="B56" s="64">
        <v>3</v>
      </c>
      <c r="C56" s="64" t="s">
        <v>171</v>
      </c>
      <c r="D56" s="64">
        <v>2</v>
      </c>
      <c r="E56" s="64" t="s">
        <v>172</v>
      </c>
      <c r="F56" s="64" t="s">
        <v>195</v>
      </c>
      <c r="G56" s="64" t="s">
        <v>174</v>
      </c>
      <c r="H56" s="64" t="s">
        <v>175</v>
      </c>
      <c r="I56" s="64" t="s">
        <v>176</v>
      </c>
      <c r="J56" s="64">
        <v>818</v>
      </c>
      <c r="K56" s="64" t="s">
        <v>177</v>
      </c>
      <c r="L56" s="64">
        <v>45254</v>
      </c>
      <c r="M56" s="64" t="s">
        <v>178</v>
      </c>
      <c r="N56" s="64">
        <v>1645</v>
      </c>
      <c r="O56" s="64" t="s">
        <v>179</v>
      </c>
      <c r="P56" s="64" t="s">
        <v>180</v>
      </c>
      <c r="Q56" s="64" t="s">
        <v>181</v>
      </c>
      <c r="R56" s="64" t="s">
        <v>92</v>
      </c>
      <c r="U56" s="65">
        <f t="shared" si="0"/>
        <v>1645</v>
      </c>
      <c r="W56" s="65">
        <f t="shared" si="1"/>
        <v>3.2161659022859932</v>
      </c>
      <c r="Y56" s="63"/>
      <c r="AS56" s="65" t="str">
        <f t="shared" si="2"/>
        <v>Exclude</v>
      </c>
      <c r="AU56" s="65" t="str">
        <f t="shared" si="3"/>
        <v>Exclude</v>
      </c>
    </row>
    <row r="57" spans="1:47" s="64" customFormat="1" x14ac:dyDescent="0.25">
      <c r="A57" s="63" t="s">
        <v>170</v>
      </c>
      <c r="B57" s="64">
        <v>3</v>
      </c>
      <c r="C57" s="64" t="s">
        <v>171</v>
      </c>
      <c r="D57" s="64">
        <v>3</v>
      </c>
      <c r="E57" s="64" t="s">
        <v>172</v>
      </c>
      <c r="F57" s="64" t="s">
        <v>191</v>
      </c>
      <c r="G57" s="64" t="s">
        <v>174</v>
      </c>
      <c r="H57" s="64" t="s">
        <v>175</v>
      </c>
      <c r="I57" s="64" t="s">
        <v>176</v>
      </c>
      <c r="J57" s="64">
        <v>-1</v>
      </c>
      <c r="K57" s="64" t="s">
        <v>177</v>
      </c>
      <c r="L57" s="64">
        <v>46237</v>
      </c>
      <c r="M57" s="64" t="s">
        <v>178</v>
      </c>
      <c r="N57" s="64">
        <v>499</v>
      </c>
      <c r="O57" s="64" t="s">
        <v>179</v>
      </c>
      <c r="P57" s="64" t="s">
        <v>187</v>
      </c>
      <c r="Q57" s="64" t="s">
        <v>181</v>
      </c>
      <c r="R57" s="64" t="s">
        <v>182</v>
      </c>
      <c r="U57" s="65" t="str">
        <f t="shared" si="0"/>
        <v>Exclude</v>
      </c>
      <c r="W57" s="65" t="str">
        <f t="shared" si="1"/>
        <v>Exclude</v>
      </c>
      <c r="Y57" s="63"/>
      <c r="AS57" s="65" t="str">
        <f t="shared" si="2"/>
        <v>Exclude</v>
      </c>
      <c r="AU57" s="65" t="str">
        <f t="shared" si="3"/>
        <v>Exclude</v>
      </c>
    </row>
    <row r="58" spans="1:47" s="64" customFormat="1" x14ac:dyDescent="0.25">
      <c r="A58" s="63" t="s">
        <v>170</v>
      </c>
      <c r="B58" s="64">
        <v>3</v>
      </c>
      <c r="C58" s="64" t="s">
        <v>171</v>
      </c>
      <c r="D58" s="64">
        <v>3</v>
      </c>
      <c r="E58" s="64" t="s">
        <v>172</v>
      </c>
      <c r="F58" s="64" t="s">
        <v>191</v>
      </c>
      <c r="G58" s="64" t="s">
        <v>174</v>
      </c>
      <c r="H58" s="64" t="s">
        <v>175</v>
      </c>
      <c r="I58" s="64" t="s">
        <v>176</v>
      </c>
      <c r="J58" s="64">
        <v>784</v>
      </c>
      <c r="K58" s="64" t="s">
        <v>177</v>
      </c>
      <c r="L58" s="64">
        <v>47290</v>
      </c>
      <c r="M58" s="64" t="s">
        <v>178</v>
      </c>
      <c r="N58" s="64">
        <v>768</v>
      </c>
      <c r="O58" s="64" t="s">
        <v>179</v>
      </c>
      <c r="P58" s="64" t="s">
        <v>180</v>
      </c>
      <c r="Q58" s="64" t="s">
        <v>181</v>
      </c>
      <c r="R58" s="64" t="s">
        <v>92</v>
      </c>
      <c r="U58" s="65" t="str">
        <f t="shared" si="0"/>
        <v>Pant</v>
      </c>
      <c r="W58" s="65" t="str">
        <f t="shared" si="1"/>
        <v>Pant</v>
      </c>
      <c r="Y58" s="63"/>
      <c r="AS58" s="65" t="str">
        <f t="shared" si="2"/>
        <v>Exclude</v>
      </c>
      <c r="AU58" s="65" t="str">
        <f t="shared" si="3"/>
        <v>Exclude</v>
      </c>
    </row>
    <row r="59" spans="1:47" s="64" customFormat="1" x14ac:dyDescent="0.25">
      <c r="A59" s="63" t="s">
        <v>170</v>
      </c>
      <c r="B59" s="64">
        <v>3</v>
      </c>
      <c r="C59" s="64" t="s">
        <v>171</v>
      </c>
      <c r="D59" s="64">
        <v>4</v>
      </c>
      <c r="E59" s="64" t="s">
        <v>172</v>
      </c>
      <c r="F59" s="64" t="s">
        <v>205</v>
      </c>
      <c r="G59" s="64" t="s">
        <v>174</v>
      </c>
      <c r="H59" s="64" t="s">
        <v>185</v>
      </c>
      <c r="I59" s="64" t="s">
        <v>176</v>
      </c>
      <c r="J59" s="64">
        <v>1275</v>
      </c>
      <c r="K59" s="64" t="s">
        <v>177</v>
      </c>
      <c r="L59" s="64">
        <v>49406</v>
      </c>
      <c r="M59" s="64" t="s">
        <v>178</v>
      </c>
      <c r="N59" s="64">
        <v>346</v>
      </c>
      <c r="O59" s="64" t="s">
        <v>179</v>
      </c>
      <c r="P59" s="64" t="s">
        <v>187</v>
      </c>
      <c r="Q59" s="64" t="s">
        <v>181</v>
      </c>
      <c r="R59" s="64" t="s">
        <v>188</v>
      </c>
      <c r="U59" s="65">
        <f t="shared" si="0"/>
        <v>346</v>
      </c>
      <c r="W59" s="65">
        <f t="shared" si="1"/>
        <v>2.5390760987927767</v>
      </c>
      <c r="Y59" s="63"/>
      <c r="AS59" s="65" t="str">
        <f t="shared" si="2"/>
        <v>Exclude</v>
      </c>
      <c r="AU59" s="65" t="str">
        <f t="shared" si="3"/>
        <v>Exclude</v>
      </c>
    </row>
    <row r="60" spans="1:47" s="64" customFormat="1" x14ac:dyDescent="0.25">
      <c r="A60" s="63" t="s">
        <v>170</v>
      </c>
      <c r="B60" s="64">
        <v>3</v>
      </c>
      <c r="C60" s="64" t="s">
        <v>171</v>
      </c>
      <c r="D60" s="64">
        <v>5</v>
      </c>
      <c r="E60" s="64" t="s">
        <v>172</v>
      </c>
      <c r="F60" s="64" t="s">
        <v>206</v>
      </c>
      <c r="G60" s="64" t="s">
        <v>174</v>
      </c>
      <c r="H60" s="64" t="s">
        <v>185</v>
      </c>
      <c r="I60" s="64" t="s">
        <v>176</v>
      </c>
      <c r="J60" s="64">
        <v>1324</v>
      </c>
      <c r="K60" s="64" t="s">
        <v>177</v>
      </c>
      <c r="L60" s="64">
        <v>52224</v>
      </c>
      <c r="M60" s="64" t="s">
        <v>178</v>
      </c>
      <c r="N60" s="64">
        <v>1002</v>
      </c>
      <c r="O60" s="64" t="s">
        <v>179</v>
      </c>
      <c r="P60" s="64" t="s">
        <v>180</v>
      </c>
      <c r="Q60" s="64" t="s">
        <v>181</v>
      </c>
      <c r="R60" s="64" t="s">
        <v>186</v>
      </c>
      <c r="U60" s="65" t="str">
        <f t="shared" si="0"/>
        <v>Exclude</v>
      </c>
      <c r="W60" s="65" t="str">
        <f t="shared" si="1"/>
        <v>Exclude</v>
      </c>
      <c r="Y60" s="63"/>
      <c r="AS60" s="65" t="str">
        <f t="shared" si="2"/>
        <v>Exclude</v>
      </c>
      <c r="AU60" s="65" t="str">
        <f t="shared" si="3"/>
        <v>Exclude</v>
      </c>
    </row>
    <row r="61" spans="1:47" s="64" customFormat="1" x14ac:dyDescent="0.25">
      <c r="A61" s="63" t="s">
        <v>170</v>
      </c>
      <c r="B61" s="64">
        <v>3</v>
      </c>
      <c r="C61" s="64" t="s">
        <v>171</v>
      </c>
      <c r="D61" s="64">
        <v>5</v>
      </c>
      <c r="E61" s="64" t="s">
        <v>172</v>
      </c>
      <c r="F61" s="64" t="s">
        <v>206</v>
      </c>
      <c r="G61" s="64" t="s">
        <v>174</v>
      </c>
      <c r="H61" s="64" t="s">
        <v>185</v>
      </c>
      <c r="I61" s="64" t="s">
        <v>176</v>
      </c>
      <c r="J61" s="64">
        <v>1324</v>
      </c>
      <c r="K61" s="64" t="s">
        <v>177</v>
      </c>
      <c r="L61" s="64">
        <v>52655</v>
      </c>
      <c r="M61" s="64" t="s">
        <v>178</v>
      </c>
      <c r="N61" s="64">
        <v>1433</v>
      </c>
      <c r="O61" s="64" t="s">
        <v>179</v>
      </c>
      <c r="P61" s="64" t="s">
        <v>187</v>
      </c>
      <c r="Q61" s="64" t="s">
        <v>181</v>
      </c>
      <c r="R61" s="64" t="s">
        <v>188</v>
      </c>
      <c r="U61" s="65" t="str">
        <f t="shared" si="0"/>
        <v>SameTrial</v>
      </c>
      <c r="W61" s="65" t="str">
        <f t="shared" si="1"/>
        <v>SameTrial</v>
      </c>
      <c r="Y61" s="63"/>
      <c r="AS61" s="65" t="str">
        <f t="shared" si="2"/>
        <v>Exclude</v>
      </c>
      <c r="AU61" s="65" t="str">
        <f t="shared" si="3"/>
        <v>Exclude</v>
      </c>
    </row>
    <row r="62" spans="1:47" s="64" customFormat="1" x14ac:dyDescent="0.25">
      <c r="A62" s="63" t="s">
        <v>170</v>
      </c>
      <c r="B62" s="64">
        <v>3</v>
      </c>
      <c r="C62" s="64" t="s">
        <v>171</v>
      </c>
      <c r="D62" s="64">
        <v>6</v>
      </c>
      <c r="E62" s="64" t="s">
        <v>172</v>
      </c>
      <c r="F62" s="64" t="s">
        <v>207</v>
      </c>
      <c r="G62" s="64" t="s">
        <v>174</v>
      </c>
      <c r="H62" s="64" t="s">
        <v>185</v>
      </c>
      <c r="I62" s="64" t="s">
        <v>176</v>
      </c>
      <c r="J62" s="64">
        <v>1085</v>
      </c>
      <c r="K62" s="64" t="s">
        <v>177</v>
      </c>
      <c r="L62" s="64">
        <v>54888</v>
      </c>
      <c r="M62" s="64" t="s">
        <v>178</v>
      </c>
      <c r="N62" s="64">
        <v>643</v>
      </c>
      <c r="O62" s="64" t="s">
        <v>179</v>
      </c>
      <c r="P62" s="64" t="s">
        <v>187</v>
      </c>
      <c r="Q62" s="64" t="s">
        <v>181</v>
      </c>
      <c r="R62" s="64" t="s">
        <v>188</v>
      </c>
      <c r="U62" s="65">
        <f t="shared" si="0"/>
        <v>643</v>
      </c>
      <c r="W62" s="65">
        <f t="shared" si="1"/>
        <v>2.8082109729242219</v>
      </c>
      <c r="Y62" s="63"/>
      <c r="AS62" s="65" t="str">
        <f t="shared" si="2"/>
        <v>Exclude</v>
      </c>
      <c r="AU62" s="65" t="str">
        <f t="shared" si="3"/>
        <v>Exclude</v>
      </c>
    </row>
    <row r="63" spans="1:47" s="64" customFormat="1" x14ac:dyDescent="0.25">
      <c r="A63" s="63" t="s">
        <v>170</v>
      </c>
      <c r="B63" s="64">
        <v>3</v>
      </c>
      <c r="C63" s="64" t="s">
        <v>171</v>
      </c>
      <c r="D63" s="64">
        <v>7</v>
      </c>
      <c r="E63" s="64" t="s">
        <v>172</v>
      </c>
      <c r="F63" s="64" t="s">
        <v>193</v>
      </c>
      <c r="G63" s="64" t="s">
        <v>174</v>
      </c>
      <c r="H63" s="64" t="s">
        <v>175</v>
      </c>
      <c r="I63" s="64" t="s">
        <v>176</v>
      </c>
      <c r="J63" s="64">
        <v>906</v>
      </c>
      <c r="K63" s="64" t="s">
        <v>177</v>
      </c>
      <c r="L63" s="64">
        <v>57142</v>
      </c>
      <c r="M63" s="64" t="s">
        <v>178</v>
      </c>
      <c r="N63" s="64">
        <v>851</v>
      </c>
      <c r="O63" s="64" t="s">
        <v>179</v>
      </c>
      <c r="P63" s="64" t="s">
        <v>187</v>
      </c>
      <c r="Q63" s="64" t="s">
        <v>181</v>
      </c>
      <c r="R63" s="64" t="s">
        <v>189</v>
      </c>
      <c r="U63" s="65" t="str">
        <f t="shared" si="0"/>
        <v>Exclude</v>
      </c>
      <c r="W63" s="65" t="str">
        <f t="shared" si="1"/>
        <v>Exclude</v>
      </c>
      <c r="Y63" s="63"/>
      <c r="AS63" s="65" t="str">
        <f t="shared" si="2"/>
        <v>Exclude</v>
      </c>
      <c r="AU63" s="65" t="str">
        <f t="shared" si="3"/>
        <v>Exclude</v>
      </c>
    </row>
    <row r="64" spans="1:47" s="64" customFormat="1" x14ac:dyDescent="0.25">
      <c r="A64" s="63" t="s">
        <v>170</v>
      </c>
      <c r="B64" s="64">
        <v>3</v>
      </c>
      <c r="C64" s="64" t="s">
        <v>171</v>
      </c>
      <c r="D64" s="64">
        <v>7</v>
      </c>
      <c r="E64" s="64" t="s">
        <v>172</v>
      </c>
      <c r="F64" s="64" t="s">
        <v>193</v>
      </c>
      <c r="G64" s="64" t="s">
        <v>174</v>
      </c>
      <c r="H64" s="64" t="s">
        <v>175</v>
      </c>
      <c r="I64" s="64" t="s">
        <v>176</v>
      </c>
      <c r="J64" s="64">
        <v>906</v>
      </c>
      <c r="K64" s="64" t="s">
        <v>177</v>
      </c>
      <c r="L64" s="64">
        <v>57569</v>
      </c>
      <c r="M64" s="64" t="s">
        <v>178</v>
      </c>
      <c r="N64" s="64">
        <v>1278</v>
      </c>
      <c r="O64" s="64" t="s">
        <v>179</v>
      </c>
      <c r="P64" s="64" t="s">
        <v>180</v>
      </c>
      <c r="Q64" s="64" t="s">
        <v>181</v>
      </c>
      <c r="R64" s="64" t="s">
        <v>92</v>
      </c>
      <c r="U64" s="65" t="str">
        <f t="shared" si="0"/>
        <v>SameTrial</v>
      </c>
      <c r="W64" s="65" t="str">
        <f t="shared" si="1"/>
        <v>SameTrial</v>
      </c>
      <c r="Y64" s="63"/>
      <c r="AS64" s="65" t="str">
        <f t="shared" si="2"/>
        <v>Exclude</v>
      </c>
      <c r="AU64" s="65" t="str">
        <f t="shared" si="3"/>
        <v>Exclude</v>
      </c>
    </row>
    <row r="65" spans="1:47" s="64" customFormat="1" x14ac:dyDescent="0.25">
      <c r="A65" s="63" t="s">
        <v>170</v>
      </c>
      <c r="B65" s="64">
        <v>3</v>
      </c>
      <c r="C65" s="64" t="s">
        <v>171</v>
      </c>
      <c r="D65" s="64">
        <v>8</v>
      </c>
      <c r="E65" s="64" t="s">
        <v>172</v>
      </c>
      <c r="F65" s="64" t="s">
        <v>208</v>
      </c>
      <c r="G65" s="64" t="s">
        <v>174</v>
      </c>
      <c r="H65" s="64" t="s">
        <v>185</v>
      </c>
      <c r="I65" s="64" t="s">
        <v>176</v>
      </c>
      <c r="J65" s="64">
        <v>1444</v>
      </c>
      <c r="K65" s="64" t="s">
        <v>177</v>
      </c>
      <c r="L65" s="64">
        <v>60160</v>
      </c>
      <c r="M65" s="64" t="s">
        <v>178</v>
      </c>
      <c r="N65" s="64">
        <v>651</v>
      </c>
      <c r="O65" s="64" t="s">
        <v>179</v>
      </c>
      <c r="P65" s="64" t="s">
        <v>187</v>
      </c>
      <c r="Q65" s="64" t="s">
        <v>181</v>
      </c>
      <c r="R65" s="64" t="s">
        <v>188</v>
      </c>
      <c r="U65" s="65">
        <f t="shared" si="0"/>
        <v>651</v>
      </c>
      <c r="W65" s="65">
        <f t="shared" si="1"/>
        <v>2.8135809885681922</v>
      </c>
      <c r="Y65" s="63"/>
      <c r="AS65" s="65" t="str">
        <f t="shared" si="2"/>
        <v>Exclude</v>
      </c>
      <c r="AU65" s="65" t="str">
        <f t="shared" si="3"/>
        <v>Exclude</v>
      </c>
    </row>
    <row r="66" spans="1:47" s="64" customFormat="1" x14ac:dyDescent="0.25">
      <c r="A66" s="63" t="s">
        <v>170</v>
      </c>
      <c r="B66" s="64">
        <v>3</v>
      </c>
      <c r="C66" s="64" t="s">
        <v>171</v>
      </c>
      <c r="D66" s="64">
        <v>9</v>
      </c>
      <c r="E66" s="64" t="s">
        <v>172</v>
      </c>
      <c r="F66" s="64" t="s">
        <v>192</v>
      </c>
      <c r="G66" s="64" t="s">
        <v>174</v>
      </c>
      <c r="H66" s="64" t="s">
        <v>175</v>
      </c>
      <c r="I66" s="64" t="s">
        <v>176</v>
      </c>
      <c r="J66" s="64">
        <v>569</v>
      </c>
      <c r="K66" s="64" t="s">
        <v>177</v>
      </c>
      <c r="L66" s="64">
        <v>61949</v>
      </c>
      <c r="M66" s="64" t="s">
        <v>178</v>
      </c>
      <c r="N66" s="64">
        <v>721</v>
      </c>
      <c r="O66" s="64" t="s">
        <v>179</v>
      </c>
      <c r="P66" s="64" t="s">
        <v>180</v>
      </c>
      <c r="Q66" s="64" t="s">
        <v>181</v>
      </c>
      <c r="R66" s="64" t="s">
        <v>92</v>
      </c>
      <c r="U66" s="65">
        <f t="shared" si="0"/>
        <v>721</v>
      </c>
      <c r="W66" s="65">
        <f t="shared" si="1"/>
        <v>2.8579352647194289</v>
      </c>
      <c r="Y66" s="63"/>
      <c r="AS66" s="65" t="str">
        <f t="shared" si="2"/>
        <v>Exclude</v>
      </c>
      <c r="AU66" s="65" t="str">
        <f t="shared" si="3"/>
        <v>Exclude</v>
      </c>
    </row>
    <row r="67" spans="1:47" s="64" customFormat="1" x14ac:dyDescent="0.25">
      <c r="A67" s="63" t="s">
        <v>170</v>
      </c>
      <c r="B67" s="64">
        <v>3</v>
      </c>
      <c r="C67" s="64" t="s">
        <v>171</v>
      </c>
      <c r="D67" s="64">
        <v>10</v>
      </c>
      <c r="E67" s="64" t="s">
        <v>172</v>
      </c>
      <c r="F67" s="64" t="s">
        <v>209</v>
      </c>
      <c r="G67" s="64" t="s">
        <v>174</v>
      </c>
      <c r="H67" s="64" t="s">
        <v>185</v>
      </c>
      <c r="I67" s="64" t="s">
        <v>176</v>
      </c>
      <c r="J67" s="64">
        <v>637</v>
      </c>
      <c r="K67" s="64" t="s">
        <v>177</v>
      </c>
      <c r="L67" s="64">
        <v>63666</v>
      </c>
      <c r="M67" s="64" t="s">
        <v>178</v>
      </c>
      <c r="N67" s="64">
        <v>579</v>
      </c>
      <c r="O67" s="64" t="s">
        <v>179</v>
      </c>
      <c r="P67" s="64" t="s">
        <v>187</v>
      </c>
      <c r="Q67" s="64" t="s">
        <v>181</v>
      </c>
      <c r="R67" s="64" t="s">
        <v>188</v>
      </c>
      <c r="U67" s="65">
        <f t="shared" si="0"/>
        <v>579</v>
      </c>
      <c r="W67" s="65">
        <f t="shared" si="1"/>
        <v>2.762678563727436</v>
      </c>
      <c r="Y67" s="63"/>
      <c r="AS67" s="65" t="str">
        <f t="shared" si="2"/>
        <v>Exclude</v>
      </c>
      <c r="AU67" s="65" t="str">
        <f t="shared" si="3"/>
        <v>Exclude</v>
      </c>
    </row>
    <row r="68" spans="1:47" s="64" customFormat="1" x14ac:dyDescent="0.25">
      <c r="A68" s="63" t="s">
        <v>170</v>
      </c>
      <c r="B68" s="64">
        <v>4</v>
      </c>
      <c r="C68" s="64" t="s">
        <v>171</v>
      </c>
      <c r="D68" s="64">
        <v>1</v>
      </c>
      <c r="E68" s="64" t="s">
        <v>172</v>
      </c>
      <c r="F68" s="64" t="s">
        <v>195</v>
      </c>
      <c r="G68" s="64" t="s">
        <v>174</v>
      </c>
      <c r="H68" s="64" t="s">
        <v>175</v>
      </c>
      <c r="I68" s="64" t="s">
        <v>176</v>
      </c>
      <c r="J68" s="64">
        <v>791</v>
      </c>
      <c r="K68" s="64" t="s">
        <v>177</v>
      </c>
      <c r="L68" s="64">
        <v>65835</v>
      </c>
      <c r="M68" s="64" t="s">
        <v>178</v>
      </c>
      <c r="N68" s="64">
        <v>885</v>
      </c>
      <c r="O68" s="64" t="s">
        <v>179</v>
      </c>
      <c r="P68" s="64" t="s">
        <v>180</v>
      </c>
      <c r="Q68" s="64" t="s">
        <v>181</v>
      </c>
      <c r="R68" s="64" t="s">
        <v>92</v>
      </c>
      <c r="U68" s="65">
        <f t="shared" si="0"/>
        <v>885</v>
      </c>
      <c r="W68" s="65">
        <f t="shared" si="1"/>
        <v>2.9469432706978256</v>
      </c>
      <c r="Y68" s="63"/>
      <c r="AS68" s="65" t="str">
        <f t="shared" si="2"/>
        <v>Exclude</v>
      </c>
      <c r="AU68" s="65" t="str">
        <f t="shared" si="3"/>
        <v>Exclude</v>
      </c>
    </row>
    <row r="69" spans="1:47" s="64" customFormat="1" x14ac:dyDescent="0.25">
      <c r="A69" s="63" t="s">
        <v>170</v>
      </c>
      <c r="B69" s="64">
        <v>4</v>
      </c>
      <c r="C69" s="64" t="s">
        <v>171</v>
      </c>
      <c r="D69" s="64">
        <v>2</v>
      </c>
      <c r="E69" s="64" t="s">
        <v>172</v>
      </c>
      <c r="F69" s="64" t="s">
        <v>210</v>
      </c>
      <c r="G69" s="64" t="s">
        <v>174</v>
      </c>
      <c r="H69" s="64" t="s">
        <v>185</v>
      </c>
      <c r="I69" s="64" t="s">
        <v>176</v>
      </c>
      <c r="J69" s="64">
        <v>-1</v>
      </c>
      <c r="K69" s="64" t="s">
        <v>177</v>
      </c>
      <c r="L69" s="64">
        <v>67021</v>
      </c>
      <c r="M69" s="64" t="s">
        <v>178</v>
      </c>
      <c r="N69" s="64">
        <v>694</v>
      </c>
      <c r="O69" s="64" t="s">
        <v>179</v>
      </c>
      <c r="P69" s="64" t="s">
        <v>187</v>
      </c>
      <c r="Q69" s="64" t="s">
        <v>181</v>
      </c>
      <c r="R69" s="64" t="s">
        <v>182</v>
      </c>
      <c r="U69" s="65" t="str">
        <f t="shared" si="0"/>
        <v>Exclude</v>
      </c>
      <c r="W69" s="65" t="str">
        <f t="shared" si="1"/>
        <v>Exclude</v>
      </c>
      <c r="Y69" s="63"/>
      <c r="AS69" s="65" t="str">
        <f t="shared" si="2"/>
        <v>Exclude</v>
      </c>
      <c r="AU69" s="65" t="str">
        <f t="shared" si="3"/>
        <v>Exclude</v>
      </c>
    </row>
    <row r="70" spans="1:47" s="64" customFormat="1" x14ac:dyDescent="0.25">
      <c r="A70" s="63" t="s">
        <v>170</v>
      </c>
      <c r="B70" s="64">
        <v>4</v>
      </c>
      <c r="C70" s="64" t="s">
        <v>171</v>
      </c>
      <c r="D70" s="64">
        <v>2</v>
      </c>
      <c r="E70" s="64" t="s">
        <v>172</v>
      </c>
      <c r="F70" s="64" t="s">
        <v>210</v>
      </c>
      <c r="G70" s="64" t="s">
        <v>174</v>
      </c>
      <c r="H70" s="64" t="s">
        <v>185</v>
      </c>
      <c r="I70" s="64" t="s">
        <v>176</v>
      </c>
      <c r="J70" s="64">
        <v>1293</v>
      </c>
      <c r="K70" s="64" t="s">
        <v>177</v>
      </c>
      <c r="L70" s="64">
        <v>68215</v>
      </c>
      <c r="M70" s="64" t="s">
        <v>178</v>
      </c>
      <c r="N70" s="64">
        <v>595</v>
      </c>
      <c r="O70" s="64" t="s">
        <v>179</v>
      </c>
      <c r="P70" s="64" t="s">
        <v>187</v>
      </c>
      <c r="Q70" s="64" t="s">
        <v>181</v>
      </c>
      <c r="R70" s="64" t="s">
        <v>188</v>
      </c>
      <c r="U70" s="65" t="str">
        <f t="shared" si="0"/>
        <v>Pant</v>
      </c>
      <c r="W70" s="65" t="str">
        <f t="shared" si="1"/>
        <v>Pant</v>
      </c>
      <c r="Y70" s="63"/>
      <c r="AS70" s="65" t="str">
        <f t="shared" si="2"/>
        <v>Exclude</v>
      </c>
      <c r="AU70" s="65" t="str">
        <f t="shared" si="3"/>
        <v>Exclude</v>
      </c>
    </row>
    <row r="71" spans="1:47" s="64" customFormat="1" x14ac:dyDescent="0.25">
      <c r="A71" s="63" t="s">
        <v>170</v>
      </c>
      <c r="B71" s="64">
        <v>4</v>
      </c>
      <c r="C71" s="64" t="s">
        <v>171</v>
      </c>
      <c r="D71" s="64">
        <v>3</v>
      </c>
      <c r="E71" s="64" t="s">
        <v>172</v>
      </c>
      <c r="F71" s="64" t="s">
        <v>211</v>
      </c>
      <c r="G71" s="64" t="s">
        <v>174</v>
      </c>
      <c r="H71" s="64" t="s">
        <v>185</v>
      </c>
      <c r="I71" s="64" t="s">
        <v>176</v>
      </c>
      <c r="J71" s="64">
        <v>1328</v>
      </c>
      <c r="K71" s="64" t="s">
        <v>177</v>
      </c>
      <c r="L71" s="64">
        <v>70818</v>
      </c>
      <c r="M71" s="64" t="s">
        <v>178</v>
      </c>
      <c r="N71" s="64">
        <v>780</v>
      </c>
      <c r="O71" s="64" t="s">
        <v>179</v>
      </c>
      <c r="P71" s="64" t="s">
        <v>187</v>
      </c>
      <c r="Q71" s="64" t="s">
        <v>181</v>
      </c>
      <c r="R71" s="64" t="s">
        <v>188</v>
      </c>
      <c r="U71" s="65">
        <f t="shared" si="0"/>
        <v>780</v>
      </c>
      <c r="W71" s="65">
        <f t="shared" si="1"/>
        <v>2.8920946026904804</v>
      </c>
      <c r="Y71" s="63"/>
      <c r="AS71" s="65" t="str">
        <f t="shared" si="2"/>
        <v>Exclude</v>
      </c>
      <c r="AU71" s="65" t="str">
        <f t="shared" si="3"/>
        <v>Exclude</v>
      </c>
    </row>
    <row r="72" spans="1:47" s="64" customFormat="1" x14ac:dyDescent="0.25">
      <c r="A72" s="63" t="s">
        <v>170</v>
      </c>
      <c r="B72" s="64">
        <v>4</v>
      </c>
      <c r="C72" s="64" t="s">
        <v>171</v>
      </c>
      <c r="D72" s="64">
        <v>4</v>
      </c>
      <c r="E72" s="64" t="s">
        <v>172</v>
      </c>
      <c r="F72" s="64" t="s">
        <v>192</v>
      </c>
      <c r="G72" s="64" t="s">
        <v>174</v>
      </c>
      <c r="H72" s="64" t="s">
        <v>175</v>
      </c>
      <c r="I72" s="64" t="s">
        <v>176</v>
      </c>
      <c r="J72" s="64">
        <v>-1</v>
      </c>
      <c r="K72" s="64" t="s">
        <v>177</v>
      </c>
      <c r="L72" s="64">
        <v>71702</v>
      </c>
      <c r="M72" s="64" t="s">
        <v>178</v>
      </c>
      <c r="N72" s="64">
        <v>376</v>
      </c>
      <c r="O72" s="64" t="s">
        <v>179</v>
      </c>
      <c r="P72" s="64" t="s">
        <v>187</v>
      </c>
      <c r="Q72" s="64" t="s">
        <v>181</v>
      </c>
      <c r="R72" s="64" t="s">
        <v>182</v>
      </c>
      <c r="U72" s="65" t="str">
        <f t="shared" si="0"/>
        <v>Exclude</v>
      </c>
      <c r="W72" s="65" t="str">
        <f t="shared" si="1"/>
        <v>Exclude</v>
      </c>
      <c r="Y72" s="63"/>
      <c r="AS72" s="65" t="str">
        <f t="shared" si="2"/>
        <v>Exclude</v>
      </c>
      <c r="AU72" s="65" t="str">
        <f t="shared" si="3"/>
        <v>Exclude</v>
      </c>
    </row>
    <row r="73" spans="1:47" s="64" customFormat="1" x14ac:dyDescent="0.25">
      <c r="A73" s="63" t="s">
        <v>170</v>
      </c>
      <c r="B73" s="64">
        <v>4</v>
      </c>
      <c r="C73" s="64" t="s">
        <v>171</v>
      </c>
      <c r="D73" s="64">
        <v>4</v>
      </c>
      <c r="E73" s="64" t="s">
        <v>172</v>
      </c>
      <c r="F73" s="64" t="s">
        <v>192</v>
      </c>
      <c r="G73" s="64" t="s">
        <v>174</v>
      </c>
      <c r="H73" s="64" t="s">
        <v>175</v>
      </c>
      <c r="I73" s="64" t="s">
        <v>176</v>
      </c>
      <c r="J73" s="64">
        <v>751</v>
      </c>
      <c r="K73" s="64" t="s">
        <v>177</v>
      </c>
      <c r="L73" s="64">
        <v>72806</v>
      </c>
      <c r="M73" s="64" t="s">
        <v>178</v>
      </c>
      <c r="N73" s="64">
        <v>729</v>
      </c>
      <c r="O73" s="64" t="s">
        <v>179</v>
      </c>
      <c r="P73" s="64" t="s">
        <v>180</v>
      </c>
      <c r="Q73" s="64" t="s">
        <v>181</v>
      </c>
      <c r="R73" s="64" t="s">
        <v>92</v>
      </c>
      <c r="U73" s="65" t="str">
        <f t="shared" si="0"/>
        <v>Pant</v>
      </c>
      <c r="W73" s="65" t="str">
        <f t="shared" si="1"/>
        <v>Pant</v>
      </c>
      <c r="Y73" s="63"/>
      <c r="AS73" s="65" t="str">
        <f t="shared" si="2"/>
        <v>Exclude</v>
      </c>
      <c r="AU73" s="65" t="str">
        <f t="shared" si="3"/>
        <v>Exclude</v>
      </c>
    </row>
    <row r="74" spans="1:47" s="64" customFormat="1" x14ac:dyDescent="0.25">
      <c r="A74" s="63" t="s">
        <v>170</v>
      </c>
      <c r="B74" s="64">
        <v>4</v>
      </c>
      <c r="C74" s="64" t="s">
        <v>171</v>
      </c>
      <c r="D74" s="64">
        <v>5</v>
      </c>
      <c r="E74" s="64" t="s">
        <v>172</v>
      </c>
      <c r="F74" s="64" t="s">
        <v>191</v>
      </c>
      <c r="G74" s="64" t="s">
        <v>174</v>
      </c>
      <c r="H74" s="64" t="s">
        <v>175</v>
      </c>
      <c r="I74" s="64" t="s">
        <v>176</v>
      </c>
      <c r="J74" s="64">
        <v>1200</v>
      </c>
      <c r="K74" s="64" t="s">
        <v>177</v>
      </c>
      <c r="L74" s="64">
        <v>75304</v>
      </c>
      <c r="M74" s="64" t="s">
        <v>178</v>
      </c>
      <c r="N74" s="64">
        <v>796</v>
      </c>
      <c r="O74" s="64" t="s">
        <v>179</v>
      </c>
      <c r="P74" s="64" t="s">
        <v>180</v>
      </c>
      <c r="Q74" s="64" t="s">
        <v>181</v>
      </c>
      <c r="R74" s="64" t="s">
        <v>92</v>
      </c>
      <c r="U74" s="65">
        <f t="shared" si="0"/>
        <v>796</v>
      </c>
      <c r="W74" s="65">
        <f t="shared" si="1"/>
        <v>2.9009130677376689</v>
      </c>
      <c r="Y74" s="63"/>
      <c r="AS74" s="65" t="str">
        <f t="shared" si="2"/>
        <v>Exclude</v>
      </c>
      <c r="AU74" s="65" t="str">
        <f t="shared" si="3"/>
        <v>Exclude</v>
      </c>
    </row>
    <row r="75" spans="1:47" s="64" customFormat="1" x14ac:dyDescent="0.25">
      <c r="A75" s="63" t="s">
        <v>170</v>
      </c>
      <c r="B75" s="64">
        <v>4</v>
      </c>
      <c r="C75" s="64" t="s">
        <v>171</v>
      </c>
      <c r="D75" s="64">
        <v>6</v>
      </c>
      <c r="E75" s="64" t="s">
        <v>172</v>
      </c>
      <c r="F75" s="64" t="s">
        <v>212</v>
      </c>
      <c r="G75" s="64" t="s">
        <v>174</v>
      </c>
      <c r="H75" s="64" t="s">
        <v>198</v>
      </c>
      <c r="I75" s="64" t="s">
        <v>176</v>
      </c>
      <c r="J75" s="64">
        <v>683</v>
      </c>
      <c r="K75" s="64" t="s">
        <v>177</v>
      </c>
      <c r="L75" s="64">
        <v>76956</v>
      </c>
      <c r="M75" s="64" t="s">
        <v>178</v>
      </c>
      <c r="N75" s="64">
        <v>465</v>
      </c>
      <c r="O75" s="64" t="s">
        <v>179</v>
      </c>
      <c r="P75" s="64" t="s">
        <v>187</v>
      </c>
      <c r="Q75" s="64" t="s">
        <v>181</v>
      </c>
      <c r="R75" s="64" t="s">
        <v>188</v>
      </c>
      <c r="U75" s="65">
        <f t="shared" si="0"/>
        <v>465</v>
      </c>
      <c r="W75" s="65">
        <f t="shared" si="1"/>
        <v>2.667452952889954</v>
      </c>
      <c r="Y75" s="63"/>
      <c r="AS75" s="65" t="str">
        <f t="shared" si="2"/>
        <v>Exclude</v>
      </c>
      <c r="AU75" s="65" t="str">
        <f t="shared" si="3"/>
        <v>Exclude</v>
      </c>
    </row>
    <row r="76" spans="1:47" s="64" customFormat="1" x14ac:dyDescent="0.25">
      <c r="A76" s="63" t="s">
        <v>170</v>
      </c>
      <c r="B76" s="64">
        <v>4</v>
      </c>
      <c r="C76" s="64" t="s">
        <v>171</v>
      </c>
      <c r="D76" s="64">
        <v>7</v>
      </c>
      <c r="E76" s="64" t="s">
        <v>172</v>
      </c>
      <c r="F76" s="64" t="s">
        <v>213</v>
      </c>
      <c r="G76" s="64" t="s">
        <v>174</v>
      </c>
      <c r="H76" s="64" t="s">
        <v>185</v>
      </c>
      <c r="I76" s="64" t="s">
        <v>176</v>
      </c>
      <c r="J76" s="64">
        <v>1283</v>
      </c>
      <c r="K76" s="64" t="s">
        <v>177</v>
      </c>
      <c r="L76" s="64">
        <v>79207</v>
      </c>
      <c r="M76" s="64" t="s">
        <v>178</v>
      </c>
      <c r="N76" s="64">
        <v>481</v>
      </c>
      <c r="O76" s="64" t="s">
        <v>179</v>
      </c>
      <c r="P76" s="64" t="s">
        <v>187</v>
      </c>
      <c r="Q76" s="64" t="s">
        <v>181</v>
      </c>
      <c r="R76" s="64" t="s">
        <v>188</v>
      </c>
      <c r="U76" s="65">
        <f t="shared" si="0"/>
        <v>481</v>
      </c>
      <c r="W76" s="65">
        <f t="shared" si="1"/>
        <v>2.6821450763738319</v>
      </c>
      <c r="Y76" s="63"/>
      <c r="AS76" s="65" t="str">
        <f t="shared" si="2"/>
        <v>Exclude</v>
      </c>
      <c r="AU76" s="65" t="str">
        <f t="shared" si="3"/>
        <v>Exclude</v>
      </c>
    </row>
    <row r="77" spans="1:47" s="64" customFormat="1" x14ac:dyDescent="0.25">
      <c r="A77" s="63" t="s">
        <v>170</v>
      </c>
      <c r="B77" s="64">
        <v>4</v>
      </c>
      <c r="C77" s="64" t="s">
        <v>171</v>
      </c>
      <c r="D77" s="64">
        <v>8</v>
      </c>
      <c r="E77" s="64" t="s">
        <v>172</v>
      </c>
      <c r="F77" s="64" t="s">
        <v>214</v>
      </c>
      <c r="G77" s="64" t="s">
        <v>174</v>
      </c>
      <c r="H77" s="64" t="s">
        <v>198</v>
      </c>
      <c r="I77" s="64" t="s">
        <v>176</v>
      </c>
      <c r="J77" s="64">
        <v>757</v>
      </c>
      <c r="K77" s="64" t="s">
        <v>177</v>
      </c>
      <c r="L77" s="64">
        <v>81073</v>
      </c>
      <c r="M77" s="64" t="s">
        <v>178</v>
      </c>
      <c r="N77" s="64">
        <v>606</v>
      </c>
      <c r="O77" s="64" t="s">
        <v>179</v>
      </c>
      <c r="P77" s="64" t="s">
        <v>187</v>
      </c>
      <c r="Q77" s="64" t="s">
        <v>181</v>
      </c>
      <c r="R77" s="64" t="s">
        <v>188</v>
      </c>
      <c r="U77" s="65">
        <f t="shared" si="0"/>
        <v>606</v>
      </c>
      <c r="W77" s="65">
        <f t="shared" si="1"/>
        <v>2.782472624166286</v>
      </c>
      <c r="Y77" s="63"/>
      <c r="AS77" s="65" t="str">
        <f t="shared" si="2"/>
        <v>Exclude</v>
      </c>
      <c r="AU77" s="65" t="str">
        <f t="shared" si="3"/>
        <v>Exclude</v>
      </c>
    </row>
    <row r="78" spans="1:47" s="64" customFormat="1" x14ac:dyDescent="0.25">
      <c r="A78" s="63" t="s">
        <v>170</v>
      </c>
      <c r="B78" s="64">
        <v>4</v>
      </c>
      <c r="C78" s="64" t="s">
        <v>171</v>
      </c>
      <c r="D78" s="64">
        <v>9</v>
      </c>
      <c r="E78" s="64" t="s">
        <v>172</v>
      </c>
      <c r="F78" s="64" t="s">
        <v>215</v>
      </c>
      <c r="G78" s="64" t="s">
        <v>174</v>
      </c>
      <c r="H78" s="64" t="s">
        <v>185</v>
      </c>
      <c r="I78" s="64" t="s">
        <v>176</v>
      </c>
      <c r="J78" s="64">
        <v>-1</v>
      </c>
      <c r="K78" s="64" t="s">
        <v>177</v>
      </c>
      <c r="L78" s="64">
        <v>82385</v>
      </c>
      <c r="M78" s="64" t="s">
        <v>178</v>
      </c>
      <c r="N78" s="64">
        <v>813</v>
      </c>
      <c r="O78" s="64" t="s">
        <v>179</v>
      </c>
      <c r="P78" s="64" t="s">
        <v>187</v>
      </c>
      <c r="Q78" s="64" t="s">
        <v>181</v>
      </c>
      <c r="R78" s="64" t="s">
        <v>182</v>
      </c>
      <c r="U78" s="65" t="str">
        <f t="shared" si="0"/>
        <v>Exclude</v>
      </c>
      <c r="W78" s="65" t="str">
        <f t="shared" si="1"/>
        <v>Exclude</v>
      </c>
      <c r="Y78" s="63"/>
      <c r="AS78" s="65" t="str">
        <f t="shared" si="2"/>
        <v>Exclude</v>
      </c>
      <c r="AU78" s="65" t="str">
        <f t="shared" si="3"/>
        <v>Exclude</v>
      </c>
    </row>
    <row r="79" spans="1:47" s="64" customFormat="1" x14ac:dyDescent="0.25">
      <c r="A79" s="63" t="s">
        <v>170</v>
      </c>
      <c r="B79" s="64">
        <v>4</v>
      </c>
      <c r="C79" s="64" t="s">
        <v>171</v>
      </c>
      <c r="D79" s="64">
        <v>9</v>
      </c>
      <c r="E79" s="64" t="s">
        <v>172</v>
      </c>
      <c r="F79" s="64" t="s">
        <v>215</v>
      </c>
      <c r="G79" s="64" t="s">
        <v>174</v>
      </c>
      <c r="H79" s="64" t="s">
        <v>185</v>
      </c>
      <c r="I79" s="64" t="s">
        <v>176</v>
      </c>
      <c r="J79" s="64">
        <v>1253</v>
      </c>
      <c r="K79" s="64" t="s">
        <v>177</v>
      </c>
      <c r="L79" s="64">
        <v>83288</v>
      </c>
      <c r="M79" s="64" t="s">
        <v>178</v>
      </c>
      <c r="N79" s="64">
        <v>463</v>
      </c>
      <c r="O79" s="64" t="s">
        <v>179</v>
      </c>
      <c r="P79" s="64" t="s">
        <v>187</v>
      </c>
      <c r="Q79" s="64" t="s">
        <v>181</v>
      </c>
      <c r="R79" s="64" t="s">
        <v>188</v>
      </c>
      <c r="U79" s="65" t="str">
        <f t="shared" si="0"/>
        <v>Pant</v>
      </c>
      <c r="W79" s="65" t="str">
        <f t="shared" si="1"/>
        <v>Pant</v>
      </c>
      <c r="Y79" s="63"/>
      <c r="AS79" s="65" t="str">
        <f t="shared" si="2"/>
        <v>Exclude</v>
      </c>
      <c r="AU79" s="65" t="str">
        <f t="shared" si="3"/>
        <v>Exclude</v>
      </c>
    </row>
    <row r="80" spans="1:47" s="64" customFormat="1" x14ac:dyDescent="0.25">
      <c r="A80" s="63" t="s">
        <v>170</v>
      </c>
      <c r="B80" s="64">
        <v>4</v>
      </c>
      <c r="C80" s="64" t="s">
        <v>171</v>
      </c>
      <c r="D80" s="64">
        <v>10</v>
      </c>
      <c r="E80" s="64" t="s">
        <v>172</v>
      </c>
      <c r="F80" s="64" t="s">
        <v>193</v>
      </c>
      <c r="G80" s="64" t="s">
        <v>174</v>
      </c>
      <c r="H80" s="64" t="s">
        <v>175</v>
      </c>
      <c r="I80" s="64" t="s">
        <v>176</v>
      </c>
      <c r="J80" s="64">
        <v>-1</v>
      </c>
      <c r="K80" s="64" t="s">
        <v>177</v>
      </c>
      <c r="L80" s="64">
        <v>84218</v>
      </c>
      <c r="M80" s="64" t="s">
        <v>178</v>
      </c>
      <c r="N80" s="64">
        <v>440</v>
      </c>
      <c r="O80" s="64" t="s">
        <v>179</v>
      </c>
      <c r="P80" s="64" t="s">
        <v>187</v>
      </c>
      <c r="Q80" s="64" t="s">
        <v>181</v>
      </c>
      <c r="R80" s="64" t="s">
        <v>182</v>
      </c>
      <c r="U80" s="65" t="str">
        <f t="shared" si="0"/>
        <v>Exclude</v>
      </c>
      <c r="W80" s="65" t="str">
        <f t="shared" si="1"/>
        <v>Exclude</v>
      </c>
      <c r="Y80" s="63"/>
      <c r="AS80" s="65" t="str">
        <f t="shared" si="2"/>
        <v>Exclude</v>
      </c>
      <c r="AU80" s="65" t="str">
        <f t="shared" si="3"/>
        <v>Exclude</v>
      </c>
    </row>
    <row r="81" spans="1:47" s="64" customFormat="1" x14ac:dyDescent="0.25">
      <c r="A81" s="63" t="s">
        <v>170</v>
      </c>
      <c r="B81" s="64">
        <v>4</v>
      </c>
      <c r="C81" s="64" t="s">
        <v>171</v>
      </c>
      <c r="D81" s="64">
        <v>10</v>
      </c>
      <c r="E81" s="64" t="s">
        <v>172</v>
      </c>
      <c r="F81" s="64" t="s">
        <v>193</v>
      </c>
      <c r="G81" s="64" t="s">
        <v>174</v>
      </c>
      <c r="H81" s="64" t="s">
        <v>175</v>
      </c>
      <c r="I81" s="64" t="s">
        <v>176</v>
      </c>
      <c r="J81" s="64">
        <v>924</v>
      </c>
      <c r="K81" s="64" t="s">
        <v>177</v>
      </c>
      <c r="L81" s="64">
        <v>85193</v>
      </c>
      <c r="M81" s="64" t="s">
        <v>178</v>
      </c>
      <c r="N81" s="64">
        <v>491</v>
      </c>
      <c r="O81" s="64" t="s">
        <v>179</v>
      </c>
      <c r="P81" s="64" t="s">
        <v>187</v>
      </c>
      <c r="Q81" s="64" t="s">
        <v>181</v>
      </c>
      <c r="R81" s="64" t="s">
        <v>189</v>
      </c>
      <c r="U81" s="65" t="str">
        <f t="shared" si="0"/>
        <v>Exclude</v>
      </c>
      <c r="W81" s="65" t="str">
        <f t="shared" si="1"/>
        <v>Exclude</v>
      </c>
      <c r="Y81" s="63"/>
      <c r="AS81" s="65" t="str">
        <f t="shared" si="2"/>
        <v>Exclude</v>
      </c>
      <c r="AU81" s="65" t="str">
        <f t="shared" si="3"/>
        <v>Exclude</v>
      </c>
    </row>
    <row r="82" spans="1:47" s="64" customFormat="1" x14ac:dyDescent="0.25">
      <c r="A82" s="63" t="s">
        <v>170</v>
      </c>
      <c r="B82" s="64">
        <v>4</v>
      </c>
      <c r="C82" s="64" t="s">
        <v>171</v>
      </c>
      <c r="D82" s="64">
        <v>10</v>
      </c>
      <c r="E82" s="64" t="s">
        <v>172</v>
      </c>
      <c r="F82" s="64" t="s">
        <v>193</v>
      </c>
      <c r="G82" s="64" t="s">
        <v>174</v>
      </c>
      <c r="H82" s="64" t="s">
        <v>175</v>
      </c>
      <c r="I82" s="64" t="s">
        <v>176</v>
      </c>
      <c r="J82" s="64">
        <v>924</v>
      </c>
      <c r="K82" s="64" t="s">
        <v>177</v>
      </c>
      <c r="L82" s="64">
        <v>85735</v>
      </c>
      <c r="M82" s="64" t="s">
        <v>178</v>
      </c>
      <c r="N82" s="64">
        <v>1033</v>
      </c>
      <c r="O82" s="64" t="s">
        <v>179</v>
      </c>
      <c r="P82" s="64" t="s">
        <v>180</v>
      </c>
      <c r="Q82" s="64" t="s">
        <v>181</v>
      </c>
      <c r="R82" s="64" t="s">
        <v>92</v>
      </c>
      <c r="U82" s="65" t="str">
        <f t="shared" si="0"/>
        <v>SameTrial</v>
      </c>
      <c r="W82" s="65" t="str">
        <f t="shared" si="1"/>
        <v>SameTrial</v>
      </c>
      <c r="Y82" s="63"/>
      <c r="AS82" s="65" t="str">
        <f t="shared" si="2"/>
        <v>Exclude</v>
      </c>
      <c r="AU82" s="65" t="str">
        <f t="shared" si="3"/>
        <v>Exclude</v>
      </c>
    </row>
    <row r="83" spans="1:47" s="64" customFormat="1" x14ac:dyDescent="0.25">
      <c r="A83" s="63" t="s">
        <v>170</v>
      </c>
      <c r="B83" s="64">
        <v>5</v>
      </c>
      <c r="C83" s="64" t="s">
        <v>171</v>
      </c>
      <c r="D83" s="64">
        <v>1</v>
      </c>
      <c r="E83" s="64" t="s">
        <v>172</v>
      </c>
      <c r="F83" s="64" t="s">
        <v>195</v>
      </c>
      <c r="G83" s="64" t="s">
        <v>174</v>
      </c>
      <c r="H83" s="64" t="s">
        <v>175</v>
      </c>
      <c r="I83" s="64" t="s">
        <v>176</v>
      </c>
      <c r="J83" s="64">
        <v>-1</v>
      </c>
      <c r="K83" s="64" t="s">
        <v>177</v>
      </c>
      <c r="L83" s="64">
        <v>86854</v>
      </c>
      <c r="M83" s="64" t="s">
        <v>178</v>
      </c>
      <c r="N83" s="64">
        <v>629</v>
      </c>
      <c r="O83" s="64" t="s">
        <v>179</v>
      </c>
      <c r="P83" s="64" t="s">
        <v>187</v>
      </c>
      <c r="Q83" s="64" t="s">
        <v>181</v>
      </c>
      <c r="R83" s="64" t="s">
        <v>182</v>
      </c>
      <c r="U83" s="65" t="str">
        <f t="shared" si="0"/>
        <v>Exclude</v>
      </c>
      <c r="W83" s="65" t="str">
        <f t="shared" si="1"/>
        <v>Exclude</v>
      </c>
      <c r="Y83" s="63"/>
      <c r="AS83" s="65" t="str">
        <f t="shared" si="2"/>
        <v>Exclude</v>
      </c>
      <c r="AU83" s="65" t="str">
        <f t="shared" si="3"/>
        <v>Exclude</v>
      </c>
    </row>
    <row r="84" spans="1:47" s="64" customFormat="1" x14ac:dyDescent="0.25">
      <c r="A84" s="63" t="s">
        <v>170</v>
      </c>
      <c r="B84" s="64">
        <v>5</v>
      </c>
      <c r="C84" s="64" t="s">
        <v>171</v>
      </c>
      <c r="D84" s="64">
        <v>1</v>
      </c>
      <c r="E84" s="64" t="s">
        <v>172</v>
      </c>
      <c r="F84" s="64" t="s">
        <v>195</v>
      </c>
      <c r="G84" s="64" t="s">
        <v>174</v>
      </c>
      <c r="H84" s="64" t="s">
        <v>175</v>
      </c>
      <c r="I84" s="64" t="s">
        <v>176</v>
      </c>
      <c r="J84" s="64">
        <v>1317</v>
      </c>
      <c r="K84" s="64" t="s">
        <v>177</v>
      </c>
      <c r="L84" s="64">
        <v>88214</v>
      </c>
      <c r="M84" s="64" t="s">
        <v>178</v>
      </c>
      <c r="N84" s="64">
        <v>672</v>
      </c>
      <c r="O84" s="64" t="s">
        <v>179</v>
      </c>
      <c r="P84" s="64" t="s">
        <v>180</v>
      </c>
      <c r="Q84" s="64" t="s">
        <v>181</v>
      </c>
      <c r="R84" s="64" t="s">
        <v>92</v>
      </c>
      <c r="U84" s="65" t="str">
        <f t="shared" si="0"/>
        <v>Pant</v>
      </c>
      <c r="W84" s="65" t="str">
        <f t="shared" si="1"/>
        <v>Pant</v>
      </c>
      <c r="Y84" s="63"/>
      <c r="AS84" s="65" t="str">
        <f t="shared" si="2"/>
        <v>Exclude</v>
      </c>
      <c r="AU84" s="65" t="str">
        <f t="shared" si="3"/>
        <v>Exclude</v>
      </c>
    </row>
    <row r="85" spans="1:47" s="64" customFormat="1" x14ac:dyDescent="0.25">
      <c r="A85" s="63" t="s">
        <v>170</v>
      </c>
      <c r="B85" s="64">
        <v>5</v>
      </c>
      <c r="C85" s="64" t="s">
        <v>171</v>
      </c>
      <c r="D85" s="64">
        <v>2</v>
      </c>
      <c r="E85" s="64" t="s">
        <v>172</v>
      </c>
      <c r="F85" s="64" t="s">
        <v>216</v>
      </c>
      <c r="G85" s="64" t="s">
        <v>174</v>
      </c>
      <c r="H85" s="64" t="s">
        <v>198</v>
      </c>
      <c r="I85" s="64" t="s">
        <v>176</v>
      </c>
      <c r="J85" s="64">
        <v>537</v>
      </c>
      <c r="K85" s="64" t="s">
        <v>177</v>
      </c>
      <c r="L85" s="64">
        <v>89880</v>
      </c>
      <c r="M85" s="64" t="s">
        <v>178</v>
      </c>
      <c r="N85" s="64">
        <v>632</v>
      </c>
      <c r="O85" s="64" t="s">
        <v>179</v>
      </c>
      <c r="P85" s="64" t="s">
        <v>187</v>
      </c>
      <c r="Q85" s="64" t="s">
        <v>181</v>
      </c>
      <c r="R85" s="64" t="s">
        <v>188</v>
      </c>
      <c r="U85" s="65">
        <f t="shared" si="0"/>
        <v>632</v>
      </c>
      <c r="W85" s="65">
        <f t="shared" si="1"/>
        <v>2.8007170782823851</v>
      </c>
      <c r="Y85" s="63"/>
      <c r="AS85" s="65" t="str">
        <f t="shared" si="2"/>
        <v>Exclude</v>
      </c>
      <c r="AU85" s="65" t="str">
        <f t="shared" si="3"/>
        <v>Exclude</v>
      </c>
    </row>
    <row r="86" spans="1:47" s="64" customFormat="1" x14ac:dyDescent="0.25">
      <c r="A86" s="63" t="s">
        <v>170</v>
      </c>
      <c r="B86" s="64">
        <v>5</v>
      </c>
      <c r="C86" s="64" t="s">
        <v>171</v>
      </c>
      <c r="D86" s="64">
        <v>2</v>
      </c>
      <c r="E86" s="64" t="s">
        <v>172</v>
      </c>
      <c r="F86" s="64" t="s">
        <v>216</v>
      </c>
      <c r="G86" s="64" t="s">
        <v>174</v>
      </c>
      <c r="H86" s="64" t="s">
        <v>198</v>
      </c>
      <c r="I86" s="64" t="s">
        <v>176</v>
      </c>
      <c r="J86" s="64">
        <v>537</v>
      </c>
      <c r="K86" s="64" t="s">
        <v>177</v>
      </c>
      <c r="L86" s="64">
        <v>90366</v>
      </c>
      <c r="M86" s="64" t="s">
        <v>178</v>
      </c>
      <c r="N86" s="64">
        <v>486</v>
      </c>
      <c r="O86" s="64" t="s">
        <v>179</v>
      </c>
      <c r="P86" s="64" t="s">
        <v>180</v>
      </c>
      <c r="Q86" s="64" t="s">
        <v>181</v>
      </c>
      <c r="R86" s="64" t="s">
        <v>190</v>
      </c>
      <c r="U86" s="65" t="str">
        <f t="shared" si="0"/>
        <v>Exclude</v>
      </c>
      <c r="W86" s="65" t="str">
        <f t="shared" si="1"/>
        <v>Exclude</v>
      </c>
      <c r="Y86" s="63"/>
      <c r="AS86" s="65" t="str">
        <f t="shared" si="2"/>
        <v>Exclude</v>
      </c>
      <c r="AU86" s="65" t="str">
        <f t="shared" si="3"/>
        <v>Exclude</v>
      </c>
    </row>
    <row r="87" spans="1:47" s="64" customFormat="1" x14ac:dyDescent="0.25">
      <c r="A87" s="63" t="s">
        <v>170</v>
      </c>
      <c r="B87" s="64">
        <v>5</v>
      </c>
      <c r="C87" s="64" t="s">
        <v>171</v>
      </c>
      <c r="D87" s="64">
        <v>3</v>
      </c>
      <c r="E87" s="64" t="s">
        <v>172</v>
      </c>
      <c r="F87" s="64" t="s">
        <v>217</v>
      </c>
      <c r="G87" s="64" t="s">
        <v>174</v>
      </c>
      <c r="H87" s="64" t="s">
        <v>198</v>
      </c>
      <c r="I87" s="64" t="s">
        <v>176</v>
      </c>
      <c r="J87" s="64">
        <v>720</v>
      </c>
      <c r="K87" s="64" t="s">
        <v>177</v>
      </c>
      <c r="L87" s="64">
        <v>91501</v>
      </c>
      <c r="M87" s="64" t="s">
        <v>178</v>
      </c>
      <c r="N87" s="64">
        <v>409</v>
      </c>
      <c r="O87" s="64" t="s">
        <v>179</v>
      </c>
      <c r="P87" s="64" t="s">
        <v>187</v>
      </c>
      <c r="Q87" s="64" t="s">
        <v>181</v>
      </c>
      <c r="R87" s="64" t="s">
        <v>188</v>
      </c>
      <c r="U87" s="65">
        <f t="shared" ref="U87:U150" si="4">IF(OR(R87="TruePositive",R87="TrueNegative"),IF(R86&lt;&gt;"Anticipatory",IF(OR(R86="FalseNegative",R86="FalsePositive"),"SameTrial",(N87)),"Pant"),IF(OR(R87="FalsePositive",R87="FalseNegative"),IF(R86&lt;&gt;"Anticipatory",IF(OR(R86="FalsePositive",R86="FalseNegative"),"SameTrial","Exclude"),"Exclude"),"Exclude"))</f>
        <v>409</v>
      </c>
      <c r="W87" s="65">
        <f t="shared" ref="W87:W150" si="5">IF(OR(R87="TruePositive",R87="TrueNegative"),IF(R86&lt;&gt;"Anticipatory",IF(OR(R86="FalseNegative",R86="FalsePositive"),"SameTrial",LOG10(N87)),"Pant"),IF(OR(R87="FalsePositive",R87="FalseNegative"),IF(R86&lt;&gt;"Anticipatory",IF(OR(R86="FalsePositive",R86="FalseNegative"),"SameTrial","Exclude"),"Exclude"),"Exclude"))</f>
        <v>2.6117233080073419</v>
      </c>
      <c r="Y87" s="63"/>
      <c r="AS87" s="65" t="str">
        <f t="shared" ref="AS87:AS150" si="6">IF(OR(AP87="TruePositive",AP87="TrueNegative"),IF(AP86&lt;&gt;"Anticipatory",IF(OR(AP86="FalseNegative",AP86="FalsePositive"),"SameTrial",(AL87)),"Pant"),IF(OR(AP87="FalsePositive",AP87="FalseNegative"),IF(AP86&lt;&gt;"Anticipatory",IF(OR(AP86="FalsePositive",AP86="FalseNegative"),"SameTrial","Exclude"),"Exclude"),"Exclude"))</f>
        <v>Exclude</v>
      </c>
      <c r="AU87" s="65" t="str">
        <f t="shared" ref="AU87:AU150" si="7">IF(OR(AP87="TruePositive",AP87="TrueNegative"),IF(AP86&lt;&gt;"Anticipatory",IF(OR(AP86="FalseNegative",AP86="FalsePositive"),"SameTrial",LOG10(AL87)),"Pant"),IF(OR(AP87="FalsePositive",AP87="FalseNegative"),IF(AP86&lt;&gt;"Anticipatory",IF(OR(AP86="FalsePositive",AP86="FalseNegative"),"SameTrial","Exclude"),"Exclude"),"Exclude"))</f>
        <v>Exclude</v>
      </c>
    </row>
    <row r="88" spans="1:47" s="64" customFormat="1" x14ac:dyDescent="0.25">
      <c r="A88" s="63" t="s">
        <v>170</v>
      </c>
      <c r="B88" s="64">
        <v>5</v>
      </c>
      <c r="C88" s="64" t="s">
        <v>171</v>
      </c>
      <c r="D88" s="64">
        <v>4</v>
      </c>
      <c r="E88" s="64" t="s">
        <v>172</v>
      </c>
      <c r="F88" s="64" t="s">
        <v>218</v>
      </c>
      <c r="G88" s="64" t="s">
        <v>174</v>
      </c>
      <c r="H88" s="64" t="s">
        <v>198</v>
      </c>
      <c r="I88" s="64" t="s">
        <v>176</v>
      </c>
      <c r="J88" s="64">
        <v>1029</v>
      </c>
      <c r="K88" s="64" t="s">
        <v>177</v>
      </c>
      <c r="L88" s="64">
        <v>93667</v>
      </c>
      <c r="M88" s="64" t="s">
        <v>178</v>
      </c>
      <c r="N88" s="64">
        <v>644</v>
      </c>
      <c r="O88" s="64" t="s">
        <v>179</v>
      </c>
      <c r="P88" s="64" t="s">
        <v>187</v>
      </c>
      <c r="Q88" s="64" t="s">
        <v>181</v>
      </c>
      <c r="R88" s="64" t="s">
        <v>188</v>
      </c>
      <c r="U88" s="65">
        <f t="shared" si="4"/>
        <v>644</v>
      </c>
      <c r="W88" s="65">
        <f t="shared" si="5"/>
        <v>2.808885867359812</v>
      </c>
      <c r="Y88" s="63"/>
      <c r="AS88" s="65" t="str">
        <f t="shared" si="6"/>
        <v>Exclude</v>
      </c>
      <c r="AU88" s="65" t="str">
        <f t="shared" si="7"/>
        <v>Exclude</v>
      </c>
    </row>
    <row r="89" spans="1:47" s="64" customFormat="1" x14ac:dyDescent="0.25">
      <c r="A89" s="63" t="s">
        <v>170</v>
      </c>
      <c r="B89" s="64">
        <v>5</v>
      </c>
      <c r="C89" s="64" t="s">
        <v>171</v>
      </c>
      <c r="D89" s="64">
        <v>4</v>
      </c>
      <c r="E89" s="64" t="s">
        <v>172</v>
      </c>
      <c r="F89" s="64" t="s">
        <v>218</v>
      </c>
      <c r="G89" s="64" t="s">
        <v>174</v>
      </c>
      <c r="H89" s="64" t="s">
        <v>198</v>
      </c>
      <c r="I89" s="64" t="s">
        <v>176</v>
      </c>
      <c r="J89" s="64">
        <v>1029</v>
      </c>
      <c r="K89" s="64" t="s">
        <v>177</v>
      </c>
      <c r="L89" s="64">
        <v>94004</v>
      </c>
      <c r="M89" s="64" t="s">
        <v>178</v>
      </c>
      <c r="N89" s="64">
        <v>337</v>
      </c>
      <c r="O89" s="64" t="s">
        <v>179</v>
      </c>
      <c r="P89" s="64" t="s">
        <v>180</v>
      </c>
      <c r="Q89" s="64" t="s">
        <v>181</v>
      </c>
      <c r="R89" s="64" t="s">
        <v>190</v>
      </c>
      <c r="U89" s="65" t="str">
        <f t="shared" si="4"/>
        <v>Exclude</v>
      </c>
      <c r="W89" s="65" t="str">
        <f t="shared" si="5"/>
        <v>Exclude</v>
      </c>
      <c r="Y89" s="63"/>
      <c r="AS89" s="65" t="str">
        <f t="shared" si="6"/>
        <v>Exclude</v>
      </c>
      <c r="AU89" s="65" t="str">
        <f t="shared" si="7"/>
        <v>Exclude</v>
      </c>
    </row>
    <row r="90" spans="1:47" s="64" customFormat="1" x14ac:dyDescent="0.25">
      <c r="A90" s="63" t="s">
        <v>170</v>
      </c>
      <c r="B90" s="64">
        <v>5</v>
      </c>
      <c r="C90" s="64" t="s">
        <v>171</v>
      </c>
      <c r="D90" s="64">
        <v>5</v>
      </c>
      <c r="E90" s="64" t="s">
        <v>172</v>
      </c>
      <c r="F90" s="64" t="s">
        <v>219</v>
      </c>
      <c r="G90" s="64" t="s">
        <v>174</v>
      </c>
      <c r="H90" s="64" t="s">
        <v>198</v>
      </c>
      <c r="I90" s="64" t="s">
        <v>176</v>
      </c>
      <c r="J90" s="64">
        <v>1223</v>
      </c>
      <c r="K90" s="64" t="s">
        <v>177</v>
      </c>
      <c r="L90" s="64">
        <v>95694</v>
      </c>
      <c r="M90" s="64" t="s">
        <v>178</v>
      </c>
      <c r="N90" s="64">
        <v>312</v>
      </c>
      <c r="O90" s="64" t="s">
        <v>179</v>
      </c>
      <c r="P90" s="64" t="s">
        <v>187</v>
      </c>
      <c r="Q90" s="64" t="s">
        <v>181</v>
      </c>
      <c r="R90" s="64" t="s">
        <v>188</v>
      </c>
      <c r="U90" s="65">
        <f t="shared" si="4"/>
        <v>312</v>
      </c>
      <c r="W90" s="65">
        <f t="shared" si="5"/>
        <v>2.4941545940184429</v>
      </c>
      <c r="Y90" s="63"/>
      <c r="AS90" s="65" t="str">
        <f t="shared" si="6"/>
        <v>Exclude</v>
      </c>
      <c r="AU90" s="65" t="str">
        <f t="shared" si="7"/>
        <v>Exclude</v>
      </c>
    </row>
    <row r="91" spans="1:47" s="64" customFormat="1" x14ac:dyDescent="0.25">
      <c r="A91" s="63" t="s">
        <v>170</v>
      </c>
      <c r="B91" s="64">
        <v>5</v>
      </c>
      <c r="C91" s="64" t="s">
        <v>171</v>
      </c>
      <c r="D91" s="64">
        <v>6</v>
      </c>
      <c r="E91" s="64" t="s">
        <v>172</v>
      </c>
      <c r="F91" s="64" t="s">
        <v>220</v>
      </c>
      <c r="G91" s="64" t="s">
        <v>174</v>
      </c>
      <c r="H91" s="64" t="s">
        <v>198</v>
      </c>
      <c r="I91" s="64" t="s">
        <v>176</v>
      </c>
      <c r="J91" s="64">
        <v>817</v>
      </c>
      <c r="K91" s="64" t="s">
        <v>177</v>
      </c>
      <c r="L91" s="64">
        <v>97614</v>
      </c>
      <c r="M91" s="64" t="s">
        <v>178</v>
      </c>
      <c r="N91" s="64">
        <v>607</v>
      </c>
      <c r="O91" s="64" t="s">
        <v>179</v>
      </c>
      <c r="P91" s="64" t="s">
        <v>187</v>
      </c>
      <c r="Q91" s="64" t="s">
        <v>181</v>
      </c>
      <c r="R91" s="64" t="s">
        <v>188</v>
      </c>
      <c r="U91" s="65">
        <f t="shared" si="4"/>
        <v>607</v>
      </c>
      <c r="W91" s="65">
        <f t="shared" si="5"/>
        <v>2.7831886910752575</v>
      </c>
      <c r="Y91" s="63"/>
      <c r="AS91" s="65" t="str">
        <f t="shared" si="6"/>
        <v>Exclude</v>
      </c>
      <c r="AU91" s="65" t="str">
        <f t="shared" si="7"/>
        <v>Exclude</v>
      </c>
    </row>
    <row r="92" spans="1:47" s="64" customFormat="1" x14ac:dyDescent="0.25">
      <c r="A92" s="63" t="s">
        <v>170</v>
      </c>
      <c r="B92" s="64">
        <v>5</v>
      </c>
      <c r="C92" s="64" t="s">
        <v>171</v>
      </c>
      <c r="D92" s="64">
        <v>7</v>
      </c>
      <c r="E92" s="64" t="s">
        <v>172</v>
      </c>
      <c r="F92" s="64" t="s">
        <v>191</v>
      </c>
      <c r="G92" s="64" t="s">
        <v>174</v>
      </c>
      <c r="H92" s="64" t="s">
        <v>175</v>
      </c>
      <c r="I92" s="64" t="s">
        <v>176</v>
      </c>
      <c r="J92" s="64">
        <v>1243</v>
      </c>
      <c r="K92" s="64" t="s">
        <v>177</v>
      </c>
      <c r="L92" s="64">
        <v>99938</v>
      </c>
      <c r="M92" s="64" t="s">
        <v>178</v>
      </c>
      <c r="N92" s="64">
        <v>574</v>
      </c>
      <c r="O92" s="64" t="s">
        <v>179</v>
      </c>
      <c r="P92" s="64" t="s">
        <v>180</v>
      </c>
      <c r="Q92" s="64" t="s">
        <v>181</v>
      </c>
      <c r="R92" s="64" t="s">
        <v>92</v>
      </c>
      <c r="U92" s="65">
        <f t="shared" si="4"/>
        <v>574</v>
      </c>
      <c r="W92" s="65">
        <f t="shared" si="5"/>
        <v>2.7589118923979736</v>
      </c>
      <c r="Y92" s="63"/>
      <c r="AS92" s="65" t="str">
        <f t="shared" si="6"/>
        <v>Exclude</v>
      </c>
      <c r="AU92" s="65" t="str">
        <f t="shared" si="7"/>
        <v>Exclude</v>
      </c>
    </row>
    <row r="93" spans="1:47" s="64" customFormat="1" x14ac:dyDescent="0.25">
      <c r="A93" s="63" t="s">
        <v>170</v>
      </c>
      <c r="B93" s="64">
        <v>5</v>
      </c>
      <c r="C93" s="64" t="s">
        <v>171</v>
      </c>
      <c r="D93" s="64">
        <v>8</v>
      </c>
      <c r="E93" s="64" t="s">
        <v>172</v>
      </c>
      <c r="F93" s="64" t="s">
        <v>192</v>
      </c>
      <c r="G93" s="64" t="s">
        <v>174</v>
      </c>
      <c r="H93" s="64" t="s">
        <v>175</v>
      </c>
      <c r="I93" s="64" t="s">
        <v>176</v>
      </c>
      <c r="J93" s="64">
        <v>-1</v>
      </c>
      <c r="K93" s="64" t="s">
        <v>177</v>
      </c>
      <c r="L93" s="64">
        <v>101052</v>
      </c>
      <c r="M93" s="64" t="s">
        <v>178</v>
      </c>
      <c r="N93" s="64">
        <v>616</v>
      </c>
      <c r="O93" s="64" t="s">
        <v>179</v>
      </c>
      <c r="P93" s="64" t="s">
        <v>187</v>
      </c>
      <c r="Q93" s="64" t="s">
        <v>181</v>
      </c>
      <c r="R93" s="64" t="s">
        <v>182</v>
      </c>
      <c r="U93" s="65" t="str">
        <f t="shared" si="4"/>
        <v>Exclude</v>
      </c>
      <c r="W93" s="65" t="str">
        <f t="shared" si="5"/>
        <v>Exclude</v>
      </c>
      <c r="Y93" s="63"/>
      <c r="AS93" s="65" t="str">
        <f t="shared" si="6"/>
        <v>Exclude</v>
      </c>
      <c r="AU93" s="65" t="str">
        <f t="shared" si="7"/>
        <v>Exclude</v>
      </c>
    </row>
    <row r="94" spans="1:47" s="64" customFormat="1" x14ac:dyDescent="0.25">
      <c r="A94" s="63" t="s">
        <v>170</v>
      </c>
      <c r="B94" s="64">
        <v>5</v>
      </c>
      <c r="C94" s="64" t="s">
        <v>171</v>
      </c>
      <c r="D94" s="64">
        <v>8</v>
      </c>
      <c r="E94" s="64" t="s">
        <v>172</v>
      </c>
      <c r="F94" s="64" t="s">
        <v>192</v>
      </c>
      <c r="G94" s="64" t="s">
        <v>174</v>
      </c>
      <c r="H94" s="64" t="s">
        <v>175</v>
      </c>
      <c r="I94" s="64" t="s">
        <v>176</v>
      </c>
      <c r="J94" s="64">
        <v>1085</v>
      </c>
      <c r="K94" s="64" t="s">
        <v>177</v>
      </c>
      <c r="L94" s="64">
        <v>101963</v>
      </c>
      <c r="M94" s="64" t="s">
        <v>178</v>
      </c>
      <c r="N94" s="64">
        <v>442</v>
      </c>
      <c r="O94" s="64" t="s">
        <v>179</v>
      </c>
      <c r="P94" s="64" t="s">
        <v>187</v>
      </c>
      <c r="Q94" s="64" t="s">
        <v>181</v>
      </c>
      <c r="R94" s="64" t="s">
        <v>189</v>
      </c>
      <c r="U94" s="65" t="str">
        <f t="shared" si="4"/>
        <v>Exclude</v>
      </c>
      <c r="W94" s="65" t="str">
        <f t="shared" si="5"/>
        <v>Exclude</v>
      </c>
      <c r="Y94" s="63"/>
      <c r="AS94" s="65" t="str">
        <f t="shared" si="6"/>
        <v>Exclude</v>
      </c>
      <c r="AU94" s="65" t="str">
        <f t="shared" si="7"/>
        <v>Exclude</v>
      </c>
    </row>
    <row r="95" spans="1:47" s="64" customFormat="1" x14ac:dyDescent="0.25">
      <c r="A95" s="63" t="s">
        <v>170</v>
      </c>
      <c r="B95" s="64">
        <v>5</v>
      </c>
      <c r="C95" s="64" t="s">
        <v>171</v>
      </c>
      <c r="D95" s="64">
        <v>8</v>
      </c>
      <c r="E95" s="64" t="s">
        <v>172</v>
      </c>
      <c r="F95" s="64" t="s">
        <v>192</v>
      </c>
      <c r="G95" s="64" t="s">
        <v>174</v>
      </c>
      <c r="H95" s="64" t="s">
        <v>175</v>
      </c>
      <c r="I95" s="64" t="s">
        <v>176</v>
      </c>
      <c r="J95" s="64">
        <v>1085</v>
      </c>
      <c r="K95" s="64" t="s">
        <v>177</v>
      </c>
      <c r="L95" s="64">
        <v>102220</v>
      </c>
      <c r="M95" s="64" t="s">
        <v>178</v>
      </c>
      <c r="N95" s="64">
        <v>699</v>
      </c>
      <c r="O95" s="64" t="s">
        <v>179</v>
      </c>
      <c r="P95" s="64" t="s">
        <v>180</v>
      </c>
      <c r="Q95" s="64" t="s">
        <v>181</v>
      </c>
      <c r="R95" s="64" t="s">
        <v>92</v>
      </c>
      <c r="U95" s="65" t="str">
        <f t="shared" si="4"/>
        <v>SameTrial</v>
      </c>
      <c r="W95" s="65" t="str">
        <f t="shared" si="5"/>
        <v>SameTrial</v>
      </c>
      <c r="Y95" s="63"/>
      <c r="AS95" s="65" t="str">
        <f t="shared" si="6"/>
        <v>Exclude</v>
      </c>
      <c r="AU95" s="65" t="str">
        <f t="shared" si="7"/>
        <v>Exclude</v>
      </c>
    </row>
    <row r="96" spans="1:47" s="64" customFormat="1" x14ac:dyDescent="0.25">
      <c r="A96" s="63" t="s">
        <v>170</v>
      </c>
      <c r="B96" s="64">
        <v>5</v>
      </c>
      <c r="C96" s="64" t="s">
        <v>171</v>
      </c>
      <c r="D96" s="64">
        <v>9</v>
      </c>
      <c r="E96" s="64" t="s">
        <v>172</v>
      </c>
      <c r="F96" s="64" t="s">
        <v>193</v>
      </c>
      <c r="G96" s="64" t="s">
        <v>174</v>
      </c>
      <c r="H96" s="64" t="s">
        <v>175</v>
      </c>
      <c r="I96" s="64" t="s">
        <v>176</v>
      </c>
      <c r="J96" s="64">
        <v>-1</v>
      </c>
      <c r="K96" s="64" t="s">
        <v>177</v>
      </c>
      <c r="L96" s="64">
        <v>103492</v>
      </c>
      <c r="M96" s="64" t="s">
        <v>178</v>
      </c>
      <c r="N96" s="64">
        <v>783</v>
      </c>
      <c r="O96" s="64" t="s">
        <v>179</v>
      </c>
      <c r="P96" s="64" t="s">
        <v>187</v>
      </c>
      <c r="Q96" s="64" t="s">
        <v>181</v>
      </c>
      <c r="R96" s="64" t="s">
        <v>182</v>
      </c>
      <c r="U96" s="65" t="str">
        <f t="shared" si="4"/>
        <v>Exclude</v>
      </c>
      <c r="W96" s="65" t="str">
        <f t="shared" si="5"/>
        <v>Exclude</v>
      </c>
      <c r="Y96" s="63"/>
      <c r="AS96" s="65" t="str">
        <f t="shared" si="6"/>
        <v>Exclude</v>
      </c>
      <c r="AU96" s="65" t="str">
        <f t="shared" si="7"/>
        <v>Exclude</v>
      </c>
    </row>
    <row r="97" spans="1:47" s="64" customFormat="1" x14ac:dyDescent="0.25">
      <c r="A97" s="63" t="s">
        <v>170</v>
      </c>
      <c r="B97" s="64">
        <v>5</v>
      </c>
      <c r="C97" s="64" t="s">
        <v>171</v>
      </c>
      <c r="D97" s="64">
        <v>9</v>
      </c>
      <c r="E97" s="64" t="s">
        <v>172</v>
      </c>
      <c r="F97" s="64" t="s">
        <v>193</v>
      </c>
      <c r="G97" s="64" t="s">
        <v>174</v>
      </c>
      <c r="H97" s="64" t="s">
        <v>175</v>
      </c>
      <c r="I97" s="64" t="s">
        <v>176</v>
      </c>
      <c r="J97" s="64">
        <v>917</v>
      </c>
      <c r="K97" s="64" t="s">
        <v>177</v>
      </c>
      <c r="L97" s="64">
        <v>104766</v>
      </c>
      <c r="M97" s="64" t="s">
        <v>178</v>
      </c>
      <c r="N97" s="64">
        <v>1140</v>
      </c>
      <c r="O97" s="64" t="s">
        <v>179</v>
      </c>
      <c r="P97" s="64" t="s">
        <v>180</v>
      </c>
      <c r="Q97" s="64" t="s">
        <v>181</v>
      </c>
      <c r="R97" s="64" t="s">
        <v>92</v>
      </c>
      <c r="U97" s="65" t="str">
        <f t="shared" si="4"/>
        <v>Pant</v>
      </c>
      <c r="W97" s="65" t="str">
        <f t="shared" si="5"/>
        <v>Pant</v>
      </c>
      <c r="Y97" s="63"/>
      <c r="AS97" s="65" t="str">
        <f t="shared" si="6"/>
        <v>Exclude</v>
      </c>
      <c r="AU97" s="65" t="str">
        <f t="shared" si="7"/>
        <v>Exclude</v>
      </c>
    </row>
    <row r="98" spans="1:47" s="64" customFormat="1" x14ac:dyDescent="0.25">
      <c r="A98" s="63" t="s">
        <v>170</v>
      </c>
      <c r="B98" s="64">
        <v>5</v>
      </c>
      <c r="C98" s="64" t="s">
        <v>171</v>
      </c>
      <c r="D98" s="64">
        <v>10</v>
      </c>
      <c r="E98" s="64" t="s">
        <v>172</v>
      </c>
      <c r="F98" s="64" t="s">
        <v>221</v>
      </c>
      <c r="G98" s="64" t="s">
        <v>174</v>
      </c>
      <c r="H98" s="64" t="s">
        <v>198</v>
      </c>
      <c r="I98" s="64" t="s">
        <v>176</v>
      </c>
      <c r="J98" s="64">
        <v>718</v>
      </c>
      <c r="K98" s="64" t="s">
        <v>177</v>
      </c>
      <c r="L98" s="64">
        <v>106382</v>
      </c>
      <c r="M98" s="64" t="s">
        <v>178</v>
      </c>
      <c r="N98" s="64">
        <v>410</v>
      </c>
      <c r="O98" s="64" t="s">
        <v>179</v>
      </c>
      <c r="P98" s="64" t="s">
        <v>187</v>
      </c>
      <c r="Q98" s="64" t="s">
        <v>181</v>
      </c>
      <c r="R98" s="64" t="s">
        <v>188</v>
      </c>
      <c r="U98" s="65">
        <f t="shared" si="4"/>
        <v>410</v>
      </c>
      <c r="W98" s="65">
        <f t="shared" si="5"/>
        <v>2.6127838567197355</v>
      </c>
      <c r="Y98" s="63"/>
      <c r="AS98" s="65" t="str">
        <f t="shared" si="6"/>
        <v>Exclude</v>
      </c>
      <c r="AU98" s="65" t="str">
        <f t="shared" si="7"/>
        <v>Exclude</v>
      </c>
    </row>
    <row r="99" spans="1:47" s="64" customFormat="1" x14ac:dyDescent="0.25">
      <c r="A99" s="63" t="s">
        <v>170</v>
      </c>
      <c r="B99" s="64">
        <v>6</v>
      </c>
      <c r="C99" s="64" t="s">
        <v>171</v>
      </c>
      <c r="D99" s="64">
        <v>1</v>
      </c>
      <c r="E99" s="64" t="s">
        <v>172</v>
      </c>
      <c r="F99" s="64" t="s">
        <v>192</v>
      </c>
      <c r="G99" s="64" t="s">
        <v>174</v>
      </c>
      <c r="H99" s="64" t="s">
        <v>175</v>
      </c>
      <c r="I99" s="64" t="s">
        <v>176</v>
      </c>
      <c r="J99" s="64">
        <v>-1</v>
      </c>
      <c r="K99" s="64" t="s">
        <v>177</v>
      </c>
      <c r="L99" s="64">
        <v>107395</v>
      </c>
      <c r="M99" s="64" t="s">
        <v>178</v>
      </c>
      <c r="N99" s="64">
        <v>507</v>
      </c>
      <c r="O99" s="64" t="s">
        <v>179</v>
      </c>
      <c r="P99" s="64" t="s">
        <v>187</v>
      </c>
      <c r="Q99" s="64" t="s">
        <v>181</v>
      </c>
      <c r="R99" s="64" t="s">
        <v>182</v>
      </c>
      <c r="U99" s="65" t="str">
        <f t="shared" si="4"/>
        <v>Exclude</v>
      </c>
      <c r="W99" s="65" t="str">
        <f t="shared" si="5"/>
        <v>Exclude</v>
      </c>
      <c r="Y99" s="63"/>
      <c r="AS99" s="65" t="str">
        <f t="shared" si="6"/>
        <v>Exclude</v>
      </c>
      <c r="AU99" s="65" t="str">
        <f t="shared" si="7"/>
        <v>Exclude</v>
      </c>
    </row>
    <row r="100" spans="1:47" s="64" customFormat="1" x14ac:dyDescent="0.25">
      <c r="A100" s="63" t="s">
        <v>170</v>
      </c>
      <c r="B100" s="64">
        <v>6</v>
      </c>
      <c r="C100" s="64" t="s">
        <v>171</v>
      </c>
      <c r="D100" s="64">
        <v>1</v>
      </c>
      <c r="E100" s="64" t="s">
        <v>172</v>
      </c>
      <c r="F100" s="64" t="s">
        <v>192</v>
      </c>
      <c r="G100" s="64" t="s">
        <v>174</v>
      </c>
      <c r="H100" s="64" t="s">
        <v>175</v>
      </c>
      <c r="I100" s="64" t="s">
        <v>176</v>
      </c>
      <c r="J100" s="64">
        <v>769</v>
      </c>
      <c r="K100" s="64" t="s">
        <v>177</v>
      </c>
      <c r="L100" s="64">
        <v>108400</v>
      </c>
      <c r="M100" s="64" t="s">
        <v>178</v>
      </c>
      <c r="N100" s="64">
        <v>743</v>
      </c>
      <c r="O100" s="64" t="s">
        <v>179</v>
      </c>
      <c r="P100" s="64" t="s">
        <v>180</v>
      </c>
      <c r="Q100" s="64" t="s">
        <v>181</v>
      </c>
      <c r="R100" s="64" t="s">
        <v>92</v>
      </c>
      <c r="U100" s="65" t="str">
        <f t="shared" si="4"/>
        <v>Pant</v>
      </c>
      <c r="W100" s="65" t="str">
        <f t="shared" si="5"/>
        <v>Pant</v>
      </c>
      <c r="Y100" s="63"/>
      <c r="AS100" s="65" t="str">
        <f t="shared" si="6"/>
        <v>Exclude</v>
      </c>
      <c r="AU100" s="65" t="str">
        <f t="shared" si="7"/>
        <v>Exclude</v>
      </c>
    </row>
    <row r="101" spans="1:47" s="64" customFormat="1" x14ac:dyDescent="0.25">
      <c r="A101" s="63" t="s">
        <v>170</v>
      </c>
      <c r="B101" s="64">
        <v>6</v>
      </c>
      <c r="C101" s="64" t="s">
        <v>171</v>
      </c>
      <c r="D101" s="64">
        <v>2</v>
      </c>
      <c r="E101" s="64" t="s">
        <v>172</v>
      </c>
      <c r="F101" s="64" t="s">
        <v>191</v>
      </c>
      <c r="G101" s="64" t="s">
        <v>174</v>
      </c>
      <c r="H101" s="64" t="s">
        <v>175</v>
      </c>
      <c r="I101" s="64" t="s">
        <v>176</v>
      </c>
      <c r="J101" s="64">
        <v>1102</v>
      </c>
      <c r="K101" s="64" t="s">
        <v>177</v>
      </c>
      <c r="L101" s="64">
        <v>110374</v>
      </c>
      <c r="M101" s="64" t="s">
        <v>178</v>
      </c>
      <c r="N101" s="64">
        <v>366</v>
      </c>
      <c r="O101" s="64" t="s">
        <v>179</v>
      </c>
      <c r="P101" s="64" t="s">
        <v>187</v>
      </c>
      <c r="Q101" s="64" t="s">
        <v>181</v>
      </c>
      <c r="R101" s="64" t="s">
        <v>189</v>
      </c>
      <c r="U101" s="65" t="str">
        <f t="shared" si="4"/>
        <v>Exclude</v>
      </c>
      <c r="W101" s="65" t="str">
        <f t="shared" si="5"/>
        <v>Exclude</v>
      </c>
      <c r="Y101" s="63"/>
      <c r="AS101" s="65" t="str">
        <f t="shared" si="6"/>
        <v>Exclude</v>
      </c>
      <c r="AU101" s="65" t="str">
        <f t="shared" si="7"/>
        <v>Exclude</v>
      </c>
    </row>
    <row r="102" spans="1:47" s="64" customFormat="1" x14ac:dyDescent="0.25">
      <c r="A102" s="63" t="s">
        <v>170</v>
      </c>
      <c r="B102" s="64">
        <v>6</v>
      </c>
      <c r="C102" s="64" t="s">
        <v>171</v>
      </c>
      <c r="D102" s="64">
        <v>2</v>
      </c>
      <c r="E102" s="64" t="s">
        <v>172</v>
      </c>
      <c r="F102" s="64" t="s">
        <v>191</v>
      </c>
      <c r="G102" s="64" t="s">
        <v>174</v>
      </c>
      <c r="H102" s="64" t="s">
        <v>175</v>
      </c>
      <c r="I102" s="64" t="s">
        <v>176</v>
      </c>
      <c r="J102" s="64">
        <v>1102</v>
      </c>
      <c r="K102" s="64" t="s">
        <v>177</v>
      </c>
      <c r="L102" s="64">
        <v>110759</v>
      </c>
      <c r="M102" s="64" t="s">
        <v>178</v>
      </c>
      <c r="N102" s="64">
        <v>751</v>
      </c>
      <c r="O102" s="64" t="s">
        <v>179</v>
      </c>
      <c r="P102" s="64" t="s">
        <v>180</v>
      </c>
      <c r="Q102" s="64" t="s">
        <v>181</v>
      </c>
      <c r="R102" s="64" t="s">
        <v>92</v>
      </c>
      <c r="U102" s="65" t="str">
        <f t="shared" si="4"/>
        <v>SameTrial</v>
      </c>
      <c r="W102" s="65" t="str">
        <f t="shared" si="5"/>
        <v>SameTrial</v>
      </c>
      <c r="Y102" s="63"/>
      <c r="AS102" s="65" t="str">
        <f t="shared" si="6"/>
        <v>Exclude</v>
      </c>
      <c r="AU102" s="65" t="str">
        <f t="shared" si="7"/>
        <v>Exclude</v>
      </c>
    </row>
    <row r="103" spans="1:47" s="64" customFormat="1" x14ac:dyDescent="0.25">
      <c r="A103" s="63" t="s">
        <v>170</v>
      </c>
      <c r="B103" s="64">
        <v>6</v>
      </c>
      <c r="C103" s="64" t="s">
        <v>171</v>
      </c>
      <c r="D103" s="64">
        <v>3</v>
      </c>
      <c r="E103" s="64" t="s">
        <v>172</v>
      </c>
      <c r="F103" s="64" t="s">
        <v>222</v>
      </c>
      <c r="G103" s="64" t="s">
        <v>174</v>
      </c>
      <c r="H103" s="64" t="s">
        <v>185</v>
      </c>
      <c r="I103" s="64" t="s">
        <v>176</v>
      </c>
      <c r="J103" s="64">
        <v>1025</v>
      </c>
      <c r="K103" s="64" t="s">
        <v>177</v>
      </c>
      <c r="L103" s="64">
        <v>112831</v>
      </c>
      <c r="M103" s="64" t="s">
        <v>178</v>
      </c>
      <c r="N103" s="64">
        <v>532</v>
      </c>
      <c r="O103" s="64" t="s">
        <v>179</v>
      </c>
      <c r="P103" s="64" t="s">
        <v>187</v>
      </c>
      <c r="Q103" s="64" t="s">
        <v>181</v>
      </c>
      <c r="R103" s="64" t="s">
        <v>188</v>
      </c>
      <c r="U103" s="65">
        <f t="shared" si="4"/>
        <v>532</v>
      </c>
      <c r="W103" s="65">
        <f t="shared" si="5"/>
        <v>2.7259116322950483</v>
      </c>
      <c r="Y103" s="63"/>
      <c r="AS103" s="65" t="str">
        <f t="shared" si="6"/>
        <v>Exclude</v>
      </c>
      <c r="AU103" s="65" t="str">
        <f t="shared" si="7"/>
        <v>Exclude</v>
      </c>
    </row>
    <row r="104" spans="1:47" s="64" customFormat="1" x14ac:dyDescent="0.25">
      <c r="A104" s="63" t="s">
        <v>170</v>
      </c>
      <c r="B104" s="64">
        <v>6</v>
      </c>
      <c r="C104" s="64" t="s">
        <v>171</v>
      </c>
      <c r="D104" s="64">
        <v>4</v>
      </c>
      <c r="E104" s="64" t="s">
        <v>172</v>
      </c>
      <c r="F104" s="64" t="s">
        <v>223</v>
      </c>
      <c r="G104" s="64" t="s">
        <v>174</v>
      </c>
      <c r="H104" s="64" t="s">
        <v>185</v>
      </c>
      <c r="I104" s="64" t="s">
        <v>176</v>
      </c>
      <c r="J104" s="64">
        <v>616</v>
      </c>
      <c r="K104" s="64" t="s">
        <v>177</v>
      </c>
      <c r="L104" s="64">
        <v>114403</v>
      </c>
      <c r="M104" s="64" t="s">
        <v>178</v>
      </c>
      <c r="N104" s="64">
        <v>465</v>
      </c>
      <c r="O104" s="64" t="s">
        <v>179</v>
      </c>
      <c r="P104" s="64" t="s">
        <v>187</v>
      </c>
      <c r="Q104" s="64" t="s">
        <v>181</v>
      </c>
      <c r="R104" s="64" t="s">
        <v>188</v>
      </c>
      <c r="U104" s="65">
        <f t="shared" si="4"/>
        <v>465</v>
      </c>
      <c r="W104" s="65">
        <f t="shared" si="5"/>
        <v>2.667452952889954</v>
      </c>
      <c r="Y104" s="63"/>
      <c r="AS104" s="65" t="str">
        <f t="shared" si="6"/>
        <v>Exclude</v>
      </c>
      <c r="AU104" s="65" t="str">
        <f t="shared" si="7"/>
        <v>Exclude</v>
      </c>
    </row>
    <row r="105" spans="1:47" s="64" customFormat="1" x14ac:dyDescent="0.25">
      <c r="A105" s="63" t="s">
        <v>170</v>
      </c>
      <c r="B105" s="64">
        <v>6</v>
      </c>
      <c r="C105" s="64" t="s">
        <v>171</v>
      </c>
      <c r="D105" s="64">
        <v>5</v>
      </c>
      <c r="E105" s="64" t="s">
        <v>172</v>
      </c>
      <c r="F105" s="64" t="s">
        <v>224</v>
      </c>
      <c r="G105" s="64" t="s">
        <v>174</v>
      </c>
      <c r="H105" s="64" t="s">
        <v>185</v>
      </c>
      <c r="I105" s="64" t="s">
        <v>176</v>
      </c>
      <c r="J105" s="64">
        <v>1184</v>
      </c>
      <c r="K105" s="64" t="s">
        <v>177</v>
      </c>
      <c r="L105" s="64">
        <v>116520</v>
      </c>
      <c r="M105" s="64" t="s">
        <v>178</v>
      </c>
      <c r="N105" s="64">
        <v>447</v>
      </c>
      <c r="O105" s="64" t="s">
        <v>179</v>
      </c>
      <c r="P105" s="64" t="s">
        <v>187</v>
      </c>
      <c r="Q105" s="64" t="s">
        <v>181</v>
      </c>
      <c r="R105" s="64" t="s">
        <v>188</v>
      </c>
      <c r="U105" s="65">
        <f t="shared" si="4"/>
        <v>447</v>
      </c>
      <c r="W105" s="65">
        <f t="shared" si="5"/>
        <v>2.6503075231319366</v>
      </c>
      <c r="Y105" s="63"/>
      <c r="AS105" s="65" t="str">
        <f t="shared" si="6"/>
        <v>Exclude</v>
      </c>
      <c r="AU105" s="65" t="str">
        <f t="shared" si="7"/>
        <v>Exclude</v>
      </c>
    </row>
    <row r="106" spans="1:47" s="64" customFormat="1" x14ac:dyDescent="0.25">
      <c r="A106" s="63" t="s">
        <v>170</v>
      </c>
      <c r="B106" s="64">
        <v>6</v>
      </c>
      <c r="C106" s="64" t="s">
        <v>171</v>
      </c>
      <c r="D106" s="64">
        <v>6</v>
      </c>
      <c r="E106" s="64" t="s">
        <v>172</v>
      </c>
      <c r="F106" s="64" t="s">
        <v>195</v>
      </c>
      <c r="G106" s="64" t="s">
        <v>174</v>
      </c>
      <c r="H106" s="64" t="s">
        <v>175</v>
      </c>
      <c r="I106" s="64" t="s">
        <v>176</v>
      </c>
      <c r="J106" s="64">
        <v>1174</v>
      </c>
      <c r="K106" s="64" t="s">
        <v>177</v>
      </c>
      <c r="L106" s="64">
        <v>118600</v>
      </c>
      <c r="M106" s="64" t="s">
        <v>178</v>
      </c>
      <c r="N106" s="64">
        <v>420</v>
      </c>
      <c r="O106" s="64" t="s">
        <v>179</v>
      </c>
      <c r="P106" s="64" t="s">
        <v>187</v>
      </c>
      <c r="Q106" s="64" t="s">
        <v>181</v>
      </c>
      <c r="R106" s="64" t="s">
        <v>189</v>
      </c>
      <c r="U106" s="65" t="str">
        <f t="shared" si="4"/>
        <v>Exclude</v>
      </c>
      <c r="W106" s="65" t="str">
        <f t="shared" si="5"/>
        <v>Exclude</v>
      </c>
      <c r="Y106" s="63"/>
      <c r="AS106" s="65" t="str">
        <f t="shared" si="6"/>
        <v>Exclude</v>
      </c>
      <c r="AU106" s="65" t="str">
        <f t="shared" si="7"/>
        <v>Exclude</v>
      </c>
    </row>
    <row r="107" spans="1:47" s="64" customFormat="1" x14ac:dyDescent="0.25">
      <c r="A107" s="63" t="s">
        <v>170</v>
      </c>
      <c r="B107" s="64">
        <v>6</v>
      </c>
      <c r="C107" s="64" t="s">
        <v>171</v>
      </c>
      <c r="D107" s="64">
        <v>6</v>
      </c>
      <c r="E107" s="64" t="s">
        <v>172</v>
      </c>
      <c r="F107" s="64" t="s">
        <v>195</v>
      </c>
      <c r="G107" s="64" t="s">
        <v>174</v>
      </c>
      <c r="H107" s="64" t="s">
        <v>175</v>
      </c>
      <c r="I107" s="64" t="s">
        <v>176</v>
      </c>
      <c r="J107" s="64">
        <v>1174</v>
      </c>
      <c r="K107" s="64" t="s">
        <v>177</v>
      </c>
      <c r="L107" s="64">
        <v>118920</v>
      </c>
      <c r="M107" s="64" t="s">
        <v>178</v>
      </c>
      <c r="N107" s="64">
        <v>740</v>
      </c>
      <c r="O107" s="64" t="s">
        <v>179</v>
      </c>
      <c r="P107" s="64" t="s">
        <v>180</v>
      </c>
      <c r="Q107" s="64" t="s">
        <v>181</v>
      </c>
      <c r="R107" s="64" t="s">
        <v>92</v>
      </c>
      <c r="U107" s="65" t="str">
        <f t="shared" si="4"/>
        <v>SameTrial</v>
      </c>
      <c r="W107" s="65" t="str">
        <f t="shared" si="5"/>
        <v>SameTrial</v>
      </c>
      <c r="Y107" s="63"/>
      <c r="AS107" s="65" t="str">
        <f t="shared" si="6"/>
        <v>Exclude</v>
      </c>
      <c r="AU107" s="65" t="str">
        <f t="shared" si="7"/>
        <v>Exclude</v>
      </c>
    </row>
    <row r="108" spans="1:47" s="64" customFormat="1" x14ac:dyDescent="0.25">
      <c r="A108" s="63" t="s">
        <v>170</v>
      </c>
      <c r="B108" s="64">
        <v>6</v>
      </c>
      <c r="C108" s="64" t="s">
        <v>171</v>
      </c>
      <c r="D108" s="64">
        <v>7</v>
      </c>
      <c r="E108" s="64" t="s">
        <v>172</v>
      </c>
      <c r="F108" s="64" t="s">
        <v>225</v>
      </c>
      <c r="G108" s="64" t="s">
        <v>174</v>
      </c>
      <c r="H108" s="64" t="s">
        <v>185</v>
      </c>
      <c r="I108" s="64" t="s">
        <v>176</v>
      </c>
      <c r="J108" s="64">
        <v>970</v>
      </c>
      <c r="K108" s="64" t="s">
        <v>177</v>
      </c>
      <c r="L108" s="64">
        <v>121068</v>
      </c>
      <c r="M108" s="64" t="s">
        <v>178</v>
      </c>
      <c r="N108" s="64">
        <v>678</v>
      </c>
      <c r="O108" s="64" t="s">
        <v>179</v>
      </c>
      <c r="P108" s="64" t="s">
        <v>187</v>
      </c>
      <c r="Q108" s="64" t="s">
        <v>181</v>
      </c>
      <c r="R108" s="64" t="s">
        <v>188</v>
      </c>
      <c r="U108" s="65">
        <f t="shared" si="4"/>
        <v>678</v>
      </c>
      <c r="W108" s="65">
        <f t="shared" si="5"/>
        <v>2.8312296938670634</v>
      </c>
      <c r="Y108" s="63"/>
      <c r="AS108" s="65" t="str">
        <f t="shared" si="6"/>
        <v>Exclude</v>
      </c>
      <c r="AU108" s="65" t="str">
        <f t="shared" si="7"/>
        <v>Exclude</v>
      </c>
    </row>
    <row r="109" spans="1:47" s="64" customFormat="1" x14ac:dyDescent="0.25">
      <c r="A109" s="63" t="s">
        <v>170</v>
      </c>
      <c r="B109" s="64">
        <v>6</v>
      </c>
      <c r="C109" s="64" t="s">
        <v>171</v>
      </c>
      <c r="D109" s="64">
        <v>8</v>
      </c>
      <c r="E109" s="64" t="s">
        <v>172</v>
      </c>
      <c r="F109" s="64" t="s">
        <v>226</v>
      </c>
      <c r="G109" s="64" t="s">
        <v>174</v>
      </c>
      <c r="H109" s="64" t="s">
        <v>185</v>
      </c>
      <c r="I109" s="64" t="s">
        <v>176</v>
      </c>
      <c r="J109" s="64">
        <v>1155</v>
      </c>
      <c r="K109" s="64" t="s">
        <v>177</v>
      </c>
      <c r="L109" s="64">
        <v>123241</v>
      </c>
      <c r="M109" s="64" t="s">
        <v>178</v>
      </c>
      <c r="N109" s="64">
        <v>527</v>
      </c>
      <c r="O109" s="64" t="s">
        <v>179</v>
      </c>
      <c r="P109" s="64" t="s">
        <v>187</v>
      </c>
      <c r="Q109" s="64" t="s">
        <v>181</v>
      </c>
      <c r="R109" s="64" t="s">
        <v>188</v>
      </c>
      <c r="U109" s="65">
        <f t="shared" si="4"/>
        <v>527</v>
      </c>
      <c r="W109" s="65">
        <f t="shared" si="5"/>
        <v>2.7218106152125467</v>
      </c>
      <c r="Y109" s="63"/>
      <c r="AS109" s="65" t="str">
        <f t="shared" si="6"/>
        <v>Exclude</v>
      </c>
      <c r="AU109" s="65" t="str">
        <f t="shared" si="7"/>
        <v>Exclude</v>
      </c>
    </row>
    <row r="110" spans="1:47" s="64" customFormat="1" x14ac:dyDescent="0.25">
      <c r="A110" s="63" t="s">
        <v>170</v>
      </c>
      <c r="B110" s="64">
        <v>6</v>
      </c>
      <c r="C110" s="64" t="s">
        <v>171</v>
      </c>
      <c r="D110" s="64">
        <v>8</v>
      </c>
      <c r="E110" s="64" t="s">
        <v>172</v>
      </c>
      <c r="F110" s="64" t="s">
        <v>226</v>
      </c>
      <c r="G110" s="64" t="s">
        <v>174</v>
      </c>
      <c r="H110" s="64" t="s">
        <v>185</v>
      </c>
      <c r="I110" s="64" t="s">
        <v>176</v>
      </c>
      <c r="J110" s="64">
        <v>1155</v>
      </c>
      <c r="K110" s="64" t="s">
        <v>177</v>
      </c>
      <c r="L110" s="64">
        <v>123696</v>
      </c>
      <c r="M110" s="64" t="s">
        <v>178</v>
      </c>
      <c r="N110" s="64">
        <v>454</v>
      </c>
      <c r="O110" s="64" t="s">
        <v>179</v>
      </c>
      <c r="P110" s="64" t="s">
        <v>187</v>
      </c>
      <c r="Q110" s="64" t="s">
        <v>181</v>
      </c>
      <c r="R110" s="64" t="s">
        <v>190</v>
      </c>
      <c r="U110" s="65" t="str">
        <f t="shared" si="4"/>
        <v>Exclude</v>
      </c>
      <c r="W110" s="65" t="str">
        <f t="shared" si="5"/>
        <v>Exclude</v>
      </c>
      <c r="Y110" s="63"/>
      <c r="AS110" s="65" t="str">
        <f t="shared" si="6"/>
        <v>Exclude</v>
      </c>
      <c r="AU110" s="65" t="str">
        <f t="shared" si="7"/>
        <v>Exclude</v>
      </c>
    </row>
    <row r="111" spans="1:47" s="64" customFormat="1" x14ac:dyDescent="0.25">
      <c r="A111" s="63" t="s">
        <v>170</v>
      </c>
      <c r="B111" s="64">
        <v>6</v>
      </c>
      <c r="C111" s="64" t="s">
        <v>171</v>
      </c>
      <c r="D111" s="64">
        <v>9</v>
      </c>
      <c r="E111" s="64" t="s">
        <v>172</v>
      </c>
      <c r="F111" s="64" t="s">
        <v>193</v>
      </c>
      <c r="G111" s="64" t="s">
        <v>174</v>
      </c>
      <c r="H111" s="64" t="s">
        <v>175</v>
      </c>
      <c r="I111" s="64" t="s">
        <v>176</v>
      </c>
      <c r="J111" s="64">
        <v>1234</v>
      </c>
      <c r="K111" s="64" t="s">
        <v>177</v>
      </c>
      <c r="L111" s="64">
        <v>125547</v>
      </c>
      <c r="M111" s="64" t="s">
        <v>178</v>
      </c>
      <c r="N111" s="64">
        <v>578</v>
      </c>
      <c r="O111" s="64" t="s">
        <v>179</v>
      </c>
      <c r="P111" s="64" t="s">
        <v>180</v>
      </c>
      <c r="Q111" s="64" t="s">
        <v>181</v>
      </c>
      <c r="R111" s="64" t="s">
        <v>92</v>
      </c>
      <c r="U111" s="65">
        <f t="shared" si="4"/>
        <v>578</v>
      </c>
      <c r="W111" s="65">
        <f t="shared" si="5"/>
        <v>2.761927838420529</v>
      </c>
      <c r="Y111" s="63"/>
      <c r="AS111" s="65" t="str">
        <f t="shared" si="6"/>
        <v>Exclude</v>
      </c>
      <c r="AU111" s="65" t="str">
        <f t="shared" si="7"/>
        <v>Exclude</v>
      </c>
    </row>
    <row r="112" spans="1:47" s="64" customFormat="1" x14ac:dyDescent="0.25">
      <c r="A112" s="63" t="s">
        <v>170</v>
      </c>
      <c r="B112" s="64">
        <v>6</v>
      </c>
      <c r="C112" s="64" t="s">
        <v>171</v>
      </c>
      <c r="D112" s="64">
        <v>10</v>
      </c>
      <c r="E112" s="64" t="s">
        <v>172</v>
      </c>
      <c r="F112" s="64" t="s">
        <v>227</v>
      </c>
      <c r="G112" s="64" t="s">
        <v>174</v>
      </c>
      <c r="H112" s="64" t="s">
        <v>185</v>
      </c>
      <c r="I112" s="64" t="s">
        <v>176</v>
      </c>
      <c r="J112" s="64">
        <v>833</v>
      </c>
      <c r="K112" s="64" t="s">
        <v>177</v>
      </c>
      <c r="L112" s="64">
        <v>127373</v>
      </c>
      <c r="M112" s="64" t="s">
        <v>178</v>
      </c>
      <c r="N112" s="64">
        <v>502</v>
      </c>
      <c r="O112" s="64" t="s">
        <v>179</v>
      </c>
      <c r="P112" s="64" t="s">
        <v>187</v>
      </c>
      <c r="Q112" s="64" t="s">
        <v>181</v>
      </c>
      <c r="R112" s="64" t="s">
        <v>188</v>
      </c>
      <c r="U112" s="65">
        <f t="shared" si="4"/>
        <v>502</v>
      </c>
      <c r="W112" s="65">
        <f t="shared" si="5"/>
        <v>2.7007037171450192</v>
      </c>
      <c r="Y112" s="63"/>
      <c r="AS112" s="65" t="str">
        <f t="shared" si="6"/>
        <v>Exclude</v>
      </c>
      <c r="AU112" s="65" t="str">
        <f t="shared" si="7"/>
        <v>Exclude</v>
      </c>
    </row>
    <row r="113" spans="1:47" s="64" customFormat="1" x14ac:dyDescent="0.25">
      <c r="A113" s="63" t="s">
        <v>170</v>
      </c>
      <c r="B113" s="64">
        <v>7</v>
      </c>
      <c r="C113" s="64" t="s">
        <v>171</v>
      </c>
      <c r="D113" s="64">
        <v>1</v>
      </c>
      <c r="E113" s="64" t="s">
        <v>172</v>
      </c>
      <c r="F113" s="64" t="s">
        <v>228</v>
      </c>
      <c r="G113" s="64" t="s">
        <v>174</v>
      </c>
      <c r="H113" s="64" t="s">
        <v>185</v>
      </c>
      <c r="I113" s="64" t="s">
        <v>176</v>
      </c>
      <c r="J113" s="64">
        <v>601</v>
      </c>
      <c r="K113" s="64" t="s">
        <v>177</v>
      </c>
      <c r="L113" s="64">
        <v>129006</v>
      </c>
      <c r="M113" s="64" t="s">
        <v>178</v>
      </c>
      <c r="N113" s="64">
        <v>533</v>
      </c>
      <c r="O113" s="64" t="s">
        <v>179</v>
      </c>
      <c r="P113" s="64" t="s">
        <v>187</v>
      </c>
      <c r="Q113" s="64" t="s">
        <v>181</v>
      </c>
      <c r="R113" s="64" t="s">
        <v>188</v>
      </c>
      <c r="U113" s="65">
        <f t="shared" si="4"/>
        <v>533</v>
      </c>
      <c r="W113" s="65">
        <f t="shared" si="5"/>
        <v>2.7267272090265724</v>
      </c>
      <c r="Y113" s="63"/>
      <c r="AS113" s="65" t="str">
        <f t="shared" si="6"/>
        <v>Exclude</v>
      </c>
      <c r="AU113" s="65" t="str">
        <f t="shared" si="7"/>
        <v>Exclude</v>
      </c>
    </row>
    <row r="114" spans="1:47" s="64" customFormat="1" x14ac:dyDescent="0.25">
      <c r="A114" s="63" t="s">
        <v>170</v>
      </c>
      <c r="B114" s="64">
        <v>7</v>
      </c>
      <c r="C114" s="64" t="s">
        <v>171</v>
      </c>
      <c r="D114" s="64">
        <v>2</v>
      </c>
      <c r="E114" s="64" t="s">
        <v>172</v>
      </c>
      <c r="F114" s="64" t="s">
        <v>191</v>
      </c>
      <c r="G114" s="64" t="s">
        <v>174</v>
      </c>
      <c r="H114" s="64" t="s">
        <v>175</v>
      </c>
      <c r="I114" s="64" t="s">
        <v>176</v>
      </c>
      <c r="J114" s="64">
        <v>939</v>
      </c>
      <c r="K114" s="64" t="s">
        <v>177</v>
      </c>
      <c r="L114" s="64">
        <v>130944</v>
      </c>
      <c r="M114" s="64" t="s">
        <v>178</v>
      </c>
      <c r="N114" s="64">
        <v>508</v>
      </c>
      <c r="O114" s="64" t="s">
        <v>179</v>
      </c>
      <c r="P114" s="64" t="s">
        <v>187</v>
      </c>
      <c r="Q114" s="64" t="s">
        <v>181</v>
      </c>
      <c r="R114" s="64" t="s">
        <v>189</v>
      </c>
      <c r="U114" s="65" t="str">
        <f t="shared" si="4"/>
        <v>Exclude</v>
      </c>
      <c r="W114" s="65" t="str">
        <f t="shared" si="5"/>
        <v>Exclude</v>
      </c>
      <c r="Y114" s="63"/>
      <c r="AS114" s="65" t="str">
        <f t="shared" si="6"/>
        <v>Exclude</v>
      </c>
      <c r="AU114" s="65" t="str">
        <f t="shared" si="7"/>
        <v>Exclude</v>
      </c>
    </row>
    <row r="115" spans="1:47" s="64" customFormat="1" x14ac:dyDescent="0.25">
      <c r="A115" s="63" t="s">
        <v>170</v>
      </c>
      <c r="B115" s="64">
        <v>7</v>
      </c>
      <c r="C115" s="64" t="s">
        <v>171</v>
      </c>
      <c r="D115" s="64">
        <v>2</v>
      </c>
      <c r="E115" s="64" t="s">
        <v>172</v>
      </c>
      <c r="F115" s="64" t="s">
        <v>191</v>
      </c>
      <c r="G115" s="64" t="s">
        <v>174</v>
      </c>
      <c r="H115" s="64" t="s">
        <v>175</v>
      </c>
      <c r="I115" s="64" t="s">
        <v>176</v>
      </c>
      <c r="J115" s="64">
        <v>939</v>
      </c>
      <c r="K115" s="64" t="s">
        <v>177</v>
      </c>
      <c r="L115" s="64">
        <v>131315</v>
      </c>
      <c r="M115" s="64" t="s">
        <v>178</v>
      </c>
      <c r="N115" s="64">
        <v>879</v>
      </c>
      <c r="O115" s="64" t="s">
        <v>179</v>
      </c>
      <c r="P115" s="64" t="s">
        <v>180</v>
      </c>
      <c r="Q115" s="64" t="s">
        <v>181</v>
      </c>
      <c r="R115" s="64" t="s">
        <v>92</v>
      </c>
      <c r="U115" s="65" t="str">
        <f t="shared" si="4"/>
        <v>SameTrial</v>
      </c>
      <c r="W115" s="65" t="str">
        <f t="shared" si="5"/>
        <v>SameTrial</v>
      </c>
      <c r="Y115" s="63"/>
      <c r="AS115" s="65" t="str">
        <f t="shared" si="6"/>
        <v>Exclude</v>
      </c>
      <c r="AU115" s="65" t="str">
        <f t="shared" si="7"/>
        <v>Exclude</v>
      </c>
    </row>
    <row r="116" spans="1:47" s="64" customFormat="1" x14ac:dyDescent="0.25">
      <c r="A116" s="63" t="s">
        <v>170</v>
      </c>
      <c r="B116" s="64">
        <v>7</v>
      </c>
      <c r="C116" s="64" t="s">
        <v>171</v>
      </c>
      <c r="D116" s="64">
        <v>3</v>
      </c>
      <c r="E116" s="64" t="s">
        <v>172</v>
      </c>
      <c r="F116" s="64" t="s">
        <v>229</v>
      </c>
      <c r="G116" s="64" t="s">
        <v>174</v>
      </c>
      <c r="H116" s="64" t="s">
        <v>185</v>
      </c>
      <c r="I116" s="64" t="s">
        <v>176</v>
      </c>
      <c r="J116" s="64">
        <v>1268</v>
      </c>
      <c r="K116" s="64" t="s">
        <v>177</v>
      </c>
      <c r="L116" s="64">
        <v>133476</v>
      </c>
      <c r="M116" s="64" t="s">
        <v>178</v>
      </c>
      <c r="N116" s="64">
        <v>388</v>
      </c>
      <c r="O116" s="64" t="s">
        <v>179</v>
      </c>
      <c r="P116" s="64" t="s">
        <v>187</v>
      </c>
      <c r="Q116" s="64" t="s">
        <v>181</v>
      </c>
      <c r="R116" s="64" t="s">
        <v>188</v>
      </c>
      <c r="U116" s="65">
        <f t="shared" si="4"/>
        <v>388</v>
      </c>
      <c r="W116" s="65">
        <f t="shared" si="5"/>
        <v>2.5888317255942073</v>
      </c>
      <c r="Y116" s="63"/>
      <c r="AS116" s="65" t="str">
        <f t="shared" si="6"/>
        <v>Exclude</v>
      </c>
      <c r="AU116" s="65" t="str">
        <f t="shared" si="7"/>
        <v>Exclude</v>
      </c>
    </row>
    <row r="117" spans="1:47" s="64" customFormat="1" x14ac:dyDescent="0.25">
      <c r="A117" s="63" t="s">
        <v>170</v>
      </c>
      <c r="B117" s="64">
        <v>7</v>
      </c>
      <c r="C117" s="64" t="s">
        <v>171</v>
      </c>
      <c r="D117" s="64">
        <v>4</v>
      </c>
      <c r="E117" s="64" t="s">
        <v>172</v>
      </c>
      <c r="F117" s="64" t="s">
        <v>230</v>
      </c>
      <c r="G117" s="64" t="s">
        <v>174</v>
      </c>
      <c r="H117" s="64" t="s">
        <v>185</v>
      </c>
      <c r="I117" s="64" t="s">
        <v>176</v>
      </c>
      <c r="J117" s="64">
        <v>1042</v>
      </c>
      <c r="K117" s="64" t="s">
        <v>177</v>
      </c>
      <c r="L117" s="64">
        <v>135630</v>
      </c>
      <c r="M117" s="64" t="s">
        <v>178</v>
      </c>
      <c r="N117" s="64">
        <v>611</v>
      </c>
      <c r="O117" s="64" t="s">
        <v>179</v>
      </c>
      <c r="P117" s="64" t="s">
        <v>187</v>
      </c>
      <c r="Q117" s="64" t="s">
        <v>181</v>
      </c>
      <c r="R117" s="64" t="s">
        <v>188</v>
      </c>
      <c r="U117" s="65">
        <f t="shared" si="4"/>
        <v>611</v>
      </c>
      <c r="W117" s="65">
        <f t="shared" si="5"/>
        <v>2.786041210242554</v>
      </c>
      <c r="Y117" s="63"/>
      <c r="AS117" s="65" t="str">
        <f t="shared" si="6"/>
        <v>Exclude</v>
      </c>
      <c r="AU117" s="65" t="str">
        <f t="shared" si="7"/>
        <v>Exclude</v>
      </c>
    </row>
    <row r="118" spans="1:47" s="64" customFormat="1" x14ac:dyDescent="0.25">
      <c r="A118" s="63" t="s">
        <v>170</v>
      </c>
      <c r="B118" s="64">
        <v>7</v>
      </c>
      <c r="C118" s="64" t="s">
        <v>171</v>
      </c>
      <c r="D118" s="64">
        <v>5</v>
      </c>
      <c r="E118" s="64" t="s">
        <v>172</v>
      </c>
      <c r="F118" s="64" t="s">
        <v>231</v>
      </c>
      <c r="G118" s="64" t="s">
        <v>174</v>
      </c>
      <c r="H118" s="64" t="s">
        <v>198</v>
      </c>
      <c r="I118" s="64" t="s">
        <v>176</v>
      </c>
      <c r="J118" s="64">
        <v>1251</v>
      </c>
      <c r="K118" s="64" t="s">
        <v>177</v>
      </c>
      <c r="L118" s="64">
        <v>138031</v>
      </c>
      <c r="M118" s="64" t="s">
        <v>178</v>
      </c>
      <c r="N118" s="64">
        <v>644</v>
      </c>
      <c r="O118" s="64" t="s">
        <v>179</v>
      </c>
      <c r="P118" s="64" t="s">
        <v>180</v>
      </c>
      <c r="Q118" s="64" t="s">
        <v>181</v>
      </c>
      <c r="R118" s="64" t="s">
        <v>186</v>
      </c>
      <c r="U118" s="65" t="str">
        <f t="shared" si="4"/>
        <v>Exclude</v>
      </c>
      <c r="W118" s="65" t="str">
        <f t="shared" si="5"/>
        <v>Exclude</v>
      </c>
      <c r="Y118" s="63"/>
      <c r="AS118" s="65" t="str">
        <f t="shared" si="6"/>
        <v>Exclude</v>
      </c>
      <c r="AU118" s="65" t="str">
        <f t="shared" si="7"/>
        <v>Exclude</v>
      </c>
    </row>
    <row r="119" spans="1:47" s="64" customFormat="1" x14ac:dyDescent="0.25">
      <c r="A119" s="63" t="s">
        <v>170</v>
      </c>
      <c r="B119" s="64">
        <v>7</v>
      </c>
      <c r="C119" s="64" t="s">
        <v>171</v>
      </c>
      <c r="D119" s="64">
        <v>5</v>
      </c>
      <c r="E119" s="64" t="s">
        <v>172</v>
      </c>
      <c r="F119" s="64" t="s">
        <v>231</v>
      </c>
      <c r="G119" s="64" t="s">
        <v>174</v>
      </c>
      <c r="H119" s="64" t="s">
        <v>198</v>
      </c>
      <c r="I119" s="64" t="s">
        <v>176</v>
      </c>
      <c r="J119" s="64">
        <v>1251</v>
      </c>
      <c r="K119" s="64" t="s">
        <v>177</v>
      </c>
      <c r="L119" s="64">
        <v>138494</v>
      </c>
      <c r="M119" s="64" t="s">
        <v>178</v>
      </c>
      <c r="N119" s="64">
        <v>1107</v>
      </c>
      <c r="O119" s="64" t="s">
        <v>179</v>
      </c>
      <c r="P119" s="64" t="s">
        <v>187</v>
      </c>
      <c r="Q119" s="64" t="s">
        <v>181</v>
      </c>
      <c r="R119" s="64" t="s">
        <v>188</v>
      </c>
      <c r="U119" s="65" t="str">
        <f t="shared" si="4"/>
        <v>SameTrial</v>
      </c>
      <c r="W119" s="65" t="str">
        <f t="shared" si="5"/>
        <v>SameTrial</v>
      </c>
      <c r="Y119" s="63"/>
      <c r="AS119" s="65" t="str">
        <f t="shared" si="6"/>
        <v>Exclude</v>
      </c>
      <c r="AU119" s="65" t="str">
        <f t="shared" si="7"/>
        <v>Exclude</v>
      </c>
    </row>
    <row r="120" spans="1:47" s="64" customFormat="1" x14ac:dyDescent="0.25">
      <c r="A120" s="63" t="s">
        <v>170</v>
      </c>
      <c r="B120" s="64">
        <v>7</v>
      </c>
      <c r="C120" s="64" t="s">
        <v>171</v>
      </c>
      <c r="D120" s="64">
        <v>6</v>
      </c>
      <c r="E120" s="64" t="s">
        <v>172</v>
      </c>
      <c r="F120" s="64" t="s">
        <v>193</v>
      </c>
      <c r="G120" s="64" t="s">
        <v>174</v>
      </c>
      <c r="H120" s="64" t="s">
        <v>175</v>
      </c>
      <c r="I120" s="64" t="s">
        <v>176</v>
      </c>
      <c r="J120" s="64">
        <v>800</v>
      </c>
      <c r="K120" s="64" t="s">
        <v>177</v>
      </c>
      <c r="L120" s="64">
        <v>140282</v>
      </c>
      <c r="M120" s="64" t="s">
        <v>178</v>
      </c>
      <c r="N120" s="64">
        <v>494</v>
      </c>
      <c r="O120" s="64" t="s">
        <v>179</v>
      </c>
      <c r="P120" s="64" t="s">
        <v>187</v>
      </c>
      <c r="Q120" s="64" t="s">
        <v>181</v>
      </c>
      <c r="R120" s="64" t="s">
        <v>189</v>
      </c>
      <c r="U120" s="65" t="str">
        <f t="shared" si="4"/>
        <v>Exclude</v>
      </c>
      <c r="W120" s="65" t="str">
        <f t="shared" si="5"/>
        <v>Exclude</v>
      </c>
      <c r="Y120" s="63"/>
      <c r="AS120" s="65" t="str">
        <f t="shared" si="6"/>
        <v>Exclude</v>
      </c>
      <c r="AU120" s="65" t="str">
        <f t="shared" si="7"/>
        <v>Exclude</v>
      </c>
    </row>
    <row r="121" spans="1:47" s="64" customFormat="1" x14ac:dyDescent="0.25">
      <c r="A121" s="63" t="s">
        <v>170</v>
      </c>
      <c r="B121" s="64">
        <v>7</v>
      </c>
      <c r="C121" s="64" t="s">
        <v>171</v>
      </c>
      <c r="D121" s="64">
        <v>6</v>
      </c>
      <c r="E121" s="64" t="s">
        <v>172</v>
      </c>
      <c r="F121" s="64" t="s">
        <v>193</v>
      </c>
      <c r="G121" s="64" t="s">
        <v>174</v>
      </c>
      <c r="H121" s="64" t="s">
        <v>175</v>
      </c>
      <c r="I121" s="64" t="s">
        <v>176</v>
      </c>
      <c r="J121" s="64">
        <v>800</v>
      </c>
      <c r="K121" s="64" t="s">
        <v>177</v>
      </c>
      <c r="L121" s="64">
        <v>140539</v>
      </c>
      <c r="M121" s="64" t="s">
        <v>178</v>
      </c>
      <c r="N121" s="64">
        <v>751</v>
      </c>
      <c r="O121" s="64" t="s">
        <v>179</v>
      </c>
      <c r="P121" s="64" t="s">
        <v>180</v>
      </c>
      <c r="Q121" s="64" t="s">
        <v>181</v>
      </c>
      <c r="R121" s="64" t="s">
        <v>92</v>
      </c>
      <c r="U121" s="65" t="str">
        <f t="shared" si="4"/>
        <v>SameTrial</v>
      </c>
      <c r="W121" s="65" t="str">
        <f t="shared" si="5"/>
        <v>SameTrial</v>
      </c>
      <c r="Y121" s="63"/>
      <c r="AS121" s="65" t="str">
        <f t="shared" si="6"/>
        <v>Exclude</v>
      </c>
      <c r="AU121" s="65" t="str">
        <f t="shared" si="7"/>
        <v>Exclude</v>
      </c>
    </row>
    <row r="122" spans="1:47" s="64" customFormat="1" x14ac:dyDescent="0.25">
      <c r="A122" s="63" t="s">
        <v>170</v>
      </c>
      <c r="B122" s="64">
        <v>7</v>
      </c>
      <c r="C122" s="64" t="s">
        <v>171</v>
      </c>
      <c r="D122" s="64">
        <v>7</v>
      </c>
      <c r="E122" s="64" t="s">
        <v>172</v>
      </c>
      <c r="F122" s="64" t="s">
        <v>195</v>
      </c>
      <c r="G122" s="64" t="s">
        <v>174</v>
      </c>
      <c r="H122" s="64" t="s">
        <v>175</v>
      </c>
      <c r="I122" s="64" t="s">
        <v>176</v>
      </c>
      <c r="J122" s="64">
        <v>922</v>
      </c>
      <c r="K122" s="64" t="s">
        <v>177</v>
      </c>
      <c r="L122" s="64">
        <v>142411</v>
      </c>
      <c r="M122" s="64" t="s">
        <v>178</v>
      </c>
      <c r="N122" s="64">
        <v>435</v>
      </c>
      <c r="O122" s="64" t="s">
        <v>179</v>
      </c>
      <c r="P122" s="64" t="s">
        <v>187</v>
      </c>
      <c r="Q122" s="64" t="s">
        <v>181</v>
      </c>
      <c r="R122" s="64" t="s">
        <v>189</v>
      </c>
      <c r="U122" s="65" t="str">
        <f t="shared" si="4"/>
        <v>Exclude</v>
      </c>
      <c r="W122" s="65" t="str">
        <f t="shared" si="5"/>
        <v>Exclude</v>
      </c>
      <c r="Y122" s="63"/>
      <c r="AS122" s="65" t="str">
        <f t="shared" si="6"/>
        <v>Exclude</v>
      </c>
      <c r="AU122" s="65" t="str">
        <f t="shared" si="7"/>
        <v>Exclude</v>
      </c>
    </row>
    <row r="123" spans="1:47" s="64" customFormat="1" x14ac:dyDescent="0.25">
      <c r="A123" s="63" t="s">
        <v>170</v>
      </c>
      <c r="B123" s="64">
        <v>7</v>
      </c>
      <c r="C123" s="64" t="s">
        <v>171</v>
      </c>
      <c r="D123" s="64">
        <v>7</v>
      </c>
      <c r="E123" s="64" t="s">
        <v>172</v>
      </c>
      <c r="F123" s="64" t="s">
        <v>195</v>
      </c>
      <c r="G123" s="64" t="s">
        <v>174</v>
      </c>
      <c r="H123" s="64" t="s">
        <v>175</v>
      </c>
      <c r="I123" s="64" t="s">
        <v>176</v>
      </c>
      <c r="J123" s="64">
        <v>922</v>
      </c>
      <c r="K123" s="64" t="s">
        <v>177</v>
      </c>
      <c r="L123" s="64">
        <v>142698</v>
      </c>
      <c r="M123" s="64" t="s">
        <v>178</v>
      </c>
      <c r="N123" s="64">
        <v>722</v>
      </c>
      <c r="O123" s="64" t="s">
        <v>179</v>
      </c>
      <c r="P123" s="64" t="s">
        <v>180</v>
      </c>
      <c r="Q123" s="64" t="s">
        <v>181</v>
      </c>
      <c r="R123" s="64" t="s">
        <v>92</v>
      </c>
      <c r="U123" s="65" t="str">
        <f t="shared" si="4"/>
        <v>SameTrial</v>
      </c>
      <c r="W123" s="65" t="str">
        <f t="shared" si="5"/>
        <v>SameTrial</v>
      </c>
      <c r="Y123" s="63"/>
      <c r="AS123" s="65" t="str">
        <f t="shared" si="6"/>
        <v>Exclude</v>
      </c>
      <c r="AU123" s="65" t="str">
        <f t="shared" si="7"/>
        <v>Exclude</v>
      </c>
    </row>
    <row r="124" spans="1:47" s="64" customFormat="1" x14ac:dyDescent="0.25">
      <c r="A124" s="63" t="s">
        <v>170</v>
      </c>
      <c r="B124" s="64">
        <v>7</v>
      </c>
      <c r="C124" s="64" t="s">
        <v>171</v>
      </c>
      <c r="D124" s="64">
        <v>8</v>
      </c>
      <c r="E124" s="64" t="s">
        <v>172</v>
      </c>
      <c r="F124" s="64" t="s">
        <v>232</v>
      </c>
      <c r="G124" s="64" t="s">
        <v>174</v>
      </c>
      <c r="H124" s="64" t="s">
        <v>185</v>
      </c>
      <c r="I124" s="64" t="s">
        <v>176</v>
      </c>
      <c r="J124" s="64">
        <v>-1</v>
      </c>
      <c r="K124" s="64" t="s">
        <v>177</v>
      </c>
      <c r="L124" s="64">
        <v>144417</v>
      </c>
      <c r="M124" s="64" t="s">
        <v>178</v>
      </c>
      <c r="N124" s="64">
        <v>1219</v>
      </c>
      <c r="O124" s="64" t="s">
        <v>179</v>
      </c>
      <c r="P124" s="64" t="s">
        <v>187</v>
      </c>
      <c r="Q124" s="64" t="s">
        <v>181</v>
      </c>
      <c r="R124" s="64" t="s">
        <v>182</v>
      </c>
      <c r="U124" s="65" t="str">
        <f t="shared" si="4"/>
        <v>Exclude</v>
      </c>
      <c r="W124" s="65" t="str">
        <f t="shared" si="5"/>
        <v>Exclude</v>
      </c>
      <c r="Y124" s="63"/>
      <c r="AS124" s="65" t="str">
        <f t="shared" si="6"/>
        <v>Exclude</v>
      </c>
      <c r="AU124" s="65" t="str">
        <f t="shared" si="7"/>
        <v>Exclude</v>
      </c>
    </row>
    <row r="125" spans="1:47" s="64" customFormat="1" x14ac:dyDescent="0.25">
      <c r="A125" s="63" t="s">
        <v>170</v>
      </c>
      <c r="B125" s="64">
        <v>7</v>
      </c>
      <c r="C125" s="64" t="s">
        <v>171</v>
      </c>
      <c r="D125" s="64">
        <v>8</v>
      </c>
      <c r="E125" s="64" t="s">
        <v>172</v>
      </c>
      <c r="F125" s="64" t="s">
        <v>232</v>
      </c>
      <c r="G125" s="64" t="s">
        <v>174</v>
      </c>
      <c r="H125" s="64" t="s">
        <v>185</v>
      </c>
      <c r="I125" s="64" t="s">
        <v>176</v>
      </c>
      <c r="J125" s="64">
        <v>1404</v>
      </c>
      <c r="K125" s="64" t="s">
        <v>177</v>
      </c>
      <c r="L125" s="64">
        <v>145184</v>
      </c>
      <c r="M125" s="64" t="s">
        <v>178</v>
      </c>
      <c r="N125" s="64">
        <v>582</v>
      </c>
      <c r="O125" s="64" t="s">
        <v>179</v>
      </c>
      <c r="P125" s="64" t="s">
        <v>187</v>
      </c>
      <c r="Q125" s="64" t="s">
        <v>181</v>
      </c>
      <c r="R125" s="64" t="s">
        <v>188</v>
      </c>
      <c r="U125" s="65" t="str">
        <f t="shared" si="4"/>
        <v>Pant</v>
      </c>
      <c r="W125" s="65" t="str">
        <f t="shared" si="5"/>
        <v>Pant</v>
      </c>
      <c r="Y125" s="63"/>
      <c r="AS125" s="65" t="str">
        <f t="shared" si="6"/>
        <v>Exclude</v>
      </c>
      <c r="AU125" s="65" t="str">
        <f t="shared" si="7"/>
        <v>Exclude</v>
      </c>
    </row>
    <row r="126" spans="1:47" s="64" customFormat="1" x14ac:dyDescent="0.25">
      <c r="A126" s="63" t="s">
        <v>170</v>
      </c>
      <c r="B126" s="64">
        <v>7</v>
      </c>
      <c r="C126" s="64" t="s">
        <v>171</v>
      </c>
      <c r="D126" s="64">
        <v>9</v>
      </c>
      <c r="E126" s="64" t="s">
        <v>172</v>
      </c>
      <c r="F126" s="64" t="s">
        <v>233</v>
      </c>
      <c r="G126" s="64" t="s">
        <v>174</v>
      </c>
      <c r="H126" s="64" t="s">
        <v>185</v>
      </c>
      <c r="I126" s="64" t="s">
        <v>176</v>
      </c>
      <c r="J126" s="64">
        <v>865</v>
      </c>
      <c r="K126" s="64" t="s">
        <v>177</v>
      </c>
      <c r="L126" s="64">
        <v>147351</v>
      </c>
      <c r="M126" s="64" t="s">
        <v>178</v>
      </c>
      <c r="N126" s="64">
        <v>798</v>
      </c>
      <c r="O126" s="64" t="s">
        <v>179</v>
      </c>
      <c r="P126" s="64" t="s">
        <v>187</v>
      </c>
      <c r="Q126" s="64" t="s">
        <v>181</v>
      </c>
      <c r="R126" s="64" t="s">
        <v>188</v>
      </c>
      <c r="U126" s="65">
        <f t="shared" si="4"/>
        <v>798</v>
      </c>
      <c r="W126" s="65">
        <f t="shared" si="5"/>
        <v>2.9020028913507296</v>
      </c>
      <c r="Y126" s="63"/>
      <c r="AS126" s="65" t="str">
        <f t="shared" si="6"/>
        <v>Exclude</v>
      </c>
      <c r="AU126" s="65" t="str">
        <f t="shared" si="7"/>
        <v>Exclude</v>
      </c>
    </row>
    <row r="127" spans="1:47" s="64" customFormat="1" x14ac:dyDescent="0.25">
      <c r="A127" s="63" t="s">
        <v>170</v>
      </c>
      <c r="B127" s="64">
        <v>7</v>
      </c>
      <c r="C127" s="64" t="s">
        <v>171</v>
      </c>
      <c r="D127" s="64">
        <v>10</v>
      </c>
      <c r="E127" s="64" t="s">
        <v>172</v>
      </c>
      <c r="F127" s="64" t="s">
        <v>192</v>
      </c>
      <c r="G127" s="64" t="s">
        <v>174</v>
      </c>
      <c r="H127" s="64" t="s">
        <v>175</v>
      </c>
      <c r="I127" s="64" t="s">
        <v>176</v>
      </c>
      <c r="J127" s="64">
        <v>1037</v>
      </c>
      <c r="K127" s="64" t="s">
        <v>177</v>
      </c>
      <c r="L127" s="64">
        <v>149926</v>
      </c>
      <c r="M127" s="64" t="s">
        <v>178</v>
      </c>
      <c r="N127" s="64">
        <v>1036</v>
      </c>
      <c r="O127" s="64" t="s">
        <v>179</v>
      </c>
      <c r="P127" s="64" t="s">
        <v>180</v>
      </c>
      <c r="Q127" s="64" t="s">
        <v>181</v>
      </c>
      <c r="R127" s="64" t="s">
        <v>92</v>
      </c>
      <c r="U127" s="65">
        <f t="shared" si="4"/>
        <v>1036</v>
      </c>
      <c r="W127" s="65">
        <f t="shared" si="5"/>
        <v>3.0153597554092144</v>
      </c>
      <c r="Y127" s="63"/>
      <c r="AS127" s="65" t="str">
        <f t="shared" si="6"/>
        <v>Exclude</v>
      </c>
      <c r="AU127" s="65" t="str">
        <f t="shared" si="7"/>
        <v>Exclude</v>
      </c>
    </row>
    <row r="128" spans="1:47" s="64" customFormat="1" x14ac:dyDescent="0.25">
      <c r="A128" s="63" t="s">
        <v>170</v>
      </c>
      <c r="B128" s="64">
        <v>8</v>
      </c>
      <c r="C128" s="64" t="s">
        <v>171</v>
      </c>
      <c r="D128" s="64">
        <v>1</v>
      </c>
      <c r="E128" s="64" t="s">
        <v>172</v>
      </c>
      <c r="F128" s="64" t="s">
        <v>195</v>
      </c>
      <c r="G128" s="64" t="s">
        <v>174</v>
      </c>
      <c r="H128" s="64" t="s">
        <v>175</v>
      </c>
      <c r="I128" s="64" t="s">
        <v>176</v>
      </c>
      <c r="J128" s="64">
        <v>666</v>
      </c>
      <c r="K128" s="64" t="s">
        <v>177</v>
      </c>
      <c r="L128" s="64">
        <v>151499</v>
      </c>
      <c r="M128" s="64" t="s">
        <v>178</v>
      </c>
      <c r="N128" s="64">
        <v>412</v>
      </c>
      <c r="O128" s="64" t="s">
        <v>179</v>
      </c>
      <c r="P128" s="64" t="s">
        <v>187</v>
      </c>
      <c r="Q128" s="64" t="s">
        <v>181</v>
      </c>
      <c r="R128" s="64" t="s">
        <v>189</v>
      </c>
      <c r="U128" s="65" t="str">
        <f t="shared" si="4"/>
        <v>Exclude</v>
      </c>
      <c r="W128" s="65" t="str">
        <f t="shared" si="5"/>
        <v>Exclude</v>
      </c>
      <c r="Y128" s="63"/>
      <c r="AS128" s="65" t="str">
        <f t="shared" si="6"/>
        <v>Exclude</v>
      </c>
      <c r="AU128" s="65" t="str">
        <f t="shared" si="7"/>
        <v>Exclude</v>
      </c>
    </row>
    <row r="129" spans="1:47" s="64" customFormat="1" x14ac:dyDescent="0.25">
      <c r="A129" s="63" t="s">
        <v>170</v>
      </c>
      <c r="B129" s="64">
        <v>8</v>
      </c>
      <c r="C129" s="64" t="s">
        <v>171</v>
      </c>
      <c r="D129" s="64">
        <v>1</v>
      </c>
      <c r="E129" s="64" t="s">
        <v>172</v>
      </c>
      <c r="F129" s="64" t="s">
        <v>195</v>
      </c>
      <c r="G129" s="64" t="s">
        <v>174</v>
      </c>
      <c r="H129" s="64" t="s">
        <v>175</v>
      </c>
      <c r="I129" s="64" t="s">
        <v>176</v>
      </c>
      <c r="J129" s="64">
        <v>666</v>
      </c>
      <c r="K129" s="64" t="s">
        <v>177</v>
      </c>
      <c r="L129" s="64">
        <v>151863</v>
      </c>
      <c r="M129" s="64" t="s">
        <v>178</v>
      </c>
      <c r="N129" s="64">
        <v>776</v>
      </c>
      <c r="O129" s="64" t="s">
        <v>179</v>
      </c>
      <c r="P129" s="64" t="s">
        <v>180</v>
      </c>
      <c r="Q129" s="64" t="s">
        <v>181</v>
      </c>
      <c r="R129" s="64" t="s">
        <v>92</v>
      </c>
      <c r="U129" s="65" t="str">
        <f t="shared" si="4"/>
        <v>SameTrial</v>
      </c>
      <c r="W129" s="65" t="str">
        <f t="shared" si="5"/>
        <v>SameTrial</v>
      </c>
      <c r="Y129" s="63"/>
      <c r="AS129" s="65" t="str">
        <f t="shared" si="6"/>
        <v>Exclude</v>
      </c>
      <c r="AU129" s="65" t="str">
        <f t="shared" si="7"/>
        <v>Exclude</v>
      </c>
    </row>
    <row r="130" spans="1:47" s="64" customFormat="1" x14ac:dyDescent="0.25">
      <c r="A130" s="63" t="s">
        <v>170</v>
      </c>
      <c r="B130" s="64">
        <v>8</v>
      </c>
      <c r="C130" s="64" t="s">
        <v>171</v>
      </c>
      <c r="D130" s="64">
        <v>2</v>
      </c>
      <c r="E130" s="64" t="s">
        <v>172</v>
      </c>
      <c r="F130" s="64" t="s">
        <v>193</v>
      </c>
      <c r="G130" s="64" t="s">
        <v>174</v>
      </c>
      <c r="H130" s="64" t="s">
        <v>175</v>
      </c>
      <c r="I130" s="64" t="s">
        <v>176</v>
      </c>
      <c r="J130" s="64">
        <v>1456</v>
      </c>
      <c r="K130" s="64" t="s">
        <v>177</v>
      </c>
      <c r="L130" s="64">
        <v>154289</v>
      </c>
      <c r="M130" s="64" t="s">
        <v>178</v>
      </c>
      <c r="N130" s="64">
        <v>470</v>
      </c>
      <c r="O130" s="64" t="s">
        <v>179</v>
      </c>
      <c r="P130" s="64" t="s">
        <v>187</v>
      </c>
      <c r="Q130" s="64" t="s">
        <v>181</v>
      </c>
      <c r="R130" s="64" t="s">
        <v>189</v>
      </c>
      <c r="U130" s="65" t="str">
        <f t="shared" si="4"/>
        <v>Exclude</v>
      </c>
      <c r="W130" s="65" t="str">
        <f t="shared" si="5"/>
        <v>Exclude</v>
      </c>
      <c r="Y130" s="63"/>
      <c r="AS130" s="65" t="str">
        <f t="shared" si="6"/>
        <v>Exclude</v>
      </c>
      <c r="AU130" s="65" t="str">
        <f t="shared" si="7"/>
        <v>Exclude</v>
      </c>
    </row>
    <row r="131" spans="1:47" s="64" customFormat="1" x14ac:dyDescent="0.25">
      <c r="A131" s="63" t="s">
        <v>170</v>
      </c>
      <c r="B131" s="64">
        <v>8</v>
      </c>
      <c r="C131" s="64" t="s">
        <v>171</v>
      </c>
      <c r="D131" s="64">
        <v>2</v>
      </c>
      <c r="E131" s="64" t="s">
        <v>172</v>
      </c>
      <c r="F131" s="64" t="s">
        <v>193</v>
      </c>
      <c r="G131" s="64" t="s">
        <v>174</v>
      </c>
      <c r="H131" s="64" t="s">
        <v>175</v>
      </c>
      <c r="I131" s="64" t="s">
        <v>176</v>
      </c>
      <c r="J131" s="64">
        <v>1456</v>
      </c>
      <c r="K131" s="64" t="s">
        <v>177</v>
      </c>
      <c r="L131" s="64">
        <v>154629</v>
      </c>
      <c r="M131" s="64" t="s">
        <v>178</v>
      </c>
      <c r="N131" s="64">
        <v>810</v>
      </c>
      <c r="O131" s="64" t="s">
        <v>179</v>
      </c>
      <c r="P131" s="64" t="s">
        <v>180</v>
      </c>
      <c r="Q131" s="64" t="s">
        <v>181</v>
      </c>
      <c r="R131" s="64" t="s">
        <v>92</v>
      </c>
      <c r="U131" s="65" t="str">
        <f t="shared" si="4"/>
        <v>SameTrial</v>
      </c>
      <c r="W131" s="65" t="str">
        <f t="shared" si="5"/>
        <v>SameTrial</v>
      </c>
      <c r="Y131" s="63"/>
      <c r="AS131" s="65" t="str">
        <f t="shared" si="6"/>
        <v>Exclude</v>
      </c>
      <c r="AU131" s="65" t="str">
        <f t="shared" si="7"/>
        <v>Exclude</v>
      </c>
    </row>
    <row r="132" spans="1:47" s="64" customFormat="1" x14ac:dyDescent="0.25">
      <c r="A132" s="63" t="s">
        <v>170</v>
      </c>
      <c r="B132" s="64">
        <v>8</v>
      </c>
      <c r="C132" s="64" t="s">
        <v>171</v>
      </c>
      <c r="D132" s="64">
        <v>3</v>
      </c>
      <c r="E132" s="64" t="s">
        <v>172</v>
      </c>
      <c r="F132" s="64" t="s">
        <v>234</v>
      </c>
      <c r="G132" s="64" t="s">
        <v>174</v>
      </c>
      <c r="H132" s="64" t="s">
        <v>185</v>
      </c>
      <c r="I132" s="64" t="s">
        <v>176</v>
      </c>
      <c r="J132" s="64">
        <v>837</v>
      </c>
      <c r="K132" s="64" t="s">
        <v>177</v>
      </c>
      <c r="L132" s="64">
        <v>156467</v>
      </c>
      <c r="M132" s="64" t="s">
        <v>178</v>
      </c>
      <c r="N132" s="64">
        <v>496</v>
      </c>
      <c r="O132" s="64" t="s">
        <v>179</v>
      </c>
      <c r="P132" s="64" t="s">
        <v>187</v>
      </c>
      <c r="Q132" s="64" t="s">
        <v>181</v>
      </c>
      <c r="R132" s="64" t="s">
        <v>188</v>
      </c>
      <c r="U132" s="65">
        <f t="shared" si="4"/>
        <v>496</v>
      </c>
      <c r="W132" s="65">
        <f t="shared" si="5"/>
        <v>2.6954816764901977</v>
      </c>
      <c r="Y132" s="63"/>
      <c r="AS132" s="65" t="str">
        <f t="shared" si="6"/>
        <v>Exclude</v>
      </c>
      <c r="AU132" s="65" t="str">
        <f t="shared" si="7"/>
        <v>Exclude</v>
      </c>
    </row>
    <row r="133" spans="1:47" s="64" customFormat="1" x14ac:dyDescent="0.25">
      <c r="A133" s="63" t="s">
        <v>170</v>
      </c>
      <c r="B133" s="64">
        <v>8</v>
      </c>
      <c r="C133" s="64" t="s">
        <v>171</v>
      </c>
      <c r="D133" s="64">
        <v>4</v>
      </c>
      <c r="E133" s="64" t="s">
        <v>172</v>
      </c>
      <c r="F133" s="64" t="s">
        <v>235</v>
      </c>
      <c r="G133" s="64" t="s">
        <v>174</v>
      </c>
      <c r="H133" s="64" t="s">
        <v>198</v>
      </c>
      <c r="I133" s="64" t="s">
        <v>176</v>
      </c>
      <c r="J133" s="64">
        <v>785</v>
      </c>
      <c r="K133" s="64" t="s">
        <v>177</v>
      </c>
      <c r="L133" s="64">
        <v>158369</v>
      </c>
      <c r="M133" s="64" t="s">
        <v>178</v>
      </c>
      <c r="N133" s="64">
        <v>616</v>
      </c>
      <c r="O133" s="64" t="s">
        <v>179</v>
      </c>
      <c r="P133" s="64" t="s">
        <v>180</v>
      </c>
      <c r="Q133" s="64" t="s">
        <v>181</v>
      </c>
      <c r="R133" s="64" t="s">
        <v>186</v>
      </c>
      <c r="U133" s="65" t="str">
        <f t="shared" si="4"/>
        <v>Exclude</v>
      </c>
      <c r="W133" s="65" t="str">
        <f t="shared" si="5"/>
        <v>Exclude</v>
      </c>
      <c r="Y133" s="63"/>
      <c r="AS133" s="65" t="str">
        <f t="shared" si="6"/>
        <v>Exclude</v>
      </c>
      <c r="AU133" s="65" t="str">
        <f t="shared" si="7"/>
        <v>Exclude</v>
      </c>
    </row>
    <row r="134" spans="1:47" s="64" customFormat="1" x14ac:dyDescent="0.25">
      <c r="A134" s="63" t="s">
        <v>170</v>
      </c>
      <c r="B134" s="64">
        <v>8</v>
      </c>
      <c r="C134" s="64" t="s">
        <v>171</v>
      </c>
      <c r="D134" s="64">
        <v>4</v>
      </c>
      <c r="E134" s="64" t="s">
        <v>172</v>
      </c>
      <c r="F134" s="64" t="s">
        <v>235</v>
      </c>
      <c r="G134" s="64" t="s">
        <v>174</v>
      </c>
      <c r="H134" s="64" t="s">
        <v>198</v>
      </c>
      <c r="I134" s="64" t="s">
        <v>176</v>
      </c>
      <c r="J134" s="64">
        <v>785</v>
      </c>
      <c r="K134" s="64" t="s">
        <v>177</v>
      </c>
      <c r="L134" s="64">
        <v>158693</v>
      </c>
      <c r="M134" s="64" t="s">
        <v>178</v>
      </c>
      <c r="N134" s="64">
        <v>940</v>
      </c>
      <c r="O134" s="64" t="s">
        <v>179</v>
      </c>
      <c r="P134" s="64" t="s">
        <v>187</v>
      </c>
      <c r="Q134" s="64" t="s">
        <v>181</v>
      </c>
      <c r="R134" s="64" t="s">
        <v>188</v>
      </c>
      <c r="U134" s="65" t="str">
        <f t="shared" si="4"/>
        <v>SameTrial</v>
      </c>
      <c r="W134" s="65" t="str">
        <f t="shared" si="5"/>
        <v>SameTrial</v>
      </c>
      <c r="Y134" s="63"/>
      <c r="AS134" s="65" t="str">
        <f t="shared" si="6"/>
        <v>Exclude</v>
      </c>
      <c r="AU134" s="65" t="str">
        <f t="shared" si="7"/>
        <v>Exclude</v>
      </c>
    </row>
    <row r="135" spans="1:47" s="64" customFormat="1" x14ac:dyDescent="0.25">
      <c r="A135" s="63" t="s">
        <v>170</v>
      </c>
      <c r="B135" s="64">
        <v>8</v>
      </c>
      <c r="C135" s="64" t="s">
        <v>171</v>
      </c>
      <c r="D135" s="64">
        <v>5</v>
      </c>
      <c r="E135" s="64" t="s">
        <v>172</v>
      </c>
      <c r="F135" s="64" t="s">
        <v>236</v>
      </c>
      <c r="G135" s="64" t="s">
        <v>174</v>
      </c>
      <c r="H135" s="64" t="s">
        <v>185</v>
      </c>
      <c r="I135" s="64" t="s">
        <v>176</v>
      </c>
      <c r="J135" s="64">
        <v>582</v>
      </c>
      <c r="K135" s="64" t="s">
        <v>177</v>
      </c>
      <c r="L135" s="64">
        <v>160309</v>
      </c>
      <c r="M135" s="64" t="s">
        <v>178</v>
      </c>
      <c r="N135" s="64">
        <v>525</v>
      </c>
      <c r="O135" s="64" t="s">
        <v>179</v>
      </c>
      <c r="P135" s="64" t="s">
        <v>187</v>
      </c>
      <c r="Q135" s="64" t="s">
        <v>181</v>
      </c>
      <c r="R135" s="64" t="s">
        <v>188</v>
      </c>
      <c r="U135" s="65">
        <f t="shared" si="4"/>
        <v>525</v>
      </c>
      <c r="W135" s="65">
        <f t="shared" si="5"/>
        <v>2.720159303405957</v>
      </c>
      <c r="Y135" s="63"/>
      <c r="AS135" s="65" t="str">
        <f t="shared" si="6"/>
        <v>Exclude</v>
      </c>
      <c r="AU135" s="65" t="str">
        <f t="shared" si="7"/>
        <v>Exclude</v>
      </c>
    </row>
    <row r="136" spans="1:47" s="64" customFormat="1" x14ac:dyDescent="0.25">
      <c r="A136" s="63" t="s">
        <v>170</v>
      </c>
      <c r="B136" s="64">
        <v>8</v>
      </c>
      <c r="C136" s="64" t="s">
        <v>171</v>
      </c>
      <c r="D136" s="64">
        <v>6</v>
      </c>
      <c r="E136" s="64" t="s">
        <v>172</v>
      </c>
      <c r="F136" s="64" t="s">
        <v>237</v>
      </c>
      <c r="G136" s="64" t="s">
        <v>174</v>
      </c>
      <c r="H136" s="64" t="s">
        <v>185</v>
      </c>
      <c r="I136" s="64" t="s">
        <v>176</v>
      </c>
      <c r="J136" s="64">
        <v>1032</v>
      </c>
      <c r="K136" s="64" t="s">
        <v>177</v>
      </c>
      <c r="L136" s="64">
        <v>162347</v>
      </c>
      <c r="M136" s="64" t="s">
        <v>178</v>
      </c>
      <c r="N136" s="64">
        <v>509</v>
      </c>
      <c r="O136" s="64" t="s">
        <v>179</v>
      </c>
      <c r="P136" s="64" t="s">
        <v>187</v>
      </c>
      <c r="Q136" s="64" t="s">
        <v>181</v>
      </c>
      <c r="R136" s="64" t="s">
        <v>188</v>
      </c>
      <c r="U136" s="65">
        <f t="shared" si="4"/>
        <v>509</v>
      </c>
      <c r="W136" s="65">
        <f t="shared" si="5"/>
        <v>2.7067177823367587</v>
      </c>
      <c r="Y136" s="63"/>
      <c r="AS136" s="65" t="str">
        <f t="shared" si="6"/>
        <v>Exclude</v>
      </c>
      <c r="AU136" s="65" t="str">
        <f t="shared" si="7"/>
        <v>Exclude</v>
      </c>
    </row>
    <row r="137" spans="1:47" s="64" customFormat="1" x14ac:dyDescent="0.25">
      <c r="A137" s="63" t="s">
        <v>170</v>
      </c>
      <c r="B137" s="64">
        <v>8</v>
      </c>
      <c r="C137" s="64" t="s">
        <v>171</v>
      </c>
      <c r="D137" s="64">
        <v>7</v>
      </c>
      <c r="E137" s="64" t="s">
        <v>172</v>
      </c>
      <c r="F137" s="64" t="s">
        <v>238</v>
      </c>
      <c r="G137" s="64" t="s">
        <v>174</v>
      </c>
      <c r="H137" s="64" t="s">
        <v>185</v>
      </c>
      <c r="I137" s="64" t="s">
        <v>176</v>
      </c>
      <c r="J137" s="64">
        <v>572</v>
      </c>
      <c r="K137" s="64" t="s">
        <v>177</v>
      </c>
      <c r="L137" s="64">
        <v>163892</v>
      </c>
      <c r="M137" s="64" t="s">
        <v>178</v>
      </c>
      <c r="N137" s="64">
        <v>478</v>
      </c>
      <c r="O137" s="64" t="s">
        <v>179</v>
      </c>
      <c r="P137" s="64" t="s">
        <v>187</v>
      </c>
      <c r="Q137" s="64" t="s">
        <v>181</v>
      </c>
      <c r="R137" s="64" t="s">
        <v>188</v>
      </c>
      <c r="U137" s="65">
        <f t="shared" si="4"/>
        <v>478</v>
      </c>
      <c r="W137" s="65">
        <f t="shared" si="5"/>
        <v>2.6794278966121188</v>
      </c>
      <c r="Y137" s="63"/>
      <c r="AS137" s="65" t="str">
        <f t="shared" si="6"/>
        <v>Exclude</v>
      </c>
      <c r="AU137" s="65" t="str">
        <f t="shared" si="7"/>
        <v>Exclude</v>
      </c>
    </row>
    <row r="138" spans="1:47" s="64" customFormat="1" x14ac:dyDescent="0.25">
      <c r="A138" s="63" t="s">
        <v>170</v>
      </c>
      <c r="B138" s="64">
        <v>8</v>
      </c>
      <c r="C138" s="64" t="s">
        <v>171</v>
      </c>
      <c r="D138" s="64">
        <v>8</v>
      </c>
      <c r="E138" s="64" t="s">
        <v>172</v>
      </c>
      <c r="F138" s="64" t="s">
        <v>191</v>
      </c>
      <c r="G138" s="64" t="s">
        <v>174</v>
      </c>
      <c r="H138" s="64" t="s">
        <v>175</v>
      </c>
      <c r="I138" s="64" t="s">
        <v>176</v>
      </c>
      <c r="J138" s="64">
        <v>824</v>
      </c>
      <c r="K138" s="64" t="s">
        <v>177</v>
      </c>
      <c r="L138" s="64">
        <v>165771</v>
      </c>
      <c r="M138" s="64" t="s">
        <v>178</v>
      </c>
      <c r="N138" s="64">
        <v>561</v>
      </c>
      <c r="O138" s="64" t="s">
        <v>179</v>
      </c>
      <c r="P138" s="64" t="s">
        <v>180</v>
      </c>
      <c r="Q138" s="64" t="s">
        <v>181</v>
      </c>
      <c r="R138" s="64" t="s">
        <v>92</v>
      </c>
      <c r="U138" s="65">
        <f t="shared" si="4"/>
        <v>561</v>
      </c>
      <c r="W138" s="65">
        <f t="shared" si="5"/>
        <v>2.7489628612561616</v>
      </c>
      <c r="Y138" s="63"/>
      <c r="AS138" s="65" t="str">
        <f t="shared" si="6"/>
        <v>Exclude</v>
      </c>
      <c r="AU138" s="65" t="str">
        <f t="shared" si="7"/>
        <v>Exclude</v>
      </c>
    </row>
    <row r="139" spans="1:47" s="64" customFormat="1" x14ac:dyDescent="0.25">
      <c r="A139" s="63" t="s">
        <v>170</v>
      </c>
      <c r="B139" s="64">
        <v>8</v>
      </c>
      <c r="C139" s="64" t="s">
        <v>171</v>
      </c>
      <c r="D139" s="64">
        <v>9</v>
      </c>
      <c r="E139" s="64" t="s">
        <v>172</v>
      </c>
      <c r="F139" s="64" t="s">
        <v>192</v>
      </c>
      <c r="G139" s="64" t="s">
        <v>174</v>
      </c>
      <c r="H139" s="64" t="s">
        <v>175</v>
      </c>
      <c r="I139" s="64" t="s">
        <v>176</v>
      </c>
      <c r="J139" s="64">
        <v>1052</v>
      </c>
      <c r="K139" s="64" t="s">
        <v>177</v>
      </c>
      <c r="L139" s="64">
        <v>168185</v>
      </c>
      <c r="M139" s="64" t="s">
        <v>178</v>
      </c>
      <c r="N139" s="64">
        <v>866</v>
      </c>
      <c r="O139" s="64" t="s">
        <v>179</v>
      </c>
      <c r="P139" s="64" t="s">
        <v>180</v>
      </c>
      <c r="Q139" s="64" t="s">
        <v>181</v>
      </c>
      <c r="R139" s="64" t="s">
        <v>92</v>
      </c>
      <c r="U139" s="65">
        <f t="shared" si="4"/>
        <v>866</v>
      </c>
      <c r="W139" s="65">
        <f t="shared" si="5"/>
        <v>2.9375178920173468</v>
      </c>
      <c r="Y139" s="63"/>
      <c r="AS139" s="65" t="str">
        <f t="shared" si="6"/>
        <v>Exclude</v>
      </c>
      <c r="AU139" s="65" t="str">
        <f t="shared" si="7"/>
        <v>Exclude</v>
      </c>
    </row>
    <row r="140" spans="1:47" s="64" customFormat="1" x14ac:dyDescent="0.25">
      <c r="A140" s="63" t="s">
        <v>170</v>
      </c>
      <c r="B140" s="64">
        <v>8</v>
      </c>
      <c r="C140" s="64" t="s">
        <v>171</v>
      </c>
      <c r="D140" s="64">
        <v>10</v>
      </c>
      <c r="E140" s="64" t="s">
        <v>172</v>
      </c>
      <c r="F140" s="64" t="s">
        <v>239</v>
      </c>
      <c r="G140" s="64" t="s">
        <v>174</v>
      </c>
      <c r="H140" s="64" t="s">
        <v>198</v>
      </c>
      <c r="I140" s="64" t="s">
        <v>176</v>
      </c>
      <c r="J140" s="64">
        <v>615</v>
      </c>
      <c r="K140" s="64" t="s">
        <v>177</v>
      </c>
      <c r="L140" s="64">
        <v>169935</v>
      </c>
      <c r="M140" s="64" t="s">
        <v>178</v>
      </c>
      <c r="N140" s="64">
        <v>649</v>
      </c>
      <c r="O140" s="64" t="s">
        <v>179</v>
      </c>
      <c r="P140" s="64" t="s">
        <v>180</v>
      </c>
      <c r="Q140" s="64" t="s">
        <v>181</v>
      </c>
      <c r="R140" s="64" t="s">
        <v>186</v>
      </c>
      <c r="U140" s="65" t="str">
        <f t="shared" si="4"/>
        <v>Exclude</v>
      </c>
      <c r="W140" s="65" t="str">
        <f t="shared" si="5"/>
        <v>Exclude</v>
      </c>
      <c r="Y140" s="63"/>
      <c r="AS140" s="65" t="str">
        <f t="shared" si="6"/>
        <v>Exclude</v>
      </c>
      <c r="AU140" s="65" t="str">
        <f t="shared" si="7"/>
        <v>Exclude</v>
      </c>
    </row>
    <row r="141" spans="1:47" s="64" customFormat="1" x14ac:dyDescent="0.25">
      <c r="A141" s="63" t="s">
        <v>170</v>
      </c>
      <c r="B141" s="64">
        <v>8</v>
      </c>
      <c r="C141" s="64" t="s">
        <v>171</v>
      </c>
      <c r="D141" s="64">
        <v>10</v>
      </c>
      <c r="E141" s="64" t="s">
        <v>172</v>
      </c>
      <c r="F141" s="64" t="s">
        <v>239</v>
      </c>
      <c r="G141" s="64" t="s">
        <v>174</v>
      </c>
      <c r="H141" s="64" t="s">
        <v>198</v>
      </c>
      <c r="I141" s="64" t="s">
        <v>176</v>
      </c>
      <c r="J141" s="64">
        <v>615</v>
      </c>
      <c r="K141" s="64" t="s">
        <v>177</v>
      </c>
      <c r="L141" s="64">
        <v>170290</v>
      </c>
      <c r="M141" s="64" t="s">
        <v>178</v>
      </c>
      <c r="N141" s="64">
        <v>1004</v>
      </c>
      <c r="O141" s="64" t="s">
        <v>179</v>
      </c>
      <c r="P141" s="64" t="s">
        <v>187</v>
      </c>
      <c r="Q141" s="64" t="s">
        <v>181</v>
      </c>
      <c r="R141" s="64" t="s">
        <v>188</v>
      </c>
      <c r="U141" s="65" t="str">
        <f t="shared" si="4"/>
        <v>SameTrial</v>
      </c>
      <c r="W141" s="65" t="str">
        <f t="shared" si="5"/>
        <v>SameTrial</v>
      </c>
      <c r="Y141" s="63"/>
      <c r="AS141" s="65" t="str">
        <f t="shared" si="6"/>
        <v>Exclude</v>
      </c>
      <c r="AU141" s="65" t="str">
        <f t="shared" si="7"/>
        <v>Exclude</v>
      </c>
    </row>
    <row r="142" spans="1:47" s="64" customFormat="1" x14ac:dyDescent="0.25">
      <c r="A142" s="63"/>
      <c r="U142" s="65" t="str">
        <f t="shared" si="4"/>
        <v>Exclude</v>
      </c>
      <c r="W142" s="65" t="str">
        <f t="shared" si="5"/>
        <v>Exclude</v>
      </c>
      <c r="Y142" s="63"/>
      <c r="AS142" s="65" t="str">
        <f t="shared" si="6"/>
        <v>Exclude</v>
      </c>
      <c r="AU142" s="65" t="str">
        <f t="shared" si="7"/>
        <v>Exclude</v>
      </c>
    </row>
    <row r="143" spans="1:47" s="64" customFormat="1" x14ac:dyDescent="0.25">
      <c r="A143" s="63"/>
      <c r="U143" s="65" t="str">
        <f t="shared" si="4"/>
        <v>Exclude</v>
      </c>
      <c r="W143" s="65" t="str">
        <f t="shared" si="5"/>
        <v>Exclude</v>
      </c>
      <c r="Y143" s="63"/>
      <c r="AS143" s="65" t="str">
        <f t="shared" si="6"/>
        <v>Exclude</v>
      </c>
      <c r="AU143" s="65" t="str">
        <f t="shared" si="7"/>
        <v>Exclude</v>
      </c>
    </row>
    <row r="144" spans="1:47" s="64" customFormat="1" x14ac:dyDescent="0.25">
      <c r="A144" s="63"/>
      <c r="U144" s="65" t="str">
        <f t="shared" si="4"/>
        <v>Exclude</v>
      </c>
      <c r="W144" s="65" t="str">
        <f t="shared" si="5"/>
        <v>Exclude</v>
      </c>
      <c r="Y144" s="63"/>
      <c r="AS144" s="65" t="str">
        <f t="shared" si="6"/>
        <v>Exclude</v>
      </c>
      <c r="AU144" s="65" t="str">
        <f t="shared" si="7"/>
        <v>Exclude</v>
      </c>
    </row>
    <row r="145" spans="1:47" s="64" customFormat="1" x14ac:dyDescent="0.25">
      <c r="A145" s="63"/>
      <c r="U145" s="65" t="str">
        <f t="shared" si="4"/>
        <v>Exclude</v>
      </c>
      <c r="W145" s="65" t="str">
        <f t="shared" si="5"/>
        <v>Exclude</v>
      </c>
      <c r="Y145" s="63"/>
      <c r="AS145" s="65" t="str">
        <f t="shared" si="6"/>
        <v>Exclude</v>
      </c>
      <c r="AU145" s="65" t="str">
        <f t="shared" si="7"/>
        <v>Exclude</v>
      </c>
    </row>
    <row r="146" spans="1:47" s="64" customFormat="1" x14ac:dyDescent="0.25">
      <c r="A146" s="63"/>
      <c r="U146" s="65" t="str">
        <f t="shared" si="4"/>
        <v>Exclude</v>
      </c>
      <c r="W146" s="65" t="str">
        <f t="shared" si="5"/>
        <v>Exclude</v>
      </c>
      <c r="Y146" s="63"/>
      <c r="AS146" s="65" t="str">
        <f t="shared" si="6"/>
        <v>Exclude</v>
      </c>
      <c r="AU146" s="65" t="str">
        <f t="shared" si="7"/>
        <v>Exclude</v>
      </c>
    </row>
    <row r="147" spans="1:47" s="64" customFormat="1" x14ac:dyDescent="0.25">
      <c r="A147" s="63"/>
      <c r="U147" s="65" t="str">
        <f t="shared" si="4"/>
        <v>Exclude</v>
      </c>
      <c r="W147" s="65" t="str">
        <f t="shared" si="5"/>
        <v>Exclude</v>
      </c>
      <c r="Y147" s="63"/>
      <c r="AS147" s="65" t="str">
        <f t="shared" si="6"/>
        <v>Exclude</v>
      </c>
      <c r="AU147" s="65" t="str">
        <f t="shared" si="7"/>
        <v>Exclude</v>
      </c>
    </row>
    <row r="148" spans="1:47" s="64" customFormat="1" x14ac:dyDescent="0.25">
      <c r="A148" s="63"/>
      <c r="U148" s="65" t="str">
        <f t="shared" si="4"/>
        <v>Exclude</v>
      </c>
      <c r="W148" s="65" t="str">
        <f t="shared" si="5"/>
        <v>Exclude</v>
      </c>
      <c r="Y148" s="63"/>
      <c r="AS148" s="65" t="str">
        <f t="shared" si="6"/>
        <v>Exclude</v>
      </c>
      <c r="AU148" s="65" t="str">
        <f t="shared" si="7"/>
        <v>Exclude</v>
      </c>
    </row>
    <row r="149" spans="1:47" s="64" customFormat="1" x14ac:dyDescent="0.25">
      <c r="A149" s="63"/>
      <c r="U149" s="65" t="str">
        <f t="shared" si="4"/>
        <v>Exclude</v>
      </c>
      <c r="W149" s="65" t="str">
        <f t="shared" si="5"/>
        <v>Exclude</v>
      </c>
      <c r="Y149" s="63"/>
      <c r="AS149" s="65" t="str">
        <f t="shared" si="6"/>
        <v>Exclude</v>
      </c>
      <c r="AU149" s="65" t="str">
        <f t="shared" si="7"/>
        <v>Exclude</v>
      </c>
    </row>
    <row r="150" spans="1:47" s="64" customFormat="1" x14ac:dyDescent="0.25">
      <c r="A150" s="63"/>
      <c r="U150" s="65" t="str">
        <f t="shared" si="4"/>
        <v>Exclude</v>
      </c>
      <c r="W150" s="65" t="str">
        <f t="shared" si="5"/>
        <v>Exclude</v>
      </c>
      <c r="Y150" s="63"/>
      <c r="AS150" s="65" t="str">
        <f t="shared" si="6"/>
        <v>Exclude</v>
      </c>
      <c r="AU150" s="65" t="str">
        <f t="shared" si="7"/>
        <v>Exclude</v>
      </c>
    </row>
    <row r="151" spans="1:47" s="64" customFormat="1" x14ac:dyDescent="0.25">
      <c r="A151" s="63"/>
      <c r="U151" s="65" t="str">
        <f t="shared" ref="U151:U214" si="8">IF(OR(R151="TruePositive",R151="TrueNegative"),IF(R150&lt;&gt;"Anticipatory",IF(OR(R150="FalseNegative",R150="FalsePositive"),"SameTrial",(N151)),"Pant"),IF(OR(R151="FalsePositive",R151="FalseNegative"),IF(R150&lt;&gt;"Anticipatory",IF(OR(R150="FalsePositive",R150="FalseNegative"),"SameTrial","Exclude"),"Exclude"),"Exclude"))</f>
        <v>Exclude</v>
      </c>
      <c r="W151" s="65" t="str">
        <f t="shared" ref="W151:W214" si="9">IF(OR(R151="TruePositive",R151="TrueNegative"),IF(R150&lt;&gt;"Anticipatory",IF(OR(R150="FalseNegative",R150="FalsePositive"),"SameTrial",LOG10(N151)),"Pant"),IF(OR(R151="FalsePositive",R151="FalseNegative"),IF(R150&lt;&gt;"Anticipatory",IF(OR(R150="FalsePositive",R150="FalseNegative"),"SameTrial","Exclude"),"Exclude"),"Exclude"))</f>
        <v>Exclude</v>
      </c>
      <c r="Y151" s="63"/>
      <c r="AS151" s="65" t="str">
        <f t="shared" ref="AS151:AS214" si="10">IF(OR(AP151="TruePositive",AP151="TrueNegative"),IF(AP150&lt;&gt;"Anticipatory",IF(OR(AP150="FalseNegative",AP150="FalsePositive"),"SameTrial",(AL151)),"Pant"),IF(OR(AP151="FalsePositive",AP151="FalseNegative"),IF(AP150&lt;&gt;"Anticipatory",IF(OR(AP150="FalsePositive",AP150="FalseNegative"),"SameTrial","Exclude"),"Exclude"),"Exclude"))</f>
        <v>Exclude</v>
      </c>
      <c r="AU151" s="65" t="str">
        <f t="shared" ref="AU151:AU214" si="11">IF(OR(AP151="TruePositive",AP151="TrueNegative"),IF(AP150&lt;&gt;"Anticipatory",IF(OR(AP150="FalseNegative",AP150="FalsePositive"),"SameTrial",LOG10(AL151)),"Pant"),IF(OR(AP151="FalsePositive",AP151="FalseNegative"),IF(AP150&lt;&gt;"Anticipatory",IF(OR(AP150="FalsePositive",AP150="FalseNegative"),"SameTrial","Exclude"),"Exclude"),"Exclude"))</f>
        <v>Exclude</v>
      </c>
    </row>
    <row r="152" spans="1:47" s="64" customFormat="1" x14ac:dyDescent="0.25">
      <c r="A152" s="63"/>
      <c r="U152" s="65" t="str">
        <f t="shared" si="8"/>
        <v>Exclude</v>
      </c>
      <c r="W152" s="65" t="str">
        <f t="shared" si="9"/>
        <v>Exclude</v>
      </c>
      <c r="Y152" s="63"/>
      <c r="AS152" s="65" t="str">
        <f t="shared" si="10"/>
        <v>Exclude</v>
      </c>
      <c r="AU152" s="65" t="str">
        <f t="shared" si="11"/>
        <v>Exclude</v>
      </c>
    </row>
    <row r="153" spans="1:47" s="64" customFormat="1" x14ac:dyDescent="0.25">
      <c r="A153" s="63"/>
      <c r="U153" s="65" t="str">
        <f t="shared" si="8"/>
        <v>Exclude</v>
      </c>
      <c r="W153" s="65" t="str">
        <f t="shared" si="9"/>
        <v>Exclude</v>
      </c>
      <c r="Y153" s="63"/>
      <c r="AS153" s="65" t="str">
        <f t="shared" si="10"/>
        <v>Exclude</v>
      </c>
      <c r="AU153" s="65" t="str">
        <f t="shared" si="11"/>
        <v>Exclude</v>
      </c>
    </row>
    <row r="154" spans="1:47" s="64" customFormat="1" x14ac:dyDescent="0.25">
      <c r="A154" s="63"/>
      <c r="U154" s="65" t="str">
        <f t="shared" si="8"/>
        <v>Exclude</v>
      </c>
      <c r="W154" s="65" t="str">
        <f t="shared" si="9"/>
        <v>Exclude</v>
      </c>
      <c r="Y154" s="63"/>
      <c r="AS154" s="65" t="str">
        <f t="shared" si="10"/>
        <v>Exclude</v>
      </c>
      <c r="AU154" s="65" t="str">
        <f t="shared" si="11"/>
        <v>Exclude</v>
      </c>
    </row>
    <row r="155" spans="1:47" s="64" customFormat="1" x14ac:dyDescent="0.25">
      <c r="A155" s="63"/>
      <c r="U155" s="65" t="str">
        <f t="shared" si="8"/>
        <v>Exclude</v>
      </c>
      <c r="W155" s="65" t="str">
        <f t="shared" si="9"/>
        <v>Exclude</v>
      </c>
      <c r="Y155" s="63"/>
      <c r="AS155" s="65" t="str">
        <f t="shared" si="10"/>
        <v>Exclude</v>
      </c>
      <c r="AU155" s="65" t="str">
        <f t="shared" si="11"/>
        <v>Exclude</v>
      </c>
    </row>
    <row r="156" spans="1:47" s="64" customFormat="1" x14ac:dyDescent="0.25">
      <c r="A156" s="63"/>
      <c r="U156" s="65" t="str">
        <f t="shared" si="8"/>
        <v>Exclude</v>
      </c>
      <c r="W156" s="65" t="str">
        <f t="shared" si="9"/>
        <v>Exclude</v>
      </c>
      <c r="Y156" s="63"/>
      <c r="AS156" s="65" t="str">
        <f t="shared" si="10"/>
        <v>Exclude</v>
      </c>
      <c r="AU156" s="65" t="str">
        <f t="shared" si="11"/>
        <v>Exclude</v>
      </c>
    </row>
    <row r="157" spans="1:47" s="64" customFormat="1" x14ac:dyDescent="0.25">
      <c r="A157" s="63"/>
      <c r="U157" s="65" t="str">
        <f t="shared" si="8"/>
        <v>Exclude</v>
      </c>
      <c r="W157" s="65" t="str">
        <f t="shared" si="9"/>
        <v>Exclude</v>
      </c>
      <c r="Y157" s="63"/>
      <c r="AS157" s="65" t="str">
        <f t="shared" si="10"/>
        <v>Exclude</v>
      </c>
      <c r="AU157" s="65" t="str">
        <f t="shared" si="11"/>
        <v>Exclude</v>
      </c>
    </row>
    <row r="158" spans="1:47" s="64" customFormat="1" x14ac:dyDescent="0.25">
      <c r="A158" s="63"/>
      <c r="U158" s="65" t="str">
        <f t="shared" si="8"/>
        <v>Exclude</v>
      </c>
      <c r="W158" s="65" t="str">
        <f t="shared" si="9"/>
        <v>Exclude</v>
      </c>
      <c r="Y158" s="63"/>
      <c r="AS158" s="65" t="str">
        <f t="shared" si="10"/>
        <v>Exclude</v>
      </c>
      <c r="AU158" s="65" t="str">
        <f t="shared" si="11"/>
        <v>Exclude</v>
      </c>
    </row>
    <row r="159" spans="1:47" s="64" customFormat="1" x14ac:dyDescent="0.25">
      <c r="A159" s="63"/>
      <c r="U159" s="65" t="str">
        <f t="shared" si="8"/>
        <v>Exclude</v>
      </c>
      <c r="W159" s="65" t="str">
        <f t="shared" si="9"/>
        <v>Exclude</v>
      </c>
      <c r="Y159" s="63"/>
      <c r="AS159" s="65" t="str">
        <f t="shared" si="10"/>
        <v>Exclude</v>
      </c>
      <c r="AU159" s="65" t="str">
        <f t="shared" si="11"/>
        <v>Exclude</v>
      </c>
    </row>
    <row r="160" spans="1:47" s="64" customFormat="1" x14ac:dyDescent="0.25">
      <c r="A160" s="63"/>
      <c r="U160" s="65" t="str">
        <f t="shared" si="8"/>
        <v>Exclude</v>
      </c>
      <c r="W160" s="65" t="str">
        <f t="shared" si="9"/>
        <v>Exclude</v>
      </c>
      <c r="Y160" s="63"/>
      <c r="AS160" s="65" t="str">
        <f t="shared" si="10"/>
        <v>Exclude</v>
      </c>
      <c r="AU160" s="65" t="str">
        <f t="shared" si="11"/>
        <v>Exclude</v>
      </c>
    </row>
    <row r="161" spans="1:47" s="64" customFormat="1" x14ac:dyDescent="0.25">
      <c r="A161" s="63"/>
      <c r="U161" s="65" t="str">
        <f t="shared" si="8"/>
        <v>Exclude</v>
      </c>
      <c r="W161" s="65" t="str">
        <f t="shared" si="9"/>
        <v>Exclude</v>
      </c>
      <c r="Y161" s="63"/>
      <c r="AS161" s="65" t="str">
        <f t="shared" si="10"/>
        <v>Exclude</v>
      </c>
      <c r="AU161" s="65" t="str">
        <f t="shared" si="11"/>
        <v>Exclude</v>
      </c>
    </row>
    <row r="162" spans="1:47" s="64" customFormat="1" x14ac:dyDescent="0.25">
      <c r="A162" s="63"/>
      <c r="U162" s="65" t="str">
        <f t="shared" si="8"/>
        <v>Exclude</v>
      </c>
      <c r="W162" s="65" t="str">
        <f t="shared" si="9"/>
        <v>Exclude</v>
      </c>
      <c r="Y162" s="63"/>
      <c r="AS162" s="65" t="str">
        <f t="shared" si="10"/>
        <v>Exclude</v>
      </c>
      <c r="AU162" s="65" t="str">
        <f t="shared" si="11"/>
        <v>Exclude</v>
      </c>
    </row>
    <row r="163" spans="1:47" s="64" customFormat="1" x14ac:dyDescent="0.25">
      <c r="A163" s="63"/>
      <c r="U163" s="65" t="str">
        <f t="shared" si="8"/>
        <v>Exclude</v>
      </c>
      <c r="W163" s="65" t="str">
        <f t="shared" si="9"/>
        <v>Exclude</v>
      </c>
      <c r="Y163" s="63"/>
      <c r="AS163" s="65" t="str">
        <f t="shared" si="10"/>
        <v>Exclude</v>
      </c>
      <c r="AU163" s="65" t="str">
        <f t="shared" si="11"/>
        <v>Exclude</v>
      </c>
    </row>
    <row r="164" spans="1:47" s="64" customFormat="1" x14ac:dyDescent="0.25">
      <c r="A164" s="63"/>
      <c r="U164" s="65" t="str">
        <f t="shared" si="8"/>
        <v>Exclude</v>
      </c>
      <c r="W164" s="65" t="str">
        <f t="shared" si="9"/>
        <v>Exclude</v>
      </c>
      <c r="Y164" s="63"/>
      <c r="AS164" s="65" t="str">
        <f t="shared" si="10"/>
        <v>Exclude</v>
      </c>
      <c r="AU164" s="65" t="str">
        <f t="shared" si="11"/>
        <v>Exclude</v>
      </c>
    </row>
    <row r="165" spans="1:47" s="64" customFormat="1" x14ac:dyDescent="0.25">
      <c r="A165" s="63"/>
      <c r="U165" s="65" t="str">
        <f t="shared" si="8"/>
        <v>Exclude</v>
      </c>
      <c r="W165" s="65" t="str">
        <f t="shared" si="9"/>
        <v>Exclude</v>
      </c>
      <c r="Y165" s="63"/>
      <c r="AS165" s="65" t="str">
        <f t="shared" si="10"/>
        <v>Exclude</v>
      </c>
      <c r="AU165" s="65" t="str">
        <f t="shared" si="11"/>
        <v>Exclude</v>
      </c>
    </row>
    <row r="166" spans="1:47" s="64" customFormat="1" x14ac:dyDescent="0.25">
      <c r="A166" s="63"/>
      <c r="U166" s="65" t="str">
        <f t="shared" si="8"/>
        <v>Exclude</v>
      </c>
      <c r="W166" s="65" t="str">
        <f t="shared" si="9"/>
        <v>Exclude</v>
      </c>
      <c r="Y166" s="63"/>
      <c r="AS166" s="65" t="str">
        <f t="shared" si="10"/>
        <v>Exclude</v>
      </c>
      <c r="AU166" s="65" t="str">
        <f t="shared" si="11"/>
        <v>Exclude</v>
      </c>
    </row>
    <row r="167" spans="1:47" s="64" customFormat="1" x14ac:dyDescent="0.25">
      <c r="A167" s="63"/>
      <c r="U167" s="65" t="str">
        <f t="shared" si="8"/>
        <v>Exclude</v>
      </c>
      <c r="W167" s="65" t="str">
        <f t="shared" si="9"/>
        <v>Exclude</v>
      </c>
      <c r="Y167" s="63"/>
      <c r="AS167" s="65" t="str">
        <f t="shared" si="10"/>
        <v>Exclude</v>
      </c>
      <c r="AU167" s="65" t="str">
        <f t="shared" si="11"/>
        <v>Exclude</v>
      </c>
    </row>
    <row r="168" spans="1:47" s="64" customFormat="1" x14ac:dyDescent="0.25">
      <c r="A168" s="63"/>
      <c r="U168" s="65" t="str">
        <f t="shared" si="8"/>
        <v>Exclude</v>
      </c>
      <c r="W168" s="65" t="str">
        <f t="shared" si="9"/>
        <v>Exclude</v>
      </c>
      <c r="Y168" s="63"/>
      <c r="AS168" s="65" t="str">
        <f t="shared" si="10"/>
        <v>Exclude</v>
      </c>
      <c r="AU168" s="65" t="str">
        <f t="shared" si="11"/>
        <v>Exclude</v>
      </c>
    </row>
    <row r="169" spans="1:47" s="64" customFormat="1" x14ac:dyDescent="0.25">
      <c r="A169" s="63"/>
      <c r="U169" s="65" t="str">
        <f t="shared" si="8"/>
        <v>Exclude</v>
      </c>
      <c r="W169" s="65" t="str">
        <f t="shared" si="9"/>
        <v>Exclude</v>
      </c>
      <c r="Y169" s="63"/>
      <c r="AS169" s="65" t="str">
        <f t="shared" si="10"/>
        <v>Exclude</v>
      </c>
      <c r="AU169" s="65" t="str">
        <f t="shared" si="11"/>
        <v>Exclude</v>
      </c>
    </row>
    <row r="170" spans="1:47" s="64" customFormat="1" x14ac:dyDescent="0.25">
      <c r="A170" s="63"/>
      <c r="U170" s="65" t="str">
        <f t="shared" si="8"/>
        <v>Exclude</v>
      </c>
      <c r="W170" s="65" t="str">
        <f t="shared" si="9"/>
        <v>Exclude</v>
      </c>
      <c r="Y170" s="63"/>
      <c r="AS170" s="65" t="str">
        <f t="shared" si="10"/>
        <v>Exclude</v>
      </c>
      <c r="AU170" s="65" t="str">
        <f t="shared" si="11"/>
        <v>Exclude</v>
      </c>
    </row>
    <row r="171" spans="1:47" s="64" customFormat="1" x14ac:dyDescent="0.25">
      <c r="A171" s="63"/>
      <c r="U171" s="65" t="str">
        <f t="shared" si="8"/>
        <v>Exclude</v>
      </c>
      <c r="W171" s="65" t="str">
        <f t="shared" si="9"/>
        <v>Exclude</v>
      </c>
      <c r="Y171" s="63"/>
      <c r="AS171" s="65" t="str">
        <f t="shared" si="10"/>
        <v>Exclude</v>
      </c>
      <c r="AU171" s="65" t="str">
        <f t="shared" si="11"/>
        <v>Exclude</v>
      </c>
    </row>
    <row r="172" spans="1:47" s="64" customFormat="1" x14ac:dyDescent="0.25">
      <c r="A172" s="63"/>
      <c r="U172" s="65" t="str">
        <f t="shared" si="8"/>
        <v>Exclude</v>
      </c>
      <c r="W172" s="65" t="str">
        <f t="shared" si="9"/>
        <v>Exclude</v>
      </c>
      <c r="Y172" s="63"/>
      <c r="AS172" s="65" t="str">
        <f t="shared" si="10"/>
        <v>Exclude</v>
      </c>
      <c r="AU172" s="65" t="str">
        <f t="shared" si="11"/>
        <v>Exclude</v>
      </c>
    </row>
    <row r="173" spans="1:47" s="64" customFormat="1" x14ac:dyDescent="0.25">
      <c r="A173" s="63"/>
      <c r="U173" s="65" t="str">
        <f t="shared" si="8"/>
        <v>Exclude</v>
      </c>
      <c r="W173" s="65" t="str">
        <f t="shared" si="9"/>
        <v>Exclude</v>
      </c>
      <c r="Y173" s="63"/>
      <c r="AS173" s="65" t="str">
        <f t="shared" si="10"/>
        <v>Exclude</v>
      </c>
      <c r="AU173" s="65" t="str">
        <f t="shared" si="11"/>
        <v>Exclude</v>
      </c>
    </row>
    <row r="174" spans="1:47" s="64" customFormat="1" x14ac:dyDescent="0.25">
      <c r="A174" s="63"/>
      <c r="U174" s="65" t="str">
        <f t="shared" si="8"/>
        <v>Exclude</v>
      </c>
      <c r="W174" s="65" t="str">
        <f t="shared" si="9"/>
        <v>Exclude</v>
      </c>
      <c r="Y174" s="63"/>
      <c r="AS174" s="65" t="str">
        <f t="shared" si="10"/>
        <v>Exclude</v>
      </c>
      <c r="AU174" s="65" t="str">
        <f t="shared" si="11"/>
        <v>Exclude</v>
      </c>
    </row>
    <row r="175" spans="1:47" s="64" customFormat="1" x14ac:dyDescent="0.25">
      <c r="A175" s="63"/>
      <c r="U175" s="65" t="str">
        <f t="shared" si="8"/>
        <v>Exclude</v>
      </c>
      <c r="W175" s="65" t="str">
        <f t="shared" si="9"/>
        <v>Exclude</v>
      </c>
      <c r="Y175" s="63"/>
      <c r="AS175" s="65" t="str">
        <f t="shared" si="10"/>
        <v>Exclude</v>
      </c>
      <c r="AU175" s="65" t="str">
        <f t="shared" si="11"/>
        <v>Exclude</v>
      </c>
    </row>
    <row r="176" spans="1:47" s="64" customFormat="1" x14ac:dyDescent="0.25">
      <c r="A176" s="63"/>
      <c r="U176" s="65" t="str">
        <f t="shared" si="8"/>
        <v>Exclude</v>
      </c>
      <c r="W176" s="65" t="str">
        <f t="shared" si="9"/>
        <v>Exclude</v>
      </c>
      <c r="Y176" s="63"/>
      <c r="AS176" s="65" t="str">
        <f t="shared" si="10"/>
        <v>Exclude</v>
      </c>
      <c r="AU176" s="65" t="str">
        <f t="shared" si="11"/>
        <v>Exclude</v>
      </c>
    </row>
    <row r="177" spans="1:47" s="64" customFormat="1" x14ac:dyDescent="0.25">
      <c r="A177" s="63"/>
      <c r="U177" s="65" t="str">
        <f t="shared" si="8"/>
        <v>Exclude</v>
      </c>
      <c r="W177" s="65" t="str">
        <f t="shared" si="9"/>
        <v>Exclude</v>
      </c>
      <c r="Y177" s="63"/>
      <c r="AS177" s="65" t="str">
        <f t="shared" si="10"/>
        <v>Exclude</v>
      </c>
      <c r="AU177" s="65" t="str">
        <f t="shared" si="11"/>
        <v>Exclude</v>
      </c>
    </row>
    <row r="178" spans="1:47" s="64" customFormat="1" x14ac:dyDescent="0.25">
      <c r="A178" s="63"/>
      <c r="U178" s="65" t="str">
        <f t="shared" si="8"/>
        <v>Exclude</v>
      </c>
      <c r="W178" s="65" t="str">
        <f t="shared" si="9"/>
        <v>Exclude</v>
      </c>
      <c r="Y178" s="63"/>
      <c r="AS178" s="65" t="str">
        <f t="shared" si="10"/>
        <v>Exclude</v>
      </c>
      <c r="AU178" s="65" t="str">
        <f t="shared" si="11"/>
        <v>Exclude</v>
      </c>
    </row>
    <row r="179" spans="1:47" s="64" customFormat="1" x14ac:dyDescent="0.25">
      <c r="A179" s="63"/>
      <c r="U179" s="65" t="str">
        <f t="shared" si="8"/>
        <v>Exclude</v>
      </c>
      <c r="W179" s="65" t="str">
        <f t="shared" si="9"/>
        <v>Exclude</v>
      </c>
      <c r="Y179" s="63"/>
      <c r="AS179" s="65" t="str">
        <f t="shared" si="10"/>
        <v>Exclude</v>
      </c>
      <c r="AU179" s="65" t="str">
        <f t="shared" si="11"/>
        <v>Exclude</v>
      </c>
    </row>
    <row r="180" spans="1:47" s="64" customFormat="1" x14ac:dyDescent="0.25">
      <c r="A180" s="63"/>
      <c r="U180" s="65" t="str">
        <f t="shared" si="8"/>
        <v>Exclude</v>
      </c>
      <c r="W180" s="65" t="str">
        <f t="shared" si="9"/>
        <v>Exclude</v>
      </c>
      <c r="Y180" s="63"/>
      <c r="AS180" s="65" t="str">
        <f t="shared" si="10"/>
        <v>Exclude</v>
      </c>
      <c r="AU180" s="65" t="str">
        <f t="shared" si="11"/>
        <v>Exclude</v>
      </c>
    </row>
    <row r="181" spans="1:47" s="64" customFormat="1" x14ac:dyDescent="0.25">
      <c r="A181" s="63"/>
      <c r="U181" s="65" t="str">
        <f t="shared" si="8"/>
        <v>Exclude</v>
      </c>
      <c r="W181" s="65" t="str">
        <f t="shared" si="9"/>
        <v>Exclude</v>
      </c>
      <c r="Y181" s="63"/>
      <c r="AS181" s="65" t="str">
        <f t="shared" si="10"/>
        <v>Exclude</v>
      </c>
      <c r="AU181" s="65" t="str">
        <f t="shared" si="11"/>
        <v>Exclude</v>
      </c>
    </row>
    <row r="182" spans="1:47" s="64" customFormat="1" x14ac:dyDescent="0.25">
      <c r="A182" s="63"/>
      <c r="U182" s="65" t="str">
        <f t="shared" si="8"/>
        <v>Exclude</v>
      </c>
      <c r="W182" s="65" t="str">
        <f t="shared" si="9"/>
        <v>Exclude</v>
      </c>
      <c r="Y182" s="63"/>
      <c r="AS182" s="65" t="str">
        <f t="shared" si="10"/>
        <v>Exclude</v>
      </c>
      <c r="AU182" s="65" t="str">
        <f t="shared" si="11"/>
        <v>Exclude</v>
      </c>
    </row>
    <row r="183" spans="1:47" s="64" customFormat="1" x14ac:dyDescent="0.25">
      <c r="A183" s="63"/>
      <c r="U183" s="65" t="str">
        <f t="shared" si="8"/>
        <v>Exclude</v>
      </c>
      <c r="W183" s="65" t="str">
        <f t="shared" si="9"/>
        <v>Exclude</v>
      </c>
      <c r="Y183" s="63"/>
      <c r="AS183" s="65" t="str">
        <f t="shared" si="10"/>
        <v>Exclude</v>
      </c>
      <c r="AU183" s="65" t="str">
        <f t="shared" si="11"/>
        <v>Exclude</v>
      </c>
    </row>
    <row r="184" spans="1:47" s="64" customFormat="1" x14ac:dyDescent="0.25">
      <c r="A184" s="63"/>
      <c r="U184" s="65" t="str">
        <f t="shared" si="8"/>
        <v>Exclude</v>
      </c>
      <c r="W184" s="65" t="str">
        <f t="shared" si="9"/>
        <v>Exclude</v>
      </c>
      <c r="Y184" s="63"/>
      <c r="AS184" s="65" t="str">
        <f t="shared" si="10"/>
        <v>Exclude</v>
      </c>
      <c r="AU184" s="65" t="str">
        <f t="shared" si="11"/>
        <v>Exclude</v>
      </c>
    </row>
    <row r="185" spans="1:47" s="64" customFormat="1" x14ac:dyDescent="0.25">
      <c r="A185" s="63"/>
      <c r="U185" s="65" t="str">
        <f t="shared" si="8"/>
        <v>Exclude</v>
      </c>
      <c r="W185" s="65" t="str">
        <f t="shared" si="9"/>
        <v>Exclude</v>
      </c>
      <c r="Y185" s="63"/>
      <c r="AS185" s="65" t="str">
        <f t="shared" si="10"/>
        <v>Exclude</v>
      </c>
      <c r="AU185" s="65" t="str">
        <f t="shared" si="11"/>
        <v>Exclude</v>
      </c>
    </row>
    <row r="186" spans="1:47" s="64" customFormat="1" x14ac:dyDescent="0.25">
      <c r="A186" s="63"/>
      <c r="U186" s="65" t="str">
        <f t="shared" si="8"/>
        <v>Exclude</v>
      </c>
      <c r="W186" s="65" t="str">
        <f t="shared" si="9"/>
        <v>Exclude</v>
      </c>
      <c r="Y186" s="63"/>
      <c r="AS186" s="65" t="str">
        <f t="shared" si="10"/>
        <v>Exclude</v>
      </c>
      <c r="AU186" s="65" t="str">
        <f t="shared" si="11"/>
        <v>Exclude</v>
      </c>
    </row>
    <row r="187" spans="1:47" s="64" customFormat="1" x14ac:dyDescent="0.25">
      <c r="A187" s="63"/>
      <c r="U187" s="65" t="str">
        <f t="shared" si="8"/>
        <v>Exclude</v>
      </c>
      <c r="W187" s="65" t="str">
        <f t="shared" si="9"/>
        <v>Exclude</v>
      </c>
      <c r="Y187" s="63"/>
      <c r="AS187" s="65" t="str">
        <f t="shared" si="10"/>
        <v>Exclude</v>
      </c>
      <c r="AU187" s="65" t="str">
        <f t="shared" si="11"/>
        <v>Exclude</v>
      </c>
    </row>
    <row r="188" spans="1:47" s="64" customFormat="1" x14ac:dyDescent="0.25">
      <c r="A188" s="63"/>
      <c r="U188" s="65" t="str">
        <f t="shared" si="8"/>
        <v>Exclude</v>
      </c>
      <c r="W188" s="65" t="str">
        <f t="shared" si="9"/>
        <v>Exclude</v>
      </c>
      <c r="Y188" s="63"/>
      <c r="AS188" s="65" t="str">
        <f t="shared" si="10"/>
        <v>Exclude</v>
      </c>
      <c r="AU188" s="65" t="str">
        <f t="shared" si="11"/>
        <v>Exclude</v>
      </c>
    </row>
    <row r="189" spans="1:47" s="64" customFormat="1" x14ac:dyDescent="0.25">
      <c r="A189" s="63"/>
      <c r="U189" s="65" t="str">
        <f t="shared" si="8"/>
        <v>Exclude</v>
      </c>
      <c r="W189" s="65" t="str">
        <f t="shared" si="9"/>
        <v>Exclude</v>
      </c>
      <c r="Y189" s="63"/>
      <c r="AS189" s="65" t="str">
        <f t="shared" si="10"/>
        <v>Exclude</v>
      </c>
      <c r="AU189" s="65" t="str">
        <f t="shared" si="11"/>
        <v>Exclude</v>
      </c>
    </row>
    <row r="190" spans="1:47" s="64" customFormat="1" x14ac:dyDescent="0.25">
      <c r="A190" s="63"/>
      <c r="U190" s="65" t="str">
        <f t="shared" si="8"/>
        <v>Exclude</v>
      </c>
      <c r="W190" s="65" t="str">
        <f t="shared" si="9"/>
        <v>Exclude</v>
      </c>
      <c r="Y190" s="63"/>
      <c r="AS190" s="65" t="str">
        <f t="shared" si="10"/>
        <v>Exclude</v>
      </c>
      <c r="AU190" s="65" t="str">
        <f t="shared" si="11"/>
        <v>Exclude</v>
      </c>
    </row>
    <row r="191" spans="1:47" s="64" customFormat="1" x14ac:dyDescent="0.25">
      <c r="A191" s="63"/>
      <c r="U191" s="65" t="str">
        <f t="shared" si="8"/>
        <v>Exclude</v>
      </c>
      <c r="W191" s="65" t="str">
        <f t="shared" si="9"/>
        <v>Exclude</v>
      </c>
      <c r="Y191" s="63"/>
      <c r="AS191" s="65" t="str">
        <f t="shared" si="10"/>
        <v>Exclude</v>
      </c>
      <c r="AU191" s="65" t="str">
        <f t="shared" si="11"/>
        <v>Exclude</v>
      </c>
    </row>
    <row r="192" spans="1:47" s="64" customFormat="1" x14ac:dyDescent="0.25">
      <c r="A192" s="63"/>
      <c r="U192" s="65" t="str">
        <f t="shared" si="8"/>
        <v>Exclude</v>
      </c>
      <c r="W192" s="65" t="str">
        <f t="shared" si="9"/>
        <v>Exclude</v>
      </c>
      <c r="Y192" s="63"/>
      <c r="AS192" s="65" t="str">
        <f t="shared" si="10"/>
        <v>Exclude</v>
      </c>
      <c r="AU192" s="65" t="str">
        <f t="shared" si="11"/>
        <v>Exclude</v>
      </c>
    </row>
    <row r="193" spans="1:47" s="64" customFormat="1" x14ac:dyDescent="0.25">
      <c r="A193" s="63"/>
      <c r="U193" s="65" t="str">
        <f t="shared" si="8"/>
        <v>Exclude</v>
      </c>
      <c r="W193" s="65" t="str">
        <f t="shared" si="9"/>
        <v>Exclude</v>
      </c>
      <c r="Y193" s="63"/>
      <c r="AS193" s="65" t="str">
        <f t="shared" si="10"/>
        <v>Exclude</v>
      </c>
      <c r="AU193" s="65" t="str">
        <f t="shared" si="11"/>
        <v>Exclude</v>
      </c>
    </row>
    <row r="194" spans="1:47" s="64" customFormat="1" x14ac:dyDescent="0.25">
      <c r="A194" s="63"/>
      <c r="U194" s="65" t="str">
        <f t="shared" si="8"/>
        <v>Exclude</v>
      </c>
      <c r="W194" s="65" t="str">
        <f t="shared" si="9"/>
        <v>Exclude</v>
      </c>
      <c r="Y194" s="63"/>
      <c r="AS194" s="65" t="str">
        <f t="shared" si="10"/>
        <v>Exclude</v>
      </c>
      <c r="AU194" s="65" t="str">
        <f t="shared" si="11"/>
        <v>Exclude</v>
      </c>
    </row>
    <row r="195" spans="1:47" s="64" customFormat="1" x14ac:dyDescent="0.25">
      <c r="A195" s="63"/>
      <c r="U195" s="65" t="str">
        <f t="shared" si="8"/>
        <v>Exclude</v>
      </c>
      <c r="W195" s="65" t="str">
        <f t="shared" si="9"/>
        <v>Exclude</v>
      </c>
      <c r="Y195" s="63"/>
      <c r="AS195" s="65" t="str">
        <f t="shared" si="10"/>
        <v>Exclude</v>
      </c>
      <c r="AU195" s="65" t="str">
        <f t="shared" si="11"/>
        <v>Exclude</v>
      </c>
    </row>
    <row r="196" spans="1:47" s="64" customFormat="1" x14ac:dyDescent="0.25">
      <c r="A196" s="63"/>
      <c r="U196" s="65" t="str">
        <f t="shared" si="8"/>
        <v>Exclude</v>
      </c>
      <c r="W196" s="65" t="str">
        <f t="shared" si="9"/>
        <v>Exclude</v>
      </c>
      <c r="Y196" s="63"/>
      <c r="AS196" s="65" t="str">
        <f t="shared" si="10"/>
        <v>Exclude</v>
      </c>
      <c r="AU196" s="65" t="str">
        <f t="shared" si="11"/>
        <v>Exclude</v>
      </c>
    </row>
    <row r="197" spans="1:47" s="64" customFormat="1" x14ac:dyDescent="0.25">
      <c r="A197" s="63"/>
      <c r="U197" s="65" t="str">
        <f t="shared" si="8"/>
        <v>Exclude</v>
      </c>
      <c r="W197" s="65" t="str">
        <f t="shared" si="9"/>
        <v>Exclude</v>
      </c>
      <c r="Y197" s="63"/>
      <c r="AS197" s="65" t="str">
        <f t="shared" si="10"/>
        <v>Exclude</v>
      </c>
      <c r="AU197" s="65" t="str">
        <f t="shared" si="11"/>
        <v>Exclude</v>
      </c>
    </row>
    <row r="198" spans="1:47" s="64" customFormat="1" x14ac:dyDescent="0.25">
      <c r="A198" s="63"/>
      <c r="U198" s="65" t="str">
        <f t="shared" si="8"/>
        <v>Exclude</v>
      </c>
      <c r="W198" s="65" t="str">
        <f t="shared" si="9"/>
        <v>Exclude</v>
      </c>
      <c r="Y198" s="63"/>
      <c r="AS198" s="65" t="str">
        <f t="shared" si="10"/>
        <v>Exclude</v>
      </c>
      <c r="AU198" s="65" t="str">
        <f t="shared" si="11"/>
        <v>Exclude</v>
      </c>
    </row>
    <row r="199" spans="1:47" s="64" customFormat="1" x14ac:dyDescent="0.25">
      <c r="A199" s="63"/>
      <c r="U199" s="65" t="str">
        <f t="shared" si="8"/>
        <v>Exclude</v>
      </c>
      <c r="W199" s="65" t="str">
        <f t="shared" si="9"/>
        <v>Exclude</v>
      </c>
      <c r="Y199" s="63"/>
      <c r="AS199" s="65" t="str">
        <f t="shared" si="10"/>
        <v>Exclude</v>
      </c>
      <c r="AU199" s="65" t="str">
        <f t="shared" si="11"/>
        <v>Exclude</v>
      </c>
    </row>
    <row r="200" spans="1:47" s="64" customFormat="1" x14ac:dyDescent="0.25">
      <c r="A200" s="63"/>
      <c r="U200" s="65" t="str">
        <f t="shared" si="8"/>
        <v>Exclude</v>
      </c>
      <c r="W200" s="65" t="str">
        <f t="shared" si="9"/>
        <v>Exclude</v>
      </c>
      <c r="Y200" s="63"/>
      <c r="AS200" s="65" t="str">
        <f t="shared" si="10"/>
        <v>Exclude</v>
      </c>
      <c r="AU200" s="65" t="str">
        <f t="shared" si="11"/>
        <v>Exclude</v>
      </c>
    </row>
    <row r="201" spans="1:47" s="64" customFormat="1" x14ac:dyDescent="0.25">
      <c r="A201" s="63"/>
      <c r="U201" s="65" t="str">
        <f t="shared" si="8"/>
        <v>Exclude</v>
      </c>
      <c r="W201" s="65" t="str">
        <f t="shared" si="9"/>
        <v>Exclude</v>
      </c>
      <c r="Y201" s="63"/>
      <c r="AS201" s="65" t="str">
        <f t="shared" si="10"/>
        <v>Exclude</v>
      </c>
      <c r="AU201" s="65" t="str">
        <f t="shared" si="11"/>
        <v>Exclude</v>
      </c>
    </row>
    <row r="202" spans="1:47" s="64" customFormat="1" x14ac:dyDescent="0.25">
      <c r="A202" s="63"/>
      <c r="U202" s="65" t="str">
        <f t="shared" si="8"/>
        <v>Exclude</v>
      </c>
      <c r="W202" s="65" t="str">
        <f t="shared" si="9"/>
        <v>Exclude</v>
      </c>
      <c r="Y202" s="63"/>
      <c r="AS202" s="65" t="str">
        <f t="shared" si="10"/>
        <v>Exclude</v>
      </c>
      <c r="AU202" s="65" t="str">
        <f t="shared" si="11"/>
        <v>Exclude</v>
      </c>
    </row>
    <row r="203" spans="1:47" s="64" customFormat="1" x14ac:dyDescent="0.25">
      <c r="A203" s="63"/>
      <c r="U203" s="65" t="str">
        <f t="shared" si="8"/>
        <v>Exclude</v>
      </c>
      <c r="W203" s="65" t="str">
        <f t="shared" si="9"/>
        <v>Exclude</v>
      </c>
      <c r="Y203" s="63"/>
      <c r="AS203" s="65" t="str">
        <f t="shared" si="10"/>
        <v>Exclude</v>
      </c>
      <c r="AU203" s="65" t="str">
        <f t="shared" si="11"/>
        <v>Exclude</v>
      </c>
    </row>
    <row r="204" spans="1:47" s="64" customFormat="1" x14ac:dyDescent="0.25">
      <c r="A204" s="63"/>
      <c r="U204" s="65" t="str">
        <f t="shared" si="8"/>
        <v>Exclude</v>
      </c>
      <c r="W204" s="65" t="str">
        <f t="shared" si="9"/>
        <v>Exclude</v>
      </c>
      <c r="Y204" s="63"/>
      <c r="AS204" s="65" t="str">
        <f t="shared" si="10"/>
        <v>Exclude</v>
      </c>
      <c r="AU204" s="65" t="str">
        <f t="shared" si="11"/>
        <v>Exclude</v>
      </c>
    </row>
    <row r="205" spans="1:47" s="64" customFormat="1" x14ac:dyDescent="0.25">
      <c r="A205" s="63"/>
      <c r="U205" s="65" t="str">
        <f t="shared" si="8"/>
        <v>Exclude</v>
      </c>
      <c r="W205" s="65" t="str">
        <f t="shared" si="9"/>
        <v>Exclude</v>
      </c>
      <c r="Y205" s="63"/>
      <c r="AS205" s="65" t="str">
        <f t="shared" si="10"/>
        <v>Exclude</v>
      </c>
      <c r="AU205" s="65" t="str">
        <f t="shared" si="11"/>
        <v>Exclude</v>
      </c>
    </row>
    <row r="206" spans="1:47" s="64" customFormat="1" x14ac:dyDescent="0.25">
      <c r="A206" s="63"/>
      <c r="U206" s="65" t="str">
        <f t="shared" si="8"/>
        <v>Exclude</v>
      </c>
      <c r="W206" s="65" t="str">
        <f t="shared" si="9"/>
        <v>Exclude</v>
      </c>
      <c r="Y206" s="63"/>
      <c r="AS206" s="65" t="str">
        <f t="shared" si="10"/>
        <v>Exclude</v>
      </c>
      <c r="AU206" s="65" t="str">
        <f t="shared" si="11"/>
        <v>Exclude</v>
      </c>
    </row>
    <row r="207" spans="1:47" s="64" customFormat="1" x14ac:dyDescent="0.25">
      <c r="A207" s="63"/>
      <c r="U207" s="65" t="str">
        <f t="shared" si="8"/>
        <v>Exclude</v>
      </c>
      <c r="W207" s="65" t="str">
        <f t="shared" si="9"/>
        <v>Exclude</v>
      </c>
      <c r="Y207" s="63"/>
      <c r="AS207" s="65" t="str">
        <f t="shared" si="10"/>
        <v>Exclude</v>
      </c>
      <c r="AU207" s="65" t="str">
        <f t="shared" si="11"/>
        <v>Exclude</v>
      </c>
    </row>
    <row r="208" spans="1:47" s="64" customFormat="1" x14ac:dyDescent="0.25">
      <c r="A208" s="63"/>
      <c r="U208" s="65" t="str">
        <f t="shared" si="8"/>
        <v>Exclude</v>
      </c>
      <c r="W208" s="65" t="str">
        <f t="shared" si="9"/>
        <v>Exclude</v>
      </c>
      <c r="Y208" s="63"/>
      <c r="AS208" s="65" t="str">
        <f t="shared" si="10"/>
        <v>Exclude</v>
      </c>
      <c r="AU208" s="65" t="str">
        <f t="shared" si="11"/>
        <v>Exclude</v>
      </c>
    </row>
    <row r="209" spans="1:47" s="64" customFormat="1" x14ac:dyDescent="0.25">
      <c r="A209" s="63"/>
      <c r="U209" s="65" t="str">
        <f t="shared" si="8"/>
        <v>Exclude</v>
      </c>
      <c r="W209" s="65" t="str">
        <f t="shared" si="9"/>
        <v>Exclude</v>
      </c>
      <c r="Y209" s="63"/>
      <c r="AS209" s="65" t="str">
        <f t="shared" si="10"/>
        <v>Exclude</v>
      </c>
      <c r="AU209" s="65" t="str">
        <f t="shared" si="11"/>
        <v>Exclude</v>
      </c>
    </row>
    <row r="210" spans="1:47" s="64" customFormat="1" x14ac:dyDescent="0.25">
      <c r="A210" s="63"/>
      <c r="U210" s="65" t="str">
        <f t="shared" si="8"/>
        <v>Exclude</v>
      </c>
      <c r="W210" s="65" t="str">
        <f t="shared" si="9"/>
        <v>Exclude</v>
      </c>
      <c r="Y210" s="63"/>
      <c r="AS210" s="65" t="str">
        <f t="shared" si="10"/>
        <v>Exclude</v>
      </c>
      <c r="AU210" s="65" t="str">
        <f t="shared" si="11"/>
        <v>Exclude</v>
      </c>
    </row>
    <row r="211" spans="1:47" s="64" customFormat="1" x14ac:dyDescent="0.25">
      <c r="A211" s="63"/>
      <c r="U211" s="65" t="str">
        <f t="shared" si="8"/>
        <v>Exclude</v>
      </c>
      <c r="W211" s="65" t="str">
        <f t="shared" si="9"/>
        <v>Exclude</v>
      </c>
      <c r="Y211" s="63"/>
      <c r="AS211" s="65" t="str">
        <f t="shared" si="10"/>
        <v>Exclude</v>
      </c>
      <c r="AU211" s="65" t="str">
        <f t="shared" si="11"/>
        <v>Exclude</v>
      </c>
    </row>
    <row r="212" spans="1:47" s="64" customFormat="1" x14ac:dyDescent="0.25">
      <c r="A212" s="63"/>
      <c r="U212" s="65" t="str">
        <f t="shared" si="8"/>
        <v>Exclude</v>
      </c>
      <c r="W212" s="65" t="str">
        <f t="shared" si="9"/>
        <v>Exclude</v>
      </c>
      <c r="Y212" s="63"/>
      <c r="AS212" s="65" t="str">
        <f t="shared" si="10"/>
        <v>Exclude</v>
      </c>
      <c r="AU212" s="65" t="str">
        <f t="shared" si="11"/>
        <v>Exclude</v>
      </c>
    </row>
    <row r="213" spans="1:47" s="64" customFormat="1" x14ac:dyDescent="0.25">
      <c r="A213" s="63"/>
      <c r="U213" s="65" t="str">
        <f t="shared" si="8"/>
        <v>Exclude</v>
      </c>
      <c r="W213" s="65" t="str">
        <f t="shared" si="9"/>
        <v>Exclude</v>
      </c>
      <c r="Y213" s="63"/>
      <c r="AS213" s="65" t="str">
        <f t="shared" si="10"/>
        <v>Exclude</v>
      </c>
      <c r="AU213" s="65" t="str">
        <f t="shared" si="11"/>
        <v>Exclude</v>
      </c>
    </row>
    <row r="214" spans="1:47" s="64" customFormat="1" x14ac:dyDescent="0.25">
      <c r="A214" s="63"/>
      <c r="U214" s="65" t="str">
        <f t="shared" si="8"/>
        <v>Exclude</v>
      </c>
      <c r="W214" s="65" t="str">
        <f t="shared" si="9"/>
        <v>Exclude</v>
      </c>
      <c r="Y214" s="63"/>
      <c r="AS214" s="65" t="str">
        <f t="shared" si="10"/>
        <v>Exclude</v>
      </c>
      <c r="AU214" s="65" t="str">
        <f t="shared" si="11"/>
        <v>Exclude</v>
      </c>
    </row>
    <row r="215" spans="1:47" s="64" customFormat="1" x14ac:dyDescent="0.25">
      <c r="A215" s="63"/>
      <c r="U215" s="65" t="str">
        <f t="shared" ref="U215:U278" si="12">IF(OR(R215="TruePositive",R215="TrueNegative"),IF(R214&lt;&gt;"Anticipatory",IF(OR(R214="FalseNegative",R214="FalsePositive"),"SameTrial",(N215)),"Pant"),IF(OR(R215="FalsePositive",R215="FalseNegative"),IF(R214&lt;&gt;"Anticipatory",IF(OR(R214="FalsePositive",R214="FalseNegative"),"SameTrial","Exclude"),"Exclude"),"Exclude"))</f>
        <v>Exclude</v>
      </c>
      <c r="W215" s="65" t="str">
        <f t="shared" ref="W215:W278" si="13">IF(OR(R215="TruePositive",R215="TrueNegative"),IF(R214&lt;&gt;"Anticipatory",IF(OR(R214="FalseNegative",R214="FalsePositive"),"SameTrial",LOG10(N215)),"Pant"),IF(OR(R215="FalsePositive",R215="FalseNegative"),IF(R214&lt;&gt;"Anticipatory",IF(OR(R214="FalsePositive",R214="FalseNegative"),"SameTrial","Exclude"),"Exclude"),"Exclude"))</f>
        <v>Exclude</v>
      </c>
      <c r="Y215" s="63"/>
      <c r="AS215" s="65" t="str">
        <f t="shared" ref="AS215:AS278" si="14">IF(OR(AP215="TruePositive",AP215="TrueNegative"),IF(AP214&lt;&gt;"Anticipatory",IF(OR(AP214="FalseNegative",AP214="FalsePositive"),"SameTrial",(AL215)),"Pant"),IF(OR(AP215="FalsePositive",AP215="FalseNegative"),IF(AP214&lt;&gt;"Anticipatory",IF(OR(AP214="FalsePositive",AP214="FalseNegative"),"SameTrial","Exclude"),"Exclude"),"Exclude"))</f>
        <v>Exclude</v>
      </c>
      <c r="AU215" s="65" t="str">
        <f t="shared" ref="AU215:AU278" si="15">IF(OR(AP215="TruePositive",AP215="TrueNegative"),IF(AP214&lt;&gt;"Anticipatory",IF(OR(AP214="FalseNegative",AP214="FalsePositive"),"SameTrial",LOG10(AL215)),"Pant"),IF(OR(AP215="FalsePositive",AP215="FalseNegative"),IF(AP214&lt;&gt;"Anticipatory",IF(OR(AP214="FalsePositive",AP214="FalseNegative"),"SameTrial","Exclude"),"Exclude"),"Exclude"))</f>
        <v>Exclude</v>
      </c>
    </row>
    <row r="216" spans="1:47" s="64" customFormat="1" x14ac:dyDescent="0.25">
      <c r="A216" s="63"/>
      <c r="U216" s="65" t="str">
        <f t="shared" si="12"/>
        <v>Exclude</v>
      </c>
      <c r="W216" s="65" t="str">
        <f t="shared" si="13"/>
        <v>Exclude</v>
      </c>
      <c r="Y216" s="63"/>
      <c r="AS216" s="65" t="str">
        <f t="shared" si="14"/>
        <v>Exclude</v>
      </c>
      <c r="AU216" s="65" t="str">
        <f t="shared" si="15"/>
        <v>Exclude</v>
      </c>
    </row>
    <row r="217" spans="1:47" s="64" customFormat="1" x14ac:dyDescent="0.25">
      <c r="A217" s="63"/>
      <c r="U217" s="65" t="str">
        <f t="shared" si="12"/>
        <v>Exclude</v>
      </c>
      <c r="W217" s="65" t="str">
        <f t="shared" si="13"/>
        <v>Exclude</v>
      </c>
      <c r="Y217" s="63"/>
      <c r="AS217" s="65" t="str">
        <f t="shared" si="14"/>
        <v>Exclude</v>
      </c>
      <c r="AU217" s="65" t="str">
        <f t="shared" si="15"/>
        <v>Exclude</v>
      </c>
    </row>
    <row r="218" spans="1:47" s="64" customFormat="1" x14ac:dyDescent="0.25">
      <c r="A218" s="63"/>
      <c r="U218" s="65" t="str">
        <f t="shared" si="12"/>
        <v>Exclude</v>
      </c>
      <c r="W218" s="65" t="str">
        <f t="shared" si="13"/>
        <v>Exclude</v>
      </c>
      <c r="Y218" s="63"/>
      <c r="AS218" s="65" t="str">
        <f t="shared" si="14"/>
        <v>Exclude</v>
      </c>
      <c r="AU218" s="65" t="str">
        <f t="shared" si="15"/>
        <v>Exclude</v>
      </c>
    </row>
    <row r="219" spans="1:47" s="64" customFormat="1" x14ac:dyDescent="0.25">
      <c r="A219" s="63"/>
      <c r="U219" s="65" t="str">
        <f t="shared" si="12"/>
        <v>Exclude</v>
      </c>
      <c r="W219" s="65" t="str">
        <f t="shared" si="13"/>
        <v>Exclude</v>
      </c>
      <c r="Y219" s="63"/>
      <c r="AS219" s="65" t="str">
        <f t="shared" si="14"/>
        <v>Exclude</v>
      </c>
      <c r="AU219" s="65" t="str">
        <f t="shared" si="15"/>
        <v>Exclude</v>
      </c>
    </row>
    <row r="220" spans="1:47" s="64" customFormat="1" x14ac:dyDescent="0.25">
      <c r="A220" s="63"/>
      <c r="U220" s="65" t="str">
        <f t="shared" si="12"/>
        <v>Exclude</v>
      </c>
      <c r="W220" s="65" t="str">
        <f t="shared" si="13"/>
        <v>Exclude</v>
      </c>
      <c r="Y220" s="63"/>
      <c r="AS220" s="65" t="str">
        <f t="shared" si="14"/>
        <v>Exclude</v>
      </c>
      <c r="AU220" s="65" t="str">
        <f t="shared" si="15"/>
        <v>Exclude</v>
      </c>
    </row>
    <row r="221" spans="1:47" s="64" customFormat="1" x14ac:dyDescent="0.25">
      <c r="A221" s="63"/>
      <c r="U221" s="65" t="str">
        <f t="shared" si="12"/>
        <v>Exclude</v>
      </c>
      <c r="W221" s="65" t="str">
        <f t="shared" si="13"/>
        <v>Exclude</v>
      </c>
      <c r="Y221" s="63"/>
      <c r="AS221" s="65" t="str">
        <f t="shared" si="14"/>
        <v>Exclude</v>
      </c>
      <c r="AU221" s="65" t="str">
        <f t="shared" si="15"/>
        <v>Exclude</v>
      </c>
    </row>
    <row r="222" spans="1:47" s="64" customFormat="1" x14ac:dyDescent="0.25">
      <c r="A222" s="63"/>
      <c r="U222" s="65" t="str">
        <f t="shared" si="12"/>
        <v>Exclude</v>
      </c>
      <c r="W222" s="65" t="str">
        <f t="shared" si="13"/>
        <v>Exclude</v>
      </c>
      <c r="Y222" s="63"/>
      <c r="AS222" s="65" t="str">
        <f t="shared" si="14"/>
        <v>Exclude</v>
      </c>
      <c r="AU222" s="65" t="str">
        <f t="shared" si="15"/>
        <v>Exclude</v>
      </c>
    </row>
    <row r="223" spans="1:47" s="64" customFormat="1" x14ac:dyDescent="0.25">
      <c r="A223" s="63"/>
      <c r="U223" s="65" t="str">
        <f t="shared" si="12"/>
        <v>Exclude</v>
      </c>
      <c r="W223" s="65" t="str">
        <f t="shared" si="13"/>
        <v>Exclude</v>
      </c>
      <c r="Y223" s="63"/>
      <c r="AS223" s="65" t="str">
        <f t="shared" si="14"/>
        <v>Exclude</v>
      </c>
      <c r="AU223" s="65" t="str">
        <f t="shared" si="15"/>
        <v>Exclude</v>
      </c>
    </row>
    <row r="224" spans="1:47" s="64" customFormat="1" x14ac:dyDescent="0.25">
      <c r="A224" s="63"/>
      <c r="U224" s="65" t="str">
        <f t="shared" si="12"/>
        <v>Exclude</v>
      </c>
      <c r="W224" s="65" t="str">
        <f t="shared" si="13"/>
        <v>Exclude</v>
      </c>
      <c r="Y224" s="63"/>
      <c r="AS224" s="65" t="str">
        <f t="shared" si="14"/>
        <v>Exclude</v>
      </c>
      <c r="AU224" s="65" t="str">
        <f t="shared" si="15"/>
        <v>Exclude</v>
      </c>
    </row>
    <row r="225" spans="1:47" s="64" customFormat="1" x14ac:dyDescent="0.25">
      <c r="A225" s="63"/>
      <c r="U225" s="65" t="str">
        <f t="shared" si="12"/>
        <v>Exclude</v>
      </c>
      <c r="W225" s="65" t="str">
        <f t="shared" si="13"/>
        <v>Exclude</v>
      </c>
      <c r="Y225" s="63"/>
      <c r="AS225" s="65" t="str">
        <f t="shared" si="14"/>
        <v>Exclude</v>
      </c>
      <c r="AU225" s="65" t="str">
        <f t="shared" si="15"/>
        <v>Exclude</v>
      </c>
    </row>
    <row r="226" spans="1:47" s="64" customFormat="1" x14ac:dyDescent="0.25">
      <c r="A226" s="63"/>
      <c r="U226" s="65" t="str">
        <f t="shared" si="12"/>
        <v>Exclude</v>
      </c>
      <c r="W226" s="65" t="str">
        <f t="shared" si="13"/>
        <v>Exclude</v>
      </c>
      <c r="Y226" s="63"/>
      <c r="AS226" s="65" t="str">
        <f t="shared" si="14"/>
        <v>Exclude</v>
      </c>
      <c r="AU226" s="65" t="str">
        <f t="shared" si="15"/>
        <v>Exclude</v>
      </c>
    </row>
    <row r="227" spans="1:47" s="64" customFormat="1" x14ac:dyDescent="0.25">
      <c r="A227" s="63"/>
      <c r="U227" s="65" t="str">
        <f t="shared" si="12"/>
        <v>Exclude</v>
      </c>
      <c r="W227" s="65" t="str">
        <f t="shared" si="13"/>
        <v>Exclude</v>
      </c>
      <c r="Y227" s="63"/>
      <c r="AS227" s="65" t="str">
        <f t="shared" si="14"/>
        <v>Exclude</v>
      </c>
      <c r="AU227" s="65" t="str">
        <f t="shared" si="15"/>
        <v>Exclude</v>
      </c>
    </row>
    <row r="228" spans="1:47" s="64" customFormat="1" x14ac:dyDescent="0.25">
      <c r="A228" s="63"/>
      <c r="U228" s="65" t="str">
        <f t="shared" si="12"/>
        <v>Exclude</v>
      </c>
      <c r="W228" s="65" t="str">
        <f t="shared" si="13"/>
        <v>Exclude</v>
      </c>
      <c r="Y228" s="63"/>
      <c r="AS228" s="65" t="str">
        <f t="shared" si="14"/>
        <v>Exclude</v>
      </c>
      <c r="AU228" s="65" t="str">
        <f t="shared" si="15"/>
        <v>Exclude</v>
      </c>
    </row>
    <row r="229" spans="1:47" s="64" customFormat="1" x14ac:dyDescent="0.25">
      <c r="A229" s="63"/>
      <c r="U229" s="65" t="str">
        <f t="shared" si="12"/>
        <v>Exclude</v>
      </c>
      <c r="W229" s="65" t="str">
        <f t="shared" si="13"/>
        <v>Exclude</v>
      </c>
      <c r="Y229" s="63"/>
      <c r="AS229" s="65" t="str">
        <f t="shared" si="14"/>
        <v>Exclude</v>
      </c>
      <c r="AU229" s="65" t="str">
        <f t="shared" si="15"/>
        <v>Exclude</v>
      </c>
    </row>
    <row r="230" spans="1:47" s="64" customFormat="1" x14ac:dyDescent="0.25">
      <c r="A230" s="63"/>
      <c r="U230" s="65" t="str">
        <f t="shared" si="12"/>
        <v>Exclude</v>
      </c>
      <c r="W230" s="65" t="str">
        <f t="shared" si="13"/>
        <v>Exclude</v>
      </c>
      <c r="Y230" s="63"/>
      <c r="AS230" s="65" t="str">
        <f t="shared" si="14"/>
        <v>Exclude</v>
      </c>
      <c r="AU230" s="65" t="str">
        <f t="shared" si="15"/>
        <v>Exclude</v>
      </c>
    </row>
    <row r="231" spans="1:47" s="64" customFormat="1" x14ac:dyDescent="0.25">
      <c r="A231" s="63"/>
      <c r="U231" s="65" t="str">
        <f t="shared" si="12"/>
        <v>Exclude</v>
      </c>
      <c r="W231" s="65" t="str">
        <f t="shared" si="13"/>
        <v>Exclude</v>
      </c>
      <c r="Y231" s="63"/>
      <c r="AS231" s="65" t="str">
        <f t="shared" si="14"/>
        <v>Exclude</v>
      </c>
      <c r="AU231" s="65" t="str">
        <f t="shared" si="15"/>
        <v>Exclude</v>
      </c>
    </row>
    <row r="232" spans="1:47" s="64" customFormat="1" x14ac:dyDescent="0.25">
      <c r="A232" s="63"/>
      <c r="U232" s="65" t="str">
        <f t="shared" si="12"/>
        <v>Exclude</v>
      </c>
      <c r="W232" s="65" t="str">
        <f t="shared" si="13"/>
        <v>Exclude</v>
      </c>
      <c r="Y232" s="63"/>
      <c r="AS232" s="65" t="str">
        <f t="shared" si="14"/>
        <v>Exclude</v>
      </c>
      <c r="AU232" s="65" t="str">
        <f t="shared" si="15"/>
        <v>Exclude</v>
      </c>
    </row>
    <row r="233" spans="1:47" s="64" customFormat="1" x14ac:dyDescent="0.25">
      <c r="A233" s="63"/>
      <c r="U233" s="65" t="str">
        <f t="shared" si="12"/>
        <v>Exclude</v>
      </c>
      <c r="W233" s="65" t="str">
        <f t="shared" si="13"/>
        <v>Exclude</v>
      </c>
      <c r="Y233" s="63"/>
      <c r="AS233" s="65" t="str">
        <f t="shared" si="14"/>
        <v>Exclude</v>
      </c>
      <c r="AU233" s="65" t="str">
        <f t="shared" si="15"/>
        <v>Exclude</v>
      </c>
    </row>
    <row r="234" spans="1:47" s="64" customFormat="1" x14ac:dyDescent="0.25">
      <c r="A234" s="63"/>
      <c r="U234" s="65" t="str">
        <f t="shared" si="12"/>
        <v>Exclude</v>
      </c>
      <c r="W234" s="65" t="str">
        <f t="shared" si="13"/>
        <v>Exclude</v>
      </c>
      <c r="Y234" s="63"/>
      <c r="AS234" s="65" t="str">
        <f t="shared" si="14"/>
        <v>Exclude</v>
      </c>
      <c r="AU234" s="65" t="str">
        <f t="shared" si="15"/>
        <v>Exclude</v>
      </c>
    </row>
    <row r="235" spans="1:47" s="64" customFormat="1" x14ac:dyDescent="0.25">
      <c r="A235" s="63"/>
      <c r="U235" s="65" t="str">
        <f t="shared" si="12"/>
        <v>Exclude</v>
      </c>
      <c r="W235" s="65" t="str">
        <f t="shared" si="13"/>
        <v>Exclude</v>
      </c>
      <c r="Y235" s="63"/>
      <c r="AS235" s="65" t="str">
        <f t="shared" si="14"/>
        <v>Exclude</v>
      </c>
      <c r="AU235" s="65" t="str">
        <f t="shared" si="15"/>
        <v>Exclude</v>
      </c>
    </row>
    <row r="236" spans="1:47" s="64" customFormat="1" x14ac:dyDescent="0.25">
      <c r="A236" s="63"/>
      <c r="U236" s="65" t="str">
        <f t="shared" si="12"/>
        <v>Exclude</v>
      </c>
      <c r="W236" s="65" t="str">
        <f t="shared" si="13"/>
        <v>Exclude</v>
      </c>
      <c r="Y236" s="63"/>
      <c r="AS236" s="65" t="str">
        <f t="shared" si="14"/>
        <v>Exclude</v>
      </c>
      <c r="AU236" s="65" t="str">
        <f t="shared" si="15"/>
        <v>Exclude</v>
      </c>
    </row>
    <row r="237" spans="1:47" s="64" customFormat="1" x14ac:dyDescent="0.25">
      <c r="A237" s="63"/>
      <c r="U237" s="65" t="str">
        <f t="shared" si="12"/>
        <v>Exclude</v>
      </c>
      <c r="W237" s="65" t="str">
        <f t="shared" si="13"/>
        <v>Exclude</v>
      </c>
      <c r="Y237" s="63"/>
      <c r="AS237" s="65" t="str">
        <f t="shared" si="14"/>
        <v>Exclude</v>
      </c>
      <c r="AU237" s="65" t="str">
        <f t="shared" si="15"/>
        <v>Exclude</v>
      </c>
    </row>
    <row r="238" spans="1:47" s="64" customFormat="1" x14ac:dyDescent="0.25">
      <c r="A238" s="63"/>
      <c r="U238" s="65" t="str">
        <f t="shared" si="12"/>
        <v>Exclude</v>
      </c>
      <c r="W238" s="65" t="str">
        <f t="shared" si="13"/>
        <v>Exclude</v>
      </c>
      <c r="Y238" s="63"/>
      <c r="AS238" s="65" t="str">
        <f t="shared" si="14"/>
        <v>Exclude</v>
      </c>
      <c r="AU238" s="65" t="str">
        <f t="shared" si="15"/>
        <v>Exclude</v>
      </c>
    </row>
    <row r="239" spans="1:47" s="64" customFormat="1" x14ac:dyDescent="0.25">
      <c r="A239" s="63"/>
      <c r="U239" s="65" t="str">
        <f t="shared" si="12"/>
        <v>Exclude</v>
      </c>
      <c r="W239" s="65" t="str">
        <f t="shared" si="13"/>
        <v>Exclude</v>
      </c>
      <c r="Y239" s="63"/>
      <c r="AS239" s="65" t="str">
        <f t="shared" si="14"/>
        <v>Exclude</v>
      </c>
      <c r="AU239" s="65" t="str">
        <f t="shared" si="15"/>
        <v>Exclude</v>
      </c>
    </row>
    <row r="240" spans="1:47" s="64" customFormat="1" x14ac:dyDescent="0.25">
      <c r="A240" s="63"/>
      <c r="U240" s="65" t="str">
        <f t="shared" si="12"/>
        <v>Exclude</v>
      </c>
      <c r="W240" s="65" t="str">
        <f t="shared" si="13"/>
        <v>Exclude</v>
      </c>
      <c r="Y240" s="63"/>
      <c r="AS240" s="65" t="str">
        <f t="shared" si="14"/>
        <v>Exclude</v>
      </c>
      <c r="AU240" s="65" t="str">
        <f t="shared" si="15"/>
        <v>Exclude</v>
      </c>
    </row>
    <row r="241" spans="1:47" s="64" customFormat="1" x14ac:dyDescent="0.25">
      <c r="A241" s="63"/>
      <c r="U241" s="65" t="str">
        <f t="shared" si="12"/>
        <v>Exclude</v>
      </c>
      <c r="W241" s="65" t="str">
        <f t="shared" si="13"/>
        <v>Exclude</v>
      </c>
      <c r="Y241" s="63"/>
      <c r="AS241" s="65" t="str">
        <f t="shared" si="14"/>
        <v>Exclude</v>
      </c>
      <c r="AU241" s="65" t="str">
        <f t="shared" si="15"/>
        <v>Exclude</v>
      </c>
    </row>
    <row r="242" spans="1:47" s="64" customFormat="1" x14ac:dyDescent="0.25">
      <c r="A242" s="63"/>
      <c r="U242" s="65" t="str">
        <f t="shared" si="12"/>
        <v>Exclude</v>
      </c>
      <c r="W242" s="65" t="str">
        <f t="shared" si="13"/>
        <v>Exclude</v>
      </c>
      <c r="Y242" s="63"/>
      <c r="AS242" s="65" t="str">
        <f t="shared" si="14"/>
        <v>Exclude</v>
      </c>
      <c r="AU242" s="65" t="str">
        <f t="shared" si="15"/>
        <v>Exclude</v>
      </c>
    </row>
    <row r="243" spans="1:47" s="64" customFormat="1" x14ac:dyDescent="0.25">
      <c r="A243" s="63"/>
      <c r="U243" s="65" t="str">
        <f t="shared" si="12"/>
        <v>Exclude</v>
      </c>
      <c r="W243" s="65" t="str">
        <f t="shared" si="13"/>
        <v>Exclude</v>
      </c>
      <c r="Y243" s="63"/>
      <c r="AS243" s="65" t="str">
        <f t="shared" si="14"/>
        <v>Exclude</v>
      </c>
      <c r="AU243" s="65" t="str">
        <f t="shared" si="15"/>
        <v>Exclude</v>
      </c>
    </row>
    <row r="244" spans="1:47" s="64" customFormat="1" x14ac:dyDescent="0.25">
      <c r="A244" s="63"/>
      <c r="U244" s="65" t="str">
        <f t="shared" si="12"/>
        <v>Exclude</v>
      </c>
      <c r="W244" s="65" t="str">
        <f t="shared" si="13"/>
        <v>Exclude</v>
      </c>
      <c r="Y244" s="63"/>
      <c r="AS244" s="65" t="str">
        <f t="shared" si="14"/>
        <v>Exclude</v>
      </c>
      <c r="AU244" s="65" t="str">
        <f t="shared" si="15"/>
        <v>Exclude</v>
      </c>
    </row>
    <row r="245" spans="1:47" s="64" customFormat="1" x14ac:dyDescent="0.25">
      <c r="A245" s="63"/>
      <c r="U245" s="65" t="str">
        <f t="shared" si="12"/>
        <v>Exclude</v>
      </c>
      <c r="W245" s="65" t="str">
        <f t="shared" si="13"/>
        <v>Exclude</v>
      </c>
      <c r="Y245" s="63"/>
      <c r="AS245" s="65" t="str">
        <f t="shared" si="14"/>
        <v>Exclude</v>
      </c>
      <c r="AU245" s="65" t="str">
        <f t="shared" si="15"/>
        <v>Exclude</v>
      </c>
    </row>
    <row r="246" spans="1:47" s="64" customFormat="1" x14ac:dyDescent="0.25">
      <c r="A246" s="63"/>
      <c r="U246" s="65" t="str">
        <f t="shared" si="12"/>
        <v>Exclude</v>
      </c>
      <c r="W246" s="65" t="str">
        <f t="shared" si="13"/>
        <v>Exclude</v>
      </c>
      <c r="Y246" s="63"/>
      <c r="AS246" s="65" t="str">
        <f t="shared" si="14"/>
        <v>Exclude</v>
      </c>
      <c r="AU246" s="65" t="str">
        <f t="shared" si="15"/>
        <v>Exclude</v>
      </c>
    </row>
    <row r="247" spans="1:47" s="64" customFormat="1" x14ac:dyDescent="0.25">
      <c r="A247" s="63"/>
      <c r="U247" s="65" t="str">
        <f t="shared" si="12"/>
        <v>Exclude</v>
      </c>
      <c r="W247" s="65" t="str">
        <f t="shared" si="13"/>
        <v>Exclude</v>
      </c>
      <c r="Y247" s="63"/>
      <c r="AS247" s="65" t="str">
        <f t="shared" si="14"/>
        <v>Exclude</v>
      </c>
      <c r="AU247" s="65" t="str">
        <f t="shared" si="15"/>
        <v>Exclude</v>
      </c>
    </row>
    <row r="248" spans="1:47" s="64" customFormat="1" x14ac:dyDescent="0.25">
      <c r="A248" s="63"/>
      <c r="U248" s="65" t="str">
        <f t="shared" si="12"/>
        <v>Exclude</v>
      </c>
      <c r="W248" s="65" t="str">
        <f t="shared" si="13"/>
        <v>Exclude</v>
      </c>
      <c r="Y248" s="63"/>
      <c r="AS248" s="65" t="str">
        <f t="shared" si="14"/>
        <v>Exclude</v>
      </c>
      <c r="AU248" s="65" t="str">
        <f t="shared" si="15"/>
        <v>Exclude</v>
      </c>
    </row>
    <row r="249" spans="1:47" s="64" customFormat="1" x14ac:dyDescent="0.25">
      <c r="A249" s="63"/>
      <c r="U249" s="65" t="str">
        <f t="shared" si="12"/>
        <v>Exclude</v>
      </c>
      <c r="W249" s="65" t="str">
        <f t="shared" si="13"/>
        <v>Exclude</v>
      </c>
      <c r="Y249" s="63"/>
      <c r="AS249" s="65" t="str">
        <f t="shared" si="14"/>
        <v>Exclude</v>
      </c>
      <c r="AU249" s="65" t="str">
        <f t="shared" si="15"/>
        <v>Exclude</v>
      </c>
    </row>
    <row r="250" spans="1:47" s="64" customFormat="1" x14ac:dyDescent="0.25">
      <c r="A250" s="63"/>
      <c r="U250" s="65" t="str">
        <f t="shared" si="12"/>
        <v>Exclude</v>
      </c>
      <c r="W250" s="65" t="str">
        <f t="shared" si="13"/>
        <v>Exclude</v>
      </c>
      <c r="Y250" s="63"/>
      <c r="AS250" s="65" t="str">
        <f t="shared" si="14"/>
        <v>Exclude</v>
      </c>
      <c r="AU250" s="65" t="str">
        <f t="shared" si="15"/>
        <v>Exclude</v>
      </c>
    </row>
    <row r="251" spans="1:47" s="64" customFormat="1" x14ac:dyDescent="0.25">
      <c r="A251" s="63"/>
      <c r="U251" s="65" t="str">
        <f t="shared" si="12"/>
        <v>Exclude</v>
      </c>
      <c r="W251" s="65" t="str">
        <f t="shared" si="13"/>
        <v>Exclude</v>
      </c>
      <c r="Y251" s="63"/>
      <c r="AS251" s="65" t="str">
        <f t="shared" si="14"/>
        <v>Exclude</v>
      </c>
      <c r="AU251" s="65" t="str">
        <f t="shared" si="15"/>
        <v>Exclude</v>
      </c>
    </row>
    <row r="252" spans="1:47" s="64" customFormat="1" x14ac:dyDescent="0.25">
      <c r="A252" s="63"/>
      <c r="U252" s="65" t="str">
        <f t="shared" si="12"/>
        <v>Exclude</v>
      </c>
      <c r="W252" s="65" t="str">
        <f t="shared" si="13"/>
        <v>Exclude</v>
      </c>
      <c r="Y252" s="63"/>
      <c r="AS252" s="65" t="str">
        <f t="shared" si="14"/>
        <v>Exclude</v>
      </c>
      <c r="AU252" s="65" t="str">
        <f t="shared" si="15"/>
        <v>Exclude</v>
      </c>
    </row>
    <row r="253" spans="1:47" s="64" customFormat="1" x14ac:dyDescent="0.25">
      <c r="A253" s="63"/>
      <c r="U253" s="65" t="str">
        <f t="shared" si="12"/>
        <v>Exclude</v>
      </c>
      <c r="W253" s="65" t="str">
        <f t="shared" si="13"/>
        <v>Exclude</v>
      </c>
      <c r="Y253" s="63"/>
      <c r="AS253" s="65" t="str">
        <f t="shared" si="14"/>
        <v>Exclude</v>
      </c>
      <c r="AU253" s="65" t="str">
        <f t="shared" si="15"/>
        <v>Exclude</v>
      </c>
    </row>
    <row r="254" spans="1:47" s="64" customFormat="1" x14ac:dyDescent="0.25">
      <c r="A254" s="63"/>
      <c r="U254" s="65" t="str">
        <f t="shared" si="12"/>
        <v>Exclude</v>
      </c>
      <c r="W254" s="65" t="str">
        <f t="shared" si="13"/>
        <v>Exclude</v>
      </c>
      <c r="Y254" s="63"/>
      <c r="AS254" s="65" t="str">
        <f t="shared" si="14"/>
        <v>Exclude</v>
      </c>
      <c r="AU254" s="65" t="str">
        <f t="shared" si="15"/>
        <v>Exclude</v>
      </c>
    </row>
    <row r="255" spans="1:47" s="64" customFormat="1" x14ac:dyDescent="0.25">
      <c r="A255" s="63"/>
      <c r="U255" s="65" t="str">
        <f t="shared" si="12"/>
        <v>Exclude</v>
      </c>
      <c r="W255" s="65" t="str">
        <f t="shared" si="13"/>
        <v>Exclude</v>
      </c>
      <c r="Y255" s="63"/>
      <c r="AS255" s="65" t="str">
        <f t="shared" si="14"/>
        <v>Exclude</v>
      </c>
      <c r="AU255" s="65" t="str">
        <f t="shared" si="15"/>
        <v>Exclude</v>
      </c>
    </row>
    <row r="256" spans="1:47" s="64" customFormat="1" x14ac:dyDescent="0.25">
      <c r="A256" s="63"/>
      <c r="U256" s="65" t="str">
        <f t="shared" si="12"/>
        <v>Exclude</v>
      </c>
      <c r="W256" s="65" t="str">
        <f t="shared" si="13"/>
        <v>Exclude</v>
      </c>
      <c r="Y256" s="63"/>
      <c r="AS256" s="65" t="str">
        <f t="shared" si="14"/>
        <v>Exclude</v>
      </c>
      <c r="AU256" s="65" t="str">
        <f t="shared" si="15"/>
        <v>Exclude</v>
      </c>
    </row>
    <row r="257" spans="1:47" s="64" customFormat="1" x14ac:dyDescent="0.25">
      <c r="A257" s="63"/>
      <c r="U257" s="65" t="str">
        <f t="shared" si="12"/>
        <v>Exclude</v>
      </c>
      <c r="W257" s="65" t="str">
        <f t="shared" si="13"/>
        <v>Exclude</v>
      </c>
      <c r="Y257" s="63"/>
      <c r="AS257" s="65" t="str">
        <f t="shared" si="14"/>
        <v>Exclude</v>
      </c>
      <c r="AU257" s="65" t="str">
        <f t="shared" si="15"/>
        <v>Exclude</v>
      </c>
    </row>
    <row r="258" spans="1:47" s="64" customFormat="1" x14ac:dyDescent="0.25">
      <c r="A258" s="63"/>
      <c r="U258" s="65" t="str">
        <f t="shared" si="12"/>
        <v>Exclude</v>
      </c>
      <c r="W258" s="65" t="str">
        <f t="shared" si="13"/>
        <v>Exclude</v>
      </c>
      <c r="Y258" s="63"/>
      <c r="AS258" s="65" t="str">
        <f t="shared" si="14"/>
        <v>Exclude</v>
      </c>
      <c r="AU258" s="65" t="str">
        <f t="shared" si="15"/>
        <v>Exclude</v>
      </c>
    </row>
    <row r="259" spans="1:47" s="64" customFormat="1" x14ac:dyDescent="0.25">
      <c r="A259" s="63"/>
      <c r="U259" s="65" t="str">
        <f t="shared" si="12"/>
        <v>Exclude</v>
      </c>
      <c r="W259" s="65" t="str">
        <f t="shared" si="13"/>
        <v>Exclude</v>
      </c>
      <c r="Y259" s="63"/>
      <c r="AS259" s="65" t="str">
        <f t="shared" si="14"/>
        <v>Exclude</v>
      </c>
      <c r="AU259" s="65" t="str">
        <f t="shared" si="15"/>
        <v>Exclude</v>
      </c>
    </row>
    <row r="260" spans="1:47" s="64" customFormat="1" x14ac:dyDescent="0.25">
      <c r="A260" s="63"/>
      <c r="U260" s="65" t="str">
        <f t="shared" si="12"/>
        <v>Exclude</v>
      </c>
      <c r="W260" s="65" t="str">
        <f t="shared" si="13"/>
        <v>Exclude</v>
      </c>
      <c r="Y260" s="63"/>
      <c r="AS260" s="65" t="str">
        <f t="shared" si="14"/>
        <v>Exclude</v>
      </c>
      <c r="AU260" s="65" t="str">
        <f t="shared" si="15"/>
        <v>Exclude</v>
      </c>
    </row>
    <row r="261" spans="1:47" s="64" customFormat="1" x14ac:dyDescent="0.25">
      <c r="A261" s="63"/>
      <c r="U261" s="65" t="str">
        <f t="shared" si="12"/>
        <v>Exclude</v>
      </c>
      <c r="W261" s="65" t="str">
        <f t="shared" si="13"/>
        <v>Exclude</v>
      </c>
      <c r="Y261" s="63"/>
      <c r="AS261" s="65" t="str">
        <f t="shared" si="14"/>
        <v>Exclude</v>
      </c>
      <c r="AU261" s="65" t="str">
        <f t="shared" si="15"/>
        <v>Exclude</v>
      </c>
    </row>
    <row r="262" spans="1:47" s="64" customFormat="1" x14ac:dyDescent="0.25">
      <c r="A262" s="63"/>
      <c r="U262" s="65" t="str">
        <f t="shared" si="12"/>
        <v>Exclude</v>
      </c>
      <c r="W262" s="65" t="str">
        <f t="shared" si="13"/>
        <v>Exclude</v>
      </c>
      <c r="Y262" s="63"/>
      <c r="AS262" s="65" t="str">
        <f t="shared" si="14"/>
        <v>Exclude</v>
      </c>
      <c r="AU262" s="65" t="str">
        <f t="shared" si="15"/>
        <v>Exclude</v>
      </c>
    </row>
    <row r="263" spans="1:47" s="64" customFormat="1" x14ac:dyDescent="0.25">
      <c r="A263" s="63"/>
      <c r="U263" s="65" t="str">
        <f t="shared" si="12"/>
        <v>Exclude</v>
      </c>
      <c r="W263" s="65" t="str">
        <f t="shared" si="13"/>
        <v>Exclude</v>
      </c>
      <c r="Y263" s="63"/>
      <c r="AS263" s="65" t="str">
        <f t="shared" si="14"/>
        <v>Exclude</v>
      </c>
      <c r="AU263" s="65" t="str">
        <f t="shared" si="15"/>
        <v>Exclude</v>
      </c>
    </row>
    <row r="264" spans="1:47" s="64" customFormat="1" x14ac:dyDescent="0.25">
      <c r="A264" s="63"/>
      <c r="U264" s="65" t="str">
        <f t="shared" si="12"/>
        <v>Exclude</v>
      </c>
      <c r="W264" s="65" t="str">
        <f t="shared" si="13"/>
        <v>Exclude</v>
      </c>
      <c r="Y264" s="63"/>
      <c r="AS264" s="65" t="str">
        <f t="shared" si="14"/>
        <v>Exclude</v>
      </c>
      <c r="AU264" s="65" t="str">
        <f t="shared" si="15"/>
        <v>Exclude</v>
      </c>
    </row>
    <row r="265" spans="1:47" s="64" customFormat="1" x14ac:dyDescent="0.25">
      <c r="A265" s="63"/>
      <c r="U265" s="65" t="str">
        <f t="shared" si="12"/>
        <v>Exclude</v>
      </c>
      <c r="W265" s="65" t="str">
        <f t="shared" si="13"/>
        <v>Exclude</v>
      </c>
      <c r="Y265" s="63"/>
      <c r="AS265" s="65" t="str">
        <f t="shared" si="14"/>
        <v>Exclude</v>
      </c>
      <c r="AU265" s="65" t="str">
        <f t="shared" si="15"/>
        <v>Exclude</v>
      </c>
    </row>
    <row r="266" spans="1:47" s="64" customFormat="1" x14ac:dyDescent="0.25">
      <c r="A266" s="63"/>
      <c r="U266" s="65" t="str">
        <f t="shared" si="12"/>
        <v>Exclude</v>
      </c>
      <c r="W266" s="65" t="str">
        <f t="shared" si="13"/>
        <v>Exclude</v>
      </c>
      <c r="Y266" s="63"/>
      <c r="AS266" s="65" t="str">
        <f t="shared" si="14"/>
        <v>Exclude</v>
      </c>
      <c r="AU266" s="65" t="str">
        <f t="shared" si="15"/>
        <v>Exclude</v>
      </c>
    </row>
    <row r="267" spans="1:47" s="64" customFormat="1" x14ac:dyDescent="0.25">
      <c r="A267" s="63"/>
      <c r="U267" s="65" t="str">
        <f t="shared" si="12"/>
        <v>Exclude</v>
      </c>
      <c r="W267" s="65" t="str">
        <f t="shared" si="13"/>
        <v>Exclude</v>
      </c>
      <c r="Y267" s="63"/>
      <c r="AS267" s="65" t="str">
        <f t="shared" si="14"/>
        <v>Exclude</v>
      </c>
      <c r="AU267" s="65" t="str">
        <f t="shared" si="15"/>
        <v>Exclude</v>
      </c>
    </row>
    <row r="268" spans="1:47" s="64" customFormat="1" x14ac:dyDescent="0.25">
      <c r="A268" s="63"/>
      <c r="U268" s="65" t="str">
        <f t="shared" si="12"/>
        <v>Exclude</v>
      </c>
      <c r="W268" s="65" t="str">
        <f t="shared" si="13"/>
        <v>Exclude</v>
      </c>
      <c r="Y268" s="63"/>
      <c r="AS268" s="65" t="str">
        <f t="shared" si="14"/>
        <v>Exclude</v>
      </c>
      <c r="AU268" s="65" t="str">
        <f t="shared" si="15"/>
        <v>Exclude</v>
      </c>
    </row>
    <row r="269" spans="1:47" s="64" customFormat="1" x14ac:dyDescent="0.25">
      <c r="A269" s="63"/>
      <c r="U269" s="65" t="str">
        <f t="shared" si="12"/>
        <v>Exclude</v>
      </c>
      <c r="W269" s="65" t="str">
        <f t="shared" si="13"/>
        <v>Exclude</v>
      </c>
      <c r="Y269" s="63"/>
      <c r="AS269" s="65" t="str">
        <f t="shared" si="14"/>
        <v>Exclude</v>
      </c>
      <c r="AU269" s="65" t="str">
        <f t="shared" si="15"/>
        <v>Exclude</v>
      </c>
    </row>
    <row r="270" spans="1:47" s="64" customFormat="1" x14ac:dyDescent="0.25">
      <c r="A270" s="63"/>
      <c r="U270" s="65" t="str">
        <f t="shared" si="12"/>
        <v>Exclude</v>
      </c>
      <c r="W270" s="65" t="str">
        <f t="shared" si="13"/>
        <v>Exclude</v>
      </c>
      <c r="Y270" s="63"/>
      <c r="AS270" s="65" t="str">
        <f t="shared" si="14"/>
        <v>Exclude</v>
      </c>
      <c r="AU270" s="65" t="str">
        <f t="shared" si="15"/>
        <v>Exclude</v>
      </c>
    </row>
    <row r="271" spans="1:47" s="64" customFormat="1" x14ac:dyDescent="0.25">
      <c r="A271" s="63"/>
      <c r="U271" s="65" t="str">
        <f t="shared" si="12"/>
        <v>Exclude</v>
      </c>
      <c r="W271" s="65" t="str">
        <f t="shared" si="13"/>
        <v>Exclude</v>
      </c>
      <c r="Y271" s="63"/>
      <c r="AS271" s="65" t="str">
        <f t="shared" si="14"/>
        <v>Exclude</v>
      </c>
      <c r="AU271" s="65" t="str">
        <f t="shared" si="15"/>
        <v>Exclude</v>
      </c>
    </row>
    <row r="272" spans="1:47" s="64" customFormat="1" x14ac:dyDescent="0.25">
      <c r="A272" s="63"/>
      <c r="U272" s="65" t="str">
        <f t="shared" si="12"/>
        <v>Exclude</v>
      </c>
      <c r="W272" s="65" t="str">
        <f t="shared" si="13"/>
        <v>Exclude</v>
      </c>
      <c r="Y272" s="63"/>
      <c r="AS272" s="65" t="str">
        <f t="shared" si="14"/>
        <v>Exclude</v>
      </c>
      <c r="AU272" s="65" t="str">
        <f t="shared" si="15"/>
        <v>Exclude</v>
      </c>
    </row>
    <row r="273" spans="1:47" s="64" customFormat="1" x14ac:dyDescent="0.25">
      <c r="A273" s="63"/>
      <c r="U273" s="65" t="str">
        <f t="shared" si="12"/>
        <v>Exclude</v>
      </c>
      <c r="W273" s="65" t="str">
        <f t="shared" si="13"/>
        <v>Exclude</v>
      </c>
      <c r="Y273" s="63"/>
      <c r="AS273" s="65" t="str">
        <f t="shared" si="14"/>
        <v>Exclude</v>
      </c>
      <c r="AU273" s="65" t="str">
        <f t="shared" si="15"/>
        <v>Exclude</v>
      </c>
    </row>
    <row r="274" spans="1:47" s="64" customFormat="1" x14ac:dyDescent="0.25">
      <c r="A274" s="63"/>
      <c r="U274" s="65" t="str">
        <f t="shared" si="12"/>
        <v>Exclude</v>
      </c>
      <c r="W274" s="65" t="str">
        <f t="shared" si="13"/>
        <v>Exclude</v>
      </c>
      <c r="Y274" s="63"/>
      <c r="AS274" s="65" t="str">
        <f t="shared" si="14"/>
        <v>Exclude</v>
      </c>
      <c r="AU274" s="65" t="str">
        <f t="shared" si="15"/>
        <v>Exclude</v>
      </c>
    </row>
    <row r="275" spans="1:47" s="64" customFormat="1" x14ac:dyDescent="0.25">
      <c r="A275" s="63"/>
      <c r="U275" s="65" t="str">
        <f t="shared" si="12"/>
        <v>Exclude</v>
      </c>
      <c r="W275" s="65" t="str">
        <f t="shared" si="13"/>
        <v>Exclude</v>
      </c>
      <c r="Y275" s="63"/>
      <c r="AS275" s="65" t="str">
        <f t="shared" si="14"/>
        <v>Exclude</v>
      </c>
      <c r="AU275" s="65" t="str">
        <f t="shared" si="15"/>
        <v>Exclude</v>
      </c>
    </row>
    <row r="276" spans="1:47" s="64" customFormat="1" x14ac:dyDescent="0.25">
      <c r="A276" s="63"/>
      <c r="U276" s="65" t="str">
        <f t="shared" si="12"/>
        <v>Exclude</v>
      </c>
      <c r="W276" s="65" t="str">
        <f t="shared" si="13"/>
        <v>Exclude</v>
      </c>
      <c r="Y276" s="63"/>
      <c r="AS276" s="65" t="str">
        <f t="shared" si="14"/>
        <v>Exclude</v>
      </c>
      <c r="AU276" s="65" t="str">
        <f t="shared" si="15"/>
        <v>Exclude</v>
      </c>
    </row>
    <row r="277" spans="1:47" s="64" customFormat="1" x14ac:dyDescent="0.25">
      <c r="A277" s="63"/>
      <c r="U277" s="65" t="str">
        <f t="shared" si="12"/>
        <v>Exclude</v>
      </c>
      <c r="W277" s="65" t="str">
        <f t="shared" si="13"/>
        <v>Exclude</v>
      </c>
      <c r="Y277" s="63"/>
      <c r="AS277" s="65" t="str">
        <f t="shared" si="14"/>
        <v>Exclude</v>
      </c>
      <c r="AU277" s="65" t="str">
        <f t="shared" si="15"/>
        <v>Exclude</v>
      </c>
    </row>
    <row r="278" spans="1:47" s="64" customFormat="1" x14ac:dyDescent="0.25">
      <c r="A278" s="63"/>
      <c r="U278" s="65" t="str">
        <f t="shared" si="12"/>
        <v>Exclude</v>
      </c>
      <c r="W278" s="65" t="str">
        <f t="shared" si="13"/>
        <v>Exclude</v>
      </c>
      <c r="Y278" s="63"/>
      <c r="AS278" s="65" t="str">
        <f t="shared" si="14"/>
        <v>Exclude</v>
      </c>
      <c r="AU278" s="65" t="str">
        <f t="shared" si="15"/>
        <v>Exclude</v>
      </c>
    </row>
    <row r="279" spans="1:47" s="64" customFormat="1" x14ac:dyDescent="0.25">
      <c r="A279" s="63"/>
      <c r="U279" s="65" t="str">
        <f t="shared" ref="U279:U342" si="16">IF(OR(R279="TruePositive",R279="TrueNegative"),IF(R278&lt;&gt;"Anticipatory",IF(OR(R278="FalseNegative",R278="FalsePositive"),"SameTrial",(N279)),"Pant"),IF(OR(R279="FalsePositive",R279="FalseNegative"),IF(R278&lt;&gt;"Anticipatory",IF(OR(R278="FalsePositive",R278="FalseNegative"),"SameTrial","Exclude"),"Exclude"),"Exclude"))</f>
        <v>Exclude</v>
      </c>
      <c r="W279" s="65" t="str">
        <f t="shared" ref="W279:W342" si="17">IF(OR(R279="TruePositive",R279="TrueNegative"),IF(R278&lt;&gt;"Anticipatory",IF(OR(R278="FalseNegative",R278="FalsePositive"),"SameTrial",LOG10(N279)),"Pant"),IF(OR(R279="FalsePositive",R279="FalseNegative"),IF(R278&lt;&gt;"Anticipatory",IF(OR(R278="FalsePositive",R278="FalseNegative"),"SameTrial","Exclude"),"Exclude"),"Exclude"))</f>
        <v>Exclude</v>
      </c>
      <c r="Y279" s="63"/>
      <c r="AS279" s="65" t="str">
        <f t="shared" ref="AS279:AS342" si="18">IF(OR(AP279="TruePositive",AP279="TrueNegative"),IF(AP278&lt;&gt;"Anticipatory",IF(OR(AP278="FalseNegative",AP278="FalsePositive"),"SameTrial",(AL279)),"Pant"),IF(OR(AP279="FalsePositive",AP279="FalseNegative"),IF(AP278&lt;&gt;"Anticipatory",IF(OR(AP278="FalsePositive",AP278="FalseNegative"),"SameTrial","Exclude"),"Exclude"),"Exclude"))</f>
        <v>Exclude</v>
      </c>
      <c r="AU279" s="65" t="str">
        <f t="shared" ref="AU279:AU342" si="19">IF(OR(AP279="TruePositive",AP279="TrueNegative"),IF(AP278&lt;&gt;"Anticipatory",IF(OR(AP278="FalseNegative",AP278="FalsePositive"),"SameTrial",LOG10(AL279)),"Pant"),IF(OR(AP279="FalsePositive",AP279="FalseNegative"),IF(AP278&lt;&gt;"Anticipatory",IF(OR(AP278="FalsePositive",AP278="FalseNegative"),"SameTrial","Exclude"),"Exclude"),"Exclude"))</f>
        <v>Exclude</v>
      </c>
    </row>
    <row r="280" spans="1:47" s="64" customFormat="1" x14ac:dyDescent="0.25">
      <c r="A280" s="63"/>
      <c r="U280" s="65" t="str">
        <f t="shared" si="16"/>
        <v>Exclude</v>
      </c>
      <c r="W280" s="65" t="str">
        <f t="shared" si="17"/>
        <v>Exclude</v>
      </c>
      <c r="Y280" s="63"/>
      <c r="AS280" s="65" t="str">
        <f t="shared" si="18"/>
        <v>Exclude</v>
      </c>
      <c r="AU280" s="65" t="str">
        <f t="shared" si="19"/>
        <v>Exclude</v>
      </c>
    </row>
    <row r="281" spans="1:47" s="64" customFormat="1" x14ac:dyDescent="0.25">
      <c r="A281" s="63"/>
      <c r="U281" s="65" t="str">
        <f t="shared" si="16"/>
        <v>Exclude</v>
      </c>
      <c r="W281" s="65" t="str">
        <f t="shared" si="17"/>
        <v>Exclude</v>
      </c>
      <c r="Y281" s="63"/>
      <c r="AS281" s="65" t="str">
        <f t="shared" si="18"/>
        <v>Exclude</v>
      </c>
      <c r="AU281" s="65" t="str">
        <f t="shared" si="19"/>
        <v>Exclude</v>
      </c>
    </row>
    <row r="282" spans="1:47" s="64" customFormat="1" x14ac:dyDescent="0.25">
      <c r="A282" s="63"/>
      <c r="U282" s="65" t="str">
        <f t="shared" si="16"/>
        <v>Exclude</v>
      </c>
      <c r="W282" s="65" t="str">
        <f t="shared" si="17"/>
        <v>Exclude</v>
      </c>
      <c r="Y282" s="63"/>
      <c r="AS282" s="65" t="str">
        <f t="shared" si="18"/>
        <v>Exclude</v>
      </c>
      <c r="AU282" s="65" t="str">
        <f t="shared" si="19"/>
        <v>Exclude</v>
      </c>
    </row>
    <row r="283" spans="1:47" s="64" customFormat="1" x14ac:dyDescent="0.25">
      <c r="A283" s="63"/>
      <c r="U283" s="65" t="str">
        <f t="shared" si="16"/>
        <v>Exclude</v>
      </c>
      <c r="W283" s="65" t="str">
        <f t="shared" si="17"/>
        <v>Exclude</v>
      </c>
      <c r="Y283" s="63"/>
      <c r="AS283" s="65" t="str">
        <f t="shared" si="18"/>
        <v>Exclude</v>
      </c>
      <c r="AU283" s="65" t="str">
        <f t="shared" si="19"/>
        <v>Exclude</v>
      </c>
    </row>
    <row r="284" spans="1:47" s="64" customFormat="1" x14ac:dyDescent="0.25">
      <c r="A284" s="63"/>
      <c r="U284" s="65" t="str">
        <f t="shared" si="16"/>
        <v>Exclude</v>
      </c>
      <c r="W284" s="65" t="str">
        <f t="shared" si="17"/>
        <v>Exclude</v>
      </c>
      <c r="Y284" s="63"/>
      <c r="AS284" s="65" t="str">
        <f t="shared" si="18"/>
        <v>Exclude</v>
      </c>
      <c r="AU284" s="65" t="str">
        <f t="shared" si="19"/>
        <v>Exclude</v>
      </c>
    </row>
    <row r="285" spans="1:47" s="64" customFormat="1" x14ac:dyDescent="0.25">
      <c r="A285" s="63"/>
      <c r="U285" s="65" t="str">
        <f t="shared" si="16"/>
        <v>Exclude</v>
      </c>
      <c r="W285" s="65" t="str">
        <f t="shared" si="17"/>
        <v>Exclude</v>
      </c>
      <c r="Y285" s="63"/>
      <c r="AS285" s="65" t="str">
        <f t="shared" si="18"/>
        <v>Exclude</v>
      </c>
      <c r="AU285" s="65" t="str">
        <f t="shared" si="19"/>
        <v>Exclude</v>
      </c>
    </row>
    <row r="286" spans="1:47" s="64" customFormat="1" x14ac:dyDescent="0.25">
      <c r="A286" s="63"/>
      <c r="U286" s="65" t="str">
        <f t="shared" si="16"/>
        <v>Exclude</v>
      </c>
      <c r="W286" s="65" t="str">
        <f t="shared" si="17"/>
        <v>Exclude</v>
      </c>
      <c r="Y286" s="63"/>
      <c r="AS286" s="65" t="str">
        <f t="shared" si="18"/>
        <v>Exclude</v>
      </c>
      <c r="AU286" s="65" t="str">
        <f t="shared" si="19"/>
        <v>Exclude</v>
      </c>
    </row>
    <row r="287" spans="1:47" s="64" customFormat="1" x14ac:dyDescent="0.25">
      <c r="A287" s="63"/>
      <c r="U287" s="65" t="str">
        <f t="shared" si="16"/>
        <v>Exclude</v>
      </c>
      <c r="W287" s="65" t="str">
        <f t="shared" si="17"/>
        <v>Exclude</v>
      </c>
      <c r="Y287" s="63"/>
      <c r="AS287" s="65" t="str">
        <f t="shared" si="18"/>
        <v>Exclude</v>
      </c>
      <c r="AU287" s="65" t="str">
        <f t="shared" si="19"/>
        <v>Exclude</v>
      </c>
    </row>
    <row r="288" spans="1:47" s="64" customFormat="1" x14ac:dyDescent="0.25">
      <c r="A288" s="63"/>
      <c r="U288" s="65" t="str">
        <f t="shared" si="16"/>
        <v>Exclude</v>
      </c>
      <c r="W288" s="65" t="str">
        <f t="shared" si="17"/>
        <v>Exclude</v>
      </c>
      <c r="Y288" s="63"/>
      <c r="AS288" s="65" t="str">
        <f t="shared" si="18"/>
        <v>Exclude</v>
      </c>
      <c r="AU288" s="65" t="str">
        <f t="shared" si="19"/>
        <v>Exclude</v>
      </c>
    </row>
    <row r="289" spans="1:47" s="64" customFormat="1" x14ac:dyDescent="0.25">
      <c r="A289" s="63"/>
      <c r="U289" s="65" t="str">
        <f t="shared" si="16"/>
        <v>Exclude</v>
      </c>
      <c r="W289" s="65" t="str">
        <f t="shared" si="17"/>
        <v>Exclude</v>
      </c>
      <c r="Y289" s="63"/>
      <c r="AS289" s="65" t="str">
        <f t="shared" si="18"/>
        <v>Exclude</v>
      </c>
      <c r="AU289" s="65" t="str">
        <f t="shared" si="19"/>
        <v>Exclude</v>
      </c>
    </row>
    <row r="290" spans="1:47" s="64" customFormat="1" x14ac:dyDescent="0.25">
      <c r="A290" s="63"/>
      <c r="U290" s="65" t="str">
        <f t="shared" si="16"/>
        <v>Exclude</v>
      </c>
      <c r="W290" s="65" t="str">
        <f t="shared" si="17"/>
        <v>Exclude</v>
      </c>
      <c r="Y290" s="63"/>
      <c r="AS290" s="65" t="str">
        <f t="shared" si="18"/>
        <v>Exclude</v>
      </c>
      <c r="AU290" s="65" t="str">
        <f t="shared" si="19"/>
        <v>Exclude</v>
      </c>
    </row>
    <row r="291" spans="1:47" s="64" customFormat="1" x14ac:dyDescent="0.25">
      <c r="A291" s="63"/>
      <c r="U291" s="65" t="str">
        <f t="shared" si="16"/>
        <v>Exclude</v>
      </c>
      <c r="W291" s="65" t="str">
        <f t="shared" si="17"/>
        <v>Exclude</v>
      </c>
      <c r="Y291" s="63"/>
      <c r="AS291" s="65" t="str">
        <f t="shared" si="18"/>
        <v>Exclude</v>
      </c>
      <c r="AU291" s="65" t="str">
        <f t="shared" si="19"/>
        <v>Exclude</v>
      </c>
    </row>
    <row r="292" spans="1:47" s="64" customFormat="1" x14ac:dyDescent="0.25">
      <c r="A292" s="63"/>
      <c r="U292" s="65" t="str">
        <f t="shared" si="16"/>
        <v>Exclude</v>
      </c>
      <c r="W292" s="65" t="str">
        <f t="shared" si="17"/>
        <v>Exclude</v>
      </c>
      <c r="Y292" s="63"/>
      <c r="AS292" s="65" t="str">
        <f t="shared" si="18"/>
        <v>Exclude</v>
      </c>
      <c r="AU292" s="65" t="str">
        <f t="shared" si="19"/>
        <v>Exclude</v>
      </c>
    </row>
    <row r="293" spans="1:47" s="64" customFormat="1" x14ac:dyDescent="0.25">
      <c r="A293" s="63"/>
      <c r="U293" s="65" t="str">
        <f t="shared" si="16"/>
        <v>Exclude</v>
      </c>
      <c r="W293" s="65" t="str">
        <f t="shared" si="17"/>
        <v>Exclude</v>
      </c>
      <c r="Y293" s="63"/>
      <c r="AS293" s="65" t="str">
        <f t="shared" si="18"/>
        <v>Exclude</v>
      </c>
      <c r="AU293" s="65" t="str">
        <f t="shared" si="19"/>
        <v>Exclude</v>
      </c>
    </row>
    <row r="294" spans="1:47" s="64" customFormat="1" x14ac:dyDescent="0.25">
      <c r="A294" s="63"/>
      <c r="U294" s="65" t="str">
        <f t="shared" si="16"/>
        <v>Exclude</v>
      </c>
      <c r="W294" s="65" t="str">
        <f t="shared" si="17"/>
        <v>Exclude</v>
      </c>
      <c r="Y294" s="63"/>
      <c r="AS294" s="65" t="str">
        <f t="shared" si="18"/>
        <v>Exclude</v>
      </c>
      <c r="AU294" s="65" t="str">
        <f t="shared" si="19"/>
        <v>Exclude</v>
      </c>
    </row>
    <row r="295" spans="1:47" s="64" customFormat="1" x14ac:dyDescent="0.25">
      <c r="A295" s="63"/>
      <c r="U295" s="65" t="str">
        <f t="shared" si="16"/>
        <v>Exclude</v>
      </c>
      <c r="W295" s="65" t="str">
        <f t="shared" si="17"/>
        <v>Exclude</v>
      </c>
      <c r="Y295" s="63"/>
      <c r="AS295" s="65" t="str">
        <f t="shared" si="18"/>
        <v>Exclude</v>
      </c>
      <c r="AU295" s="65" t="str">
        <f t="shared" si="19"/>
        <v>Exclude</v>
      </c>
    </row>
    <row r="296" spans="1:47" s="64" customFormat="1" x14ac:dyDescent="0.25">
      <c r="A296" s="63"/>
      <c r="U296" s="65" t="str">
        <f t="shared" si="16"/>
        <v>Exclude</v>
      </c>
      <c r="W296" s="65" t="str">
        <f t="shared" si="17"/>
        <v>Exclude</v>
      </c>
      <c r="Y296" s="63"/>
      <c r="AS296" s="65" t="str">
        <f t="shared" si="18"/>
        <v>Exclude</v>
      </c>
      <c r="AU296" s="65" t="str">
        <f t="shared" si="19"/>
        <v>Exclude</v>
      </c>
    </row>
    <row r="297" spans="1:47" s="64" customFormat="1" x14ac:dyDescent="0.25">
      <c r="A297" s="63"/>
      <c r="U297" s="65" t="str">
        <f t="shared" si="16"/>
        <v>Exclude</v>
      </c>
      <c r="W297" s="65" t="str">
        <f t="shared" si="17"/>
        <v>Exclude</v>
      </c>
      <c r="Y297" s="63"/>
      <c r="AS297" s="65" t="str">
        <f t="shared" si="18"/>
        <v>Exclude</v>
      </c>
      <c r="AU297" s="65" t="str">
        <f t="shared" si="19"/>
        <v>Exclude</v>
      </c>
    </row>
    <row r="298" spans="1:47" s="64" customFormat="1" x14ac:dyDescent="0.25">
      <c r="A298" s="63"/>
      <c r="U298" s="65" t="str">
        <f t="shared" si="16"/>
        <v>Exclude</v>
      </c>
      <c r="W298" s="65" t="str">
        <f t="shared" si="17"/>
        <v>Exclude</v>
      </c>
      <c r="Y298" s="63"/>
      <c r="AS298" s="65" t="str">
        <f t="shared" si="18"/>
        <v>Exclude</v>
      </c>
      <c r="AU298" s="65" t="str">
        <f t="shared" si="19"/>
        <v>Exclude</v>
      </c>
    </row>
    <row r="299" spans="1:47" s="64" customFormat="1" x14ac:dyDescent="0.25">
      <c r="A299" s="63"/>
      <c r="U299" s="65" t="str">
        <f t="shared" si="16"/>
        <v>Exclude</v>
      </c>
      <c r="W299" s="65" t="str">
        <f t="shared" si="17"/>
        <v>Exclude</v>
      </c>
      <c r="Y299" s="63"/>
      <c r="AS299" s="65" t="str">
        <f t="shared" si="18"/>
        <v>Exclude</v>
      </c>
      <c r="AU299" s="65" t="str">
        <f t="shared" si="19"/>
        <v>Exclude</v>
      </c>
    </row>
    <row r="300" spans="1:47" s="64" customFormat="1" x14ac:dyDescent="0.25">
      <c r="A300" s="63"/>
      <c r="U300" s="65" t="str">
        <f t="shared" si="16"/>
        <v>Exclude</v>
      </c>
      <c r="W300" s="65" t="str">
        <f t="shared" si="17"/>
        <v>Exclude</v>
      </c>
      <c r="Y300" s="63"/>
      <c r="AS300" s="65" t="str">
        <f t="shared" si="18"/>
        <v>Exclude</v>
      </c>
      <c r="AU300" s="65" t="str">
        <f t="shared" si="19"/>
        <v>Exclude</v>
      </c>
    </row>
    <row r="301" spans="1:47" s="64" customFormat="1" x14ac:dyDescent="0.25">
      <c r="A301" s="63"/>
      <c r="U301" s="65" t="str">
        <f t="shared" si="16"/>
        <v>Exclude</v>
      </c>
      <c r="W301" s="65" t="str">
        <f t="shared" si="17"/>
        <v>Exclude</v>
      </c>
      <c r="Y301" s="63"/>
      <c r="AS301" s="65" t="str">
        <f t="shared" si="18"/>
        <v>Exclude</v>
      </c>
      <c r="AU301" s="65" t="str">
        <f t="shared" si="19"/>
        <v>Exclude</v>
      </c>
    </row>
    <row r="302" spans="1:47" s="64" customFormat="1" x14ac:dyDescent="0.25">
      <c r="A302" s="63"/>
      <c r="U302" s="65" t="str">
        <f t="shared" si="16"/>
        <v>Exclude</v>
      </c>
      <c r="W302" s="65" t="str">
        <f t="shared" si="17"/>
        <v>Exclude</v>
      </c>
      <c r="Y302" s="63"/>
      <c r="AS302" s="65" t="str">
        <f t="shared" si="18"/>
        <v>Exclude</v>
      </c>
      <c r="AU302" s="65" t="str">
        <f t="shared" si="19"/>
        <v>Exclude</v>
      </c>
    </row>
    <row r="303" spans="1:47" s="64" customFormat="1" x14ac:dyDescent="0.25">
      <c r="A303" s="63"/>
      <c r="U303" s="65" t="str">
        <f t="shared" si="16"/>
        <v>Exclude</v>
      </c>
      <c r="W303" s="65" t="str">
        <f t="shared" si="17"/>
        <v>Exclude</v>
      </c>
      <c r="Y303" s="63"/>
      <c r="AS303" s="65" t="str">
        <f t="shared" si="18"/>
        <v>Exclude</v>
      </c>
      <c r="AU303" s="65" t="str">
        <f t="shared" si="19"/>
        <v>Exclude</v>
      </c>
    </row>
    <row r="304" spans="1:47" s="64" customFormat="1" x14ac:dyDescent="0.25">
      <c r="A304" s="63"/>
      <c r="U304" s="65" t="str">
        <f t="shared" si="16"/>
        <v>Exclude</v>
      </c>
      <c r="W304" s="65" t="str">
        <f t="shared" si="17"/>
        <v>Exclude</v>
      </c>
      <c r="Y304" s="63"/>
      <c r="AS304" s="65" t="str">
        <f t="shared" si="18"/>
        <v>Exclude</v>
      </c>
      <c r="AU304" s="65" t="str">
        <f t="shared" si="19"/>
        <v>Exclude</v>
      </c>
    </row>
    <row r="305" spans="1:47" s="64" customFormat="1" x14ac:dyDescent="0.25">
      <c r="A305" s="63"/>
      <c r="U305" s="65" t="str">
        <f t="shared" si="16"/>
        <v>Exclude</v>
      </c>
      <c r="W305" s="65" t="str">
        <f t="shared" si="17"/>
        <v>Exclude</v>
      </c>
      <c r="Y305" s="63"/>
      <c r="AS305" s="65" t="str">
        <f t="shared" si="18"/>
        <v>Exclude</v>
      </c>
      <c r="AU305" s="65" t="str">
        <f t="shared" si="19"/>
        <v>Exclude</v>
      </c>
    </row>
    <row r="306" spans="1:47" s="64" customFormat="1" x14ac:dyDescent="0.25">
      <c r="A306" s="63"/>
      <c r="U306" s="65" t="str">
        <f t="shared" si="16"/>
        <v>Exclude</v>
      </c>
      <c r="W306" s="65" t="str">
        <f t="shared" si="17"/>
        <v>Exclude</v>
      </c>
      <c r="Y306" s="63"/>
      <c r="AS306" s="65" t="str">
        <f t="shared" si="18"/>
        <v>Exclude</v>
      </c>
      <c r="AU306" s="65" t="str">
        <f t="shared" si="19"/>
        <v>Exclude</v>
      </c>
    </row>
    <row r="307" spans="1:47" s="64" customFormat="1" x14ac:dyDescent="0.25">
      <c r="A307" s="63"/>
      <c r="U307" s="65" t="str">
        <f t="shared" si="16"/>
        <v>Exclude</v>
      </c>
      <c r="W307" s="65" t="str">
        <f t="shared" si="17"/>
        <v>Exclude</v>
      </c>
      <c r="Y307" s="63"/>
      <c r="AS307" s="65" t="str">
        <f t="shared" si="18"/>
        <v>Exclude</v>
      </c>
      <c r="AU307" s="65" t="str">
        <f t="shared" si="19"/>
        <v>Exclude</v>
      </c>
    </row>
    <row r="308" spans="1:47" s="64" customFormat="1" x14ac:dyDescent="0.25">
      <c r="A308" s="63"/>
      <c r="U308" s="65" t="str">
        <f t="shared" si="16"/>
        <v>Exclude</v>
      </c>
      <c r="W308" s="65" t="str">
        <f t="shared" si="17"/>
        <v>Exclude</v>
      </c>
      <c r="Y308" s="63"/>
      <c r="AS308" s="65" t="str">
        <f t="shared" si="18"/>
        <v>Exclude</v>
      </c>
      <c r="AU308" s="65" t="str">
        <f t="shared" si="19"/>
        <v>Exclude</v>
      </c>
    </row>
    <row r="309" spans="1:47" s="64" customFormat="1" x14ac:dyDescent="0.25">
      <c r="A309" s="63"/>
      <c r="U309" s="65" t="str">
        <f t="shared" si="16"/>
        <v>Exclude</v>
      </c>
      <c r="W309" s="65" t="str">
        <f t="shared" si="17"/>
        <v>Exclude</v>
      </c>
      <c r="Y309" s="63"/>
      <c r="AS309" s="65" t="str">
        <f t="shared" si="18"/>
        <v>Exclude</v>
      </c>
      <c r="AU309" s="65" t="str">
        <f t="shared" si="19"/>
        <v>Exclude</v>
      </c>
    </row>
    <row r="310" spans="1:47" s="64" customFormat="1" x14ac:dyDescent="0.25">
      <c r="A310" s="63"/>
      <c r="U310" s="65" t="str">
        <f t="shared" si="16"/>
        <v>Exclude</v>
      </c>
      <c r="W310" s="65" t="str">
        <f t="shared" si="17"/>
        <v>Exclude</v>
      </c>
      <c r="Y310" s="63"/>
      <c r="AS310" s="65" t="str">
        <f t="shared" si="18"/>
        <v>Exclude</v>
      </c>
      <c r="AU310" s="65" t="str">
        <f t="shared" si="19"/>
        <v>Exclude</v>
      </c>
    </row>
    <row r="311" spans="1:47" s="64" customFormat="1" x14ac:dyDescent="0.25">
      <c r="A311" s="63"/>
      <c r="U311" s="65" t="str">
        <f t="shared" si="16"/>
        <v>Exclude</v>
      </c>
      <c r="W311" s="65" t="str">
        <f t="shared" si="17"/>
        <v>Exclude</v>
      </c>
      <c r="Y311" s="63"/>
      <c r="AS311" s="65" t="str">
        <f t="shared" si="18"/>
        <v>Exclude</v>
      </c>
      <c r="AU311" s="65" t="str">
        <f t="shared" si="19"/>
        <v>Exclude</v>
      </c>
    </row>
    <row r="312" spans="1:47" s="64" customFormat="1" x14ac:dyDescent="0.25">
      <c r="A312" s="63"/>
      <c r="U312" s="65" t="str">
        <f t="shared" si="16"/>
        <v>Exclude</v>
      </c>
      <c r="W312" s="65" t="str">
        <f t="shared" si="17"/>
        <v>Exclude</v>
      </c>
      <c r="Y312" s="63"/>
      <c r="AS312" s="65" t="str">
        <f t="shared" si="18"/>
        <v>Exclude</v>
      </c>
      <c r="AU312" s="65" t="str">
        <f t="shared" si="19"/>
        <v>Exclude</v>
      </c>
    </row>
    <row r="313" spans="1:47" s="64" customFormat="1" x14ac:dyDescent="0.25">
      <c r="A313" s="63"/>
      <c r="U313" s="65" t="str">
        <f t="shared" si="16"/>
        <v>Exclude</v>
      </c>
      <c r="W313" s="65" t="str">
        <f t="shared" si="17"/>
        <v>Exclude</v>
      </c>
      <c r="Y313" s="63"/>
      <c r="AS313" s="65" t="str">
        <f t="shared" si="18"/>
        <v>Exclude</v>
      </c>
      <c r="AU313" s="65" t="str">
        <f t="shared" si="19"/>
        <v>Exclude</v>
      </c>
    </row>
    <row r="314" spans="1:47" s="64" customFormat="1" x14ac:dyDescent="0.25">
      <c r="A314" s="63"/>
      <c r="U314" s="65" t="str">
        <f t="shared" si="16"/>
        <v>Exclude</v>
      </c>
      <c r="W314" s="65" t="str">
        <f t="shared" si="17"/>
        <v>Exclude</v>
      </c>
      <c r="Y314" s="63"/>
      <c r="AS314" s="65" t="str">
        <f t="shared" si="18"/>
        <v>Exclude</v>
      </c>
      <c r="AU314" s="65" t="str">
        <f t="shared" si="19"/>
        <v>Exclude</v>
      </c>
    </row>
    <row r="315" spans="1:47" s="64" customFormat="1" x14ac:dyDescent="0.25">
      <c r="A315" s="63"/>
      <c r="U315" s="65" t="str">
        <f t="shared" si="16"/>
        <v>Exclude</v>
      </c>
      <c r="W315" s="65" t="str">
        <f t="shared" si="17"/>
        <v>Exclude</v>
      </c>
      <c r="Y315" s="63"/>
      <c r="AS315" s="65" t="str">
        <f t="shared" si="18"/>
        <v>Exclude</v>
      </c>
      <c r="AU315" s="65" t="str">
        <f t="shared" si="19"/>
        <v>Exclude</v>
      </c>
    </row>
    <row r="316" spans="1:47" s="64" customFormat="1" x14ac:dyDescent="0.25">
      <c r="A316" s="63"/>
      <c r="U316" s="65" t="str">
        <f t="shared" si="16"/>
        <v>Exclude</v>
      </c>
      <c r="W316" s="65" t="str">
        <f t="shared" si="17"/>
        <v>Exclude</v>
      </c>
      <c r="Y316" s="63"/>
      <c r="AS316" s="65" t="str">
        <f t="shared" si="18"/>
        <v>Exclude</v>
      </c>
      <c r="AU316" s="65" t="str">
        <f t="shared" si="19"/>
        <v>Exclude</v>
      </c>
    </row>
    <row r="317" spans="1:47" s="64" customFormat="1" x14ac:dyDescent="0.25">
      <c r="A317" s="63"/>
      <c r="U317" s="65" t="str">
        <f t="shared" si="16"/>
        <v>Exclude</v>
      </c>
      <c r="W317" s="65" t="str">
        <f t="shared" si="17"/>
        <v>Exclude</v>
      </c>
      <c r="Y317" s="63"/>
      <c r="AS317" s="65" t="str">
        <f t="shared" si="18"/>
        <v>Exclude</v>
      </c>
      <c r="AU317" s="65" t="str">
        <f t="shared" si="19"/>
        <v>Exclude</v>
      </c>
    </row>
    <row r="318" spans="1:47" s="64" customFormat="1" x14ac:dyDescent="0.25">
      <c r="A318" s="63"/>
      <c r="U318" s="65" t="str">
        <f t="shared" si="16"/>
        <v>Exclude</v>
      </c>
      <c r="W318" s="65" t="str">
        <f t="shared" si="17"/>
        <v>Exclude</v>
      </c>
      <c r="Y318" s="63"/>
      <c r="AS318" s="65" t="str">
        <f t="shared" si="18"/>
        <v>Exclude</v>
      </c>
      <c r="AU318" s="65" t="str">
        <f t="shared" si="19"/>
        <v>Exclude</v>
      </c>
    </row>
    <row r="319" spans="1:47" s="64" customFormat="1" x14ac:dyDescent="0.25">
      <c r="A319" s="63"/>
      <c r="U319" s="65" t="str">
        <f t="shared" si="16"/>
        <v>Exclude</v>
      </c>
      <c r="W319" s="65" t="str">
        <f t="shared" si="17"/>
        <v>Exclude</v>
      </c>
      <c r="Y319" s="63"/>
      <c r="AS319" s="65" t="str">
        <f t="shared" si="18"/>
        <v>Exclude</v>
      </c>
      <c r="AU319" s="65" t="str">
        <f t="shared" si="19"/>
        <v>Exclude</v>
      </c>
    </row>
    <row r="320" spans="1:47" s="64" customFormat="1" x14ac:dyDescent="0.25">
      <c r="A320" s="63"/>
      <c r="U320" s="65" t="str">
        <f t="shared" si="16"/>
        <v>Exclude</v>
      </c>
      <c r="W320" s="65" t="str">
        <f t="shared" si="17"/>
        <v>Exclude</v>
      </c>
      <c r="Y320" s="63"/>
      <c r="AS320" s="65" t="str">
        <f t="shared" si="18"/>
        <v>Exclude</v>
      </c>
      <c r="AU320" s="65" t="str">
        <f t="shared" si="19"/>
        <v>Exclude</v>
      </c>
    </row>
    <row r="321" spans="1:47" s="64" customFormat="1" x14ac:dyDescent="0.25">
      <c r="A321" s="63"/>
      <c r="U321" s="65" t="str">
        <f t="shared" si="16"/>
        <v>Exclude</v>
      </c>
      <c r="W321" s="65" t="str">
        <f t="shared" si="17"/>
        <v>Exclude</v>
      </c>
      <c r="Y321" s="63"/>
      <c r="AS321" s="65" t="str">
        <f t="shared" si="18"/>
        <v>Exclude</v>
      </c>
      <c r="AU321" s="65" t="str">
        <f t="shared" si="19"/>
        <v>Exclude</v>
      </c>
    </row>
    <row r="322" spans="1:47" s="64" customFormat="1" x14ac:dyDescent="0.25">
      <c r="A322" s="63"/>
      <c r="U322" s="65" t="str">
        <f t="shared" si="16"/>
        <v>Exclude</v>
      </c>
      <c r="W322" s="65" t="str">
        <f t="shared" si="17"/>
        <v>Exclude</v>
      </c>
      <c r="Y322" s="63"/>
      <c r="AS322" s="65" t="str">
        <f t="shared" si="18"/>
        <v>Exclude</v>
      </c>
      <c r="AU322" s="65" t="str">
        <f t="shared" si="19"/>
        <v>Exclude</v>
      </c>
    </row>
    <row r="323" spans="1:47" s="64" customFormat="1" x14ac:dyDescent="0.25">
      <c r="A323" s="63"/>
      <c r="U323" s="65" t="str">
        <f t="shared" si="16"/>
        <v>Exclude</v>
      </c>
      <c r="W323" s="65" t="str">
        <f t="shared" si="17"/>
        <v>Exclude</v>
      </c>
      <c r="Y323" s="63"/>
      <c r="AS323" s="65" t="str">
        <f t="shared" si="18"/>
        <v>Exclude</v>
      </c>
      <c r="AU323" s="65" t="str">
        <f t="shared" si="19"/>
        <v>Exclude</v>
      </c>
    </row>
    <row r="324" spans="1:47" s="64" customFormat="1" x14ac:dyDescent="0.25">
      <c r="A324" s="63"/>
      <c r="U324" s="65" t="str">
        <f t="shared" si="16"/>
        <v>Exclude</v>
      </c>
      <c r="W324" s="65" t="str">
        <f t="shared" si="17"/>
        <v>Exclude</v>
      </c>
      <c r="Y324" s="63"/>
      <c r="AS324" s="65" t="str">
        <f t="shared" si="18"/>
        <v>Exclude</v>
      </c>
      <c r="AU324" s="65" t="str">
        <f t="shared" si="19"/>
        <v>Exclude</v>
      </c>
    </row>
    <row r="325" spans="1:47" s="64" customFormat="1" x14ac:dyDescent="0.25">
      <c r="A325" s="63"/>
      <c r="U325" s="65" t="str">
        <f t="shared" si="16"/>
        <v>Exclude</v>
      </c>
      <c r="W325" s="65" t="str">
        <f t="shared" si="17"/>
        <v>Exclude</v>
      </c>
      <c r="Y325" s="63"/>
      <c r="AS325" s="65" t="str">
        <f t="shared" si="18"/>
        <v>Exclude</v>
      </c>
      <c r="AU325" s="65" t="str">
        <f t="shared" si="19"/>
        <v>Exclude</v>
      </c>
    </row>
    <row r="326" spans="1:47" s="64" customFormat="1" x14ac:dyDescent="0.25">
      <c r="A326" s="63"/>
      <c r="U326" s="65" t="str">
        <f t="shared" si="16"/>
        <v>Exclude</v>
      </c>
      <c r="W326" s="65" t="str">
        <f t="shared" si="17"/>
        <v>Exclude</v>
      </c>
      <c r="Y326" s="63"/>
      <c r="AS326" s="65" t="str">
        <f t="shared" si="18"/>
        <v>Exclude</v>
      </c>
      <c r="AU326" s="65" t="str">
        <f t="shared" si="19"/>
        <v>Exclude</v>
      </c>
    </row>
    <row r="327" spans="1:47" s="64" customFormat="1" x14ac:dyDescent="0.25">
      <c r="A327" s="63"/>
      <c r="U327" s="65" t="str">
        <f t="shared" si="16"/>
        <v>Exclude</v>
      </c>
      <c r="W327" s="65" t="str">
        <f t="shared" si="17"/>
        <v>Exclude</v>
      </c>
      <c r="Y327" s="63"/>
      <c r="AS327" s="65" t="str">
        <f t="shared" si="18"/>
        <v>Exclude</v>
      </c>
      <c r="AU327" s="65" t="str">
        <f t="shared" si="19"/>
        <v>Exclude</v>
      </c>
    </row>
    <row r="328" spans="1:47" s="64" customFormat="1" x14ac:dyDescent="0.25">
      <c r="A328" s="63"/>
      <c r="U328" s="65" t="str">
        <f t="shared" si="16"/>
        <v>Exclude</v>
      </c>
      <c r="W328" s="65" t="str">
        <f t="shared" si="17"/>
        <v>Exclude</v>
      </c>
      <c r="Y328" s="63"/>
      <c r="AS328" s="65" t="str">
        <f t="shared" si="18"/>
        <v>Exclude</v>
      </c>
      <c r="AU328" s="65" t="str">
        <f t="shared" si="19"/>
        <v>Exclude</v>
      </c>
    </row>
    <row r="329" spans="1:47" s="64" customFormat="1" x14ac:dyDescent="0.25">
      <c r="A329" s="63"/>
      <c r="U329" s="65" t="str">
        <f t="shared" si="16"/>
        <v>Exclude</v>
      </c>
      <c r="W329" s="65" t="str">
        <f t="shared" si="17"/>
        <v>Exclude</v>
      </c>
      <c r="Y329" s="63"/>
      <c r="AS329" s="65" t="str">
        <f t="shared" si="18"/>
        <v>Exclude</v>
      </c>
      <c r="AU329" s="65" t="str">
        <f t="shared" si="19"/>
        <v>Exclude</v>
      </c>
    </row>
    <row r="330" spans="1:47" s="64" customFormat="1" x14ac:dyDescent="0.25">
      <c r="A330" s="63"/>
      <c r="U330" s="65" t="str">
        <f t="shared" si="16"/>
        <v>Exclude</v>
      </c>
      <c r="W330" s="65" t="str">
        <f t="shared" si="17"/>
        <v>Exclude</v>
      </c>
      <c r="Y330" s="63"/>
      <c r="AS330" s="65" t="str">
        <f t="shared" si="18"/>
        <v>Exclude</v>
      </c>
      <c r="AU330" s="65" t="str">
        <f t="shared" si="19"/>
        <v>Exclude</v>
      </c>
    </row>
    <row r="331" spans="1:47" s="64" customFormat="1" x14ac:dyDescent="0.25">
      <c r="A331" s="63"/>
      <c r="U331" s="65" t="str">
        <f t="shared" si="16"/>
        <v>Exclude</v>
      </c>
      <c r="W331" s="65" t="str">
        <f t="shared" si="17"/>
        <v>Exclude</v>
      </c>
      <c r="Y331" s="63"/>
      <c r="AS331" s="65" t="str">
        <f t="shared" si="18"/>
        <v>Exclude</v>
      </c>
      <c r="AU331" s="65" t="str">
        <f t="shared" si="19"/>
        <v>Exclude</v>
      </c>
    </row>
    <row r="332" spans="1:47" s="64" customFormat="1" x14ac:dyDescent="0.25">
      <c r="A332" s="63"/>
      <c r="U332" s="65" t="str">
        <f t="shared" si="16"/>
        <v>Exclude</v>
      </c>
      <c r="W332" s="65" t="str">
        <f t="shared" si="17"/>
        <v>Exclude</v>
      </c>
      <c r="Y332" s="63"/>
      <c r="AS332" s="65" t="str">
        <f t="shared" si="18"/>
        <v>Exclude</v>
      </c>
      <c r="AU332" s="65" t="str">
        <f t="shared" si="19"/>
        <v>Exclude</v>
      </c>
    </row>
    <row r="333" spans="1:47" s="64" customFormat="1" x14ac:dyDescent="0.25">
      <c r="A333" s="63"/>
      <c r="U333" s="65" t="str">
        <f t="shared" si="16"/>
        <v>Exclude</v>
      </c>
      <c r="W333" s="65" t="str">
        <f t="shared" si="17"/>
        <v>Exclude</v>
      </c>
      <c r="Y333" s="63"/>
      <c r="AS333" s="65" t="str">
        <f t="shared" si="18"/>
        <v>Exclude</v>
      </c>
      <c r="AU333" s="65" t="str">
        <f t="shared" si="19"/>
        <v>Exclude</v>
      </c>
    </row>
    <row r="334" spans="1:47" s="64" customFormat="1" x14ac:dyDescent="0.25">
      <c r="A334" s="63"/>
      <c r="U334" s="65" t="str">
        <f t="shared" si="16"/>
        <v>Exclude</v>
      </c>
      <c r="W334" s="65" t="str">
        <f t="shared" si="17"/>
        <v>Exclude</v>
      </c>
      <c r="Y334" s="63"/>
      <c r="AS334" s="65" t="str">
        <f t="shared" si="18"/>
        <v>Exclude</v>
      </c>
      <c r="AU334" s="65" t="str">
        <f t="shared" si="19"/>
        <v>Exclude</v>
      </c>
    </row>
    <row r="335" spans="1:47" s="64" customFormat="1" x14ac:dyDescent="0.25">
      <c r="A335" s="63"/>
      <c r="U335" s="65" t="str">
        <f t="shared" si="16"/>
        <v>Exclude</v>
      </c>
      <c r="W335" s="65" t="str">
        <f t="shared" si="17"/>
        <v>Exclude</v>
      </c>
      <c r="Y335" s="63"/>
      <c r="AS335" s="65" t="str">
        <f t="shared" si="18"/>
        <v>Exclude</v>
      </c>
      <c r="AU335" s="65" t="str">
        <f t="shared" si="19"/>
        <v>Exclude</v>
      </c>
    </row>
    <row r="336" spans="1:47" s="64" customFormat="1" x14ac:dyDescent="0.25">
      <c r="A336" s="63"/>
      <c r="U336" s="65" t="str">
        <f t="shared" si="16"/>
        <v>Exclude</v>
      </c>
      <c r="W336" s="65" t="str">
        <f t="shared" si="17"/>
        <v>Exclude</v>
      </c>
      <c r="Y336" s="63"/>
      <c r="AS336" s="65" t="str">
        <f t="shared" si="18"/>
        <v>Exclude</v>
      </c>
      <c r="AU336" s="65" t="str">
        <f t="shared" si="19"/>
        <v>Exclude</v>
      </c>
    </row>
    <row r="337" spans="1:47" s="64" customFormat="1" x14ac:dyDescent="0.25">
      <c r="A337" s="63"/>
      <c r="U337" s="65" t="str">
        <f t="shared" si="16"/>
        <v>Exclude</v>
      </c>
      <c r="W337" s="65" t="str">
        <f t="shared" si="17"/>
        <v>Exclude</v>
      </c>
      <c r="Y337" s="63"/>
      <c r="AS337" s="65" t="str">
        <f t="shared" si="18"/>
        <v>Exclude</v>
      </c>
      <c r="AU337" s="65" t="str">
        <f t="shared" si="19"/>
        <v>Exclude</v>
      </c>
    </row>
    <row r="338" spans="1:47" s="64" customFormat="1" x14ac:dyDescent="0.25">
      <c r="A338" s="63"/>
      <c r="U338" s="65" t="str">
        <f t="shared" si="16"/>
        <v>Exclude</v>
      </c>
      <c r="W338" s="65" t="str">
        <f t="shared" si="17"/>
        <v>Exclude</v>
      </c>
      <c r="Y338" s="63"/>
      <c r="AS338" s="65" t="str">
        <f t="shared" si="18"/>
        <v>Exclude</v>
      </c>
      <c r="AU338" s="65" t="str">
        <f t="shared" si="19"/>
        <v>Exclude</v>
      </c>
    </row>
    <row r="339" spans="1:47" s="64" customFormat="1" x14ac:dyDescent="0.25">
      <c r="A339" s="63"/>
      <c r="U339" s="65" t="str">
        <f t="shared" si="16"/>
        <v>Exclude</v>
      </c>
      <c r="W339" s="65" t="str">
        <f t="shared" si="17"/>
        <v>Exclude</v>
      </c>
      <c r="Y339" s="63"/>
      <c r="AS339" s="65" t="str">
        <f t="shared" si="18"/>
        <v>Exclude</v>
      </c>
      <c r="AU339" s="65" t="str">
        <f t="shared" si="19"/>
        <v>Exclude</v>
      </c>
    </row>
    <row r="340" spans="1:47" s="64" customFormat="1" x14ac:dyDescent="0.25">
      <c r="A340" s="63"/>
      <c r="U340" s="65" t="str">
        <f t="shared" si="16"/>
        <v>Exclude</v>
      </c>
      <c r="W340" s="65" t="str">
        <f t="shared" si="17"/>
        <v>Exclude</v>
      </c>
      <c r="Y340" s="63"/>
      <c r="AS340" s="65" t="str">
        <f t="shared" si="18"/>
        <v>Exclude</v>
      </c>
      <c r="AU340" s="65" t="str">
        <f t="shared" si="19"/>
        <v>Exclude</v>
      </c>
    </row>
    <row r="341" spans="1:47" s="64" customFormat="1" x14ac:dyDescent="0.25">
      <c r="A341" s="63"/>
      <c r="U341" s="65" t="str">
        <f t="shared" si="16"/>
        <v>Exclude</v>
      </c>
      <c r="W341" s="65" t="str">
        <f t="shared" si="17"/>
        <v>Exclude</v>
      </c>
      <c r="Y341" s="63"/>
      <c r="AS341" s="65" t="str">
        <f t="shared" si="18"/>
        <v>Exclude</v>
      </c>
      <c r="AU341" s="65" t="str">
        <f t="shared" si="19"/>
        <v>Exclude</v>
      </c>
    </row>
    <row r="342" spans="1:47" s="64" customFormat="1" x14ac:dyDescent="0.25">
      <c r="A342" s="63"/>
      <c r="U342" s="65" t="str">
        <f t="shared" si="16"/>
        <v>Exclude</v>
      </c>
      <c r="W342" s="65" t="str">
        <f t="shared" si="17"/>
        <v>Exclude</v>
      </c>
      <c r="Y342" s="63"/>
      <c r="AS342" s="65" t="str">
        <f t="shared" si="18"/>
        <v>Exclude</v>
      </c>
      <c r="AU342" s="65" t="str">
        <f t="shared" si="19"/>
        <v>Exclude</v>
      </c>
    </row>
    <row r="343" spans="1:47" s="64" customFormat="1" x14ac:dyDescent="0.25">
      <c r="A343" s="63"/>
      <c r="U343" s="65" t="str">
        <f t="shared" ref="U343:U406" si="20">IF(OR(R343="TruePositive",R343="TrueNegative"),IF(R342&lt;&gt;"Anticipatory",IF(OR(R342="FalseNegative",R342="FalsePositive"),"SameTrial",(N343)),"Pant"),IF(OR(R343="FalsePositive",R343="FalseNegative"),IF(R342&lt;&gt;"Anticipatory",IF(OR(R342="FalsePositive",R342="FalseNegative"),"SameTrial","Exclude"),"Exclude"),"Exclude"))</f>
        <v>Exclude</v>
      </c>
      <c r="W343" s="65" t="str">
        <f t="shared" ref="W343:W406" si="21">IF(OR(R343="TruePositive",R343="TrueNegative"),IF(R342&lt;&gt;"Anticipatory",IF(OR(R342="FalseNegative",R342="FalsePositive"),"SameTrial",LOG10(N343)),"Pant"),IF(OR(R343="FalsePositive",R343="FalseNegative"),IF(R342&lt;&gt;"Anticipatory",IF(OR(R342="FalsePositive",R342="FalseNegative"),"SameTrial","Exclude"),"Exclude"),"Exclude"))</f>
        <v>Exclude</v>
      </c>
      <c r="Y343" s="63"/>
      <c r="AS343" s="65" t="str">
        <f t="shared" ref="AS343:AS406" si="22">IF(OR(AP343="TruePositive",AP343="TrueNegative"),IF(AP342&lt;&gt;"Anticipatory",IF(OR(AP342="FalseNegative",AP342="FalsePositive"),"SameTrial",(AL343)),"Pant"),IF(OR(AP343="FalsePositive",AP343="FalseNegative"),IF(AP342&lt;&gt;"Anticipatory",IF(OR(AP342="FalsePositive",AP342="FalseNegative"),"SameTrial","Exclude"),"Exclude"),"Exclude"))</f>
        <v>Exclude</v>
      </c>
      <c r="AU343" s="65" t="str">
        <f t="shared" ref="AU343:AU406" si="23">IF(OR(AP343="TruePositive",AP343="TrueNegative"),IF(AP342&lt;&gt;"Anticipatory",IF(OR(AP342="FalseNegative",AP342="FalsePositive"),"SameTrial",LOG10(AL343)),"Pant"),IF(OR(AP343="FalsePositive",AP343="FalseNegative"),IF(AP342&lt;&gt;"Anticipatory",IF(OR(AP342="FalsePositive",AP342="FalseNegative"),"SameTrial","Exclude"),"Exclude"),"Exclude"))</f>
        <v>Exclude</v>
      </c>
    </row>
    <row r="344" spans="1:47" s="64" customFormat="1" x14ac:dyDescent="0.25">
      <c r="A344" s="63"/>
      <c r="U344" s="65" t="str">
        <f t="shared" si="20"/>
        <v>Exclude</v>
      </c>
      <c r="W344" s="65" t="str">
        <f t="shared" si="21"/>
        <v>Exclude</v>
      </c>
      <c r="Y344" s="63"/>
      <c r="AS344" s="65" t="str">
        <f t="shared" si="22"/>
        <v>Exclude</v>
      </c>
      <c r="AU344" s="65" t="str">
        <f t="shared" si="23"/>
        <v>Exclude</v>
      </c>
    </row>
    <row r="345" spans="1:47" s="64" customFormat="1" x14ac:dyDescent="0.25">
      <c r="A345" s="63"/>
      <c r="U345" s="65" t="str">
        <f t="shared" si="20"/>
        <v>Exclude</v>
      </c>
      <c r="W345" s="65" t="str">
        <f t="shared" si="21"/>
        <v>Exclude</v>
      </c>
      <c r="Y345" s="63"/>
      <c r="AS345" s="65" t="str">
        <f t="shared" si="22"/>
        <v>Exclude</v>
      </c>
      <c r="AU345" s="65" t="str">
        <f t="shared" si="23"/>
        <v>Exclude</v>
      </c>
    </row>
    <row r="346" spans="1:47" s="64" customFormat="1" x14ac:dyDescent="0.25">
      <c r="A346" s="63"/>
      <c r="U346" s="65" t="str">
        <f t="shared" si="20"/>
        <v>Exclude</v>
      </c>
      <c r="W346" s="65" t="str">
        <f t="shared" si="21"/>
        <v>Exclude</v>
      </c>
      <c r="Y346" s="63"/>
      <c r="AS346" s="65" t="str">
        <f t="shared" si="22"/>
        <v>Exclude</v>
      </c>
      <c r="AU346" s="65" t="str">
        <f t="shared" si="23"/>
        <v>Exclude</v>
      </c>
    </row>
    <row r="347" spans="1:47" s="64" customFormat="1" x14ac:dyDescent="0.25">
      <c r="A347" s="63"/>
      <c r="U347" s="65" t="str">
        <f t="shared" si="20"/>
        <v>Exclude</v>
      </c>
      <c r="W347" s="65" t="str">
        <f t="shared" si="21"/>
        <v>Exclude</v>
      </c>
      <c r="Y347" s="63"/>
      <c r="AS347" s="65" t="str">
        <f t="shared" si="22"/>
        <v>Exclude</v>
      </c>
      <c r="AU347" s="65" t="str">
        <f t="shared" si="23"/>
        <v>Exclude</v>
      </c>
    </row>
    <row r="348" spans="1:47" s="64" customFormat="1" x14ac:dyDescent="0.25">
      <c r="A348" s="63"/>
      <c r="U348" s="65" t="str">
        <f t="shared" si="20"/>
        <v>Exclude</v>
      </c>
      <c r="W348" s="65" t="str">
        <f t="shared" si="21"/>
        <v>Exclude</v>
      </c>
      <c r="Y348" s="63"/>
      <c r="AS348" s="65" t="str">
        <f t="shared" si="22"/>
        <v>Exclude</v>
      </c>
      <c r="AU348" s="65" t="str">
        <f t="shared" si="23"/>
        <v>Exclude</v>
      </c>
    </row>
    <row r="349" spans="1:47" s="64" customFormat="1" x14ac:dyDescent="0.25">
      <c r="A349" s="63"/>
      <c r="U349" s="65" t="str">
        <f t="shared" si="20"/>
        <v>Exclude</v>
      </c>
      <c r="W349" s="65" t="str">
        <f t="shared" si="21"/>
        <v>Exclude</v>
      </c>
      <c r="Y349" s="63"/>
      <c r="AS349" s="65" t="str">
        <f t="shared" si="22"/>
        <v>Exclude</v>
      </c>
      <c r="AU349" s="65" t="str">
        <f t="shared" si="23"/>
        <v>Exclude</v>
      </c>
    </row>
    <row r="350" spans="1:47" s="64" customFormat="1" x14ac:dyDescent="0.25">
      <c r="A350" s="63"/>
      <c r="U350" s="65" t="str">
        <f t="shared" si="20"/>
        <v>Exclude</v>
      </c>
      <c r="W350" s="65" t="str">
        <f t="shared" si="21"/>
        <v>Exclude</v>
      </c>
      <c r="Y350" s="63"/>
      <c r="AS350" s="65" t="str">
        <f t="shared" si="22"/>
        <v>Exclude</v>
      </c>
      <c r="AU350" s="65" t="str">
        <f t="shared" si="23"/>
        <v>Exclude</v>
      </c>
    </row>
    <row r="351" spans="1:47" s="64" customFormat="1" x14ac:dyDescent="0.25">
      <c r="A351" s="63"/>
      <c r="U351" s="65" t="str">
        <f t="shared" si="20"/>
        <v>Exclude</v>
      </c>
      <c r="W351" s="65" t="str">
        <f t="shared" si="21"/>
        <v>Exclude</v>
      </c>
      <c r="Y351" s="63"/>
      <c r="AS351" s="65" t="str">
        <f t="shared" si="22"/>
        <v>Exclude</v>
      </c>
      <c r="AU351" s="65" t="str">
        <f t="shared" si="23"/>
        <v>Exclude</v>
      </c>
    </row>
    <row r="352" spans="1:47" s="64" customFormat="1" x14ac:dyDescent="0.25">
      <c r="A352" s="63"/>
      <c r="U352" s="65" t="str">
        <f t="shared" si="20"/>
        <v>Exclude</v>
      </c>
      <c r="W352" s="65" t="str">
        <f t="shared" si="21"/>
        <v>Exclude</v>
      </c>
      <c r="Y352" s="63"/>
      <c r="AS352" s="65" t="str">
        <f t="shared" si="22"/>
        <v>Exclude</v>
      </c>
      <c r="AU352" s="65" t="str">
        <f t="shared" si="23"/>
        <v>Exclude</v>
      </c>
    </row>
    <row r="353" spans="1:47" s="64" customFormat="1" x14ac:dyDescent="0.25">
      <c r="A353" s="63"/>
      <c r="U353" s="65" t="str">
        <f t="shared" si="20"/>
        <v>Exclude</v>
      </c>
      <c r="W353" s="65" t="str">
        <f t="shared" si="21"/>
        <v>Exclude</v>
      </c>
      <c r="Y353" s="63"/>
      <c r="AS353" s="65" t="str">
        <f t="shared" si="22"/>
        <v>Exclude</v>
      </c>
      <c r="AU353" s="65" t="str">
        <f t="shared" si="23"/>
        <v>Exclude</v>
      </c>
    </row>
    <row r="354" spans="1:47" s="64" customFormat="1" x14ac:dyDescent="0.25">
      <c r="A354" s="63"/>
      <c r="U354" s="65" t="str">
        <f t="shared" si="20"/>
        <v>Exclude</v>
      </c>
      <c r="W354" s="65" t="str">
        <f t="shared" si="21"/>
        <v>Exclude</v>
      </c>
      <c r="Y354" s="63"/>
      <c r="AS354" s="65" t="str">
        <f t="shared" si="22"/>
        <v>Exclude</v>
      </c>
      <c r="AU354" s="65" t="str">
        <f t="shared" si="23"/>
        <v>Exclude</v>
      </c>
    </row>
    <row r="355" spans="1:47" s="64" customFormat="1" x14ac:dyDescent="0.25">
      <c r="A355" s="63"/>
      <c r="U355" s="65" t="str">
        <f t="shared" si="20"/>
        <v>Exclude</v>
      </c>
      <c r="W355" s="65" t="str">
        <f t="shared" si="21"/>
        <v>Exclude</v>
      </c>
      <c r="Y355" s="63"/>
      <c r="AS355" s="65" t="str">
        <f t="shared" si="22"/>
        <v>Exclude</v>
      </c>
      <c r="AU355" s="65" t="str">
        <f t="shared" si="23"/>
        <v>Exclude</v>
      </c>
    </row>
    <row r="356" spans="1:47" s="64" customFormat="1" x14ac:dyDescent="0.25">
      <c r="A356" s="63"/>
      <c r="U356" s="65" t="str">
        <f t="shared" si="20"/>
        <v>Exclude</v>
      </c>
      <c r="W356" s="65" t="str">
        <f t="shared" si="21"/>
        <v>Exclude</v>
      </c>
      <c r="Y356" s="63"/>
      <c r="AS356" s="65" t="str">
        <f t="shared" si="22"/>
        <v>Exclude</v>
      </c>
      <c r="AU356" s="65" t="str">
        <f t="shared" si="23"/>
        <v>Exclude</v>
      </c>
    </row>
    <row r="357" spans="1:47" s="64" customFormat="1" x14ac:dyDescent="0.25">
      <c r="A357" s="63"/>
      <c r="U357" s="65" t="str">
        <f t="shared" si="20"/>
        <v>Exclude</v>
      </c>
      <c r="W357" s="65" t="str">
        <f t="shared" si="21"/>
        <v>Exclude</v>
      </c>
      <c r="Y357" s="63"/>
      <c r="AS357" s="65" t="str">
        <f t="shared" si="22"/>
        <v>Exclude</v>
      </c>
      <c r="AU357" s="65" t="str">
        <f t="shared" si="23"/>
        <v>Exclude</v>
      </c>
    </row>
    <row r="358" spans="1:47" s="64" customFormat="1" x14ac:dyDescent="0.25">
      <c r="A358" s="63"/>
      <c r="U358" s="65" t="str">
        <f t="shared" si="20"/>
        <v>Exclude</v>
      </c>
      <c r="W358" s="65" t="str">
        <f t="shared" si="21"/>
        <v>Exclude</v>
      </c>
      <c r="Y358" s="63"/>
      <c r="AS358" s="65" t="str">
        <f t="shared" si="22"/>
        <v>Exclude</v>
      </c>
      <c r="AU358" s="65" t="str">
        <f t="shared" si="23"/>
        <v>Exclude</v>
      </c>
    </row>
    <row r="359" spans="1:47" s="64" customFormat="1" x14ac:dyDescent="0.25">
      <c r="A359" s="63"/>
      <c r="U359" s="65" t="str">
        <f t="shared" si="20"/>
        <v>Exclude</v>
      </c>
      <c r="W359" s="65" t="str">
        <f t="shared" si="21"/>
        <v>Exclude</v>
      </c>
      <c r="Y359" s="63"/>
      <c r="AS359" s="65" t="str">
        <f t="shared" si="22"/>
        <v>Exclude</v>
      </c>
      <c r="AU359" s="65" t="str">
        <f t="shared" si="23"/>
        <v>Exclude</v>
      </c>
    </row>
    <row r="360" spans="1:47" s="64" customFormat="1" x14ac:dyDescent="0.25">
      <c r="A360" s="63"/>
      <c r="U360" s="65" t="str">
        <f t="shared" si="20"/>
        <v>Exclude</v>
      </c>
      <c r="W360" s="65" t="str">
        <f t="shared" si="21"/>
        <v>Exclude</v>
      </c>
      <c r="Y360" s="63"/>
      <c r="AS360" s="65" t="str">
        <f t="shared" si="22"/>
        <v>Exclude</v>
      </c>
      <c r="AU360" s="65" t="str">
        <f t="shared" si="23"/>
        <v>Exclude</v>
      </c>
    </row>
    <row r="361" spans="1:47" s="64" customFormat="1" x14ac:dyDescent="0.25">
      <c r="A361" s="63"/>
      <c r="U361" s="65" t="str">
        <f t="shared" si="20"/>
        <v>Exclude</v>
      </c>
      <c r="W361" s="65" t="str">
        <f t="shared" si="21"/>
        <v>Exclude</v>
      </c>
      <c r="Y361" s="63"/>
      <c r="AS361" s="65" t="str">
        <f t="shared" si="22"/>
        <v>Exclude</v>
      </c>
      <c r="AU361" s="65" t="str">
        <f t="shared" si="23"/>
        <v>Exclude</v>
      </c>
    </row>
    <row r="362" spans="1:47" s="64" customFormat="1" x14ac:dyDescent="0.25">
      <c r="A362" s="63"/>
      <c r="U362" s="65" t="str">
        <f t="shared" si="20"/>
        <v>Exclude</v>
      </c>
      <c r="W362" s="65" t="str">
        <f t="shared" si="21"/>
        <v>Exclude</v>
      </c>
      <c r="Y362" s="63"/>
      <c r="AS362" s="65" t="str">
        <f t="shared" si="22"/>
        <v>Exclude</v>
      </c>
      <c r="AU362" s="65" t="str">
        <f t="shared" si="23"/>
        <v>Exclude</v>
      </c>
    </row>
    <row r="363" spans="1:47" s="64" customFormat="1" x14ac:dyDescent="0.25">
      <c r="A363" s="63"/>
      <c r="U363" s="65" t="str">
        <f t="shared" si="20"/>
        <v>Exclude</v>
      </c>
      <c r="W363" s="65" t="str">
        <f t="shared" si="21"/>
        <v>Exclude</v>
      </c>
      <c r="Y363" s="63"/>
      <c r="AS363" s="65" t="str">
        <f t="shared" si="22"/>
        <v>Exclude</v>
      </c>
      <c r="AU363" s="65" t="str">
        <f t="shared" si="23"/>
        <v>Exclude</v>
      </c>
    </row>
    <row r="364" spans="1:47" s="64" customFormat="1" x14ac:dyDescent="0.25">
      <c r="A364" s="63"/>
      <c r="U364" s="65" t="str">
        <f t="shared" si="20"/>
        <v>Exclude</v>
      </c>
      <c r="W364" s="65" t="str">
        <f t="shared" si="21"/>
        <v>Exclude</v>
      </c>
      <c r="Y364" s="63"/>
      <c r="AS364" s="65" t="str">
        <f t="shared" si="22"/>
        <v>Exclude</v>
      </c>
      <c r="AU364" s="65" t="str">
        <f t="shared" si="23"/>
        <v>Exclude</v>
      </c>
    </row>
    <row r="365" spans="1:47" s="64" customFormat="1" x14ac:dyDescent="0.25">
      <c r="A365" s="63"/>
      <c r="U365" s="65" t="str">
        <f t="shared" si="20"/>
        <v>Exclude</v>
      </c>
      <c r="W365" s="65" t="str">
        <f t="shared" si="21"/>
        <v>Exclude</v>
      </c>
      <c r="Y365" s="63"/>
      <c r="AS365" s="65" t="str">
        <f t="shared" si="22"/>
        <v>Exclude</v>
      </c>
      <c r="AU365" s="65" t="str">
        <f t="shared" si="23"/>
        <v>Exclude</v>
      </c>
    </row>
    <row r="366" spans="1:47" s="64" customFormat="1" x14ac:dyDescent="0.25">
      <c r="A366" s="63"/>
      <c r="U366" s="65" t="str">
        <f t="shared" si="20"/>
        <v>Exclude</v>
      </c>
      <c r="W366" s="65" t="str">
        <f t="shared" si="21"/>
        <v>Exclude</v>
      </c>
      <c r="Y366" s="63"/>
      <c r="AS366" s="65" t="str">
        <f t="shared" si="22"/>
        <v>Exclude</v>
      </c>
      <c r="AU366" s="65" t="str">
        <f t="shared" si="23"/>
        <v>Exclude</v>
      </c>
    </row>
    <row r="367" spans="1:47" s="64" customFormat="1" x14ac:dyDescent="0.25">
      <c r="A367" s="63"/>
      <c r="U367" s="65" t="str">
        <f t="shared" si="20"/>
        <v>Exclude</v>
      </c>
      <c r="W367" s="65" t="str">
        <f t="shared" si="21"/>
        <v>Exclude</v>
      </c>
      <c r="Y367" s="63"/>
      <c r="AS367" s="65" t="str">
        <f t="shared" si="22"/>
        <v>Exclude</v>
      </c>
      <c r="AU367" s="65" t="str">
        <f t="shared" si="23"/>
        <v>Exclude</v>
      </c>
    </row>
    <row r="368" spans="1:47" s="64" customFormat="1" x14ac:dyDescent="0.25">
      <c r="A368" s="63"/>
      <c r="U368" s="65" t="str">
        <f t="shared" si="20"/>
        <v>Exclude</v>
      </c>
      <c r="W368" s="65" t="str">
        <f t="shared" si="21"/>
        <v>Exclude</v>
      </c>
      <c r="Y368" s="63"/>
      <c r="AS368" s="65" t="str">
        <f t="shared" si="22"/>
        <v>Exclude</v>
      </c>
      <c r="AU368" s="65" t="str">
        <f t="shared" si="23"/>
        <v>Exclude</v>
      </c>
    </row>
    <row r="369" spans="1:47" s="64" customFormat="1" x14ac:dyDescent="0.25">
      <c r="A369" s="63"/>
      <c r="U369" s="65" t="str">
        <f t="shared" si="20"/>
        <v>Exclude</v>
      </c>
      <c r="W369" s="65" t="str">
        <f t="shared" si="21"/>
        <v>Exclude</v>
      </c>
      <c r="Y369" s="63"/>
      <c r="AS369" s="65" t="str">
        <f t="shared" si="22"/>
        <v>Exclude</v>
      </c>
      <c r="AU369" s="65" t="str">
        <f t="shared" si="23"/>
        <v>Exclude</v>
      </c>
    </row>
    <row r="370" spans="1:47" s="64" customFormat="1" x14ac:dyDescent="0.25">
      <c r="A370" s="63"/>
      <c r="U370" s="65" t="str">
        <f t="shared" si="20"/>
        <v>Exclude</v>
      </c>
      <c r="W370" s="65" t="str">
        <f t="shared" si="21"/>
        <v>Exclude</v>
      </c>
      <c r="Y370" s="63"/>
      <c r="AS370" s="65" t="str">
        <f t="shared" si="22"/>
        <v>Exclude</v>
      </c>
      <c r="AU370" s="65" t="str">
        <f t="shared" si="23"/>
        <v>Exclude</v>
      </c>
    </row>
    <row r="371" spans="1:47" s="64" customFormat="1" x14ac:dyDescent="0.25">
      <c r="A371" s="63"/>
      <c r="U371" s="65" t="str">
        <f t="shared" si="20"/>
        <v>Exclude</v>
      </c>
      <c r="W371" s="65" t="str">
        <f t="shared" si="21"/>
        <v>Exclude</v>
      </c>
      <c r="Y371" s="63"/>
      <c r="AS371" s="65" t="str">
        <f t="shared" si="22"/>
        <v>Exclude</v>
      </c>
      <c r="AU371" s="65" t="str">
        <f t="shared" si="23"/>
        <v>Exclude</v>
      </c>
    </row>
    <row r="372" spans="1:47" s="64" customFormat="1" x14ac:dyDescent="0.25">
      <c r="A372" s="63"/>
      <c r="U372" s="65" t="str">
        <f t="shared" si="20"/>
        <v>Exclude</v>
      </c>
      <c r="W372" s="65" t="str">
        <f t="shared" si="21"/>
        <v>Exclude</v>
      </c>
      <c r="Y372" s="63"/>
      <c r="AS372" s="65" t="str">
        <f t="shared" si="22"/>
        <v>Exclude</v>
      </c>
      <c r="AU372" s="65" t="str">
        <f t="shared" si="23"/>
        <v>Exclude</v>
      </c>
    </row>
    <row r="373" spans="1:47" s="64" customFormat="1" x14ac:dyDescent="0.25">
      <c r="A373" s="63"/>
      <c r="U373" s="65" t="str">
        <f t="shared" si="20"/>
        <v>Exclude</v>
      </c>
      <c r="W373" s="65" t="str">
        <f t="shared" si="21"/>
        <v>Exclude</v>
      </c>
      <c r="Y373" s="63"/>
      <c r="AS373" s="65" t="str">
        <f t="shared" si="22"/>
        <v>Exclude</v>
      </c>
      <c r="AU373" s="65" t="str">
        <f t="shared" si="23"/>
        <v>Exclude</v>
      </c>
    </row>
    <row r="374" spans="1:47" s="64" customFormat="1" x14ac:dyDescent="0.25">
      <c r="A374" s="63"/>
      <c r="U374" s="65" t="str">
        <f t="shared" si="20"/>
        <v>Exclude</v>
      </c>
      <c r="W374" s="65" t="str">
        <f t="shared" si="21"/>
        <v>Exclude</v>
      </c>
      <c r="Y374" s="63"/>
      <c r="AS374" s="65" t="str">
        <f t="shared" si="22"/>
        <v>Exclude</v>
      </c>
      <c r="AU374" s="65" t="str">
        <f t="shared" si="23"/>
        <v>Exclude</v>
      </c>
    </row>
    <row r="375" spans="1:47" s="64" customFormat="1" x14ac:dyDescent="0.25">
      <c r="A375" s="63"/>
      <c r="U375" s="65" t="str">
        <f t="shared" si="20"/>
        <v>Exclude</v>
      </c>
      <c r="W375" s="65" t="str">
        <f t="shared" si="21"/>
        <v>Exclude</v>
      </c>
      <c r="Y375" s="63"/>
      <c r="AS375" s="65" t="str">
        <f t="shared" si="22"/>
        <v>Exclude</v>
      </c>
      <c r="AU375" s="65" t="str">
        <f t="shared" si="23"/>
        <v>Exclude</v>
      </c>
    </row>
    <row r="376" spans="1:47" s="64" customFormat="1" x14ac:dyDescent="0.25">
      <c r="A376" s="63"/>
      <c r="U376" s="65" t="str">
        <f t="shared" si="20"/>
        <v>Exclude</v>
      </c>
      <c r="W376" s="65" t="str">
        <f t="shared" si="21"/>
        <v>Exclude</v>
      </c>
      <c r="Y376" s="63"/>
      <c r="AS376" s="65" t="str">
        <f t="shared" si="22"/>
        <v>Exclude</v>
      </c>
      <c r="AU376" s="65" t="str">
        <f t="shared" si="23"/>
        <v>Exclude</v>
      </c>
    </row>
    <row r="377" spans="1:47" s="64" customFormat="1" x14ac:dyDescent="0.25">
      <c r="A377" s="63"/>
      <c r="U377" s="65" t="str">
        <f t="shared" si="20"/>
        <v>Exclude</v>
      </c>
      <c r="W377" s="65" t="str">
        <f t="shared" si="21"/>
        <v>Exclude</v>
      </c>
      <c r="Y377" s="63"/>
      <c r="AS377" s="65" t="str">
        <f t="shared" si="22"/>
        <v>Exclude</v>
      </c>
      <c r="AU377" s="65" t="str">
        <f t="shared" si="23"/>
        <v>Exclude</v>
      </c>
    </row>
    <row r="378" spans="1:47" s="64" customFormat="1" x14ac:dyDescent="0.25">
      <c r="A378" s="63"/>
      <c r="U378" s="65" t="str">
        <f t="shared" si="20"/>
        <v>Exclude</v>
      </c>
      <c r="W378" s="65" t="str">
        <f t="shared" si="21"/>
        <v>Exclude</v>
      </c>
      <c r="Y378" s="63"/>
      <c r="AS378" s="65" t="str">
        <f t="shared" si="22"/>
        <v>Exclude</v>
      </c>
      <c r="AU378" s="65" t="str">
        <f t="shared" si="23"/>
        <v>Exclude</v>
      </c>
    </row>
    <row r="379" spans="1:47" s="64" customFormat="1" x14ac:dyDescent="0.25">
      <c r="A379" s="63"/>
      <c r="U379" s="65" t="str">
        <f t="shared" si="20"/>
        <v>Exclude</v>
      </c>
      <c r="W379" s="65" t="str">
        <f t="shared" si="21"/>
        <v>Exclude</v>
      </c>
      <c r="Y379" s="63"/>
      <c r="AS379" s="65" t="str">
        <f t="shared" si="22"/>
        <v>Exclude</v>
      </c>
      <c r="AU379" s="65" t="str">
        <f t="shared" si="23"/>
        <v>Exclude</v>
      </c>
    </row>
    <row r="380" spans="1:47" s="64" customFormat="1" x14ac:dyDescent="0.25">
      <c r="A380" s="63"/>
      <c r="U380" s="65" t="str">
        <f t="shared" si="20"/>
        <v>Exclude</v>
      </c>
      <c r="W380" s="65" t="str">
        <f t="shared" si="21"/>
        <v>Exclude</v>
      </c>
      <c r="Y380" s="63"/>
      <c r="AS380" s="65" t="str">
        <f t="shared" si="22"/>
        <v>Exclude</v>
      </c>
      <c r="AU380" s="65" t="str">
        <f t="shared" si="23"/>
        <v>Exclude</v>
      </c>
    </row>
    <row r="381" spans="1:47" s="64" customFormat="1" x14ac:dyDescent="0.25">
      <c r="A381" s="63"/>
      <c r="U381" s="65" t="str">
        <f t="shared" si="20"/>
        <v>Exclude</v>
      </c>
      <c r="W381" s="65" t="str">
        <f t="shared" si="21"/>
        <v>Exclude</v>
      </c>
      <c r="Y381" s="63"/>
      <c r="AS381" s="65" t="str">
        <f t="shared" si="22"/>
        <v>Exclude</v>
      </c>
      <c r="AU381" s="65" t="str">
        <f t="shared" si="23"/>
        <v>Exclude</v>
      </c>
    </row>
    <row r="382" spans="1:47" s="64" customFormat="1" x14ac:dyDescent="0.25">
      <c r="A382" s="63"/>
      <c r="U382" s="65" t="str">
        <f t="shared" si="20"/>
        <v>Exclude</v>
      </c>
      <c r="W382" s="65" t="str">
        <f t="shared" si="21"/>
        <v>Exclude</v>
      </c>
      <c r="Y382" s="63"/>
      <c r="AS382" s="65" t="str">
        <f t="shared" si="22"/>
        <v>Exclude</v>
      </c>
      <c r="AU382" s="65" t="str">
        <f t="shared" si="23"/>
        <v>Exclude</v>
      </c>
    </row>
    <row r="383" spans="1:47" s="64" customFormat="1" x14ac:dyDescent="0.25">
      <c r="A383" s="63"/>
      <c r="U383" s="65" t="str">
        <f t="shared" si="20"/>
        <v>Exclude</v>
      </c>
      <c r="W383" s="65" t="str">
        <f t="shared" si="21"/>
        <v>Exclude</v>
      </c>
      <c r="Y383" s="63"/>
      <c r="AS383" s="65" t="str">
        <f t="shared" si="22"/>
        <v>Exclude</v>
      </c>
      <c r="AU383" s="65" t="str">
        <f t="shared" si="23"/>
        <v>Exclude</v>
      </c>
    </row>
    <row r="384" spans="1:47" s="64" customFormat="1" x14ac:dyDescent="0.25">
      <c r="A384" s="63"/>
      <c r="U384" s="65" t="str">
        <f t="shared" si="20"/>
        <v>Exclude</v>
      </c>
      <c r="W384" s="65" t="str">
        <f t="shared" si="21"/>
        <v>Exclude</v>
      </c>
      <c r="Y384" s="63"/>
      <c r="AS384" s="65" t="str">
        <f t="shared" si="22"/>
        <v>Exclude</v>
      </c>
      <c r="AU384" s="65" t="str">
        <f t="shared" si="23"/>
        <v>Exclude</v>
      </c>
    </row>
    <row r="385" spans="1:47" s="64" customFormat="1" x14ac:dyDescent="0.25">
      <c r="A385" s="63"/>
      <c r="U385" s="65" t="str">
        <f t="shared" si="20"/>
        <v>Exclude</v>
      </c>
      <c r="W385" s="65" t="str">
        <f t="shared" si="21"/>
        <v>Exclude</v>
      </c>
      <c r="Y385" s="63"/>
      <c r="AS385" s="65" t="str">
        <f t="shared" si="22"/>
        <v>Exclude</v>
      </c>
      <c r="AU385" s="65" t="str">
        <f t="shared" si="23"/>
        <v>Exclude</v>
      </c>
    </row>
    <row r="386" spans="1:47" s="64" customFormat="1" x14ac:dyDescent="0.25">
      <c r="A386" s="63"/>
      <c r="U386" s="65" t="str">
        <f t="shared" si="20"/>
        <v>Exclude</v>
      </c>
      <c r="W386" s="65" t="str">
        <f t="shared" si="21"/>
        <v>Exclude</v>
      </c>
      <c r="Y386" s="63"/>
      <c r="AS386" s="65" t="str">
        <f t="shared" si="22"/>
        <v>Exclude</v>
      </c>
      <c r="AU386" s="65" t="str">
        <f t="shared" si="23"/>
        <v>Exclude</v>
      </c>
    </row>
    <row r="387" spans="1:47" s="64" customFormat="1" x14ac:dyDescent="0.25">
      <c r="A387" s="63"/>
      <c r="U387" s="65" t="str">
        <f t="shared" si="20"/>
        <v>Exclude</v>
      </c>
      <c r="W387" s="65" t="str">
        <f t="shared" si="21"/>
        <v>Exclude</v>
      </c>
      <c r="Y387" s="63"/>
      <c r="AS387" s="65" t="str">
        <f t="shared" si="22"/>
        <v>Exclude</v>
      </c>
      <c r="AU387" s="65" t="str">
        <f t="shared" si="23"/>
        <v>Exclude</v>
      </c>
    </row>
    <row r="388" spans="1:47" s="64" customFormat="1" x14ac:dyDescent="0.25">
      <c r="A388" s="63"/>
      <c r="U388" s="65" t="str">
        <f t="shared" si="20"/>
        <v>Exclude</v>
      </c>
      <c r="W388" s="65" t="str">
        <f t="shared" si="21"/>
        <v>Exclude</v>
      </c>
      <c r="Y388" s="63"/>
      <c r="AS388" s="65" t="str">
        <f t="shared" si="22"/>
        <v>Exclude</v>
      </c>
      <c r="AU388" s="65" t="str">
        <f t="shared" si="23"/>
        <v>Exclude</v>
      </c>
    </row>
    <row r="389" spans="1:47" s="64" customFormat="1" x14ac:dyDescent="0.25">
      <c r="A389" s="63"/>
      <c r="U389" s="65" t="str">
        <f t="shared" si="20"/>
        <v>Exclude</v>
      </c>
      <c r="W389" s="65" t="str">
        <f t="shared" si="21"/>
        <v>Exclude</v>
      </c>
      <c r="Y389" s="63"/>
      <c r="AS389" s="65" t="str">
        <f t="shared" si="22"/>
        <v>Exclude</v>
      </c>
      <c r="AU389" s="65" t="str">
        <f t="shared" si="23"/>
        <v>Exclude</v>
      </c>
    </row>
    <row r="390" spans="1:47" s="64" customFormat="1" x14ac:dyDescent="0.25">
      <c r="A390" s="63"/>
      <c r="U390" s="65" t="str">
        <f t="shared" si="20"/>
        <v>Exclude</v>
      </c>
      <c r="W390" s="65" t="str">
        <f t="shared" si="21"/>
        <v>Exclude</v>
      </c>
      <c r="Y390" s="63"/>
      <c r="AS390" s="65" t="str">
        <f t="shared" si="22"/>
        <v>Exclude</v>
      </c>
      <c r="AU390" s="65" t="str">
        <f t="shared" si="23"/>
        <v>Exclude</v>
      </c>
    </row>
    <row r="391" spans="1:47" s="64" customFormat="1" x14ac:dyDescent="0.25">
      <c r="A391" s="63"/>
      <c r="U391" s="65" t="str">
        <f t="shared" si="20"/>
        <v>Exclude</v>
      </c>
      <c r="W391" s="65" t="str">
        <f t="shared" si="21"/>
        <v>Exclude</v>
      </c>
      <c r="Y391" s="63"/>
      <c r="AS391" s="65" t="str">
        <f t="shared" si="22"/>
        <v>Exclude</v>
      </c>
      <c r="AU391" s="65" t="str">
        <f t="shared" si="23"/>
        <v>Exclude</v>
      </c>
    </row>
    <row r="392" spans="1:47" s="64" customFormat="1" x14ac:dyDescent="0.25">
      <c r="A392" s="63"/>
      <c r="U392" s="65" t="str">
        <f t="shared" si="20"/>
        <v>Exclude</v>
      </c>
      <c r="W392" s="65" t="str">
        <f t="shared" si="21"/>
        <v>Exclude</v>
      </c>
      <c r="Y392" s="63"/>
      <c r="AS392" s="65" t="str">
        <f t="shared" si="22"/>
        <v>Exclude</v>
      </c>
      <c r="AU392" s="65" t="str">
        <f t="shared" si="23"/>
        <v>Exclude</v>
      </c>
    </row>
    <row r="393" spans="1:47" s="64" customFormat="1" x14ac:dyDescent="0.25">
      <c r="A393" s="63"/>
      <c r="U393" s="65" t="str">
        <f t="shared" si="20"/>
        <v>Exclude</v>
      </c>
      <c r="W393" s="65" t="str">
        <f t="shared" si="21"/>
        <v>Exclude</v>
      </c>
      <c r="Y393" s="63"/>
      <c r="AS393" s="65" t="str">
        <f t="shared" si="22"/>
        <v>Exclude</v>
      </c>
      <c r="AU393" s="65" t="str">
        <f t="shared" si="23"/>
        <v>Exclude</v>
      </c>
    </row>
    <row r="394" spans="1:47" s="64" customFormat="1" x14ac:dyDescent="0.25">
      <c r="A394" s="63"/>
      <c r="U394" s="65" t="str">
        <f t="shared" si="20"/>
        <v>Exclude</v>
      </c>
      <c r="W394" s="65" t="str">
        <f t="shared" si="21"/>
        <v>Exclude</v>
      </c>
      <c r="Y394" s="63"/>
      <c r="AS394" s="65" t="str">
        <f t="shared" si="22"/>
        <v>Exclude</v>
      </c>
      <c r="AU394" s="65" t="str">
        <f t="shared" si="23"/>
        <v>Exclude</v>
      </c>
    </row>
    <row r="395" spans="1:47" s="64" customFormat="1" x14ac:dyDescent="0.25">
      <c r="A395" s="63"/>
      <c r="U395" s="65" t="str">
        <f t="shared" si="20"/>
        <v>Exclude</v>
      </c>
      <c r="W395" s="65" t="str">
        <f t="shared" si="21"/>
        <v>Exclude</v>
      </c>
      <c r="Y395" s="63"/>
      <c r="AS395" s="65" t="str">
        <f t="shared" si="22"/>
        <v>Exclude</v>
      </c>
      <c r="AU395" s="65" t="str">
        <f t="shared" si="23"/>
        <v>Exclude</v>
      </c>
    </row>
    <row r="396" spans="1:47" s="64" customFormat="1" x14ac:dyDescent="0.25">
      <c r="A396" s="63"/>
      <c r="U396" s="65" t="str">
        <f t="shared" si="20"/>
        <v>Exclude</v>
      </c>
      <c r="W396" s="65" t="str">
        <f t="shared" si="21"/>
        <v>Exclude</v>
      </c>
      <c r="Y396" s="63"/>
      <c r="AS396" s="65" t="str">
        <f t="shared" si="22"/>
        <v>Exclude</v>
      </c>
      <c r="AU396" s="65" t="str">
        <f t="shared" si="23"/>
        <v>Exclude</v>
      </c>
    </row>
    <row r="397" spans="1:47" s="64" customFormat="1" x14ac:dyDescent="0.25">
      <c r="A397" s="63"/>
      <c r="U397" s="65" t="str">
        <f t="shared" si="20"/>
        <v>Exclude</v>
      </c>
      <c r="W397" s="65" t="str">
        <f t="shared" si="21"/>
        <v>Exclude</v>
      </c>
      <c r="Y397" s="63"/>
      <c r="AS397" s="65" t="str">
        <f t="shared" si="22"/>
        <v>Exclude</v>
      </c>
      <c r="AU397" s="65" t="str">
        <f t="shared" si="23"/>
        <v>Exclude</v>
      </c>
    </row>
    <row r="398" spans="1:47" s="64" customFormat="1" x14ac:dyDescent="0.25">
      <c r="A398" s="63"/>
      <c r="U398" s="65" t="str">
        <f t="shared" si="20"/>
        <v>Exclude</v>
      </c>
      <c r="W398" s="65" t="str">
        <f t="shared" si="21"/>
        <v>Exclude</v>
      </c>
      <c r="Y398" s="63"/>
      <c r="AS398" s="65" t="str">
        <f t="shared" si="22"/>
        <v>Exclude</v>
      </c>
      <c r="AU398" s="65" t="str">
        <f t="shared" si="23"/>
        <v>Exclude</v>
      </c>
    </row>
    <row r="399" spans="1:47" s="64" customFormat="1" x14ac:dyDescent="0.25">
      <c r="A399" s="63"/>
      <c r="U399" s="65" t="str">
        <f t="shared" si="20"/>
        <v>Exclude</v>
      </c>
      <c r="W399" s="65" t="str">
        <f t="shared" si="21"/>
        <v>Exclude</v>
      </c>
      <c r="Y399" s="63"/>
      <c r="AS399" s="65" t="str">
        <f t="shared" si="22"/>
        <v>Exclude</v>
      </c>
      <c r="AU399" s="65" t="str">
        <f t="shared" si="23"/>
        <v>Exclude</v>
      </c>
    </row>
    <row r="400" spans="1:47" s="64" customFormat="1" x14ac:dyDescent="0.25">
      <c r="A400" s="63"/>
      <c r="U400" s="65" t="str">
        <f t="shared" si="20"/>
        <v>Exclude</v>
      </c>
      <c r="W400" s="65" t="str">
        <f t="shared" si="21"/>
        <v>Exclude</v>
      </c>
      <c r="Y400" s="63"/>
      <c r="AS400" s="65" t="str">
        <f t="shared" si="22"/>
        <v>Exclude</v>
      </c>
      <c r="AU400" s="65" t="str">
        <f t="shared" si="23"/>
        <v>Exclude</v>
      </c>
    </row>
    <row r="401" spans="1:47" s="64" customFormat="1" x14ac:dyDescent="0.25">
      <c r="A401" s="63"/>
      <c r="U401" s="65" t="str">
        <f t="shared" si="20"/>
        <v>Exclude</v>
      </c>
      <c r="W401" s="65" t="str">
        <f t="shared" si="21"/>
        <v>Exclude</v>
      </c>
      <c r="Y401" s="63"/>
      <c r="AS401" s="65" t="str">
        <f t="shared" si="22"/>
        <v>Exclude</v>
      </c>
      <c r="AU401" s="65" t="str">
        <f t="shared" si="23"/>
        <v>Exclude</v>
      </c>
    </row>
    <row r="402" spans="1:47" s="64" customFormat="1" x14ac:dyDescent="0.25">
      <c r="A402" s="63"/>
      <c r="U402" s="65" t="str">
        <f t="shared" si="20"/>
        <v>Exclude</v>
      </c>
      <c r="W402" s="65" t="str">
        <f t="shared" si="21"/>
        <v>Exclude</v>
      </c>
      <c r="Y402" s="63"/>
      <c r="AS402" s="65" t="str">
        <f t="shared" si="22"/>
        <v>Exclude</v>
      </c>
      <c r="AU402" s="65" t="str">
        <f t="shared" si="23"/>
        <v>Exclude</v>
      </c>
    </row>
    <row r="403" spans="1:47" s="64" customFormat="1" x14ac:dyDescent="0.25">
      <c r="A403" s="63"/>
      <c r="U403" s="65" t="str">
        <f t="shared" si="20"/>
        <v>Exclude</v>
      </c>
      <c r="W403" s="65" t="str">
        <f t="shared" si="21"/>
        <v>Exclude</v>
      </c>
      <c r="Y403" s="63"/>
      <c r="AS403" s="65" t="str">
        <f t="shared" si="22"/>
        <v>Exclude</v>
      </c>
      <c r="AU403" s="65" t="str">
        <f t="shared" si="23"/>
        <v>Exclude</v>
      </c>
    </row>
    <row r="404" spans="1:47" s="64" customFormat="1" x14ac:dyDescent="0.25">
      <c r="A404" s="63"/>
      <c r="U404" s="65" t="str">
        <f t="shared" si="20"/>
        <v>Exclude</v>
      </c>
      <c r="W404" s="65" t="str">
        <f t="shared" si="21"/>
        <v>Exclude</v>
      </c>
      <c r="Y404" s="63"/>
      <c r="AS404" s="65" t="str">
        <f t="shared" si="22"/>
        <v>Exclude</v>
      </c>
      <c r="AU404" s="65" t="str">
        <f t="shared" si="23"/>
        <v>Exclude</v>
      </c>
    </row>
    <row r="405" spans="1:47" s="64" customFormat="1" x14ac:dyDescent="0.25">
      <c r="A405" s="63"/>
      <c r="U405" s="65" t="str">
        <f t="shared" si="20"/>
        <v>Exclude</v>
      </c>
      <c r="W405" s="65" t="str">
        <f t="shared" si="21"/>
        <v>Exclude</v>
      </c>
      <c r="Y405" s="63"/>
      <c r="AS405" s="65" t="str">
        <f t="shared" si="22"/>
        <v>Exclude</v>
      </c>
      <c r="AU405" s="65" t="str">
        <f t="shared" si="23"/>
        <v>Exclude</v>
      </c>
    </row>
    <row r="406" spans="1:47" s="64" customFormat="1" x14ac:dyDescent="0.25">
      <c r="A406" s="63"/>
      <c r="U406" s="65" t="str">
        <f t="shared" si="20"/>
        <v>Exclude</v>
      </c>
      <c r="W406" s="65" t="str">
        <f t="shared" si="21"/>
        <v>Exclude</v>
      </c>
      <c r="Y406" s="63"/>
      <c r="AS406" s="65" t="str">
        <f t="shared" si="22"/>
        <v>Exclude</v>
      </c>
      <c r="AU406" s="65" t="str">
        <f t="shared" si="23"/>
        <v>Exclude</v>
      </c>
    </row>
    <row r="407" spans="1:47" s="64" customFormat="1" x14ac:dyDescent="0.25">
      <c r="A407" s="63"/>
      <c r="U407" s="65" t="str">
        <f t="shared" ref="U407:U470" si="24">IF(OR(R407="TruePositive",R407="TrueNegative"),IF(R406&lt;&gt;"Anticipatory",IF(OR(R406="FalseNegative",R406="FalsePositive"),"SameTrial",(N407)),"Pant"),IF(OR(R407="FalsePositive",R407="FalseNegative"),IF(R406&lt;&gt;"Anticipatory",IF(OR(R406="FalsePositive",R406="FalseNegative"),"SameTrial","Exclude"),"Exclude"),"Exclude"))</f>
        <v>Exclude</v>
      </c>
      <c r="W407" s="65" t="str">
        <f t="shared" ref="W407:W470" si="25">IF(OR(R407="TruePositive",R407="TrueNegative"),IF(R406&lt;&gt;"Anticipatory",IF(OR(R406="FalseNegative",R406="FalsePositive"),"SameTrial",LOG10(N407)),"Pant"),IF(OR(R407="FalsePositive",R407="FalseNegative"),IF(R406&lt;&gt;"Anticipatory",IF(OR(R406="FalsePositive",R406="FalseNegative"),"SameTrial","Exclude"),"Exclude"),"Exclude"))</f>
        <v>Exclude</v>
      </c>
      <c r="Y407" s="63"/>
      <c r="AS407" s="65" t="str">
        <f t="shared" ref="AS407:AS470" si="26">IF(OR(AP407="TruePositive",AP407="TrueNegative"),IF(AP406&lt;&gt;"Anticipatory",IF(OR(AP406="FalseNegative",AP406="FalsePositive"),"SameTrial",(AL407)),"Pant"),IF(OR(AP407="FalsePositive",AP407="FalseNegative"),IF(AP406&lt;&gt;"Anticipatory",IF(OR(AP406="FalsePositive",AP406="FalseNegative"),"SameTrial","Exclude"),"Exclude"),"Exclude"))</f>
        <v>Exclude</v>
      </c>
      <c r="AU407" s="65" t="str">
        <f t="shared" ref="AU407:AU470" si="27">IF(OR(AP407="TruePositive",AP407="TrueNegative"),IF(AP406&lt;&gt;"Anticipatory",IF(OR(AP406="FalseNegative",AP406="FalsePositive"),"SameTrial",LOG10(AL407)),"Pant"),IF(OR(AP407="FalsePositive",AP407="FalseNegative"),IF(AP406&lt;&gt;"Anticipatory",IF(OR(AP406="FalsePositive",AP406="FalseNegative"),"SameTrial","Exclude"),"Exclude"),"Exclude"))</f>
        <v>Exclude</v>
      </c>
    </row>
    <row r="408" spans="1:47" s="64" customFormat="1" x14ac:dyDescent="0.25">
      <c r="A408" s="63"/>
      <c r="U408" s="65" t="str">
        <f t="shared" si="24"/>
        <v>Exclude</v>
      </c>
      <c r="W408" s="65" t="str">
        <f t="shared" si="25"/>
        <v>Exclude</v>
      </c>
      <c r="Y408" s="63"/>
      <c r="AS408" s="65" t="str">
        <f t="shared" si="26"/>
        <v>Exclude</v>
      </c>
      <c r="AU408" s="65" t="str">
        <f t="shared" si="27"/>
        <v>Exclude</v>
      </c>
    </row>
    <row r="409" spans="1:47" s="64" customFormat="1" x14ac:dyDescent="0.25">
      <c r="A409" s="63"/>
      <c r="U409" s="65" t="str">
        <f t="shared" si="24"/>
        <v>Exclude</v>
      </c>
      <c r="W409" s="65" t="str">
        <f t="shared" si="25"/>
        <v>Exclude</v>
      </c>
      <c r="Y409" s="63"/>
      <c r="AS409" s="65" t="str">
        <f t="shared" si="26"/>
        <v>Exclude</v>
      </c>
      <c r="AU409" s="65" t="str">
        <f t="shared" si="27"/>
        <v>Exclude</v>
      </c>
    </row>
    <row r="410" spans="1:47" s="64" customFormat="1" x14ac:dyDescent="0.25">
      <c r="A410" s="63"/>
      <c r="U410" s="65" t="str">
        <f t="shared" si="24"/>
        <v>Exclude</v>
      </c>
      <c r="W410" s="65" t="str">
        <f t="shared" si="25"/>
        <v>Exclude</v>
      </c>
      <c r="Y410" s="63"/>
      <c r="AS410" s="65" t="str">
        <f t="shared" si="26"/>
        <v>Exclude</v>
      </c>
      <c r="AU410" s="65" t="str">
        <f t="shared" si="27"/>
        <v>Exclude</v>
      </c>
    </row>
    <row r="411" spans="1:47" s="64" customFormat="1" x14ac:dyDescent="0.25">
      <c r="A411" s="63"/>
      <c r="U411" s="65" t="str">
        <f t="shared" si="24"/>
        <v>Exclude</v>
      </c>
      <c r="W411" s="65" t="str">
        <f t="shared" si="25"/>
        <v>Exclude</v>
      </c>
      <c r="Y411" s="63"/>
      <c r="AS411" s="65" t="str">
        <f t="shared" si="26"/>
        <v>Exclude</v>
      </c>
      <c r="AU411" s="65" t="str">
        <f t="shared" si="27"/>
        <v>Exclude</v>
      </c>
    </row>
    <row r="412" spans="1:47" s="64" customFormat="1" x14ac:dyDescent="0.25">
      <c r="A412" s="63"/>
      <c r="U412" s="65" t="str">
        <f t="shared" si="24"/>
        <v>Exclude</v>
      </c>
      <c r="W412" s="65" t="str">
        <f t="shared" si="25"/>
        <v>Exclude</v>
      </c>
      <c r="Y412" s="63"/>
      <c r="AS412" s="65" t="str">
        <f t="shared" si="26"/>
        <v>Exclude</v>
      </c>
      <c r="AU412" s="65" t="str">
        <f t="shared" si="27"/>
        <v>Exclude</v>
      </c>
    </row>
    <row r="413" spans="1:47" s="64" customFormat="1" x14ac:dyDescent="0.25">
      <c r="A413" s="63"/>
      <c r="U413" s="65" t="str">
        <f t="shared" si="24"/>
        <v>Exclude</v>
      </c>
      <c r="W413" s="65" t="str">
        <f t="shared" si="25"/>
        <v>Exclude</v>
      </c>
      <c r="Y413" s="63"/>
      <c r="AS413" s="65" t="str">
        <f t="shared" si="26"/>
        <v>Exclude</v>
      </c>
      <c r="AU413" s="65" t="str">
        <f t="shared" si="27"/>
        <v>Exclude</v>
      </c>
    </row>
    <row r="414" spans="1:47" s="64" customFormat="1" x14ac:dyDescent="0.25">
      <c r="A414" s="63"/>
      <c r="U414" s="65" t="str">
        <f t="shared" si="24"/>
        <v>Exclude</v>
      </c>
      <c r="W414" s="65" t="str">
        <f t="shared" si="25"/>
        <v>Exclude</v>
      </c>
      <c r="Y414" s="63"/>
      <c r="AS414" s="65" t="str">
        <f t="shared" si="26"/>
        <v>Exclude</v>
      </c>
      <c r="AU414" s="65" t="str">
        <f t="shared" si="27"/>
        <v>Exclude</v>
      </c>
    </row>
    <row r="415" spans="1:47" s="64" customFormat="1" x14ac:dyDescent="0.25">
      <c r="A415" s="63"/>
      <c r="U415" s="65" t="str">
        <f t="shared" si="24"/>
        <v>Exclude</v>
      </c>
      <c r="W415" s="65" t="str">
        <f t="shared" si="25"/>
        <v>Exclude</v>
      </c>
      <c r="Y415" s="63"/>
      <c r="AS415" s="65" t="str">
        <f t="shared" si="26"/>
        <v>Exclude</v>
      </c>
      <c r="AU415" s="65" t="str">
        <f t="shared" si="27"/>
        <v>Exclude</v>
      </c>
    </row>
    <row r="416" spans="1:47" s="64" customFormat="1" x14ac:dyDescent="0.25">
      <c r="A416" s="63"/>
      <c r="U416" s="65" t="str">
        <f t="shared" si="24"/>
        <v>Exclude</v>
      </c>
      <c r="W416" s="65" t="str">
        <f t="shared" si="25"/>
        <v>Exclude</v>
      </c>
      <c r="Y416" s="63"/>
      <c r="AS416" s="65" t="str">
        <f t="shared" si="26"/>
        <v>Exclude</v>
      </c>
      <c r="AU416" s="65" t="str">
        <f t="shared" si="27"/>
        <v>Exclude</v>
      </c>
    </row>
    <row r="417" spans="1:47" s="64" customFormat="1" x14ac:dyDescent="0.25">
      <c r="A417" s="63"/>
      <c r="U417" s="65" t="str">
        <f t="shared" si="24"/>
        <v>Exclude</v>
      </c>
      <c r="W417" s="65" t="str">
        <f t="shared" si="25"/>
        <v>Exclude</v>
      </c>
      <c r="Y417" s="63"/>
      <c r="AS417" s="65" t="str">
        <f t="shared" si="26"/>
        <v>Exclude</v>
      </c>
      <c r="AU417" s="65" t="str">
        <f t="shared" si="27"/>
        <v>Exclude</v>
      </c>
    </row>
    <row r="418" spans="1:47" s="64" customFormat="1" x14ac:dyDescent="0.25">
      <c r="A418" s="63"/>
      <c r="U418" s="65" t="str">
        <f t="shared" si="24"/>
        <v>Exclude</v>
      </c>
      <c r="W418" s="65" t="str">
        <f t="shared" si="25"/>
        <v>Exclude</v>
      </c>
      <c r="Y418" s="63"/>
      <c r="AS418" s="65" t="str">
        <f t="shared" si="26"/>
        <v>Exclude</v>
      </c>
      <c r="AU418" s="65" t="str">
        <f t="shared" si="27"/>
        <v>Exclude</v>
      </c>
    </row>
    <row r="419" spans="1:47" s="64" customFormat="1" x14ac:dyDescent="0.25">
      <c r="A419" s="63"/>
      <c r="U419" s="65" t="str">
        <f t="shared" si="24"/>
        <v>Exclude</v>
      </c>
      <c r="W419" s="65" t="str">
        <f t="shared" si="25"/>
        <v>Exclude</v>
      </c>
      <c r="Y419" s="63"/>
      <c r="AS419" s="65" t="str">
        <f t="shared" si="26"/>
        <v>Exclude</v>
      </c>
      <c r="AU419" s="65" t="str">
        <f t="shared" si="27"/>
        <v>Exclude</v>
      </c>
    </row>
    <row r="420" spans="1:47" s="64" customFormat="1" x14ac:dyDescent="0.25">
      <c r="A420" s="63"/>
      <c r="U420" s="65" t="str">
        <f t="shared" si="24"/>
        <v>Exclude</v>
      </c>
      <c r="W420" s="65" t="str">
        <f t="shared" si="25"/>
        <v>Exclude</v>
      </c>
      <c r="Y420" s="63"/>
      <c r="AS420" s="65" t="str">
        <f t="shared" si="26"/>
        <v>Exclude</v>
      </c>
      <c r="AU420" s="65" t="str">
        <f t="shared" si="27"/>
        <v>Exclude</v>
      </c>
    </row>
    <row r="421" spans="1:47" s="64" customFormat="1" x14ac:dyDescent="0.25">
      <c r="A421" s="63"/>
      <c r="U421" s="65" t="str">
        <f t="shared" si="24"/>
        <v>Exclude</v>
      </c>
      <c r="W421" s="65" t="str">
        <f t="shared" si="25"/>
        <v>Exclude</v>
      </c>
      <c r="Y421" s="63"/>
      <c r="AS421" s="65" t="str">
        <f t="shared" si="26"/>
        <v>Exclude</v>
      </c>
      <c r="AU421" s="65" t="str">
        <f t="shared" si="27"/>
        <v>Exclude</v>
      </c>
    </row>
    <row r="422" spans="1:47" s="64" customFormat="1" x14ac:dyDescent="0.25">
      <c r="A422" s="63"/>
      <c r="U422" s="65" t="str">
        <f t="shared" si="24"/>
        <v>Exclude</v>
      </c>
      <c r="W422" s="65" t="str">
        <f t="shared" si="25"/>
        <v>Exclude</v>
      </c>
      <c r="Y422" s="63"/>
      <c r="AS422" s="65" t="str">
        <f t="shared" si="26"/>
        <v>Exclude</v>
      </c>
      <c r="AU422" s="65" t="str">
        <f t="shared" si="27"/>
        <v>Exclude</v>
      </c>
    </row>
    <row r="423" spans="1:47" s="64" customFormat="1" x14ac:dyDescent="0.25">
      <c r="A423" s="63"/>
      <c r="U423" s="65" t="str">
        <f t="shared" si="24"/>
        <v>Exclude</v>
      </c>
      <c r="W423" s="65" t="str">
        <f t="shared" si="25"/>
        <v>Exclude</v>
      </c>
      <c r="Y423" s="63"/>
      <c r="AS423" s="65" t="str">
        <f t="shared" si="26"/>
        <v>Exclude</v>
      </c>
      <c r="AU423" s="65" t="str">
        <f t="shared" si="27"/>
        <v>Exclude</v>
      </c>
    </row>
    <row r="424" spans="1:47" s="64" customFormat="1" x14ac:dyDescent="0.25">
      <c r="A424" s="63"/>
      <c r="U424" s="65" t="str">
        <f t="shared" si="24"/>
        <v>Exclude</v>
      </c>
      <c r="W424" s="65" t="str">
        <f t="shared" si="25"/>
        <v>Exclude</v>
      </c>
      <c r="Y424" s="63"/>
      <c r="AS424" s="65" t="str">
        <f t="shared" si="26"/>
        <v>Exclude</v>
      </c>
      <c r="AU424" s="65" t="str">
        <f t="shared" si="27"/>
        <v>Exclude</v>
      </c>
    </row>
    <row r="425" spans="1:47" s="64" customFormat="1" x14ac:dyDescent="0.25">
      <c r="A425" s="63"/>
      <c r="U425" s="65" t="str">
        <f t="shared" si="24"/>
        <v>Exclude</v>
      </c>
      <c r="W425" s="65" t="str">
        <f t="shared" si="25"/>
        <v>Exclude</v>
      </c>
      <c r="Y425" s="63"/>
      <c r="AS425" s="65" t="str">
        <f t="shared" si="26"/>
        <v>Exclude</v>
      </c>
      <c r="AU425" s="65" t="str">
        <f t="shared" si="27"/>
        <v>Exclude</v>
      </c>
    </row>
    <row r="426" spans="1:47" s="64" customFormat="1" x14ac:dyDescent="0.25">
      <c r="A426" s="63"/>
      <c r="U426" s="65" t="str">
        <f t="shared" si="24"/>
        <v>Exclude</v>
      </c>
      <c r="W426" s="65" t="str">
        <f t="shared" si="25"/>
        <v>Exclude</v>
      </c>
      <c r="Y426" s="63"/>
      <c r="AS426" s="65" t="str">
        <f t="shared" si="26"/>
        <v>Exclude</v>
      </c>
      <c r="AU426" s="65" t="str">
        <f t="shared" si="27"/>
        <v>Exclude</v>
      </c>
    </row>
    <row r="427" spans="1:47" s="64" customFormat="1" x14ac:dyDescent="0.25">
      <c r="A427" s="63"/>
      <c r="U427" s="65" t="str">
        <f t="shared" si="24"/>
        <v>Exclude</v>
      </c>
      <c r="W427" s="65" t="str">
        <f t="shared" si="25"/>
        <v>Exclude</v>
      </c>
      <c r="Y427" s="63"/>
      <c r="AS427" s="65" t="str">
        <f t="shared" si="26"/>
        <v>Exclude</v>
      </c>
      <c r="AU427" s="65" t="str">
        <f t="shared" si="27"/>
        <v>Exclude</v>
      </c>
    </row>
    <row r="428" spans="1:47" s="64" customFormat="1" x14ac:dyDescent="0.25">
      <c r="A428" s="63"/>
      <c r="U428" s="65" t="str">
        <f t="shared" si="24"/>
        <v>Exclude</v>
      </c>
      <c r="W428" s="65" t="str">
        <f t="shared" si="25"/>
        <v>Exclude</v>
      </c>
      <c r="Y428" s="63"/>
      <c r="AS428" s="65" t="str">
        <f t="shared" si="26"/>
        <v>Exclude</v>
      </c>
      <c r="AU428" s="65" t="str">
        <f t="shared" si="27"/>
        <v>Exclude</v>
      </c>
    </row>
    <row r="429" spans="1:47" s="64" customFormat="1" x14ac:dyDescent="0.25">
      <c r="A429" s="63"/>
      <c r="U429" s="65" t="str">
        <f t="shared" si="24"/>
        <v>Exclude</v>
      </c>
      <c r="W429" s="65" t="str">
        <f t="shared" si="25"/>
        <v>Exclude</v>
      </c>
      <c r="Y429" s="63"/>
      <c r="AS429" s="65" t="str">
        <f t="shared" si="26"/>
        <v>Exclude</v>
      </c>
      <c r="AU429" s="65" t="str">
        <f t="shared" si="27"/>
        <v>Exclude</v>
      </c>
    </row>
    <row r="430" spans="1:47" s="64" customFormat="1" x14ac:dyDescent="0.25">
      <c r="A430" s="63"/>
      <c r="U430" s="65" t="str">
        <f t="shared" si="24"/>
        <v>Exclude</v>
      </c>
      <c r="W430" s="65" t="str">
        <f t="shared" si="25"/>
        <v>Exclude</v>
      </c>
      <c r="Y430" s="63"/>
      <c r="AS430" s="65" t="str">
        <f t="shared" si="26"/>
        <v>Exclude</v>
      </c>
      <c r="AU430" s="65" t="str">
        <f t="shared" si="27"/>
        <v>Exclude</v>
      </c>
    </row>
    <row r="431" spans="1:47" s="64" customFormat="1" x14ac:dyDescent="0.25">
      <c r="A431" s="63"/>
      <c r="U431" s="65" t="str">
        <f t="shared" si="24"/>
        <v>Exclude</v>
      </c>
      <c r="W431" s="65" t="str">
        <f t="shared" si="25"/>
        <v>Exclude</v>
      </c>
      <c r="Y431" s="63"/>
      <c r="AS431" s="65" t="str">
        <f t="shared" si="26"/>
        <v>Exclude</v>
      </c>
      <c r="AU431" s="65" t="str">
        <f t="shared" si="27"/>
        <v>Exclude</v>
      </c>
    </row>
    <row r="432" spans="1:47" s="64" customFormat="1" x14ac:dyDescent="0.25">
      <c r="A432" s="63"/>
      <c r="U432" s="65" t="str">
        <f t="shared" si="24"/>
        <v>Exclude</v>
      </c>
      <c r="W432" s="65" t="str">
        <f t="shared" si="25"/>
        <v>Exclude</v>
      </c>
      <c r="Y432" s="63"/>
      <c r="AS432" s="65" t="str">
        <f t="shared" si="26"/>
        <v>Exclude</v>
      </c>
      <c r="AU432" s="65" t="str">
        <f t="shared" si="27"/>
        <v>Exclude</v>
      </c>
    </row>
    <row r="433" spans="1:47" s="64" customFormat="1" x14ac:dyDescent="0.25">
      <c r="A433" s="63"/>
      <c r="U433" s="65" t="str">
        <f t="shared" si="24"/>
        <v>Exclude</v>
      </c>
      <c r="W433" s="65" t="str">
        <f t="shared" si="25"/>
        <v>Exclude</v>
      </c>
      <c r="Y433" s="63"/>
      <c r="AS433" s="65" t="str">
        <f t="shared" si="26"/>
        <v>Exclude</v>
      </c>
      <c r="AU433" s="65" t="str">
        <f t="shared" si="27"/>
        <v>Exclude</v>
      </c>
    </row>
    <row r="434" spans="1:47" s="64" customFormat="1" x14ac:dyDescent="0.25">
      <c r="A434" s="63"/>
      <c r="U434" s="65" t="str">
        <f t="shared" si="24"/>
        <v>Exclude</v>
      </c>
      <c r="W434" s="65" t="str">
        <f t="shared" si="25"/>
        <v>Exclude</v>
      </c>
      <c r="Y434" s="63"/>
      <c r="AS434" s="65" t="str">
        <f t="shared" si="26"/>
        <v>Exclude</v>
      </c>
      <c r="AU434" s="65" t="str">
        <f t="shared" si="27"/>
        <v>Exclude</v>
      </c>
    </row>
    <row r="435" spans="1:47" s="64" customFormat="1" x14ac:dyDescent="0.25">
      <c r="A435" s="63"/>
      <c r="U435" s="65" t="str">
        <f t="shared" si="24"/>
        <v>Exclude</v>
      </c>
      <c r="W435" s="65" t="str">
        <f t="shared" si="25"/>
        <v>Exclude</v>
      </c>
      <c r="Y435" s="63"/>
      <c r="AS435" s="65" t="str">
        <f t="shared" si="26"/>
        <v>Exclude</v>
      </c>
      <c r="AU435" s="65" t="str">
        <f t="shared" si="27"/>
        <v>Exclude</v>
      </c>
    </row>
    <row r="436" spans="1:47" s="64" customFormat="1" x14ac:dyDescent="0.25">
      <c r="A436" s="63"/>
      <c r="U436" s="65" t="str">
        <f t="shared" si="24"/>
        <v>Exclude</v>
      </c>
      <c r="W436" s="65" t="str">
        <f t="shared" si="25"/>
        <v>Exclude</v>
      </c>
      <c r="Y436" s="63"/>
      <c r="AS436" s="65" t="str">
        <f t="shared" si="26"/>
        <v>Exclude</v>
      </c>
      <c r="AU436" s="65" t="str">
        <f t="shared" si="27"/>
        <v>Exclude</v>
      </c>
    </row>
    <row r="437" spans="1:47" s="64" customFormat="1" x14ac:dyDescent="0.25">
      <c r="A437" s="63"/>
      <c r="U437" s="65" t="str">
        <f t="shared" si="24"/>
        <v>Exclude</v>
      </c>
      <c r="W437" s="65" t="str">
        <f t="shared" si="25"/>
        <v>Exclude</v>
      </c>
      <c r="Y437" s="63"/>
      <c r="AS437" s="65" t="str">
        <f t="shared" si="26"/>
        <v>Exclude</v>
      </c>
      <c r="AU437" s="65" t="str">
        <f t="shared" si="27"/>
        <v>Exclude</v>
      </c>
    </row>
    <row r="438" spans="1:47" s="64" customFormat="1" x14ac:dyDescent="0.25">
      <c r="A438" s="63"/>
      <c r="U438" s="65" t="str">
        <f t="shared" si="24"/>
        <v>Exclude</v>
      </c>
      <c r="W438" s="65" t="str">
        <f t="shared" si="25"/>
        <v>Exclude</v>
      </c>
      <c r="Y438" s="63"/>
      <c r="AS438" s="65" t="str">
        <f t="shared" si="26"/>
        <v>Exclude</v>
      </c>
      <c r="AU438" s="65" t="str">
        <f t="shared" si="27"/>
        <v>Exclude</v>
      </c>
    </row>
    <row r="439" spans="1:47" s="64" customFormat="1" x14ac:dyDescent="0.25">
      <c r="A439" s="63"/>
      <c r="U439" s="65" t="str">
        <f t="shared" si="24"/>
        <v>Exclude</v>
      </c>
      <c r="W439" s="65" t="str">
        <f t="shared" si="25"/>
        <v>Exclude</v>
      </c>
      <c r="Y439" s="63"/>
      <c r="AS439" s="65" t="str">
        <f t="shared" si="26"/>
        <v>Exclude</v>
      </c>
      <c r="AU439" s="65" t="str">
        <f t="shared" si="27"/>
        <v>Exclude</v>
      </c>
    </row>
    <row r="440" spans="1:47" s="64" customFormat="1" x14ac:dyDescent="0.25">
      <c r="A440" s="63"/>
      <c r="U440" s="65" t="str">
        <f t="shared" si="24"/>
        <v>Exclude</v>
      </c>
      <c r="W440" s="65" t="str">
        <f t="shared" si="25"/>
        <v>Exclude</v>
      </c>
      <c r="Y440" s="63"/>
      <c r="AS440" s="65" t="str">
        <f t="shared" si="26"/>
        <v>Exclude</v>
      </c>
      <c r="AU440" s="65" t="str">
        <f t="shared" si="27"/>
        <v>Exclude</v>
      </c>
    </row>
    <row r="441" spans="1:47" s="64" customFormat="1" x14ac:dyDescent="0.25">
      <c r="A441" s="63"/>
      <c r="U441" s="65" t="str">
        <f t="shared" si="24"/>
        <v>Exclude</v>
      </c>
      <c r="W441" s="65" t="str">
        <f t="shared" si="25"/>
        <v>Exclude</v>
      </c>
      <c r="Y441" s="63"/>
      <c r="AS441" s="65" t="str">
        <f t="shared" si="26"/>
        <v>Exclude</v>
      </c>
      <c r="AU441" s="65" t="str">
        <f t="shared" si="27"/>
        <v>Exclude</v>
      </c>
    </row>
    <row r="442" spans="1:47" s="64" customFormat="1" x14ac:dyDescent="0.25">
      <c r="A442" s="63"/>
      <c r="U442" s="65" t="str">
        <f t="shared" si="24"/>
        <v>Exclude</v>
      </c>
      <c r="W442" s="65" t="str">
        <f t="shared" si="25"/>
        <v>Exclude</v>
      </c>
      <c r="Y442" s="63"/>
      <c r="AS442" s="65" t="str">
        <f t="shared" si="26"/>
        <v>Exclude</v>
      </c>
      <c r="AU442" s="65" t="str">
        <f t="shared" si="27"/>
        <v>Exclude</v>
      </c>
    </row>
    <row r="443" spans="1:47" s="64" customFormat="1" x14ac:dyDescent="0.25">
      <c r="A443" s="63"/>
      <c r="U443" s="65" t="str">
        <f t="shared" si="24"/>
        <v>Exclude</v>
      </c>
      <c r="W443" s="65" t="str">
        <f t="shared" si="25"/>
        <v>Exclude</v>
      </c>
      <c r="Y443" s="63"/>
      <c r="AS443" s="65" t="str">
        <f t="shared" si="26"/>
        <v>Exclude</v>
      </c>
      <c r="AU443" s="65" t="str">
        <f t="shared" si="27"/>
        <v>Exclude</v>
      </c>
    </row>
    <row r="444" spans="1:47" s="64" customFormat="1" x14ac:dyDescent="0.25">
      <c r="A444" s="63"/>
      <c r="U444" s="65" t="str">
        <f t="shared" si="24"/>
        <v>Exclude</v>
      </c>
      <c r="W444" s="65" t="str">
        <f t="shared" si="25"/>
        <v>Exclude</v>
      </c>
      <c r="Y444" s="63"/>
      <c r="AS444" s="65" t="str">
        <f t="shared" si="26"/>
        <v>Exclude</v>
      </c>
      <c r="AU444" s="65" t="str">
        <f t="shared" si="27"/>
        <v>Exclude</v>
      </c>
    </row>
    <row r="445" spans="1:47" s="64" customFormat="1" x14ac:dyDescent="0.25">
      <c r="A445" s="63"/>
      <c r="U445" s="65" t="str">
        <f t="shared" si="24"/>
        <v>Exclude</v>
      </c>
      <c r="W445" s="65" t="str">
        <f t="shared" si="25"/>
        <v>Exclude</v>
      </c>
      <c r="Y445" s="63"/>
      <c r="AS445" s="65" t="str">
        <f t="shared" si="26"/>
        <v>Exclude</v>
      </c>
      <c r="AU445" s="65" t="str">
        <f t="shared" si="27"/>
        <v>Exclude</v>
      </c>
    </row>
    <row r="446" spans="1:47" s="64" customFormat="1" x14ac:dyDescent="0.25">
      <c r="A446" s="63"/>
      <c r="U446" s="65" t="str">
        <f t="shared" si="24"/>
        <v>Exclude</v>
      </c>
      <c r="W446" s="65" t="str">
        <f t="shared" si="25"/>
        <v>Exclude</v>
      </c>
      <c r="Y446" s="63"/>
      <c r="AS446" s="65" t="str">
        <f t="shared" si="26"/>
        <v>Exclude</v>
      </c>
      <c r="AU446" s="65" t="str">
        <f t="shared" si="27"/>
        <v>Exclude</v>
      </c>
    </row>
    <row r="447" spans="1:47" s="64" customFormat="1" x14ac:dyDescent="0.25">
      <c r="A447" s="63"/>
      <c r="U447" s="65" t="str">
        <f t="shared" si="24"/>
        <v>Exclude</v>
      </c>
      <c r="W447" s="65" t="str">
        <f t="shared" si="25"/>
        <v>Exclude</v>
      </c>
      <c r="Y447" s="63"/>
      <c r="AS447" s="65" t="str">
        <f t="shared" si="26"/>
        <v>Exclude</v>
      </c>
      <c r="AU447" s="65" t="str">
        <f t="shared" si="27"/>
        <v>Exclude</v>
      </c>
    </row>
    <row r="448" spans="1:47" s="64" customFormat="1" x14ac:dyDescent="0.25">
      <c r="A448" s="63"/>
      <c r="U448" s="65" t="str">
        <f t="shared" si="24"/>
        <v>Exclude</v>
      </c>
      <c r="W448" s="65" t="str">
        <f t="shared" si="25"/>
        <v>Exclude</v>
      </c>
      <c r="Y448" s="63"/>
      <c r="AS448" s="65" t="str">
        <f t="shared" si="26"/>
        <v>Exclude</v>
      </c>
      <c r="AU448" s="65" t="str">
        <f t="shared" si="27"/>
        <v>Exclude</v>
      </c>
    </row>
    <row r="449" spans="1:47" s="64" customFormat="1" x14ac:dyDescent="0.25">
      <c r="A449" s="63"/>
      <c r="U449" s="65" t="str">
        <f t="shared" si="24"/>
        <v>Exclude</v>
      </c>
      <c r="W449" s="65" t="str">
        <f t="shared" si="25"/>
        <v>Exclude</v>
      </c>
      <c r="Y449" s="63"/>
      <c r="AS449" s="65" t="str">
        <f t="shared" si="26"/>
        <v>Exclude</v>
      </c>
      <c r="AU449" s="65" t="str">
        <f t="shared" si="27"/>
        <v>Exclude</v>
      </c>
    </row>
    <row r="450" spans="1:47" s="64" customFormat="1" x14ac:dyDescent="0.25">
      <c r="A450" s="63"/>
      <c r="U450" s="65" t="str">
        <f t="shared" si="24"/>
        <v>Exclude</v>
      </c>
      <c r="W450" s="65" t="str">
        <f t="shared" si="25"/>
        <v>Exclude</v>
      </c>
      <c r="Y450" s="63"/>
      <c r="AS450" s="65" t="str">
        <f t="shared" si="26"/>
        <v>Exclude</v>
      </c>
      <c r="AU450" s="65" t="str">
        <f t="shared" si="27"/>
        <v>Exclude</v>
      </c>
    </row>
    <row r="451" spans="1:47" s="64" customFormat="1" x14ac:dyDescent="0.25">
      <c r="A451" s="63"/>
      <c r="U451" s="65" t="str">
        <f t="shared" si="24"/>
        <v>Exclude</v>
      </c>
      <c r="W451" s="65" t="str">
        <f t="shared" si="25"/>
        <v>Exclude</v>
      </c>
      <c r="Y451" s="63"/>
      <c r="AS451" s="65" t="str">
        <f t="shared" si="26"/>
        <v>Exclude</v>
      </c>
      <c r="AU451" s="65" t="str">
        <f t="shared" si="27"/>
        <v>Exclude</v>
      </c>
    </row>
    <row r="452" spans="1:47" s="64" customFormat="1" x14ac:dyDescent="0.25">
      <c r="A452" s="63"/>
      <c r="U452" s="65" t="str">
        <f t="shared" si="24"/>
        <v>Exclude</v>
      </c>
      <c r="W452" s="65" t="str">
        <f t="shared" si="25"/>
        <v>Exclude</v>
      </c>
      <c r="Y452" s="63"/>
      <c r="AS452" s="65" t="str">
        <f t="shared" si="26"/>
        <v>Exclude</v>
      </c>
      <c r="AU452" s="65" t="str">
        <f t="shared" si="27"/>
        <v>Exclude</v>
      </c>
    </row>
    <row r="453" spans="1:47" s="64" customFormat="1" x14ac:dyDescent="0.25">
      <c r="A453" s="63"/>
      <c r="U453" s="65" t="str">
        <f t="shared" si="24"/>
        <v>Exclude</v>
      </c>
      <c r="W453" s="65" t="str">
        <f t="shared" si="25"/>
        <v>Exclude</v>
      </c>
      <c r="Y453" s="63"/>
      <c r="AS453" s="65" t="str">
        <f t="shared" si="26"/>
        <v>Exclude</v>
      </c>
      <c r="AU453" s="65" t="str">
        <f t="shared" si="27"/>
        <v>Exclude</v>
      </c>
    </row>
    <row r="454" spans="1:47" s="64" customFormat="1" x14ac:dyDescent="0.25">
      <c r="A454" s="63"/>
      <c r="U454" s="65" t="str">
        <f t="shared" si="24"/>
        <v>Exclude</v>
      </c>
      <c r="W454" s="65" t="str">
        <f t="shared" si="25"/>
        <v>Exclude</v>
      </c>
      <c r="Y454" s="63"/>
      <c r="AS454" s="65" t="str">
        <f t="shared" si="26"/>
        <v>Exclude</v>
      </c>
      <c r="AU454" s="65" t="str">
        <f t="shared" si="27"/>
        <v>Exclude</v>
      </c>
    </row>
    <row r="455" spans="1:47" s="64" customFormat="1" x14ac:dyDescent="0.25">
      <c r="A455" s="63"/>
      <c r="U455" s="65" t="str">
        <f t="shared" si="24"/>
        <v>Exclude</v>
      </c>
      <c r="W455" s="65" t="str">
        <f t="shared" si="25"/>
        <v>Exclude</v>
      </c>
      <c r="Y455" s="63"/>
      <c r="AS455" s="65" t="str">
        <f t="shared" si="26"/>
        <v>Exclude</v>
      </c>
      <c r="AU455" s="65" t="str">
        <f t="shared" si="27"/>
        <v>Exclude</v>
      </c>
    </row>
    <row r="456" spans="1:47" s="64" customFormat="1" x14ac:dyDescent="0.25">
      <c r="A456" s="63"/>
      <c r="U456" s="65" t="str">
        <f t="shared" si="24"/>
        <v>Exclude</v>
      </c>
      <c r="W456" s="65" t="str">
        <f t="shared" si="25"/>
        <v>Exclude</v>
      </c>
      <c r="Y456" s="63"/>
      <c r="AS456" s="65" t="str">
        <f t="shared" si="26"/>
        <v>Exclude</v>
      </c>
      <c r="AU456" s="65" t="str">
        <f t="shared" si="27"/>
        <v>Exclude</v>
      </c>
    </row>
    <row r="457" spans="1:47" s="64" customFormat="1" x14ac:dyDescent="0.25">
      <c r="A457" s="63"/>
      <c r="U457" s="65" t="str">
        <f t="shared" si="24"/>
        <v>Exclude</v>
      </c>
      <c r="W457" s="65" t="str">
        <f t="shared" si="25"/>
        <v>Exclude</v>
      </c>
      <c r="Y457" s="63"/>
      <c r="AS457" s="65" t="str">
        <f t="shared" si="26"/>
        <v>Exclude</v>
      </c>
      <c r="AU457" s="65" t="str">
        <f t="shared" si="27"/>
        <v>Exclude</v>
      </c>
    </row>
    <row r="458" spans="1:47" s="64" customFormat="1" x14ac:dyDescent="0.25">
      <c r="A458" s="63"/>
      <c r="U458" s="65" t="str">
        <f t="shared" si="24"/>
        <v>Exclude</v>
      </c>
      <c r="W458" s="65" t="str">
        <f t="shared" si="25"/>
        <v>Exclude</v>
      </c>
      <c r="Y458" s="63"/>
      <c r="AS458" s="65" t="str">
        <f t="shared" si="26"/>
        <v>Exclude</v>
      </c>
      <c r="AU458" s="65" t="str">
        <f t="shared" si="27"/>
        <v>Exclude</v>
      </c>
    </row>
    <row r="459" spans="1:47" s="64" customFormat="1" x14ac:dyDescent="0.25">
      <c r="A459" s="63"/>
      <c r="U459" s="65" t="str">
        <f t="shared" si="24"/>
        <v>Exclude</v>
      </c>
      <c r="W459" s="65" t="str">
        <f t="shared" si="25"/>
        <v>Exclude</v>
      </c>
      <c r="Y459" s="63"/>
      <c r="AS459" s="65" t="str">
        <f t="shared" si="26"/>
        <v>Exclude</v>
      </c>
      <c r="AU459" s="65" t="str">
        <f t="shared" si="27"/>
        <v>Exclude</v>
      </c>
    </row>
    <row r="460" spans="1:47" s="64" customFormat="1" x14ac:dyDescent="0.25">
      <c r="A460" s="63"/>
      <c r="U460" s="65" t="str">
        <f t="shared" si="24"/>
        <v>Exclude</v>
      </c>
      <c r="W460" s="65" t="str">
        <f t="shared" si="25"/>
        <v>Exclude</v>
      </c>
      <c r="Y460" s="63"/>
      <c r="AS460" s="65" t="str">
        <f t="shared" si="26"/>
        <v>Exclude</v>
      </c>
      <c r="AU460" s="65" t="str">
        <f t="shared" si="27"/>
        <v>Exclude</v>
      </c>
    </row>
    <row r="461" spans="1:47" s="64" customFormat="1" x14ac:dyDescent="0.25">
      <c r="A461" s="63"/>
      <c r="U461" s="65" t="str">
        <f t="shared" si="24"/>
        <v>Exclude</v>
      </c>
      <c r="W461" s="65" t="str">
        <f t="shared" si="25"/>
        <v>Exclude</v>
      </c>
      <c r="Y461" s="63"/>
      <c r="AS461" s="65" t="str">
        <f t="shared" si="26"/>
        <v>Exclude</v>
      </c>
      <c r="AU461" s="65" t="str">
        <f t="shared" si="27"/>
        <v>Exclude</v>
      </c>
    </row>
    <row r="462" spans="1:47" s="64" customFormat="1" x14ac:dyDescent="0.25">
      <c r="A462" s="63"/>
      <c r="U462" s="65" t="str">
        <f t="shared" si="24"/>
        <v>Exclude</v>
      </c>
      <c r="W462" s="65" t="str">
        <f t="shared" si="25"/>
        <v>Exclude</v>
      </c>
      <c r="Y462" s="63"/>
      <c r="AS462" s="65" t="str">
        <f t="shared" si="26"/>
        <v>Exclude</v>
      </c>
      <c r="AU462" s="65" t="str">
        <f t="shared" si="27"/>
        <v>Exclude</v>
      </c>
    </row>
    <row r="463" spans="1:47" s="64" customFormat="1" x14ac:dyDescent="0.25">
      <c r="A463" s="63"/>
      <c r="U463" s="65" t="str">
        <f t="shared" si="24"/>
        <v>Exclude</v>
      </c>
      <c r="W463" s="65" t="str">
        <f t="shared" si="25"/>
        <v>Exclude</v>
      </c>
      <c r="Y463" s="63"/>
      <c r="AS463" s="65" t="str">
        <f t="shared" si="26"/>
        <v>Exclude</v>
      </c>
      <c r="AU463" s="65" t="str">
        <f t="shared" si="27"/>
        <v>Exclude</v>
      </c>
    </row>
    <row r="464" spans="1:47" s="64" customFormat="1" x14ac:dyDescent="0.25">
      <c r="A464" s="63"/>
      <c r="U464" s="65" t="str">
        <f t="shared" si="24"/>
        <v>Exclude</v>
      </c>
      <c r="W464" s="65" t="str">
        <f t="shared" si="25"/>
        <v>Exclude</v>
      </c>
      <c r="Y464" s="63"/>
      <c r="AS464" s="65" t="str">
        <f t="shared" si="26"/>
        <v>Exclude</v>
      </c>
      <c r="AU464" s="65" t="str">
        <f t="shared" si="27"/>
        <v>Exclude</v>
      </c>
    </row>
    <row r="465" spans="1:47" s="64" customFormat="1" x14ac:dyDescent="0.25">
      <c r="A465" s="63"/>
      <c r="U465" s="65" t="str">
        <f t="shared" si="24"/>
        <v>Exclude</v>
      </c>
      <c r="W465" s="65" t="str">
        <f t="shared" si="25"/>
        <v>Exclude</v>
      </c>
      <c r="Y465" s="63"/>
      <c r="AS465" s="65" t="str">
        <f t="shared" si="26"/>
        <v>Exclude</v>
      </c>
      <c r="AU465" s="65" t="str">
        <f t="shared" si="27"/>
        <v>Exclude</v>
      </c>
    </row>
    <row r="466" spans="1:47" s="64" customFormat="1" x14ac:dyDescent="0.25">
      <c r="A466" s="63"/>
      <c r="U466" s="65" t="str">
        <f t="shared" si="24"/>
        <v>Exclude</v>
      </c>
      <c r="W466" s="65" t="str">
        <f t="shared" si="25"/>
        <v>Exclude</v>
      </c>
      <c r="Y466" s="63"/>
      <c r="AS466" s="65" t="str">
        <f t="shared" si="26"/>
        <v>Exclude</v>
      </c>
      <c r="AU466" s="65" t="str">
        <f t="shared" si="27"/>
        <v>Exclude</v>
      </c>
    </row>
    <row r="467" spans="1:47" s="64" customFormat="1" x14ac:dyDescent="0.25">
      <c r="A467" s="63"/>
      <c r="U467" s="65" t="str">
        <f t="shared" si="24"/>
        <v>Exclude</v>
      </c>
      <c r="W467" s="65" t="str">
        <f t="shared" si="25"/>
        <v>Exclude</v>
      </c>
      <c r="Y467" s="63"/>
      <c r="AS467" s="65" t="str">
        <f t="shared" si="26"/>
        <v>Exclude</v>
      </c>
      <c r="AU467" s="65" t="str">
        <f t="shared" si="27"/>
        <v>Exclude</v>
      </c>
    </row>
    <row r="468" spans="1:47" s="64" customFormat="1" x14ac:dyDescent="0.25">
      <c r="A468" s="63"/>
      <c r="U468" s="65" t="str">
        <f t="shared" si="24"/>
        <v>Exclude</v>
      </c>
      <c r="W468" s="65" t="str">
        <f t="shared" si="25"/>
        <v>Exclude</v>
      </c>
      <c r="Y468" s="63"/>
      <c r="AS468" s="65" t="str">
        <f t="shared" si="26"/>
        <v>Exclude</v>
      </c>
      <c r="AU468" s="65" t="str">
        <f t="shared" si="27"/>
        <v>Exclude</v>
      </c>
    </row>
    <row r="469" spans="1:47" s="64" customFormat="1" x14ac:dyDescent="0.25">
      <c r="A469" s="63"/>
      <c r="U469" s="65" t="str">
        <f t="shared" si="24"/>
        <v>Exclude</v>
      </c>
      <c r="W469" s="65" t="str">
        <f t="shared" si="25"/>
        <v>Exclude</v>
      </c>
      <c r="Y469" s="63"/>
      <c r="AS469" s="65" t="str">
        <f t="shared" si="26"/>
        <v>Exclude</v>
      </c>
      <c r="AU469" s="65" t="str">
        <f t="shared" si="27"/>
        <v>Exclude</v>
      </c>
    </row>
    <row r="470" spans="1:47" s="64" customFormat="1" x14ac:dyDescent="0.25">
      <c r="A470" s="63"/>
      <c r="U470" s="65" t="str">
        <f t="shared" si="24"/>
        <v>Exclude</v>
      </c>
      <c r="W470" s="65" t="str">
        <f t="shared" si="25"/>
        <v>Exclude</v>
      </c>
      <c r="Y470" s="63"/>
      <c r="AS470" s="65" t="str">
        <f t="shared" si="26"/>
        <v>Exclude</v>
      </c>
      <c r="AU470" s="65" t="str">
        <f t="shared" si="27"/>
        <v>Exclude</v>
      </c>
    </row>
    <row r="471" spans="1:47" s="64" customFormat="1" x14ac:dyDescent="0.25">
      <c r="A471" s="63"/>
      <c r="U471" s="65" t="str">
        <f t="shared" ref="U471:U533" si="28">IF(OR(R471="TruePositive",R471="TrueNegative"),IF(R470&lt;&gt;"Anticipatory",IF(OR(R470="FalseNegative",R470="FalsePositive"),"SameTrial",(N471)),"Pant"),IF(OR(R471="FalsePositive",R471="FalseNegative"),IF(R470&lt;&gt;"Anticipatory",IF(OR(R470="FalsePositive",R470="FalseNegative"),"SameTrial","Exclude"),"Exclude"),"Exclude"))</f>
        <v>Exclude</v>
      </c>
      <c r="W471" s="65" t="str">
        <f t="shared" ref="W471:W533" si="29">IF(OR(R471="TruePositive",R471="TrueNegative"),IF(R470&lt;&gt;"Anticipatory",IF(OR(R470="FalseNegative",R470="FalsePositive"),"SameTrial",LOG10(N471)),"Pant"),IF(OR(R471="FalsePositive",R471="FalseNegative"),IF(R470&lt;&gt;"Anticipatory",IF(OR(R470="FalsePositive",R470="FalseNegative"),"SameTrial","Exclude"),"Exclude"),"Exclude"))</f>
        <v>Exclude</v>
      </c>
      <c r="Y471" s="63"/>
      <c r="AS471" s="65" t="str">
        <f t="shared" ref="AS471:AS533" si="30">IF(OR(AP471="TruePositive",AP471="TrueNegative"),IF(AP470&lt;&gt;"Anticipatory",IF(OR(AP470="FalseNegative",AP470="FalsePositive"),"SameTrial",(AL471)),"Pant"),IF(OR(AP471="FalsePositive",AP471="FalseNegative"),IF(AP470&lt;&gt;"Anticipatory",IF(OR(AP470="FalsePositive",AP470="FalseNegative"),"SameTrial","Exclude"),"Exclude"),"Exclude"))</f>
        <v>Exclude</v>
      </c>
      <c r="AU471" s="65" t="str">
        <f t="shared" ref="AU471:AU533" si="31">IF(OR(AP471="TruePositive",AP471="TrueNegative"),IF(AP470&lt;&gt;"Anticipatory",IF(OR(AP470="FalseNegative",AP470="FalsePositive"),"SameTrial",LOG10(AL471)),"Pant"),IF(OR(AP471="FalsePositive",AP471="FalseNegative"),IF(AP470&lt;&gt;"Anticipatory",IF(OR(AP470="FalsePositive",AP470="FalseNegative"),"SameTrial","Exclude"),"Exclude"),"Exclude"))</f>
        <v>Exclude</v>
      </c>
    </row>
    <row r="472" spans="1:47" s="64" customFormat="1" x14ac:dyDescent="0.25">
      <c r="A472" s="63"/>
      <c r="U472" s="65" t="str">
        <f t="shared" si="28"/>
        <v>Exclude</v>
      </c>
      <c r="W472" s="65" t="str">
        <f t="shared" si="29"/>
        <v>Exclude</v>
      </c>
      <c r="Y472" s="63"/>
      <c r="AS472" s="65" t="str">
        <f t="shared" si="30"/>
        <v>Exclude</v>
      </c>
      <c r="AU472" s="65" t="str">
        <f t="shared" si="31"/>
        <v>Exclude</v>
      </c>
    </row>
    <row r="473" spans="1:47" s="64" customFormat="1" x14ac:dyDescent="0.25">
      <c r="A473" s="63"/>
      <c r="U473" s="65" t="str">
        <f t="shared" si="28"/>
        <v>Exclude</v>
      </c>
      <c r="W473" s="65" t="str">
        <f t="shared" si="29"/>
        <v>Exclude</v>
      </c>
      <c r="Y473" s="63"/>
      <c r="AS473" s="65" t="str">
        <f t="shared" si="30"/>
        <v>Exclude</v>
      </c>
      <c r="AU473" s="65" t="str">
        <f t="shared" si="31"/>
        <v>Exclude</v>
      </c>
    </row>
    <row r="474" spans="1:47" s="64" customFormat="1" x14ac:dyDescent="0.25">
      <c r="A474" s="63"/>
      <c r="U474" s="65" t="str">
        <f t="shared" si="28"/>
        <v>Exclude</v>
      </c>
      <c r="W474" s="65" t="str">
        <f t="shared" si="29"/>
        <v>Exclude</v>
      </c>
      <c r="Y474" s="63"/>
      <c r="AS474" s="65" t="str">
        <f t="shared" si="30"/>
        <v>Exclude</v>
      </c>
      <c r="AU474" s="65" t="str">
        <f t="shared" si="31"/>
        <v>Exclude</v>
      </c>
    </row>
    <row r="475" spans="1:47" s="64" customFormat="1" x14ac:dyDescent="0.25">
      <c r="A475" s="63"/>
      <c r="U475" s="65" t="str">
        <f t="shared" si="28"/>
        <v>Exclude</v>
      </c>
      <c r="W475" s="65" t="str">
        <f t="shared" si="29"/>
        <v>Exclude</v>
      </c>
      <c r="Y475" s="63"/>
      <c r="AS475" s="65" t="str">
        <f t="shared" si="30"/>
        <v>Exclude</v>
      </c>
      <c r="AU475" s="65" t="str">
        <f t="shared" si="31"/>
        <v>Exclude</v>
      </c>
    </row>
    <row r="476" spans="1:47" s="64" customFormat="1" x14ac:dyDescent="0.25">
      <c r="A476" s="63"/>
      <c r="U476" s="65" t="str">
        <f t="shared" si="28"/>
        <v>Exclude</v>
      </c>
      <c r="W476" s="65" t="str">
        <f t="shared" si="29"/>
        <v>Exclude</v>
      </c>
      <c r="Y476" s="63"/>
      <c r="AS476" s="65" t="str">
        <f t="shared" si="30"/>
        <v>Exclude</v>
      </c>
      <c r="AU476" s="65" t="str">
        <f t="shared" si="31"/>
        <v>Exclude</v>
      </c>
    </row>
    <row r="477" spans="1:47" s="64" customFormat="1" x14ac:dyDescent="0.25">
      <c r="A477" s="63"/>
      <c r="U477" s="65" t="str">
        <f t="shared" si="28"/>
        <v>Exclude</v>
      </c>
      <c r="W477" s="65" t="str">
        <f t="shared" si="29"/>
        <v>Exclude</v>
      </c>
      <c r="Y477" s="63"/>
      <c r="AS477" s="65" t="str">
        <f t="shared" si="30"/>
        <v>Exclude</v>
      </c>
      <c r="AU477" s="65" t="str">
        <f t="shared" si="31"/>
        <v>Exclude</v>
      </c>
    </row>
    <row r="478" spans="1:47" s="64" customFormat="1" x14ac:dyDescent="0.25">
      <c r="A478" s="63"/>
      <c r="U478" s="65" t="str">
        <f t="shared" si="28"/>
        <v>Exclude</v>
      </c>
      <c r="W478" s="65" t="str">
        <f t="shared" si="29"/>
        <v>Exclude</v>
      </c>
      <c r="Y478" s="63"/>
      <c r="AS478" s="65" t="str">
        <f t="shared" si="30"/>
        <v>Exclude</v>
      </c>
      <c r="AU478" s="65" t="str">
        <f t="shared" si="31"/>
        <v>Exclude</v>
      </c>
    </row>
    <row r="479" spans="1:47" s="64" customFormat="1" x14ac:dyDescent="0.25">
      <c r="A479" s="63"/>
      <c r="U479" s="65" t="str">
        <f t="shared" si="28"/>
        <v>Exclude</v>
      </c>
      <c r="W479" s="65" t="str">
        <f t="shared" si="29"/>
        <v>Exclude</v>
      </c>
      <c r="Y479" s="63"/>
      <c r="AS479" s="65" t="str">
        <f t="shared" si="30"/>
        <v>Exclude</v>
      </c>
      <c r="AU479" s="65" t="str">
        <f t="shared" si="31"/>
        <v>Exclude</v>
      </c>
    </row>
    <row r="480" spans="1:47" s="64" customFormat="1" x14ac:dyDescent="0.25">
      <c r="A480" s="63"/>
      <c r="U480" s="65" t="str">
        <f t="shared" si="28"/>
        <v>Exclude</v>
      </c>
      <c r="W480" s="65" t="str">
        <f t="shared" si="29"/>
        <v>Exclude</v>
      </c>
      <c r="Y480" s="63"/>
      <c r="AS480" s="65" t="str">
        <f t="shared" si="30"/>
        <v>Exclude</v>
      </c>
      <c r="AU480" s="65" t="str">
        <f t="shared" si="31"/>
        <v>Exclude</v>
      </c>
    </row>
    <row r="481" spans="1:47" s="64" customFormat="1" x14ac:dyDescent="0.25">
      <c r="A481" s="63"/>
      <c r="U481" s="65" t="str">
        <f t="shared" si="28"/>
        <v>Exclude</v>
      </c>
      <c r="W481" s="65" t="str">
        <f t="shared" si="29"/>
        <v>Exclude</v>
      </c>
      <c r="Y481" s="63"/>
      <c r="AS481" s="65" t="str">
        <f t="shared" si="30"/>
        <v>Exclude</v>
      </c>
      <c r="AU481" s="65" t="str">
        <f t="shared" si="31"/>
        <v>Exclude</v>
      </c>
    </row>
    <row r="482" spans="1:47" s="64" customFormat="1" x14ac:dyDescent="0.25">
      <c r="A482" s="63"/>
      <c r="U482" s="65" t="str">
        <f t="shared" si="28"/>
        <v>Exclude</v>
      </c>
      <c r="W482" s="65" t="str">
        <f t="shared" si="29"/>
        <v>Exclude</v>
      </c>
      <c r="Y482" s="63"/>
      <c r="AS482" s="65" t="str">
        <f t="shared" si="30"/>
        <v>Exclude</v>
      </c>
      <c r="AU482" s="65" t="str">
        <f t="shared" si="31"/>
        <v>Exclude</v>
      </c>
    </row>
    <row r="483" spans="1:47" s="64" customFormat="1" x14ac:dyDescent="0.25">
      <c r="A483" s="63"/>
      <c r="U483" s="65" t="str">
        <f t="shared" si="28"/>
        <v>Exclude</v>
      </c>
      <c r="W483" s="65" t="str">
        <f t="shared" si="29"/>
        <v>Exclude</v>
      </c>
      <c r="Y483" s="63"/>
      <c r="AS483" s="65" t="str">
        <f t="shared" si="30"/>
        <v>Exclude</v>
      </c>
      <c r="AU483" s="65" t="str">
        <f t="shared" si="31"/>
        <v>Exclude</v>
      </c>
    </row>
    <row r="484" spans="1:47" s="64" customFormat="1" x14ac:dyDescent="0.25">
      <c r="A484" s="63"/>
      <c r="U484" s="65" t="str">
        <f t="shared" si="28"/>
        <v>Exclude</v>
      </c>
      <c r="W484" s="65" t="str">
        <f t="shared" si="29"/>
        <v>Exclude</v>
      </c>
      <c r="Y484" s="63"/>
      <c r="AS484" s="65" t="str">
        <f t="shared" si="30"/>
        <v>Exclude</v>
      </c>
      <c r="AU484" s="65" t="str">
        <f t="shared" si="31"/>
        <v>Exclude</v>
      </c>
    </row>
    <row r="485" spans="1:47" s="64" customFormat="1" x14ac:dyDescent="0.25">
      <c r="A485" s="63"/>
      <c r="U485" s="65" t="str">
        <f t="shared" si="28"/>
        <v>Exclude</v>
      </c>
      <c r="W485" s="65" t="str">
        <f t="shared" si="29"/>
        <v>Exclude</v>
      </c>
      <c r="Y485" s="63"/>
      <c r="AS485" s="65" t="str">
        <f t="shared" si="30"/>
        <v>Exclude</v>
      </c>
      <c r="AU485" s="65" t="str">
        <f t="shared" si="31"/>
        <v>Exclude</v>
      </c>
    </row>
    <row r="486" spans="1:47" s="64" customFormat="1" x14ac:dyDescent="0.25">
      <c r="A486" s="63"/>
      <c r="U486" s="65" t="str">
        <f t="shared" si="28"/>
        <v>Exclude</v>
      </c>
      <c r="W486" s="65" t="str">
        <f t="shared" si="29"/>
        <v>Exclude</v>
      </c>
      <c r="Y486" s="63"/>
      <c r="AS486" s="65" t="str">
        <f t="shared" si="30"/>
        <v>Exclude</v>
      </c>
      <c r="AU486" s="65" t="str">
        <f t="shared" si="31"/>
        <v>Exclude</v>
      </c>
    </row>
    <row r="487" spans="1:47" s="64" customFormat="1" x14ac:dyDescent="0.25">
      <c r="A487" s="63"/>
      <c r="U487" s="65" t="str">
        <f t="shared" si="28"/>
        <v>Exclude</v>
      </c>
      <c r="W487" s="65" t="str">
        <f t="shared" si="29"/>
        <v>Exclude</v>
      </c>
      <c r="Y487" s="63"/>
      <c r="AS487" s="65" t="str">
        <f t="shared" si="30"/>
        <v>Exclude</v>
      </c>
      <c r="AU487" s="65" t="str">
        <f t="shared" si="31"/>
        <v>Exclude</v>
      </c>
    </row>
    <row r="488" spans="1:47" s="64" customFormat="1" x14ac:dyDescent="0.25">
      <c r="A488" s="63"/>
      <c r="U488" s="65" t="str">
        <f t="shared" si="28"/>
        <v>Exclude</v>
      </c>
      <c r="W488" s="65" t="str">
        <f t="shared" si="29"/>
        <v>Exclude</v>
      </c>
      <c r="Y488" s="63"/>
      <c r="AS488" s="65" t="str">
        <f t="shared" si="30"/>
        <v>Exclude</v>
      </c>
      <c r="AU488" s="65" t="str">
        <f t="shared" si="31"/>
        <v>Exclude</v>
      </c>
    </row>
    <row r="489" spans="1:47" s="64" customFormat="1" x14ac:dyDescent="0.25">
      <c r="A489" s="63"/>
      <c r="U489" s="65" t="str">
        <f t="shared" si="28"/>
        <v>Exclude</v>
      </c>
      <c r="W489" s="65" t="str">
        <f t="shared" si="29"/>
        <v>Exclude</v>
      </c>
      <c r="Y489" s="63"/>
      <c r="AS489" s="65" t="str">
        <f t="shared" si="30"/>
        <v>Exclude</v>
      </c>
      <c r="AU489" s="65" t="str">
        <f t="shared" si="31"/>
        <v>Exclude</v>
      </c>
    </row>
    <row r="490" spans="1:47" s="64" customFormat="1" x14ac:dyDescent="0.25">
      <c r="A490" s="63"/>
      <c r="U490" s="65" t="str">
        <f t="shared" si="28"/>
        <v>Exclude</v>
      </c>
      <c r="W490" s="65" t="str">
        <f t="shared" si="29"/>
        <v>Exclude</v>
      </c>
      <c r="Y490" s="63"/>
      <c r="AS490" s="65" t="str">
        <f t="shared" si="30"/>
        <v>Exclude</v>
      </c>
      <c r="AU490" s="65" t="str">
        <f t="shared" si="31"/>
        <v>Exclude</v>
      </c>
    </row>
    <row r="491" spans="1:47" s="64" customFormat="1" x14ac:dyDescent="0.25">
      <c r="A491" s="63"/>
      <c r="U491" s="65" t="str">
        <f t="shared" si="28"/>
        <v>Exclude</v>
      </c>
      <c r="W491" s="65" t="str">
        <f t="shared" si="29"/>
        <v>Exclude</v>
      </c>
      <c r="Y491" s="63"/>
      <c r="AS491" s="65" t="str">
        <f t="shared" si="30"/>
        <v>Exclude</v>
      </c>
      <c r="AU491" s="65" t="str">
        <f t="shared" si="31"/>
        <v>Exclude</v>
      </c>
    </row>
    <row r="492" spans="1:47" s="64" customFormat="1" x14ac:dyDescent="0.25">
      <c r="A492" s="63"/>
      <c r="U492" s="65" t="str">
        <f t="shared" si="28"/>
        <v>Exclude</v>
      </c>
      <c r="W492" s="65" t="str">
        <f t="shared" si="29"/>
        <v>Exclude</v>
      </c>
      <c r="Y492" s="63"/>
      <c r="AS492" s="65" t="str">
        <f t="shared" si="30"/>
        <v>Exclude</v>
      </c>
      <c r="AU492" s="65" t="str">
        <f t="shared" si="31"/>
        <v>Exclude</v>
      </c>
    </row>
    <row r="493" spans="1:47" s="64" customFormat="1" x14ac:dyDescent="0.25">
      <c r="A493" s="63"/>
      <c r="U493" s="65" t="str">
        <f t="shared" si="28"/>
        <v>Exclude</v>
      </c>
      <c r="W493" s="65" t="str">
        <f t="shared" si="29"/>
        <v>Exclude</v>
      </c>
      <c r="Y493" s="63"/>
      <c r="AS493" s="65" t="str">
        <f t="shared" si="30"/>
        <v>Exclude</v>
      </c>
      <c r="AU493" s="65" t="str">
        <f t="shared" si="31"/>
        <v>Exclude</v>
      </c>
    </row>
    <row r="494" spans="1:47" s="64" customFormat="1" x14ac:dyDescent="0.25">
      <c r="A494" s="63"/>
      <c r="U494" s="65" t="str">
        <f t="shared" si="28"/>
        <v>Exclude</v>
      </c>
      <c r="W494" s="65" t="str">
        <f t="shared" si="29"/>
        <v>Exclude</v>
      </c>
      <c r="Y494" s="63"/>
      <c r="AS494" s="65" t="str">
        <f t="shared" si="30"/>
        <v>Exclude</v>
      </c>
      <c r="AU494" s="65" t="str">
        <f t="shared" si="31"/>
        <v>Exclude</v>
      </c>
    </row>
    <row r="495" spans="1:47" s="64" customFormat="1" x14ac:dyDescent="0.25">
      <c r="A495" s="63"/>
      <c r="U495" s="65" t="str">
        <f t="shared" si="28"/>
        <v>Exclude</v>
      </c>
      <c r="W495" s="65" t="str">
        <f t="shared" si="29"/>
        <v>Exclude</v>
      </c>
      <c r="Y495" s="63"/>
      <c r="AS495" s="65" t="str">
        <f t="shared" si="30"/>
        <v>Exclude</v>
      </c>
      <c r="AU495" s="65" t="str">
        <f t="shared" si="31"/>
        <v>Exclude</v>
      </c>
    </row>
    <row r="496" spans="1:47" s="64" customFormat="1" x14ac:dyDescent="0.25">
      <c r="A496" s="63"/>
      <c r="U496" s="65" t="str">
        <f t="shared" si="28"/>
        <v>Exclude</v>
      </c>
      <c r="W496" s="65" t="str">
        <f t="shared" si="29"/>
        <v>Exclude</v>
      </c>
      <c r="Y496" s="63"/>
      <c r="AS496" s="65" t="str">
        <f t="shared" si="30"/>
        <v>Exclude</v>
      </c>
      <c r="AU496" s="65" t="str">
        <f t="shared" si="31"/>
        <v>Exclude</v>
      </c>
    </row>
    <row r="497" spans="1:47" s="64" customFormat="1" x14ac:dyDescent="0.25">
      <c r="A497" s="63"/>
      <c r="U497" s="65" t="str">
        <f t="shared" si="28"/>
        <v>Exclude</v>
      </c>
      <c r="W497" s="65" t="str">
        <f t="shared" si="29"/>
        <v>Exclude</v>
      </c>
      <c r="Y497" s="63"/>
      <c r="AS497" s="65" t="str">
        <f t="shared" si="30"/>
        <v>Exclude</v>
      </c>
      <c r="AU497" s="65" t="str">
        <f t="shared" si="31"/>
        <v>Exclude</v>
      </c>
    </row>
    <row r="498" spans="1:47" s="64" customFormat="1" x14ac:dyDescent="0.25">
      <c r="A498" s="63"/>
      <c r="U498" s="65" t="str">
        <f t="shared" si="28"/>
        <v>Exclude</v>
      </c>
      <c r="W498" s="65" t="str">
        <f t="shared" si="29"/>
        <v>Exclude</v>
      </c>
      <c r="Y498" s="63"/>
      <c r="AS498" s="65" t="str">
        <f t="shared" si="30"/>
        <v>Exclude</v>
      </c>
      <c r="AU498" s="65" t="str">
        <f t="shared" si="31"/>
        <v>Exclude</v>
      </c>
    </row>
    <row r="499" spans="1:47" s="64" customFormat="1" x14ac:dyDescent="0.25">
      <c r="A499" s="63"/>
      <c r="U499" s="65" t="str">
        <f t="shared" si="28"/>
        <v>Exclude</v>
      </c>
      <c r="W499" s="65" t="str">
        <f t="shared" si="29"/>
        <v>Exclude</v>
      </c>
      <c r="Y499" s="63"/>
      <c r="AS499" s="65" t="str">
        <f t="shared" si="30"/>
        <v>Exclude</v>
      </c>
      <c r="AU499" s="65" t="str">
        <f t="shared" si="31"/>
        <v>Exclude</v>
      </c>
    </row>
    <row r="500" spans="1:47" s="64" customFormat="1" x14ac:dyDescent="0.25">
      <c r="A500" s="63"/>
      <c r="U500" s="65" t="str">
        <f t="shared" si="28"/>
        <v>Exclude</v>
      </c>
      <c r="W500" s="65" t="str">
        <f t="shared" si="29"/>
        <v>Exclude</v>
      </c>
      <c r="Y500" s="63"/>
      <c r="AS500" s="65" t="str">
        <f t="shared" si="30"/>
        <v>Exclude</v>
      </c>
      <c r="AU500" s="65" t="str">
        <f t="shared" si="31"/>
        <v>Exclude</v>
      </c>
    </row>
    <row r="501" spans="1:47" s="64" customFormat="1" x14ac:dyDescent="0.25">
      <c r="A501" s="63"/>
      <c r="U501" s="65" t="str">
        <f t="shared" si="28"/>
        <v>Exclude</v>
      </c>
      <c r="W501" s="65" t="str">
        <f t="shared" si="29"/>
        <v>Exclude</v>
      </c>
      <c r="Y501" s="63"/>
      <c r="AS501" s="65" t="str">
        <f t="shared" si="30"/>
        <v>Exclude</v>
      </c>
      <c r="AU501" s="65" t="str">
        <f t="shared" si="31"/>
        <v>Exclude</v>
      </c>
    </row>
    <row r="502" spans="1:47" s="64" customFormat="1" x14ac:dyDescent="0.25">
      <c r="A502" s="63"/>
      <c r="U502" s="65" t="str">
        <f t="shared" si="28"/>
        <v>Exclude</v>
      </c>
      <c r="W502" s="65" t="str">
        <f t="shared" si="29"/>
        <v>Exclude</v>
      </c>
      <c r="Y502" s="63"/>
      <c r="AS502" s="65" t="str">
        <f t="shared" si="30"/>
        <v>Exclude</v>
      </c>
      <c r="AU502" s="65" t="str">
        <f t="shared" si="31"/>
        <v>Exclude</v>
      </c>
    </row>
    <row r="503" spans="1:47" s="64" customFormat="1" x14ac:dyDescent="0.25">
      <c r="A503" s="63"/>
      <c r="U503" s="65" t="str">
        <f t="shared" si="28"/>
        <v>Exclude</v>
      </c>
      <c r="W503" s="65" t="str">
        <f t="shared" si="29"/>
        <v>Exclude</v>
      </c>
      <c r="Y503" s="63"/>
      <c r="AS503" s="65" t="str">
        <f t="shared" si="30"/>
        <v>Exclude</v>
      </c>
      <c r="AU503" s="65" t="str">
        <f t="shared" si="31"/>
        <v>Exclude</v>
      </c>
    </row>
    <row r="504" spans="1:47" s="64" customFormat="1" x14ac:dyDescent="0.25">
      <c r="A504" s="63"/>
      <c r="U504" s="65" t="str">
        <f t="shared" si="28"/>
        <v>Exclude</v>
      </c>
      <c r="W504" s="65" t="str">
        <f t="shared" si="29"/>
        <v>Exclude</v>
      </c>
      <c r="Y504" s="63"/>
      <c r="AS504" s="65" t="str">
        <f t="shared" si="30"/>
        <v>Exclude</v>
      </c>
      <c r="AU504" s="65" t="str">
        <f t="shared" si="31"/>
        <v>Exclude</v>
      </c>
    </row>
    <row r="505" spans="1:47" s="64" customFormat="1" x14ac:dyDescent="0.25">
      <c r="A505" s="63"/>
      <c r="U505" s="65" t="str">
        <f t="shared" si="28"/>
        <v>Exclude</v>
      </c>
      <c r="W505" s="65" t="str">
        <f t="shared" si="29"/>
        <v>Exclude</v>
      </c>
      <c r="Y505" s="63"/>
      <c r="AS505" s="65" t="str">
        <f t="shared" si="30"/>
        <v>Exclude</v>
      </c>
      <c r="AU505" s="65" t="str">
        <f t="shared" si="31"/>
        <v>Exclude</v>
      </c>
    </row>
    <row r="506" spans="1:47" s="64" customFormat="1" x14ac:dyDescent="0.25">
      <c r="A506" s="63"/>
      <c r="U506" s="65" t="str">
        <f t="shared" si="28"/>
        <v>Exclude</v>
      </c>
      <c r="W506" s="65" t="str">
        <f t="shared" si="29"/>
        <v>Exclude</v>
      </c>
      <c r="Y506" s="63"/>
      <c r="AS506" s="65" t="str">
        <f t="shared" si="30"/>
        <v>Exclude</v>
      </c>
      <c r="AU506" s="65" t="str">
        <f t="shared" si="31"/>
        <v>Exclude</v>
      </c>
    </row>
    <row r="507" spans="1:47" s="64" customFormat="1" x14ac:dyDescent="0.25">
      <c r="A507" s="63"/>
      <c r="U507" s="65" t="str">
        <f t="shared" si="28"/>
        <v>Exclude</v>
      </c>
      <c r="W507" s="65" t="str">
        <f t="shared" si="29"/>
        <v>Exclude</v>
      </c>
      <c r="Y507" s="63"/>
      <c r="AS507" s="65" t="str">
        <f t="shared" si="30"/>
        <v>Exclude</v>
      </c>
      <c r="AU507" s="65" t="str">
        <f t="shared" si="31"/>
        <v>Exclude</v>
      </c>
    </row>
    <row r="508" spans="1:47" s="64" customFormat="1" x14ac:dyDescent="0.25">
      <c r="A508" s="63"/>
      <c r="U508" s="65" t="str">
        <f t="shared" si="28"/>
        <v>Exclude</v>
      </c>
      <c r="W508" s="65" t="str">
        <f t="shared" si="29"/>
        <v>Exclude</v>
      </c>
      <c r="Y508" s="63"/>
      <c r="AS508" s="65" t="str">
        <f t="shared" si="30"/>
        <v>Exclude</v>
      </c>
      <c r="AU508" s="65" t="str">
        <f t="shared" si="31"/>
        <v>Exclude</v>
      </c>
    </row>
    <row r="509" spans="1:47" s="64" customFormat="1" x14ac:dyDescent="0.25">
      <c r="A509" s="63"/>
      <c r="U509" s="65" t="str">
        <f t="shared" si="28"/>
        <v>Exclude</v>
      </c>
      <c r="W509" s="65" t="str">
        <f t="shared" si="29"/>
        <v>Exclude</v>
      </c>
      <c r="Y509" s="63"/>
      <c r="AS509" s="65" t="str">
        <f t="shared" si="30"/>
        <v>Exclude</v>
      </c>
      <c r="AU509" s="65" t="str">
        <f t="shared" si="31"/>
        <v>Exclude</v>
      </c>
    </row>
    <row r="510" spans="1:47" s="64" customFormat="1" x14ac:dyDescent="0.25">
      <c r="A510" s="63"/>
      <c r="U510" s="65" t="str">
        <f t="shared" si="28"/>
        <v>Exclude</v>
      </c>
      <c r="W510" s="65" t="str">
        <f t="shared" si="29"/>
        <v>Exclude</v>
      </c>
      <c r="Y510" s="63"/>
      <c r="AS510" s="65" t="str">
        <f t="shared" si="30"/>
        <v>Exclude</v>
      </c>
      <c r="AU510" s="65" t="str">
        <f t="shared" si="31"/>
        <v>Exclude</v>
      </c>
    </row>
    <row r="511" spans="1:47" s="64" customFormat="1" x14ac:dyDescent="0.25">
      <c r="A511" s="63"/>
      <c r="U511" s="65" t="str">
        <f t="shared" si="28"/>
        <v>Exclude</v>
      </c>
      <c r="W511" s="65" t="str">
        <f t="shared" si="29"/>
        <v>Exclude</v>
      </c>
      <c r="Y511" s="63"/>
      <c r="AS511" s="65" t="str">
        <f t="shared" si="30"/>
        <v>Exclude</v>
      </c>
      <c r="AU511" s="65" t="str">
        <f t="shared" si="31"/>
        <v>Exclude</v>
      </c>
    </row>
    <row r="512" spans="1:47" s="64" customFormat="1" x14ac:dyDescent="0.25">
      <c r="A512" s="63"/>
      <c r="U512" s="65" t="str">
        <f t="shared" si="28"/>
        <v>Exclude</v>
      </c>
      <c r="W512" s="65" t="str">
        <f t="shared" si="29"/>
        <v>Exclude</v>
      </c>
      <c r="Y512" s="63"/>
      <c r="AS512" s="65" t="str">
        <f t="shared" si="30"/>
        <v>Exclude</v>
      </c>
      <c r="AU512" s="65" t="str">
        <f t="shared" si="31"/>
        <v>Exclude</v>
      </c>
    </row>
    <row r="513" spans="1:47" s="64" customFormat="1" x14ac:dyDescent="0.25">
      <c r="A513" s="63"/>
      <c r="U513" s="65" t="str">
        <f t="shared" si="28"/>
        <v>Exclude</v>
      </c>
      <c r="W513" s="65" t="str">
        <f t="shared" si="29"/>
        <v>Exclude</v>
      </c>
      <c r="Y513" s="63"/>
      <c r="AS513" s="65" t="str">
        <f t="shared" si="30"/>
        <v>Exclude</v>
      </c>
      <c r="AU513" s="65" t="str">
        <f t="shared" si="31"/>
        <v>Exclude</v>
      </c>
    </row>
    <row r="514" spans="1:47" s="64" customFormat="1" x14ac:dyDescent="0.25">
      <c r="A514" s="63"/>
      <c r="U514" s="65" t="str">
        <f t="shared" si="28"/>
        <v>Exclude</v>
      </c>
      <c r="W514" s="65" t="str">
        <f t="shared" si="29"/>
        <v>Exclude</v>
      </c>
      <c r="Y514" s="63"/>
      <c r="AS514" s="65" t="str">
        <f t="shared" si="30"/>
        <v>Exclude</v>
      </c>
      <c r="AU514" s="65" t="str">
        <f t="shared" si="31"/>
        <v>Exclude</v>
      </c>
    </row>
    <row r="515" spans="1:47" s="64" customFormat="1" x14ac:dyDescent="0.25">
      <c r="A515" s="63"/>
      <c r="U515" s="65" t="str">
        <f t="shared" si="28"/>
        <v>Exclude</v>
      </c>
      <c r="W515" s="65" t="str">
        <f t="shared" si="29"/>
        <v>Exclude</v>
      </c>
      <c r="Y515" s="63"/>
      <c r="AS515" s="65" t="str">
        <f t="shared" si="30"/>
        <v>Exclude</v>
      </c>
      <c r="AU515" s="65" t="str">
        <f t="shared" si="31"/>
        <v>Exclude</v>
      </c>
    </row>
    <row r="516" spans="1:47" s="64" customFormat="1" x14ac:dyDescent="0.25">
      <c r="A516" s="63"/>
      <c r="U516" s="65" t="str">
        <f t="shared" si="28"/>
        <v>Exclude</v>
      </c>
      <c r="W516" s="65" t="str">
        <f t="shared" si="29"/>
        <v>Exclude</v>
      </c>
      <c r="Y516" s="63"/>
      <c r="AS516" s="65" t="str">
        <f t="shared" si="30"/>
        <v>Exclude</v>
      </c>
      <c r="AU516" s="65" t="str">
        <f t="shared" si="31"/>
        <v>Exclude</v>
      </c>
    </row>
    <row r="517" spans="1:47" s="64" customFormat="1" x14ac:dyDescent="0.25">
      <c r="A517" s="63"/>
      <c r="U517" s="65" t="str">
        <f t="shared" si="28"/>
        <v>Exclude</v>
      </c>
      <c r="W517" s="65" t="str">
        <f t="shared" si="29"/>
        <v>Exclude</v>
      </c>
      <c r="Y517" s="63"/>
      <c r="AS517" s="65" t="str">
        <f t="shared" si="30"/>
        <v>Exclude</v>
      </c>
      <c r="AU517" s="65" t="str">
        <f t="shared" si="31"/>
        <v>Exclude</v>
      </c>
    </row>
    <row r="518" spans="1:47" s="64" customFormat="1" x14ac:dyDescent="0.25">
      <c r="A518" s="63"/>
      <c r="U518" s="65" t="str">
        <f t="shared" si="28"/>
        <v>Exclude</v>
      </c>
      <c r="W518" s="65" t="str">
        <f t="shared" si="29"/>
        <v>Exclude</v>
      </c>
      <c r="Y518" s="63"/>
      <c r="AS518" s="65" t="str">
        <f t="shared" si="30"/>
        <v>Exclude</v>
      </c>
      <c r="AU518" s="65" t="str">
        <f t="shared" si="31"/>
        <v>Exclude</v>
      </c>
    </row>
    <row r="519" spans="1:47" s="64" customFormat="1" x14ac:dyDescent="0.25">
      <c r="A519" s="63"/>
      <c r="U519" s="65" t="str">
        <f t="shared" si="28"/>
        <v>Exclude</v>
      </c>
      <c r="W519" s="65" t="str">
        <f t="shared" si="29"/>
        <v>Exclude</v>
      </c>
      <c r="Y519" s="63"/>
      <c r="AS519" s="65" t="str">
        <f t="shared" si="30"/>
        <v>Exclude</v>
      </c>
      <c r="AU519" s="65" t="str">
        <f t="shared" si="31"/>
        <v>Exclude</v>
      </c>
    </row>
    <row r="520" spans="1:47" s="64" customFormat="1" x14ac:dyDescent="0.25">
      <c r="A520" s="63"/>
      <c r="U520" s="65" t="str">
        <f t="shared" si="28"/>
        <v>Exclude</v>
      </c>
      <c r="W520" s="65" t="str">
        <f t="shared" si="29"/>
        <v>Exclude</v>
      </c>
      <c r="Y520" s="63"/>
      <c r="AS520" s="65" t="str">
        <f t="shared" si="30"/>
        <v>Exclude</v>
      </c>
      <c r="AU520" s="65" t="str">
        <f t="shared" si="31"/>
        <v>Exclude</v>
      </c>
    </row>
    <row r="521" spans="1:47" s="64" customFormat="1" x14ac:dyDescent="0.25">
      <c r="A521" s="63"/>
      <c r="U521" s="65" t="str">
        <f t="shared" si="28"/>
        <v>Exclude</v>
      </c>
      <c r="W521" s="65" t="str">
        <f t="shared" si="29"/>
        <v>Exclude</v>
      </c>
      <c r="Y521" s="63"/>
      <c r="AS521" s="65" t="str">
        <f t="shared" si="30"/>
        <v>Exclude</v>
      </c>
      <c r="AU521" s="65" t="str">
        <f t="shared" si="31"/>
        <v>Exclude</v>
      </c>
    </row>
    <row r="522" spans="1:47" s="64" customFormat="1" x14ac:dyDescent="0.25">
      <c r="A522" s="63"/>
      <c r="U522" s="65" t="str">
        <f t="shared" si="28"/>
        <v>Exclude</v>
      </c>
      <c r="W522" s="65" t="str">
        <f t="shared" si="29"/>
        <v>Exclude</v>
      </c>
      <c r="Y522" s="63"/>
      <c r="AS522" s="65" t="str">
        <f t="shared" si="30"/>
        <v>Exclude</v>
      </c>
      <c r="AU522" s="65" t="str">
        <f t="shared" si="31"/>
        <v>Exclude</v>
      </c>
    </row>
    <row r="523" spans="1:47" s="64" customFormat="1" x14ac:dyDescent="0.25">
      <c r="A523" s="63"/>
      <c r="U523" s="65" t="str">
        <f t="shared" si="28"/>
        <v>Exclude</v>
      </c>
      <c r="W523" s="65" t="str">
        <f t="shared" si="29"/>
        <v>Exclude</v>
      </c>
      <c r="Y523" s="63"/>
      <c r="AS523" s="65" t="str">
        <f t="shared" si="30"/>
        <v>Exclude</v>
      </c>
      <c r="AU523" s="65" t="str">
        <f t="shared" si="31"/>
        <v>Exclude</v>
      </c>
    </row>
    <row r="524" spans="1:47" s="64" customFormat="1" x14ac:dyDescent="0.25">
      <c r="A524" s="63"/>
      <c r="U524" s="65" t="str">
        <f t="shared" si="28"/>
        <v>Exclude</v>
      </c>
      <c r="W524" s="65" t="str">
        <f t="shared" si="29"/>
        <v>Exclude</v>
      </c>
      <c r="Y524" s="63"/>
      <c r="AS524" s="65" t="str">
        <f t="shared" si="30"/>
        <v>Exclude</v>
      </c>
      <c r="AU524" s="65" t="str">
        <f t="shared" si="31"/>
        <v>Exclude</v>
      </c>
    </row>
    <row r="525" spans="1:47" s="64" customFormat="1" x14ac:dyDescent="0.25">
      <c r="A525" s="63"/>
      <c r="U525" s="65" t="str">
        <f t="shared" si="28"/>
        <v>Exclude</v>
      </c>
      <c r="W525" s="65" t="str">
        <f t="shared" si="29"/>
        <v>Exclude</v>
      </c>
      <c r="Y525" s="63"/>
      <c r="AS525" s="65" t="str">
        <f t="shared" si="30"/>
        <v>Exclude</v>
      </c>
      <c r="AU525" s="65" t="str">
        <f t="shared" si="31"/>
        <v>Exclude</v>
      </c>
    </row>
    <row r="526" spans="1:47" s="64" customFormat="1" x14ac:dyDescent="0.25">
      <c r="A526" s="63"/>
      <c r="U526" s="65" t="str">
        <f t="shared" si="28"/>
        <v>Exclude</v>
      </c>
      <c r="W526" s="65" t="str">
        <f t="shared" si="29"/>
        <v>Exclude</v>
      </c>
      <c r="Y526" s="63"/>
      <c r="AS526" s="65" t="str">
        <f t="shared" si="30"/>
        <v>Exclude</v>
      </c>
      <c r="AU526" s="65" t="str">
        <f t="shared" si="31"/>
        <v>Exclude</v>
      </c>
    </row>
    <row r="527" spans="1:47" s="64" customFormat="1" x14ac:dyDescent="0.25">
      <c r="A527" s="63"/>
      <c r="U527" s="65" t="str">
        <f t="shared" si="28"/>
        <v>Exclude</v>
      </c>
      <c r="W527" s="65" t="str">
        <f t="shared" si="29"/>
        <v>Exclude</v>
      </c>
      <c r="Y527" s="63"/>
      <c r="AS527" s="65" t="str">
        <f t="shared" si="30"/>
        <v>Exclude</v>
      </c>
      <c r="AU527" s="65" t="str">
        <f t="shared" si="31"/>
        <v>Exclude</v>
      </c>
    </row>
    <row r="528" spans="1:47" s="64" customFormat="1" x14ac:dyDescent="0.25">
      <c r="A528" s="63"/>
      <c r="U528" s="65" t="str">
        <f t="shared" si="28"/>
        <v>Exclude</v>
      </c>
      <c r="W528" s="65" t="str">
        <f t="shared" si="29"/>
        <v>Exclude</v>
      </c>
      <c r="Y528" s="63"/>
      <c r="AS528" s="65" t="str">
        <f t="shared" si="30"/>
        <v>Exclude</v>
      </c>
      <c r="AU528" s="65" t="str">
        <f t="shared" si="31"/>
        <v>Exclude</v>
      </c>
    </row>
    <row r="529" spans="1:47" s="64" customFormat="1" x14ac:dyDescent="0.25">
      <c r="A529" s="63"/>
      <c r="U529" s="65" t="str">
        <f t="shared" si="28"/>
        <v>Exclude</v>
      </c>
      <c r="W529" s="65" t="str">
        <f t="shared" si="29"/>
        <v>Exclude</v>
      </c>
      <c r="Y529" s="63"/>
      <c r="AS529" s="65" t="str">
        <f t="shared" si="30"/>
        <v>Exclude</v>
      </c>
      <c r="AU529" s="65" t="str">
        <f t="shared" si="31"/>
        <v>Exclude</v>
      </c>
    </row>
    <row r="530" spans="1:47" s="64" customFormat="1" x14ac:dyDescent="0.25">
      <c r="A530" s="63"/>
      <c r="U530" s="65" t="str">
        <f t="shared" si="28"/>
        <v>Exclude</v>
      </c>
      <c r="W530" s="65" t="str">
        <f t="shared" si="29"/>
        <v>Exclude</v>
      </c>
      <c r="Y530" s="63"/>
      <c r="AS530" s="65" t="str">
        <f t="shared" si="30"/>
        <v>Exclude</v>
      </c>
      <c r="AU530" s="65" t="str">
        <f t="shared" si="31"/>
        <v>Exclude</v>
      </c>
    </row>
    <row r="531" spans="1:47" s="64" customFormat="1" x14ac:dyDescent="0.25">
      <c r="A531" s="63"/>
      <c r="U531" s="65" t="str">
        <f t="shared" si="28"/>
        <v>Exclude</v>
      </c>
      <c r="W531" s="65" t="str">
        <f t="shared" si="29"/>
        <v>Exclude</v>
      </c>
      <c r="Y531" s="63"/>
      <c r="AS531" s="65" t="str">
        <f t="shared" si="30"/>
        <v>Exclude</v>
      </c>
      <c r="AU531" s="65" t="str">
        <f t="shared" si="31"/>
        <v>Exclude</v>
      </c>
    </row>
    <row r="532" spans="1:47" s="64" customFormat="1" x14ac:dyDescent="0.25">
      <c r="A532" s="63"/>
      <c r="U532" s="65" t="str">
        <f t="shared" si="28"/>
        <v>Exclude</v>
      </c>
      <c r="W532" s="65" t="str">
        <f t="shared" si="29"/>
        <v>Exclude</v>
      </c>
      <c r="Y532" s="63"/>
      <c r="AS532" s="65" t="str">
        <f t="shared" si="30"/>
        <v>Exclude</v>
      </c>
      <c r="AU532" s="65" t="str">
        <f t="shared" si="31"/>
        <v>Exclude</v>
      </c>
    </row>
    <row r="533" spans="1:47" s="64" customFormat="1" x14ac:dyDescent="0.25">
      <c r="A533" s="63"/>
      <c r="U533" s="65" t="str">
        <f t="shared" si="28"/>
        <v>Exclude</v>
      </c>
      <c r="W533" s="65" t="str">
        <f t="shared" si="29"/>
        <v>Exclude</v>
      </c>
      <c r="Y533" s="63"/>
      <c r="AS533" s="65" t="str">
        <f t="shared" si="30"/>
        <v>Exclude</v>
      </c>
      <c r="AU533" s="65" t="str">
        <f t="shared" si="31"/>
        <v>Exclude</v>
      </c>
    </row>
    <row r="534" spans="1:47" s="64" customFormat="1" x14ac:dyDescent="0.25">
      <c r="A534" s="63"/>
      <c r="W534" s="65"/>
      <c r="Y534" s="63"/>
    </row>
    <row r="535" spans="1:47" s="64" customFormat="1" x14ac:dyDescent="0.25">
      <c r="A535" s="63"/>
      <c r="W535" s="65"/>
      <c r="Y535" s="63"/>
    </row>
    <row r="536" spans="1:47" s="64" customFormat="1" x14ac:dyDescent="0.25">
      <c r="A536" s="63"/>
      <c r="W536" s="65"/>
      <c r="Y536" s="63"/>
    </row>
    <row r="537" spans="1:47" s="64" customFormat="1" x14ac:dyDescent="0.25">
      <c r="A537" s="63"/>
      <c r="W537" s="65"/>
      <c r="Y537" s="63"/>
    </row>
    <row r="538" spans="1:47" s="64" customFormat="1" x14ac:dyDescent="0.25">
      <c r="A538" s="63"/>
      <c r="W538" s="65"/>
      <c r="Y538" s="63"/>
    </row>
    <row r="539" spans="1:47" s="64" customFormat="1" x14ac:dyDescent="0.25">
      <c r="A539" s="63"/>
      <c r="W539" s="65"/>
      <c r="Y539" s="63"/>
    </row>
    <row r="540" spans="1:47" s="64" customFormat="1" x14ac:dyDescent="0.25">
      <c r="A540" s="63"/>
      <c r="W540" s="65"/>
      <c r="Y540" s="63"/>
    </row>
    <row r="541" spans="1:47" s="64" customFormat="1" x14ac:dyDescent="0.25">
      <c r="A541" s="63"/>
      <c r="W541" s="65"/>
      <c r="Y541" s="63"/>
    </row>
    <row r="542" spans="1:47" s="64" customFormat="1" x14ac:dyDescent="0.25">
      <c r="A542" s="63"/>
      <c r="W542" s="65"/>
      <c r="Y542" s="63"/>
    </row>
    <row r="543" spans="1:47" s="64" customFormat="1" x14ac:dyDescent="0.25">
      <c r="A543" s="63"/>
      <c r="W543" s="65"/>
      <c r="Y543" s="63"/>
    </row>
    <row r="544" spans="1:47" s="64" customFormat="1" x14ac:dyDescent="0.25">
      <c r="A544" s="63"/>
      <c r="W544" s="65"/>
      <c r="Y544" s="63"/>
    </row>
    <row r="545" spans="1:25" s="64" customFormat="1" x14ac:dyDescent="0.25">
      <c r="A545" s="63"/>
      <c r="W545" s="65"/>
      <c r="Y545" s="63"/>
    </row>
    <row r="546" spans="1:25" s="64" customFormat="1" x14ac:dyDescent="0.25">
      <c r="A546" s="63"/>
      <c r="W546" s="65"/>
      <c r="Y546" s="63"/>
    </row>
    <row r="547" spans="1:25" s="64" customFormat="1" x14ac:dyDescent="0.25">
      <c r="A547" s="63"/>
      <c r="W547" s="65"/>
      <c r="Y547" s="63"/>
    </row>
    <row r="548" spans="1:25" s="64" customFormat="1" x14ac:dyDescent="0.25">
      <c r="A548" s="63"/>
      <c r="W548" s="65"/>
      <c r="Y548" s="63"/>
    </row>
    <row r="549" spans="1:25" s="64" customFormat="1" x14ac:dyDescent="0.25">
      <c r="A549" s="63"/>
      <c r="W549" s="65"/>
      <c r="Y549" s="63"/>
    </row>
    <row r="550" spans="1:25" s="64" customFormat="1" x14ac:dyDescent="0.25">
      <c r="A550" s="63"/>
      <c r="W550" s="65"/>
      <c r="Y550" s="63"/>
    </row>
    <row r="551" spans="1:25" s="64" customFormat="1" x14ac:dyDescent="0.25">
      <c r="A551" s="63"/>
      <c r="W551" s="65"/>
      <c r="Y551" s="63"/>
    </row>
    <row r="552" spans="1:25" s="64" customFormat="1" x14ac:dyDescent="0.25">
      <c r="A552" s="63"/>
      <c r="W552" s="65"/>
      <c r="Y552" s="63"/>
    </row>
    <row r="553" spans="1:25" s="64" customFormat="1" x14ac:dyDescent="0.25">
      <c r="A553" s="63"/>
      <c r="W553" s="65"/>
      <c r="Y553" s="63"/>
    </row>
    <row r="554" spans="1:25" s="64" customFormat="1" x14ac:dyDescent="0.25">
      <c r="A554" s="63"/>
      <c r="W554" s="65"/>
      <c r="Y554" s="63"/>
    </row>
    <row r="555" spans="1:25" s="64" customFormat="1" x14ac:dyDescent="0.25">
      <c r="A555" s="63"/>
      <c r="W555" s="65"/>
      <c r="Y555" s="63"/>
    </row>
    <row r="556" spans="1:25" s="64" customFormat="1" x14ac:dyDescent="0.25">
      <c r="A556" s="63"/>
      <c r="W556" s="65"/>
      <c r="Y556" s="63"/>
    </row>
    <row r="557" spans="1:25" s="64" customFormat="1" x14ac:dyDescent="0.25">
      <c r="A557" s="63"/>
      <c r="W557" s="65"/>
      <c r="Y557" s="63"/>
    </row>
    <row r="558" spans="1:25" s="64" customFormat="1" x14ac:dyDescent="0.25">
      <c r="A558" s="63"/>
      <c r="W558" s="65"/>
      <c r="Y558" s="63"/>
    </row>
    <row r="559" spans="1:25" s="64" customFormat="1" x14ac:dyDescent="0.25">
      <c r="A559" s="63"/>
      <c r="W559" s="65"/>
      <c r="Y559" s="63"/>
    </row>
    <row r="560" spans="1:25" s="64" customFormat="1" x14ac:dyDescent="0.25">
      <c r="A560" s="63"/>
      <c r="W560" s="65"/>
      <c r="Y560" s="63"/>
    </row>
    <row r="561" spans="1:25" s="64" customFormat="1" x14ac:dyDescent="0.25">
      <c r="A561" s="63"/>
      <c r="W561" s="65"/>
      <c r="Y561" s="63"/>
    </row>
    <row r="562" spans="1:25" s="64" customFormat="1" x14ac:dyDescent="0.25">
      <c r="A562" s="63"/>
      <c r="W562" s="65"/>
      <c r="Y562" s="63"/>
    </row>
    <row r="563" spans="1:25" s="64" customFormat="1" x14ac:dyDescent="0.25">
      <c r="A563" s="63"/>
      <c r="W563" s="65"/>
      <c r="Y563" s="63"/>
    </row>
    <row r="564" spans="1:25" s="64" customFormat="1" x14ac:dyDescent="0.25">
      <c r="A564" s="63"/>
      <c r="W564" s="65"/>
      <c r="Y564" s="63"/>
    </row>
    <row r="565" spans="1:25" s="64" customFormat="1" x14ac:dyDescent="0.25">
      <c r="A565" s="63"/>
      <c r="W565" s="65"/>
      <c r="Y565" s="63"/>
    </row>
    <row r="566" spans="1:25" s="64" customFormat="1" x14ac:dyDescent="0.25">
      <c r="A566" s="63"/>
      <c r="W566" s="65"/>
      <c r="Y566" s="63"/>
    </row>
    <row r="567" spans="1:25" s="64" customFormat="1" x14ac:dyDescent="0.25">
      <c r="A567" s="63"/>
      <c r="W567" s="65"/>
      <c r="Y567" s="63"/>
    </row>
    <row r="568" spans="1:25" s="64" customFormat="1" x14ac:dyDescent="0.25">
      <c r="A568" s="63"/>
      <c r="W568" s="65"/>
      <c r="Y568" s="63"/>
    </row>
    <row r="569" spans="1:25" s="64" customFormat="1" x14ac:dyDescent="0.25">
      <c r="A569" s="63"/>
      <c r="W569" s="65"/>
      <c r="Y569" s="63"/>
    </row>
    <row r="570" spans="1:25" s="64" customFormat="1" x14ac:dyDescent="0.25">
      <c r="A570" s="63"/>
      <c r="W570" s="65"/>
      <c r="Y570" s="63"/>
    </row>
    <row r="571" spans="1:25" s="64" customFormat="1" x14ac:dyDescent="0.25">
      <c r="A571" s="63"/>
      <c r="W571" s="65"/>
      <c r="Y571" s="63"/>
    </row>
    <row r="572" spans="1:25" s="64" customFormat="1" x14ac:dyDescent="0.25">
      <c r="A572" s="63"/>
      <c r="W572" s="65"/>
      <c r="Y572" s="63"/>
    </row>
    <row r="573" spans="1:25" s="64" customFormat="1" x14ac:dyDescent="0.25">
      <c r="A573" s="63"/>
      <c r="W573" s="65"/>
      <c r="Y573" s="63"/>
    </row>
    <row r="574" spans="1:25" s="64" customFormat="1" x14ac:dyDescent="0.25">
      <c r="A574" s="63"/>
      <c r="W574" s="65"/>
      <c r="Y574" s="63"/>
    </row>
    <row r="575" spans="1:25" s="64" customFormat="1" x14ac:dyDescent="0.25">
      <c r="A575" s="63"/>
      <c r="W575" s="65"/>
      <c r="Y575" s="63"/>
    </row>
    <row r="576" spans="1:25" s="64" customFormat="1" x14ac:dyDescent="0.25">
      <c r="A576" s="63"/>
      <c r="W576" s="65"/>
      <c r="Y576" s="63"/>
    </row>
    <row r="577" spans="1:25" s="64" customFormat="1" x14ac:dyDescent="0.25">
      <c r="A577" s="63"/>
      <c r="W577" s="65"/>
      <c r="Y577" s="63"/>
    </row>
    <row r="578" spans="1:25" s="64" customFormat="1" x14ac:dyDescent="0.25">
      <c r="A578" s="63"/>
      <c r="W578" s="65"/>
      <c r="Y578" s="63"/>
    </row>
    <row r="579" spans="1:25" s="64" customFormat="1" x14ac:dyDescent="0.25">
      <c r="A579" s="63"/>
      <c r="W579" s="65"/>
      <c r="Y579" s="63"/>
    </row>
    <row r="580" spans="1:25" s="64" customFormat="1" x14ac:dyDescent="0.25">
      <c r="A580" s="63"/>
      <c r="W580" s="65"/>
      <c r="Y580" s="63"/>
    </row>
    <row r="581" spans="1:25" s="64" customFormat="1" x14ac:dyDescent="0.25">
      <c r="A581" s="63"/>
      <c r="W581" s="65"/>
      <c r="Y581" s="63"/>
    </row>
    <row r="582" spans="1:25" s="64" customFormat="1" x14ac:dyDescent="0.25">
      <c r="A582" s="63"/>
      <c r="W582" s="65"/>
      <c r="Y582" s="63"/>
    </row>
    <row r="583" spans="1:25" s="64" customFormat="1" x14ac:dyDescent="0.25">
      <c r="A583" s="63"/>
      <c r="W583" s="65"/>
      <c r="Y583" s="63"/>
    </row>
    <row r="584" spans="1:25" s="64" customFormat="1" x14ac:dyDescent="0.25">
      <c r="A584" s="63"/>
      <c r="W584" s="65"/>
      <c r="Y584" s="63"/>
    </row>
    <row r="585" spans="1:25" s="64" customFormat="1" x14ac:dyDescent="0.25">
      <c r="A585" s="63"/>
      <c r="W585" s="65"/>
      <c r="Y585" s="63"/>
    </row>
    <row r="586" spans="1:25" s="64" customFormat="1" x14ac:dyDescent="0.25">
      <c r="A586" s="63"/>
      <c r="W586" s="65"/>
      <c r="Y586" s="63"/>
    </row>
    <row r="587" spans="1:25" s="64" customFormat="1" x14ac:dyDescent="0.25">
      <c r="A587" s="63"/>
      <c r="W587" s="65"/>
      <c r="Y587" s="63"/>
    </row>
    <row r="588" spans="1:25" s="64" customFormat="1" x14ac:dyDescent="0.25">
      <c r="A588" s="63"/>
      <c r="W588" s="65"/>
      <c r="Y588" s="63"/>
    </row>
    <row r="589" spans="1:25" s="64" customFormat="1" x14ac:dyDescent="0.25">
      <c r="A589" s="63"/>
      <c r="W589" s="65"/>
      <c r="Y589" s="63"/>
    </row>
    <row r="590" spans="1:25" s="64" customFormat="1" x14ac:dyDescent="0.25">
      <c r="A590" s="63"/>
      <c r="W590" s="65"/>
      <c r="Y590" s="63"/>
    </row>
    <row r="591" spans="1:25" s="64" customFormat="1" x14ac:dyDescent="0.25">
      <c r="A591" s="63"/>
      <c r="W591" s="65"/>
      <c r="Y591" s="63"/>
    </row>
    <row r="592" spans="1:25" s="64" customFormat="1" x14ac:dyDescent="0.25">
      <c r="A592" s="63"/>
      <c r="W592" s="65"/>
      <c r="Y592" s="63"/>
    </row>
    <row r="593" spans="1:25" s="64" customFormat="1" x14ac:dyDescent="0.25">
      <c r="A593" s="63"/>
      <c r="W593" s="65"/>
      <c r="Y593" s="63"/>
    </row>
    <row r="594" spans="1:25" s="64" customFormat="1" x14ac:dyDescent="0.25">
      <c r="A594" s="63"/>
      <c r="W594" s="65"/>
      <c r="Y594" s="63"/>
    </row>
    <row r="595" spans="1:25" s="64" customFormat="1" x14ac:dyDescent="0.25">
      <c r="A595" s="63"/>
      <c r="W595" s="65"/>
      <c r="Y595" s="63"/>
    </row>
    <row r="596" spans="1:25" s="64" customFormat="1" x14ac:dyDescent="0.25">
      <c r="A596" s="63"/>
      <c r="W596" s="65"/>
      <c r="Y596" s="63"/>
    </row>
    <row r="597" spans="1:25" s="64" customFormat="1" x14ac:dyDescent="0.25">
      <c r="A597" s="63"/>
      <c r="W597" s="65"/>
      <c r="Y597" s="63"/>
    </row>
    <row r="598" spans="1:25" s="64" customFormat="1" x14ac:dyDescent="0.25">
      <c r="A598" s="63"/>
      <c r="W598" s="65"/>
      <c r="Y598" s="63"/>
    </row>
    <row r="599" spans="1:25" s="64" customFormat="1" x14ac:dyDescent="0.25">
      <c r="A599" s="63"/>
      <c r="W599" s="65"/>
      <c r="Y599" s="63"/>
    </row>
    <row r="600" spans="1:25" s="64" customFormat="1" x14ac:dyDescent="0.25">
      <c r="A600" s="63"/>
      <c r="W600" s="65"/>
      <c r="Y600" s="63"/>
    </row>
    <row r="601" spans="1:25" s="64" customFormat="1" x14ac:dyDescent="0.25">
      <c r="A601" s="63"/>
      <c r="W601" s="65"/>
      <c r="Y601" s="63"/>
    </row>
    <row r="602" spans="1:25" s="64" customFormat="1" x14ac:dyDescent="0.25">
      <c r="A602" s="63"/>
      <c r="W602" s="65"/>
      <c r="Y602" s="63"/>
    </row>
    <row r="603" spans="1:25" s="64" customFormat="1" x14ac:dyDescent="0.25">
      <c r="A603" s="63"/>
      <c r="W603" s="65"/>
      <c r="Y603" s="63"/>
    </row>
    <row r="604" spans="1:25" s="64" customFormat="1" x14ac:dyDescent="0.25">
      <c r="A604" s="63"/>
      <c r="W604" s="65"/>
      <c r="Y604" s="63"/>
    </row>
    <row r="605" spans="1:25" s="64" customFormat="1" x14ac:dyDescent="0.25">
      <c r="A605" s="63"/>
      <c r="W605" s="65"/>
      <c r="Y605" s="63"/>
    </row>
    <row r="606" spans="1:25" s="64" customFormat="1" x14ac:dyDescent="0.25">
      <c r="A606" s="63"/>
      <c r="W606" s="65"/>
      <c r="Y606" s="63"/>
    </row>
    <row r="607" spans="1:25" s="64" customFormat="1" x14ac:dyDescent="0.25">
      <c r="A607" s="63"/>
      <c r="W607" s="65"/>
      <c r="Y607" s="63"/>
    </row>
    <row r="608" spans="1:25" s="64" customFormat="1" x14ac:dyDescent="0.25">
      <c r="A608" s="63"/>
      <c r="W608" s="65"/>
      <c r="Y608" s="63"/>
    </row>
    <row r="609" spans="1:25" s="64" customFormat="1" x14ac:dyDescent="0.25">
      <c r="A609" s="63"/>
      <c r="W609" s="65"/>
      <c r="Y609" s="63"/>
    </row>
    <row r="610" spans="1:25" s="64" customFormat="1" x14ac:dyDescent="0.25">
      <c r="A610" s="63"/>
      <c r="W610" s="65"/>
      <c r="Y610" s="63"/>
    </row>
    <row r="611" spans="1:25" s="64" customFormat="1" x14ac:dyDescent="0.25">
      <c r="A611" s="63"/>
      <c r="W611" s="65"/>
      <c r="Y611" s="63"/>
    </row>
    <row r="612" spans="1:25" s="64" customFormat="1" x14ac:dyDescent="0.25">
      <c r="A612" s="63"/>
      <c r="W612" s="65"/>
      <c r="Y612" s="63"/>
    </row>
    <row r="613" spans="1:25" s="64" customFormat="1" x14ac:dyDescent="0.25">
      <c r="A613" s="63"/>
      <c r="W613" s="65"/>
      <c r="Y613" s="63"/>
    </row>
    <row r="614" spans="1:25" s="64" customFormat="1" x14ac:dyDescent="0.25">
      <c r="A614" s="63"/>
      <c r="W614" s="65"/>
      <c r="Y614" s="63"/>
    </row>
    <row r="615" spans="1:25" s="64" customFormat="1" x14ac:dyDescent="0.25">
      <c r="A615" s="63"/>
      <c r="W615" s="65"/>
      <c r="Y615" s="63"/>
    </row>
    <row r="616" spans="1:25" s="64" customFormat="1" x14ac:dyDescent="0.25">
      <c r="A616" s="63"/>
      <c r="W616" s="65"/>
      <c r="Y616" s="63"/>
    </row>
    <row r="617" spans="1:25" s="64" customFormat="1" x14ac:dyDescent="0.25">
      <c r="A617" s="63"/>
      <c r="W617" s="65"/>
      <c r="Y617" s="63"/>
    </row>
    <row r="618" spans="1:25" s="64" customFormat="1" x14ac:dyDescent="0.25">
      <c r="A618" s="63"/>
      <c r="W618" s="65"/>
      <c r="Y618" s="63"/>
    </row>
    <row r="619" spans="1:25" s="64" customFormat="1" x14ac:dyDescent="0.25">
      <c r="A619" s="63"/>
      <c r="W619" s="65"/>
      <c r="Y619" s="63"/>
    </row>
    <row r="620" spans="1:25" s="64" customFormat="1" x14ac:dyDescent="0.25">
      <c r="A620" s="63"/>
      <c r="W620" s="65"/>
      <c r="Y620" s="63"/>
    </row>
    <row r="621" spans="1:25" s="64" customFormat="1" x14ac:dyDescent="0.25">
      <c r="A621" s="63"/>
      <c r="W621" s="65"/>
      <c r="Y621" s="63"/>
    </row>
    <row r="622" spans="1:25" s="64" customFormat="1" x14ac:dyDescent="0.25">
      <c r="A622" s="63"/>
      <c r="W622" s="65"/>
      <c r="Y622" s="63"/>
    </row>
    <row r="623" spans="1:25" s="64" customFormat="1" x14ac:dyDescent="0.25">
      <c r="A623" s="63"/>
      <c r="W623" s="65"/>
      <c r="Y623" s="63"/>
    </row>
    <row r="624" spans="1:25" s="64" customFormat="1" x14ac:dyDescent="0.25">
      <c r="A624" s="63"/>
      <c r="W624" s="65"/>
      <c r="Y624" s="63"/>
    </row>
    <row r="625" spans="1:25" s="64" customFormat="1" x14ac:dyDescent="0.25">
      <c r="A625" s="63"/>
      <c r="W625" s="65"/>
      <c r="Y625" s="63"/>
    </row>
    <row r="626" spans="1:25" s="64" customFormat="1" x14ac:dyDescent="0.25">
      <c r="A626" s="63"/>
      <c r="W626" s="65"/>
      <c r="Y626" s="63"/>
    </row>
    <row r="627" spans="1:25" s="64" customFormat="1" x14ac:dyDescent="0.25">
      <c r="A627" s="63"/>
      <c r="W627" s="65"/>
      <c r="Y627" s="63"/>
    </row>
    <row r="628" spans="1:25" s="64" customFormat="1" x14ac:dyDescent="0.25">
      <c r="A628" s="63"/>
      <c r="W628" s="65"/>
      <c r="Y628" s="63"/>
    </row>
    <row r="629" spans="1:25" s="64" customFormat="1" x14ac:dyDescent="0.25">
      <c r="A629" s="63"/>
      <c r="W629" s="65"/>
      <c r="Y629" s="63"/>
    </row>
    <row r="630" spans="1:25" s="64" customFormat="1" x14ac:dyDescent="0.25">
      <c r="A630" s="63"/>
      <c r="W630" s="65"/>
      <c r="Y630" s="63"/>
    </row>
    <row r="631" spans="1:25" s="64" customFormat="1" x14ac:dyDescent="0.25">
      <c r="A631" s="63"/>
      <c r="W631" s="65"/>
      <c r="Y631" s="63"/>
    </row>
    <row r="632" spans="1:25" s="64" customFormat="1" x14ac:dyDescent="0.25">
      <c r="A632" s="63"/>
      <c r="W632" s="65"/>
      <c r="Y632" s="63"/>
    </row>
    <row r="633" spans="1:25" s="64" customFormat="1" x14ac:dyDescent="0.25">
      <c r="A633" s="63"/>
      <c r="Y633" s="63"/>
    </row>
    <row r="634" spans="1:25" s="64" customFormat="1" x14ac:dyDescent="0.25">
      <c r="A634" s="63"/>
      <c r="Y634" s="63"/>
    </row>
    <row r="635" spans="1:25" s="64" customFormat="1" x14ac:dyDescent="0.25">
      <c r="A635" s="63"/>
      <c r="Y635" s="63"/>
    </row>
    <row r="636" spans="1:25" s="64" customFormat="1" x14ac:dyDescent="0.25">
      <c r="A636" s="63"/>
      <c r="Y636" s="63"/>
    </row>
    <row r="637" spans="1:25" s="64" customFormat="1" x14ac:dyDescent="0.25">
      <c r="A637" s="63"/>
      <c r="Y637" s="63"/>
    </row>
    <row r="638" spans="1:25" s="64" customFormat="1" x14ac:dyDescent="0.25">
      <c r="A638" s="63"/>
      <c r="Y638" s="63"/>
    </row>
    <row r="639" spans="1:25" s="64" customFormat="1" x14ac:dyDescent="0.25">
      <c r="A639" s="63"/>
      <c r="Y639" s="63"/>
    </row>
    <row r="640" spans="1:25" s="64" customFormat="1" x14ac:dyDescent="0.25">
      <c r="A640" s="63"/>
      <c r="Y640" s="63"/>
    </row>
    <row r="641" spans="1:25" s="64" customFormat="1" x14ac:dyDescent="0.25">
      <c r="A641" s="63"/>
      <c r="Y641" s="63"/>
    </row>
    <row r="642" spans="1:25" s="64" customFormat="1" x14ac:dyDescent="0.25">
      <c r="A642" s="63"/>
      <c r="Y642" s="63"/>
    </row>
    <row r="643" spans="1:25" s="64" customFormat="1" x14ac:dyDescent="0.25">
      <c r="A643" s="63"/>
      <c r="Y643" s="63"/>
    </row>
    <row r="644" spans="1:25" s="64" customFormat="1" x14ac:dyDescent="0.25">
      <c r="A644" s="63"/>
      <c r="Y644" s="63"/>
    </row>
    <row r="645" spans="1:25" s="64" customFormat="1" x14ac:dyDescent="0.25">
      <c r="A645" s="63"/>
      <c r="Y645" s="63"/>
    </row>
    <row r="646" spans="1:25" s="64" customFormat="1" x14ac:dyDescent="0.25">
      <c r="A646" s="63"/>
      <c r="Y646" s="63"/>
    </row>
    <row r="647" spans="1:25" s="64" customFormat="1" x14ac:dyDescent="0.25">
      <c r="A647" s="63"/>
      <c r="Y647" s="63"/>
    </row>
    <row r="648" spans="1:25" s="64" customFormat="1" x14ac:dyDescent="0.25">
      <c r="A648" s="63"/>
      <c r="Y648" s="63"/>
    </row>
    <row r="649" spans="1:25" s="64" customFormat="1" x14ac:dyDescent="0.25">
      <c r="A649" s="63"/>
      <c r="Y649" s="63"/>
    </row>
    <row r="650" spans="1:25" s="64" customFormat="1" x14ac:dyDescent="0.25">
      <c r="A650" s="63"/>
      <c r="Y650" s="63"/>
    </row>
    <row r="651" spans="1:25" s="64" customFormat="1" x14ac:dyDescent="0.25">
      <c r="A651" s="63"/>
      <c r="Y651" s="63"/>
    </row>
    <row r="652" spans="1:25" s="64" customFormat="1" x14ac:dyDescent="0.25">
      <c r="A652" s="63"/>
      <c r="Y652" s="63"/>
    </row>
    <row r="653" spans="1:25" s="64" customFormat="1" x14ac:dyDescent="0.25">
      <c r="A653" s="63"/>
      <c r="Y653" s="63"/>
    </row>
    <row r="654" spans="1:25" s="64" customFormat="1" x14ac:dyDescent="0.25">
      <c r="A654" s="63"/>
      <c r="Y654" s="63"/>
    </row>
    <row r="655" spans="1:25" s="64" customFormat="1" x14ac:dyDescent="0.25">
      <c r="A655" s="63"/>
      <c r="Y655" s="63"/>
    </row>
  </sheetData>
  <conditionalFormatting sqref="X534:XFD647 V22:V533 A534:V647 A22:T533 X22:X533 AW22:XFD533">
    <cfRule type="expression" dxfId="304" priority="25">
      <formula>MOD(ROW(),2)=0</formula>
    </cfRule>
  </conditionalFormatting>
  <conditionalFormatting sqref="W22:W647">
    <cfRule type="expression" dxfId="303" priority="24">
      <formula>MOD(ROW(),2)=0</formula>
    </cfRule>
  </conditionalFormatting>
  <conditionalFormatting sqref="W1:W4 W6:W10 W13:W20 W22:W1048576">
    <cfRule type="containsText" dxfId="302" priority="21" operator="containsText" text="SameTrial">
      <formula>NOT(ISERROR(SEARCH("SameTrial",W1)))</formula>
    </cfRule>
    <cfRule type="containsText" dxfId="301" priority="22" operator="containsText" text="Pant">
      <formula>NOT(ISERROR(SEARCH("Pant",W1)))</formula>
    </cfRule>
    <cfRule type="containsText" dxfId="300" priority="23" operator="containsText" text="Exclude">
      <formula>NOT(ISERROR(SEARCH("Exclude",W1)))</formula>
    </cfRule>
  </conditionalFormatting>
  <conditionalFormatting sqref="A6:C6 H6">
    <cfRule type="containsErrors" dxfId="299" priority="19">
      <formula>ISERROR(A6)</formula>
    </cfRule>
  </conditionalFormatting>
  <conditionalFormatting sqref="U22:U533">
    <cfRule type="expression" dxfId="298" priority="18">
      <formula>MOD(ROW(),2)=0</formula>
    </cfRule>
  </conditionalFormatting>
  <conditionalFormatting sqref="U22:U533">
    <cfRule type="containsText" dxfId="297" priority="15" operator="containsText" text="SameTrial">
      <formula>NOT(ISERROR(SEARCH("SameTrial",U22)))</formula>
    </cfRule>
    <cfRule type="containsText" dxfId="296" priority="16" operator="containsText" text="Pant">
      <formula>NOT(ISERROR(SEARCH("Pant",U22)))</formula>
    </cfRule>
    <cfRule type="containsText" dxfId="295" priority="17" operator="containsText" text="Exclude">
      <formula>NOT(ISERROR(SEARCH("Exclude",U22)))</formula>
    </cfRule>
  </conditionalFormatting>
  <conditionalFormatting sqref="W21">
    <cfRule type="containsText" dxfId="294" priority="14" operator="containsText" text="Exclude">
      <formula>NOT(ISERROR(SEARCH("Exclude",W21)))</formula>
    </cfRule>
  </conditionalFormatting>
  <conditionalFormatting sqref="U1:U1048576">
    <cfRule type="containsText" dxfId="293" priority="13" operator="containsText" text="Exclude">
      <formula>NOT(ISERROR(SEARCH("Exclude",U1)))</formula>
    </cfRule>
  </conditionalFormatting>
  <conditionalFormatting sqref="AT22:AT533 Y22:AR533 AV22:AV533">
    <cfRule type="expression" dxfId="292" priority="12">
      <formula>MOD(ROW(),2)=0</formula>
    </cfRule>
  </conditionalFormatting>
  <conditionalFormatting sqref="AU22:AU533">
    <cfRule type="expression" dxfId="291" priority="11">
      <formula>MOD(ROW(),2)=0</formula>
    </cfRule>
  </conditionalFormatting>
  <conditionalFormatting sqref="AU6:AU10 AU13:AU20 AU22:AU533">
    <cfRule type="containsText" dxfId="290" priority="8" operator="containsText" text="SameTrial">
      <formula>NOT(ISERROR(SEARCH("SameTrial",AU6)))</formula>
    </cfRule>
    <cfRule type="containsText" dxfId="289" priority="9" operator="containsText" text="Pant">
      <formula>NOT(ISERROR(SEARCH("Pant",AU6)))</formula>
    </cfRule>
    <cfRule type="containsText" dxfId="288" priority="10" operator="containsText" text="Exclude">
      <formula>NOT(ISERROR(SEARCH("Exclude",AU6)))</formula>
    </cfRule>
  </conditionalFormatting>
  <conditionalFormatting sqref="Y6:AA6 AF6">
    <cfRule type="containsErrors" dxfId="287" priority="7">
      <formula>ISERROR(Y6)</formula>
    </cfRule>
  </conditionalFormatting>
  <conditionalFormatting sqref="AS22:AS533">
    <cfRule type="expression" dxfId="286" priority="6">
      <formula>MOD(ROW(),2)=0</formula>
    </cfRule>
  </conditionalFormatting>
  <conditionalFormatting sqref="AS22:AS533">
    <cfRule type="containsText" dxfId="285" priority="3" operator="containsText" text="SameTrial">
      <formula>NOT(ISERROR(SEARCH("SameTrial",AS22)))</formula>
    </cfRule>
    <cfRule type="containsText" dxfId="284" priority="4" operator="containsText" text="Pant">
      <formula>NOT(ISERROR(SEARCH("Pant",AS22)))</formula>
    </cfRule>
    <cfRule type="containsText" dxfId="283" priority="5" operator="containsText" text="Exclude">
      <formula>NOT(ISERROR(SEARCH("Exclude",AS22)))</formula>
    </cfRule>
  </conditionalFormatting>
  <conditionalFormatting sqref="AU21">
    <cfRule type="containsText" dxfId="282" priority="2" operator="containsText" text="Exclude">
      <formula>NOT(ISERROR(SEARCH("Exclude",AU21)))</formula>
    </cfRule>
  </conditionalFormatting>
  <conditionalFormatting sqref="AS5:AS533">
    <cfRule type="containsText" dxfId="281" priority="1" operator="containsText" text="Exclude">
      <formula>NOT(ISERROR(SEARCH("Exclude",AS5)))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extToColumns">
                <anchor moveWithCells="1" sizeWithCells="1">
                  <from>
                    <xdr:col>7</xdr:col>
                    <xdr:colOff>847725</xdr:colOff>
                    <xdr:row>0</xdr:row>
                    <xdr:rowOff>19050</xdr:rowOff>
                  </from>
                  <to>
                    <xdr:col>12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U655"/>
  <sheetViews>
    <sheetView tabSelected="1" zoomScale="90" zoomScaleNormal="90" workbookViewId="0">
      <pane ySplit="16" topLeftCell="A17" activePane="bottomLeft" state="frozen"/>
      <selection pane="bottomLeft" activeCell="N16" sqref="N16"/>
    </sheetView>
  </sheetViews>
  <sheetFormatPr defaultColWidth="9.140625" defaultRowHeight="15" x14ac:dyDescent="0.25"/>
  <cols>
    <col min="1" max="1" width="19.85546875" style="65" customWidth="1"/>
    <col min="2" max="2" width="15.85546875" style="65" customWidth="1"/>
    <col min="3" max="3" width="16.7109375" style="65" customWidth="1"/>
    <col min="4" max="4" width="16.85546875" style="65" bestFit="1" customWidth="1"/>
    <col min="5" max="5" width="17" style="65" bestFit="1" customWidth="1"/>
    <col min="6" max="6" width="16.140625" style="65" bestFit="1" customWidth="1"/>
    <col min="7" max="8" width="13" style="65" customWidth="1"/>
    <col min="9" max="9" width="15.28515625" style="65" bestFit="1" customWidth="1"/>
    <col min="10" max="10" width="7.5703125" style="65" customWidth="1"/>
    <col min="11" max="11" width="10.85546875" style="65" customWidth="1"/>
    <col min="12" max="12" width="7" style="65" customWidth="1"/>
    <col min="13" max="13" width="12.7109375" style="65" bestFit="1" customWidth="1"/>
    <col min="14" max="14" width="4" style="65" bestFit="1" customWidth="1"/>
    <col min="15" max="15" width="15.42578125" style="65" bestFit="1" customWidth="1"/>
    <col min="16" max="16" width="2.28515625" style="65" bestFit="1" customWidth="1"/>
    <col min="17" max="17" width="13.5703125" style="65" bestFit="1" customWidth="1"/>
    <col min="18" max="18" width="13.7109375" style="65" bestFit="1" customWidth="1"/>
    <col min="19" max="20" width="12" style="65" customWidth="1"/>
    <col min="21" max="21" width="9" style="65" customWidth="1"/>
    <col min="22" max="22" width="9.140625" style="65"/>
    <col min="23" max="23" width="7.140625" style="65" customWidth="1"/>
    <col min="24" max="24" width="9.140625" style="65"/>
    <col min="25" max="25" width="19.85546875" style="63" customWidth="1"/>
    <col min="26" max="26" width="15.5703125" style="65" customWidth="1"/>
    <col min="27" max="27" width="21.85546875" style="65" customWidth="1"/>
    <col min="28" max="28" width="14.28515625" style="65" customWidth="1"/>
    <col min="29" max="29" width="17.7109375" style="65" customWidth="1"/>
    <col min="30" max="30" width="18" style="65" customWidth="1"/>
    <col min="31" max="31" width="15.28515625" style="65" customWidth="1"/>
    <col min="32" max="32" width="17.28515625" style="65" customWidth="1"/>
    <col min="33" max="33" width="13.42578125" style="65" customWidth="1"/>
    <col min="34" max="16384" width="9.140625" style="65"/>
  </cols>
  <sheetData>
    <row r="1" spans="1:47" customFormat="1" ht="22.5" x14ac:dyDescent="0.3">
      <c r="C1" s="1" t="s">
        <v>8</v>
      </c>
      <c r="I1" s="4"/>
      <c r="J1" s="4"/>
      <c r="K1" s="4"/>
      <c r="L1" s="4"/>
      <c r="M1" s="33"/>
      <c r="N1" s="33"/>
      <c r="O1" s="33"/>
      <c r="P1" s="33"/>
      <c r="Q1" s="33"/>
      <c r="R1" s="33"/>
      <c r="Y1" s="24"/>
    </row>
    <row r="2" spans="1:47" customFormat="1" x14ac:dyDescent="0.25">
      <c r="D2" s="2"/>
      <c r="I2" s="4"/>
      <c r="J2" s="4"/>
      <c r="K2" s="4"/>
      <c r="L2" s="4"/>
      <c r="M2" s="33"/>
      <c r="N2" s="33"/>
      <c r="O2" s="33"/>
      <c r="P2" s="33"/>
      <c r="Q2" s="33"/>
      <c r="R2" s="33"/>
      <c r="Y2" s="24"/>
    </row>
    <row r="3" spans="1:47" customFormat="1" x14ac:dyDescent="0.25">
      <c r="I3" s="4"/>
      <c r="J3" s="4"/>
      <c r="K3" s="4"/>
      <c r="L3" s="4"/>
      <c r="M3" s="33"/>
      <c r="N3" s="33"/>
      <c r="O3" s="33"/>
      <c r="P3" s="33"/>
      <c r="Q3" s="33"/>
      <c r="R3" s="33"/>
      <c r="Y3" s="24"/>
      <c r="AG3" s="33"/>
      <c r="AH3" s="33"/>
      <c r="AI3" s="33"/>
      <c r="AJ3" s="33"/>
      <c r="AK3" s="33"/>
    </row>
    <row r="4" spans="1:47" s="20" customFormat="1" x14ac:dyDescent="0.25">
      <c r="I4" s="22"/>
      <c r="J4" s="22"/>
      <c r="K4" s="22"/>
      <c r="L4" s="22"/>
      <c r="M4" s="33"/>
      <c r="N4" s="33"/>
      <c r="O4" s="33"/>
      <c r="P4" s="33"/>
      <c r="Q4" s="33"/>
      <c r="R4" s="33"/>
      <c r="Y4" s="24"/>
      <c r="AG4" s="33"/>
      <c r="AH4" s="33"/>
      <c r="AI4" s="33"/>
      <c r="AJ4" s="33"/>
      <c r="AK4" s="33"/>
    </row>
    <row r="5" spans="1:47" customFormat="1" x14ac:dyDescent="0.25">
      <c r="A5" s="2" t="s">
        <v>0</v>
      </c>
      <c r="B5" s="2" t="s">
        <v>1</v>
      </c>
      <c r="C5" s="2" t="s">
        <v>2</v>
      </c>
      <c r="D5" s="2" t="s">
        <v>3</v>
      </c>
      <c r="E5" s="2" t="s">
        <v>4</v>
      </c>
      <c r="F5" s="2" t="s">
        <v>5</v>
      </c>
      <c r="G5" s="2" t="s">
        <v>6</v>
      </c>
      <c r="H5" s="2" t="s">
        <v>13</v>
      </c>
      <c r="I5" s="4"/>
      <c r="J5" s="4"/>
      <c r="K5" s="4"/>
      <c r="L5" s="4"/>
      <c r="M5" s="33"/>
      <c r="N5" s="33"/>
      <c r="O5" s="33"/>
      <c r="P5" s="33"/>
      <c r="Q5" s="33"/>
      <c r="R5" s="33"/>
      <c r="S5" s="2"/>
      <c r="T5" s="2"/>
      <c r="Y5" s="37" t="s">
        <v>0</v>
      </c>
      <c r="Z5" s="29" t="s">
        <v>1</v>
      </c>
      <c r="AA5" s="29" t="s">
        <v>2</v>
      </c>
      <c r="AB5" s="29" t="s">
        <v>3</v>
      </c>
      <c r="AC5" s="29" t="s">
        <v>4</v>
      </c>
      <c r="AD5" s="29" t="s">
        <v>5</v>
      </c>
      <c r="AE5" s="29" t="s">
        <v>6</v>
      </c>
      <c r="AF5" s="29" t="s">
        <v>13</v>
      </c>
      <c r="AG5" s="40" t="s">
        <v>70</v>
      </c>
      <c r="AH5" s="33"/>
      <c r="AI5" s="33"/>
      <c r="AJ5" s="33"/>
      <c r="AK5" s="33"/>
      <c r="AL5" s="33"/>
      <c r="AM5" s="33"/>
      <c r="AN5" s="33"/>
      <c r="AO5" s="33"/>
      <c r="AP5" s="33"/>
      <c r="AQ5" s="29"/>
      <c r="AR5" s="29"/>
      <c r="AS5" s="28"/>
      <c r="AT5" s="28"/>
      <c r="AU5" s="28"/>
    </row>
    <row r="6" spans="1:47" customFormat="1" x14ac:dyDescent="0.25">
      <c r="A6" s="17">
        <f>AVERAGE(W22:W612)</f>
        <v>2.7220153563341234</v>
      </c>
      <c r="B6" s="17">
        <f>STDEV(W22:W612)</f>
        <v>0.14405029504665506</v>
      </c>
      <c r="C6" s="17">
        <f>ASIN(SQRT(D6/F6))</f>
        <v>1.0098412176743401</v>
      </c>
      <c r="D6">
        <f>COUNTIF(R22:R537,"TruePositive")+COUNTIF(R22:R537,"TrueNegative")</f>
        <v>38</v>
      </c>
      <c r="E6">
        <f>COUNTIF(R22:R537,"FalsePositive")+COUNTIF(R22:R537,"FalseNegative")+COUNTIF(R22:R537,"Anticipatory")+COUNTIF(R22:R537,"Post")+COUNTIF(R22:R537,"MaxOut")</f>
        <v>15</v>
      </c>
      <c r="F6">
        <f>SUM(D6+E6)</f>
        <v>53</v>
      </c>
      <c r="G6">
        <f>SUM(D6+(COUNTIF(R22:R537,"MaxOut")+COUNTIF(R22:R537,"FalsePositive")+COUNTIF(R22:R537,"FalseNegative")))</f>
        <v>43</v>
      </c>
      <c r="H6">
        <f>(Norms!M38)</f>
        <v>74.943047683129109</v>
      </c>
      <c r="I6" s="4"/>
      <c r="J6" s="4"/>
      <c r="K6" s="4"/>
      <c r="L6" s="4"/>
      <c r="M6" s="33"/>
      <c r="N6" s="33"/>
      <c r="O6" s="33"/>
      <c r="P6" s="33"/>
      <c r="Q6" s="33"/>
      <c r="R6" s="33"/>
      <c r="Y6" s="38" t="e">
        <f>AVERAGE(AU22:AU612)</f>
        <v>#DIV/0!</v>
      </c>
      <c r="Z6" s="17" t="e">
        <f>STDEV(AU22:AU612)</f>
        <v>#DIV/0!</v>
      </c>
      <c r="AA6" s="17" t="e">
        <f>ASIN(SQRT(AB6/AD6))</f>
        <v>#DIV/0!</v>
      </c>
      <c r="AB6" s="28">
        <f>COUNTIF(AP22:AP537,"TruePositive")+COUNTIF(AP22:AP537,"TrueNegative")</f>
        <v>0</v>
      </c>
      <c r="AC6" s="28">
        <f>COUNTIF(AP22:AP537,"FalsePositive")+COUNTIF(AP22:AP537,"FalseNegative")+COUNTIF(AP22:AP537,"Anticipatory")+COUNTIF(AP22:AP537,"Post")+COUNTIF(AP22:AP537,"MaxOut")</f>
        <v>0</v>
      </c>
      <c r="AD6" s="28">
        <f>SUM(AB6+AC6)</f>
        <v>0</v>
      </c>
      <c r="AE6" s="28">
        <f>SUM(AB6+(COUNTIF(AP22:AP537,"MaxOut")+COUNTIF(AP22:AP537,"FalsePositive")+COUNTIF(AP22:AP537,"FalseNegative")))</f>
        <v>0</v>
      </c>
      <c r="AF6" s="28" t="e">
        <f>(Norms!S38)</f>
        <v>#VALUE!</v>
      </c>
      <c r="AG6" s="33" t="e">
        <f>SUM(('OCL2'!AF12+AF12)/2)/VLOOKUP(Detection!E2,Norms!A71:D77,4)</f>
        <v>#VALUE!</v>
      </c>
      <c r="AH6" s="33"/>
      <c r="AI6" s="33"/>
      <c r="AJ6" s="33"/>
      <c r="AK6" s="33"/>
      <c r="AL6" s="33"/>
      <c r="AM6" s="33"/>
      <c r="AN6" s="33"/>
      <c r="AO6" s="33"/>
      <c r="AP6" s="33"/>
      <c r="AQ6" s="28"/>
      <c r="AR6" s="28"/>
      <c r="AS6" s="28"/>
      <c r="AT6" s="28"/>
      <c r="AU6" s="28"/>
    </row>
    <row r="7" spans="1:47" s="20" customFormat="1" x14ac:dyDescent="0.25">
      <c r="I7" s="22"/>
      <c r="J7" s="22"/>
      <c r="K7" s="22"/>
      <c r="L7" s="22"/>
      <c r="M7" s="33"/>
      <c r="N7" s="33"/>
      <c r="O7" s="33"/>
      <c r="P7" s="33"/>
      <c r="Q7" s="33"/>
      <c r="R7" s="33"/>
      <c r="Y7" s="24"/>
      <c r="Z7" s="28"/>
      <c r="AA7" s="28"/>
      <c r="AB7" s="28"/>
      <c r="AC7" s="28"/>
      <c r="AD7" s="28"/>
      <c r="AE7" s="28"/>
      <c r="AF7" s="28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28"/>
      <c r="AR7" s="28"/>
      <c r="AS7" s="28"/>
      <c r="AT7" s="28"/>
      <c r="AU7" s="28"/>
    </row>
    <row r="8" spans="1:47" customFormat="1" x14ac:dyDescent="0.25">
      <c r="A8" s="48" t="s">
        <v>63</v>
      </c>
      <c r="B8" s="29" t="s">
        <v>47</v>
      </c>
      <c r="C8" s="29" t="s">
        <v>64</v>
      </c>
      <c r="D8" s="29" t="s">
        <v>48</v>
      </c>
      <c r="E8" s="29" t="s">
        <v>49</v>
      </c>
      <c r="F8" s="29" t="s">
        <v>50</v>
      </c>
      <c r="G8" s="29" t="s">
        <v>51</v>
      </c>
      <c r="H8" s="29" t="s">
        <v>58</v>
      </c>
      <c r="I8" s="4"/>
      <c r="J8" s="4"/>
      <c r="K8" s="4"/>
      <c r="L8" s="4"/>
      <c r="M8" s="33"/>
      <c r="N8" s="33"/>
      <c r="O8" s="33"/>
      <c r="P8" s="33"/>
      <c r="Q8" s="33"/>
      <c r="R8" s="33"/>
      <c r="Y8" s="49" t="s">
        <v>63</v>
      </c>
      <c r="Z8" s="29" t="s">
        <v>47</v>
      </c>
      <c r="AA8" s="29" t="s">
        <v>64</v>
      </c>
      <c r="AB8" s="29" t="s">
        <v>48</v>
      </c>
      <c r="AC8" s="29" t="s">
        <v>49</v>
      </c>
      <c r="AD8" s="29" t="s">
        <v>50</v>
      </c>
      <c r="AE8" s="29" t="s">
        <v>51</v>
      </c>
      <c r="AF8" s="29" t="s">
        <v>58</v>
      </c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28"/>
      <c r="AR8" s="28"/>
      <c r="AS8" s="28"/>
      <c r="AT8" s="28"/>
      <c r="AU8" s="28"/>
    </row>
    <row r="9" spans="1:47" s="28" customFormat="1" x14ac:dyDescent="0.25">
      <c r="A9" s="27">
        <f>(F12/31)*100</f>
        <v>100</v>
      </c>
      <c r="B9" s="28" t="str">
        <f>IF(A9&gt;=100,"Yes","No")</f>
        <v>Yes</v>
      </c>
      <c r="C9" s="28">
        <f>(D6/F6)*100</f>
        <v>71.698113207547166</v>
      </c>
      <c r="D9" s="28" t="str">
        <f>IF(B9="No","",IF(C9&gt;70,"Yes","No"))</f>
        <v>Yes</v>
      </c>
      <c r="E9" s="28">
        <f>AVERAGE(U22:U612)</f>
        <v>559.58064516129036</v>
      </c>
      <c r="F9" s="28">
        <f>STDEV(U22:U612)</f>
        <v>219.40522239204617</v>
      </c>
      <c r="G9" s="28">
        <f>D6/F6</f>
        <v>0.71698113207547165</v>
      </c>
      <c r="H9" s="28">
        <f>COUNTIF(R22:R537,"FalsePositive")+COUNTIF(R22:R537,"FalseNegative")</f>
        <v>5</v>
      </c>
      <c r="I9" s="30"/>
      <c r="J9" s="30"/>
      <c r="K9" s="30"/>
      <c r="L9" s="30"/>
      <c r="M9" s="33"/>
      <c r="N9" s="33"/>
      <c r="O9" s="33"/>
      <c r="P9" s="33"/>
      <c r="Q9" s="33"/>
      <c r="R9" s="33"/>
      <c r="Y9" s="39">
        <f>(AD12/31)*100</f>
        <v>0</v>
      </c>
      <c r="Z9" s="28" t="str">
        <f>IF(Y9&gt;=100,"Yes","No")</f>
        <v>No</v>
      </c>
      <c r="AA9" s="28" t="e">
        <f>(AB6/AD6)*100</f>
        <v>#DIV/0!</v>
      </c>
      <c r="AB9" s="28" t="e">
        <f>IF(AA9&gt;70,"Yes","No")</f>
        <v>#DIV/0!</v>
      </c>
      <c r="AC9" s="28" t="e">
        <f>AVERAGE(AS22:AS612)</f>
        <v>#DIV/0!</v>
      </c>
      <c r="AD9" s="28" t="e">
        <f>STDEV(AS22:AS612)</f>
        <v>#DIV/0!</v>
      </c>
      <c r="AE9" s="28" t="e">
        <f>AB6/AD6</f>
        <v>#DIV/0!</v>
      </c>
      <c r="AF9" s="28">
        <f>COUNTIF(AP22:AP537,"FalsePositive")+COUNTIF(AP22:AP537,"FalseNegative")</f>
        <v>0</v>
      </c>
      <c r="AG9" s="33"/>
      <c r="AH9" s="33"/>
      <c r="AI9" s="33"/>
      <c r="AJ9" s="33"/>
      <c r="AK9" s="33"/>
      <c r="AL9" s="33"/>
      <c r="AM9" s="33"/>
      <c r="AN9" s="33"/>
      <c r="AO9" s="33"/>
      <c r="AP9" s="33"/>
    </row>
    <row r="10" spans="1:47" s="28" customFormat="1" x14ac:dyDescent="0.25">
      <c r="A10" s="29"/>
      <c r="B10" s="29"/>
      <c r="C10" s="29"/>
      <c r="D10" s="29"/>
      <c r="E10" s="29"/>
      <c r="F10" s="29"/>
      <c r="G10" s="29"/>
      <c r="H10" s="29"/>
      <c r="I10" s="30"/>
      <c r="J10" s="30"/>
      <c r="K10" s="30"/>
      <c r="L10" s="30"/>
      <c r="M10" s="33"/>
      <c r="N10" s="33"/>
      <c r="O10" s="33"/>
      <c r="P10" s="33"/>
      <c r="Q10" s="33"/>
      <c r="R10" s="33"/>
      <c r="Y10" s="37"/>
      <c r="Z10" s="29"/>
      <c r="AA10" s="29"/>
      <c r="AB10" s="29"/>
      <c r="AC10" s="29"/>
      <c r="AD10" s="29"/>
      <c r="AE10" s="29"/>
      <c r="AF10" s="29"/>
      <c r="AG10" s="33"/>
      <c r="AH10" s="33"/>
      <c r="AI10" s="33"/>
      <c r="AJ10" s="33"/>
      <c r="AK10" s="33"/>
      <c r="AL10" s="33"/>
      <c r="AM10" s="33"/>
      <c r="AN10" s="33"/>
      <c r="AO10" s="33"/>
      <c r="AP10" s="33"/>
    </row>
    <row r="11" spans="1:47" customFormat="1" x14ac:dyDescent="0.25">
      <c r="A11" s="29" t="s">
        <v>52</v>
      </c>
      <c r="B11" s="29" t="s">
        <v>65</v>
      </c>
      <c r="C11" s="29" t="s">
        <v>54</v>
      </c>
      <c r="D11" s="29" t="s">
        <v>55</v>
      </c>
      <c r="E11" s="29" t="s">
        <v>56</v>
      </c>
      <c r="F11" s="48" t="s">
        <v>66</v>
      </c>
      <c r="G11" s="29" t="s">
        <v>68</v>
      </c>
      <c r="M11" s="28"/>
      <c r="N11" s="28"/>
      <c r="O11" s="28"/>
      <c r="P11" s="28"/>
      <c r="Q11" s="28"/>
      <c r="R11" s="28"/>
      <c r="Y11" s="37" t="s">
        <v>52</v>
      </c>
      <c r="Z11" s="29" t="s">
        <v>65</v>
      </c>
      <c r="AA11" s="29" t="s">
        <v>54</v>
      </c>
      <c r="AB11" s="29" t="s">
        <v>55</v>
      </c>
      <c r="AC11" s="29" t="s">
        <v>56</v>
      </c>
      <c r="AD11" s="48" t="s">
        <v>66</v>
      </c>
      <c r="AE11" s="29" t="s">
        <v>68</v>
      </c>
      <c r="AF11" s="29" t="s">
        <v>62</v>
      </c>
      <c r="AG11" s="33"/>
      <c r="AH11" s="33"/>
      <c r="AI11" s="33"/>
      <c r="AJ11" s="33"/>
      <c r="AK11" s="33"/>
      <c r="AL11" s="28"/>
      <c r="AM11" s="28"/>
      <c r="AN11" s="28"/>
      <c r="AO11" s="28"/>
      <c r="AP11" s="28"/>
      <c r="AQ11" s="28"/>
      <c r="AR11" s="28"/>
      <c r="AS11" s="28"/>
      <c r="AT11" s="28"/>
      <c r="AU11" s="28"/>
    </row>
    <row r="12" spans="1:47" s="28" customFormat="1" x14ac:dyDescent="0.25">
      <c r="A12" s="27">
        <f>COUNTIF(R22:R537,"Anticipatory")+COUNTIF(R22:R537,"Post")+COUNTIF(R22:R537,"MaxOut")</f>
        <v>10</v>
      </c>
      <c r="B12" s="28">
        <f>IF(B9="No","",(('One Back'!C6-VLOOKUP(Detection!E2,Norms!A50:E56,2,TRUE))*1)/VLOOKUP(Detection!E2,Norms!A50:E56,3,TRUE))</f>
        <v>-2.8676272844577069</v>
      </c>
      <c r="C12" s="28">
        <f>COUNTIF(R22:R537,"Anticipatory")</f>
        <v>7</v>
      </c>
      <c r="D12" s="28">
        <f>COUNTIF(R22:R537,"Post")</f>
        <v>3</v>
      </c>
      <c r="E12" s="28">
        <f>COUNTIF(R22:R537,"MaxOut")</f>
        <v>0</v>
      </c>
      <c r="F12" s="28">
        <f>SUM(D6)-COUNTIF(U22:U537,"Pant")</f>
        <v>31</v>
      </c>
      <c r="G12" s="28">
        <f>IF(B9="No","",SUM(B12*10)+100)</f>
        <v>71.32372715542293</v>
      </c>
      <c r="Y12" s="39">
        <f>COUNTIF(AP22:AP537,"Anticipatory")+COUNTIF(AP22:AP537,"Post")+COUNTIF(AP22:AP537,"MaxOut")</f>
        <v>0</v>
      </c>
      <c r="Z12" s="28" t="str">
        <f>IF(Z9="No","",(('One Back'!AA6-VLOOKUP(Detection!E2,Norms!A50:E56,2,TRUE))*1)/VLOOKUP(Detection!E2,Norms!A50:E56,3,TRUE))</f>
        <v/>
      </c>
      <c r="AA12" s="28">
        <f>COUNTIF(AP22:AP537,"Anticipatory")</f>
        <v>0</v>
      </c>
      <c r="AB12" s="28">
        <f>COUNTIF(AP22:AP537,"Post")</f>
        <v>0</v>
      </c>
      <c r="AC12" s="28">
        <f>COUNTIF(AP22:AP537,"MaxOut")</f>
        <v>0</v>
      </c>
      <c r="AD12" s="28">
        <f>SUM(AB6)-COUNTIF(AS22:AS537,"Pant")</f>
        <v>0</v>
      </c>
      <c r="AE12" s="28" t="str">
        <f>IF(Z9="No","",SUM(Z12*10)+100)</f>
        <v/>
      </c>
      <c r="AF12" s="28" t="str">
        <f>IF(OR(Z9="No",B9="No"),"",SUM((Y6-A6)*-1)/(VLOOKUP(Detection!E2,Norms!A38:E44,5)*SQRT(2)))</f>
        <v/>
      </c>
    </row>
    <row r="13" spans="1:47" s="28" customFormat="1" x14ac:dyDescent="0.25">
      <c r="A13" s="27"/>
      <c r="Y13" s="39"/>
    </row>
    <row r="14" spans="1:47" s="28" customFormat="1" x14ac:dyDescent="0.25">
      <c r="A14" s="27"/>
      <c r="B14" s="29" t="s">
        <v>73</v>
      </c>
      <c r="G14" s="29" t="s">
        <v>74</v>
      </c>
      <c r="H14" s="29" t="s">
        <v>86</v>
      </c>
      <c r="Y14" s="39"/>
      <c r="Z14" s="29" t="s">
        <v>73</v>
      </c>
      <c r="AE14" s="29" t="s">
        <v>74</v>
      </c>
      <c r="AF14" s="29" t="s">
        <v>86</v>
      </c>
    </row>
    <row r="15" spans="1:47" s="28" customFormat="1" x14ac:dyDescent="0.25">
      <c r="A15" s="27"/>
      <c r="B15" s="28">
        <f>IF(B9="No","",(('One Back'!A6-VLOOKUP(Detection!E2,Norms!A38:E44,2,TRUE))*-1)/VLOOKUP(Detection!E2,Norms!A38:E44,3,TRUE))</f>
        <v>1.4897997602863209</v>
      </c>
      <c r="G15" s="28">
        <f>IF(B9="No","",SUM(B15*10)+100)</f>
        <v>114.89799760286321</v>
      </c>
      <c r="H15" s="28">
        <f>(Norms!M54)</f>
        <v>102.80296712341789</v>
      </c>
      <c r="Y15" s="39"/>
      <c r="Z15" s="28" t="str">
        <f>IF(Z9="No","",(('One Back'!Y6-VLOOKUP(Detection!E2,Norms!A38:E44,2,TRUE))*-1)/VLOOKUP(Detection!E2,Norms!A38:E44,3,TRUE))</f>
        <v/>
      </c>
      <c r="AE15" s="28" t="str">
        <f>IF(Z9="No","",SUM(Z15*10)+100)</f>
        <v/>
      </c>
      <c r="AF15" s="28" t="e">
        <f>(Norms!S54)</f>
        <v>#VALUE!</v>
      </c>
    </row>
    <row r="16" spans="1:47" customFormat="1" x14ac:dyDescent="0.25">
      <c r="M16" s="28"/>
      <c r="N16" s="28"/>
      <c r="O16" s="28"/>
      <c r="P16" s="28"/>
      <c r="Q16" s="28"/>
      <c r="R16" s="28"/>
      <c r="U16" s="29" t="s">
        <v>57</v>
      </c>
      <c r="W16" s="2" t="s">
        <v>7</v>
      </c>
      <c r="Y16" s="24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9" t="s">
        <v>57</v>
      </c>
      <c r="AT16" s="28"/>
      <c r="AU16" s="29" t="s">
        <v>7</v>
      </c>
    </row>
    <row r="17" spans="1:47" s="28" customFormat="1" x14ac:dyDescent="0.25">
      <c r="U17" s="29"/>
      <c r="W17" s="29"/>
      <c r="Y17" s="24"/>
      <c r="AS17" s="29"/>
      <c r="AU17" s="29"/>
    </row>
    <row r="18" spans="1:47" s="28" customFormat="1" x14ac:dyDescent="0.25">
      <c r="U18" s="29"/>
      <c r="W18" s="29"/>
      <c r="Y18" s="24"/>
      <c r="AS18" s="29"/>
      <c r="AU18" s="29"/>
    </row>
    <row r="19" spans="1:47" s="3" customFormat="1" x14ac:dyDescent="0.25">
      <c r="Y19" s="36"/>
    </row>
    <row r="20" spans="1:47" s="3" customFormat="1" x14ac:dyDescent="0.25">
      <c r="Y20" s="36"/>
    </row>
    <row r="21" spans="1:47" s="35" customFormat="1" ht="18.75" x14ac:dyDescent="0.3">
      <c r="A21" s="34" t="s">
        <v>60</v>
      </c>
      <c r="Y21" s="34" t="s">
        <v>61</v>
      </c>
    </row>
    <row r="22" spans="1:47" s="67" customFormat="1" x14ac:dyDescent="0.25">
      <c r="A22" s="66" t="s">
        <v>170</v>
      </c>
      <c r="B22" s="67">
        <v>1</v>
      </c>
      <c r="C22" s="67" t="s">
        <v>171</v>
      </c>
      <c r="D22" s="67">
        <v>1</v>
      </c>
      <c r="E22" s="67" t="s">
        <v>172</v>
      </c>
      <c r="F22" s="67" t="s">
        <v>201</v>
      </c>
      <c r="G22" s="67" t="s">
        <v>174</v>
      </c>
      <c r="H22" s="67" t="s">
        <v>185</v>
      </c>
      <c r="I22" s="67" t="s">
        <v>176</v>
      </c>
      <c r="J22" s="67">
        <v>522</v>
      </c>
      <c r="K22" s="67" t="s">
        <v>177</v>
      </c>
      <c r="L22" s="67">
        <v>1493</v>
      </c>
      <c r="M22" s="67" t="s">
        <v>178</v>
      </c>
      <c r="N22" s="67">
        <v>970</v>
      </c>
      <c r="O22" s="67" t="s">
        <v>179</v>
      </c>
      <c r="P22" s="67" t="s">
        <v>187</v>
      </c>
      <c r="Q22" s="67" t="s">
        <v>181</v>
      </c>
      <c r="R22" s="67" t="s">
        <v>188</v>
      </c>
      <c r="U22" s="64">
        <f>IF(OR(R22="TruePositive",R22="TrueNegative"),IF(R21&lt;&gt;"Anticipatory",(N22),"Pant"),"Exclude")</f>
        <v>970</v>
      </c>
      <c r="W22" s="65">
        <f>IF(OR(R22="TruePositive",R22="TrueNegative"),IF(R21&lt;&gt;"Anticipatory",LOG10(N22),"Exclude"),"Exclude")</f>
        <v>2.9867717342662448</v>
      </c>
      <c r="Y22" s="66"/>
      <c r="AS22" s="64" t="str">
        <f>IF(OR(AP22="TruePositive",AP22="TrueNegative"),IF(AP21&lt;&gt;"Anticipatory",(AL22),"Pant"),"Exclude")</f>
        <v>Exclude</v>
      </c>
      <c r="AU22" s="65" t="str">
        <f>IF(OR(AP22="TruePositive",AP22="TrueNegative"),IF(AP21&lt;&gt;"Anticipatory",LOG10(AL22),"Exclude"),"Exclude")</f>
        <v>Exclude</v>
      </c>
    </row>
    <row r="23" spans="1:47" s="64" customFormat="1" x14ac:dyDescent="0.25">
      <c r="A23" s="63" t="s">
        <v>170</v>
      </c>
      <c r="B23" s="64">
        <v>1</v>
      </c>
      <c r="C23" s="64" t="s">
        <v>171</v>
      </c>
      <c r="D23" s="64">
        <v>2</v>
      </c>
      <c r="E23" s="64" t="s">
        <v>172</v>
      </c>
      <c r="F23" s="64" t="s">
        <v>201</v>
      </c>
      <c r="G23" s="64" t="s">
        <v>174</v>
      </c>
      <c r="H23" s="64" t="s">
        <v>175</v>
      </c>
      <c r="I23" s="64" t="s">
        <v>176</v>
      </c>
      <c r="J23" s="64">
        <v>985</v>
      </c>
      <c r="K23" s="64" t="s">
        <v>177</v>
      </c>
      <c r="L23" s="64">
        <v>3748</v>
      </c>
      <c r="M23" s="64" t="s">
        <v>178</v>
      </c>
      <c r="N23" s="64">
        <v>783</v>
      </c>
      <c r="O23" s="64" t="s">
        <v>179</v>
      </c>
      <c r="P23" s="64" t="s">
        <v>180</v>
      </c>
      <c r="Q23" s="64" t="s">
        <v>181</v>
      </c>
      <c r="R23" s="64" t="s">
        <v>92</v>
      </c>
      <c r="U23" s="64">
        <f t="shared" ref="U23:U86" si="0">IF(OR(R23="TruePositive",R23="TrueNegative"),IF(R22&lt;&gt;"Anticipatory",(N23),"Pant"),"Exclude")</f>
        <v>783</v>
      </c>
      <c r="W23" s="65">
        <f t="shared" ref="W23:W86" si="1">IF(OR(R23="TruePositive",R23="TrueNegative"),IF(R22&lt;&gt;"Anticipatory",LOG10(N23),"Exclude"),"Exclude")</f>
        <v>2.8937617620579434</v>
      </c>
      <c r="Y23" s="63"/>
      <c r="AS23" s="64" t="str">
        <f t="shared" ref="AS23:AS86" si="2">IF(OR(AP23="TruePositive",AP23="TrueNegative"),IF(AP22&lt;&gt;"Anticipatory",(AL23),"Pant"),"Exclude")</f>
        <v>Exclude</v>
      </c>
      <c r="AU23" s="65" t="str">
        <f t="shared" ref="AU23:AU86" si="3">IF(OR(AP23="TruePositive",AP23="TrueNegative"),IF(AP22&lt;&gt;"Anticipatory",LOG10(AL23),"Exclude"),"Exclude")</f>
        <v>Exclude</v>
      </c>
    </row>
    <row r="24" spans="1:47" s="64" customFormat="1" x14ac:dyDescent="0.25">
      <c r="A24" s="63" t="s">
        <v>170</v>
      </c>
      <c r="B24" s="64">
        <v>1</v>
      </c>
      <c r="C24" s="64" t="s">
        <v>171</v>
      </c>
      <c r="D24" s="64">
        <v>3</v>
      </c>
      <c r="E24" s="64" t="s">
        <v>172</v>
      </c>
      <c r="F24" s="64" t="s">
        <v>214</v>
      </c>
      <c r="G24" s="64" t="s">
        <v>174</v>
      </c>
      <c r="H24" s="64" t="s">
        <v>185</v>
      </c>
      <c r="I24" s="64" t="s">
        <v>176</v>
      </c>
      <c r="J24" s="64">
        <v>1321</v>
      </c>
      <c r="K24" s="64" t="s">
        <v>177</v>
      </c>
      <c r="L24" s="64">
        <v>6063</v>
      </c>
      <c r="M24" s="64" t="s">
        <v>178</v>
      </c>
      <c r="N24" s="64">
        <v>498</v>
      </c>
      <c r="O24" s="64" t="s">
        <v>179</v>
      </c>
      <c r="P24" s="64" t="s">
        <v>187</v>
      </c>
      <c r="Q24" s="64" t="s">
        <v>181</v>
      </c>
      <c r="R24" s="64" t="s">
        <v>188</v>
      </c>
      <c r="U24" s="64">
        <f t="shared" si="0"/>
        <v>498</v>
      </c>
      <c r="W24" s="65">
        <f t="shared" si="1"/>
        <v>2.6972293427597176</v>
      </c>
      <c r="Y24" s="63"/>
      <c r="AS24" s="64" t="str">
        <f t="shared" si="2"/>
        <v>Exclude</v>
      </c>
      <c r="AU24" s="65" t="str">
        <f t="shared" si="3"/>
        <v>Exclude</v>
      </c>
    </row>
    <row r="25" spans="1:47" s="64" customFormat="1" x14ac:dyDescent="0.25">
      <c r="A25" s="63" t="s">
        <v>170</v>
      </c>
      <c r="B25" s="64">
        <v>1</v>
      </c>
      <c r="C25" s="64" t="s">
        <v>171</v>
      </c>
      <c r="D25" s="64">
        <v>4</v>
      </c>
      <c r="E25" s="64" t="s">
        <v>172</v>
      </c>
      <c r="F25" s="64" t="s">
        <v>214</v>
      </c>
      <c r="G25" s="64" t="s">
        <v>174</v>
      </c>
      <c r="H25" s="64" t="s">
        <v>175</v>
      </c>
      <c r="I25" s="64" t="s">
        <v>176</v>
      </c>
      <c r="J25" s="64">
        <v>967</v>
      </c>
      <c r="K25" s="64" t="s">
        <v>177</v>
      </c>
      <c r="L25" s="64">
        <v>7917</v>
      </c>
      <c r="M25" s="64" t="s">
        <v>178</v>
      </c>
      <c r="N25" s="64">
        <v>386</v>
      </c>
      <c r="O25" s="64" t="s">
        <v>179</v>
      </c>
      <c r="P25" s="64" t="s">
        <v>180</v>
      </c>
      <c r="Q25" s="64" t="s">
        <v>181</v>
      </c>
      <c r="R25" s="64" t="s">
        <v>92</v>
      </c>
      <c r="U25" s="64">
        <f t="shared" si="0"/>
        <v>386</v>
      </c>
      <c r="W25" s="65">
        <f t="shared" si="1"/>
        <v>2.5865873046717551</v>
      </c>
      <c r="Y25" s="63"/>
      <c r="AS25" s="64" t="str">
        <f t="shared" si="2"/>
        <v>Exclude</v>
      </c>
      <c r="AU25" s="65" t="str">
        <f t="shared" si="3"/>
        <v>Exclude</v>
      </c>
    </row>
    <row r="26" spans="1:47" s="64" customFormat="1" x14ac:dyDescent="0.25">
      <c r="A26" s="63" t="s">
        <v>170</v>
      </c>
      <c r="B26" s="64">
        <v>1</v>
      </c>
      <c r="C26" s="64" t="s">
        <v>171</v>
      </c>
      <c r="D26" s="64">
        <v>5</v>
      </c>
      <c r="E26" s="64" t="s">
        <v>172</v>
      </c>
      <c r="F26" s="64" t="s">
        <v>214</v>
      </c>
      <c r="G26" s="64" t="s">
        <v>174</v>
      </c>
      <c r="H26" s="64" t="s">
        <v>175</v>
      </c>
      <c r="I26" s="64" t="s">
        <v>176</v>
      </c>
      <c r="J26" s="64">
        <v>1434</v>
      </c>
      <c r="K26" s="64" t="s">
        <v>177</v>
      </c>
      <c r="L26" s="64">
        <v>10375</v>
      </c>
      <c r="M26" s="64" t="s">
        <v>178</v>
      </c>
      <c r="N26" s="64">
        <v>525</v>
      </c>
      <c r="O26" s="64" t="s">
        <v>179</v>
      </c>
      <c r="P26" s="64" t="s">
        <v>180</v>
      </c>
      <c r="Q26" s="64" t="s">
        <v>181</v>
      </c>
      <c r="R26" s="64" t="s">
        <v>92</v>
      </c>
      <c r="U26" s="64">
        <f t="shared" si="0"/>
        <v>525</v>
      </c>
      <c r="W26" s="65">
        <f t="shared" si="1"/>
        <v>2.720159303405957</v>
      </c>
      <c r="Y26" s="63"/>
      <c r="AS26" s="64" t="str">
        <f t="shared" si="2"/>
        <v>Exclude</v>
      </c>
      <c r="AU26" s="65" t="str">
        <f t="shared" si="3"/>
        <v>Exclude</v>
      </c>
    </row>
    <row r="27" spans="1:47" s="64" customFormat="1" x14ac:dyDescent="0.25">
      <c r="A27" s="63" t="s">
        <v>170</v>
      </c>
      <c r="B27" s="64">
        <v>1</v>
      </c>
      <c r="C27" s="64" t="s">
        <v>171</v>
      </c>
      <c r="D27" s="64">
        <v>6</v>
      </c>
      <c r="E27" s="64" t="s">
        <v>172</v>
      </c>
      <c r="F27" s="64" t="s">
        <v>224</v>
      </c>
      <c r="G27" s="64" t="s">
        <v>174</v>
      </c>
      <c r="H27" s="64" t="s">
        <v>185</v>
      </c>
      <c r="I27" s="64" t="s">
        <v>176</v>
      </c>
      <c r="J27" s="64">
        <v>705</v>
      </c>
      <c r="K27" s="64" t="s">
        <v>177</v>
      </c>
      <c r="L27" s="64">
        <v>12061</v>
      </c>
      <c r="M27" s="64" t="s">
        <v>178</v>
      </c>
      <c r="N27" s="64">
        <v>474</v>
      </c>
      <c r="O27" s="64" t="s">
        <v>179</v>
      </c>
      <c r="P27" s="64" t="s">
        <v>187</v>
      </c>
      <c r="Q27" s="64" t="s">
        <v>181</v>
      </c>
      <c r="R27" s="64" t="s">
        <v>188</v>
      </c>
      <c r="U27" s="64">
        <f t="shared" si="0"/>
        <v>474</v>
      </c>
      <c r="W27" s="65">
        <f t="shared" si="1"/>
        <v>2.6757783416740852</v>
      </c>
      <c r="Y27" s="63"/>
      <c r="AS27" s="64" t="str">
        <f t="shared" si="2"/>
        <v>Exclude</v>
      </c>
      <c r="AU27" s="65" t="str">
        <f t="shared" si="3"/>
        <v>Exclude</v>
      </c>
    </row>
    <row r="28" spans="1:47" s="64" customFormat="1" x14ac:dyDescent="0.25">
      <c r="A28" s="63" t="s">
        <v>170</v>
      </c>
      <c r="B28" s="64">
        <v>1</v>
      </c>
      <c r="C28" s="64" t="s">
        <v>171</v>
      </c>
      <c r="D28" s="64">
        <v>7</v>
      </c>
      <c r="E28" s="64" t="s">
        <v>172</v>
      </c>
      <c r="F28" s="64" t="s">
        <v>224</v>
      </c>
      <c r="G28" s="64" t="s">
        <v>174</v>
      </c>
      <c r="H28" s="64" t="s">
        <v>175</v>
      </c>
      <c r="I28" s="64" t="s">
        <v>176</v>
      </c>
      <c r="J28" s="64">
        <v>671</v>
      </c>
      <c r="K28" s="64" t="s">
        <v>177</v>
      </c>
      <c r="L28" s="64">
        <v>14210</v>
      </c>
      <c r="M28" s="64" t="s">
        <v>178</v>
      </c>
      <c r="N28" s="64">
        <v>980</v>
      </c>
      <c r="O28" s="64" t="s">
        <v>179</v>
      </c>
      <c r="P28" s="64" t="s">
        <v>180</v>
      </c>
      <c r="Q28" s="64" t="s">
        <v>181</v>
      </c>
      <c r="R28" s="64" t="s">
        <v>92</v>
      </c>
      <c r="U28" s="64">
        <f t="shared" si="0"/>
        <v>980</v>
      </c>
      <c r="W28" s="65">
        <f t="shared" si="1"/>
        <v>2.9912260756924947</v>
      </c>
      <c r="Y28" s="63"/>
      <c r="AS28" s="64" t="str">
        <f t="shared" si="2"/>
        <v>Exclude</v>
      </c>
      <c r="AU28" s="65" t="str">
        <f t="shared" si="3"/>
        <v>Exclude</v>
      </c>
    </row>
    <row r="29" spans="1:47" s="64" customFormat="1" x14ac:dyDescent="0.25">
      <c r="A29" s="63" t="s">
        <v>170</v>
      </c>
      <c r="B29" s="64">
        <v>1</v>
      </c>
      <c r="C29" s="64" t="s">
        <v>171</v>
      </c>
      <c r="D29" s="64">
        <v>8</v>
      </c>
      <c r="E29" s="64" t="s">
        <v>172</v>
      </c>
      <c r="F29" s="64" t="s">
        <v>204</v>
      </c>
      <c r="G29" s="64" t="s">
        <v>174</v>
      </c>
      <c r="H29" s="64" t="s">
        <v>185</v>
      </c>
      <c r="I29" s="64" t="s">
        <v>176</v>
      </c>
      <c r="J29" s="64">
        <v>-1</v>
      </c>
      <c r="K29" s="64" t="s">
        <v>177</v>
      </c>
      <c r="L29" s="64">
        <v>15553</v>
      </c>
      <c r="M29" s="64" t="s">
        <v>178</v>
      </c>
      <c r="N29" s="64">
        <v>844</v>
      </c>
      <c r="O29" s="64" t="s">
        <v>179</v>
      </c>
      <c r="P29" s="64" t="s">
        <v>187</v>
      </c>
      <c r="Q29" s="64" t="s">
        <v>181</v>
      </c>
      <c r="R29" s="64" t="s">
        <v>182</v>
      </c>
      <c r="U29" s="64" t="str">
        <f t="shared" si="0"/>
        <v>Exclude</v>
      </c>
      <c r="W29" s="65" t="str">
        <f t="shared" si="1"/>
        <v>Exclude</v>
      </c>
      <c r="Y29" s="63"/>
      <c r="AS29" s="64" t="str">
        <f t="shared" si="2"/>
        <v>Exclude</v>
      </c>
      <c r="AU29" s="65" t="str">
        <f t="shared" si="3"/>
        <v>Exclude</v>
      </c>
    </row>
    <row r="30" spans="1:47" s="64" customFormat="1" x14ac:dyDescent="0.25">
      <c r="A30" s="63" t="s">
        <v>170</v>
      </c>
      <c r="B30" s="64">
        <v>1</v>
      </c>
      <c r="C30" s="64" t="s">
        <v>171</v>
      </c>
      <c r="D30" s="64">
        <v>8</v>
      </c>
      <c r="E30" s="64" t="s">
        <v>172</v>
      </c>
      <c r="F30" s="64" t="s">
        <v>204</v>
      </c>
      <c r="G30" s="64" t="s">
        <v>174</v>
      </c>
      <c r="H30" s="64" t="s">
        <v>185</v>
      </c>
      <c r="I30" s="64" t="s">
        <v>176</v>
      </c>
      <c r="J30" s="64">
        <v>1120</v>
      </c>
      <c r="K30" s="64" t="s">
        <v>177</v>
      </c>
      <c r="L30" s="64">
        <v>16428</v>
      </c>
      <c r="M30" s="64" t="s">
        <v>178</v>
      </c>
      <c r="N30" s="64">
        <v>599</v>
      </c>
      <c r="O30" s="64" t="s">
        <v>179</v>
      </c>
      <c r="P30" s="64" t="s">
        <v>187</v>
      </c>
      <c r="Q30" s="64" t="s">
        <v>181</v>
      </c>
      <c r="R30" s="64" t="s">
        <v>188</v>
      </c>
      <c r="U30" s="64" t="str">
        <f t="shared" si="0"/>
        <v>Pant</v>
      </c>
      <c r="W30" s="65" t="str">
        <f t="shared" si="1"/>
        <v>Exclude</v>
      </c>
      <c r="Y30" s="63"/>
      <c r="AS30" s="64" t="str">
        <f t="shared" si="2"/>
        <v>Exclude</v>
      </c>
      <c r="AU30" s="65" t="str">
        <f t="shared" si="3"/>
        <v>Exclude</v>
      </c>
    </row>
    <row r="31" spans="1:47" s="64" customFormat="1" x14ac:dyDescent="0.25">
      <c r="A31" s="63" t="s">
        <v>170</v>
      </c>
      <c r="B31" s="64">
        <v>1</v>
      </c>
      <c r="C31" s="64" t="s">
        <v>171</v>
      </c>
      <c r="D31" s="64">
        <v>9</v>
      </c>
      <c r="E31" s="64" t="s">
        <v>172</v>
      </c>
      <c r="F31" s="64" t="s">
        <v>204</v>
      </c>
      <c r="G31" s="64" t="s">
        <v>174</v>
      </c>
      <c r="H31" s="64" t="s">
        <v>175</v>
      </c>
      <c r="I31" s="64" t="s">
        <v>176</v>
      </c>
      <c r="J31" s="64">
        <v>522</v>
      </c>
      <c r="K31" s="64" t="s">
        <v>177</v>
      </c>
      <c r="L31" s="64">
        <v>17905</v>
      </c>
      <c r="M31" s="64" t="s">
        <v>178</v>
      </c>
      <c r="N31" s="64">
        <v>465</v>
      </c>
      <c r="O31" s="64" t="s">
        <v>179</v>
      </c>
      <c r="P31" s="64" t="s">
        <v>180</v>
      </c>
      <c r="Q31" s="64" t="s">
        <v>181</v>
      </c>
      <c r="R31" s="64" t="s">
        <v>92</v>
      </c>
      <c r="U31" s="64">
        <f t="shared" si="0"/>
        <v>465</v>
      </c>
      <c r="W31" s="65">
        <f t="shared" si="1"/>
        <v>2.667452952889954</v>
      </c>
      <c r="Y31" s="63"/>
      <c r="AS31" s="64" t="str">
        <f t="shared" si="2"/>
        <v>Exclude</v>
      </c>
      <c r="AU31" s="65" t="str">
        <f t="shared" si="3"/>
        <v>Exclude</v>
      </c>
    </row>
    <row r="32" spans="1:47" s="64" customFormat="1" x14ac:dyDescent="0.25">
      <c r="A32" s="63" t="s">
        <v>170</v>
      </c>
      <c r="B32" s="64">
        <v>1</v>
      </c>
      <c r="C32" s="64" t="s">
        <v>171</v>
      </c>
      <c r="D32" s="64">
        <v>10</v>
      </c>
      <c r="E32" s="64" t="s">
        <v>172</v>
      </c>
      <c r="F32" s="64" t="s">
        <v>208</v>
      </c>
      <c r="G32" s="64" t="s">
        <v>174</v>
      </c>
      <c r="H32" s="64" t="s">
        <v>185</v>
      </c>
      <c r="I32" s="64" t="s">
        <v>176</v>
      </c>
      <c r="J32" s="64">
        <v>-1</v>
      </c>
      <c r="K32" s="64" t="s">
        <v>177</v>
      </c>
      <c r="L32" s="64">
        <v>18877</v>
      </c>
      <c r="M32" s="64" t="s">
        <v>178</v>
      </c>
      <c r="N32" s="64">
        <v>481</v>
      </c>
      <c r="O32" s="64" t="s">
        <v>179</v>
      </c>
      <c r="P32" s="64" t="s">
        <v>187</v>
      </c>
      <c r="Q32" s="64" t="s">
        <v>181</v>
      </c>
      <c r="R32" s="64" t="s">
        <v>182</v>
      </c>
      <c r="U32" s="64" t="str">
        <f t="shared" si="0"/>
        <v>Exclude</v>
      </c>
      <c r="W32" s="65" t="str">
        <f t="shared" si="1"/>
        <v>Exclude</v>
      </c>
      <c r="Y32" s="63"/>
      <c r="AS32" s="64" t="str">
        <f t="shared" si="2"/>
        <v>Exclude</v>
      </c>
      <c r="AU32" s="65" t="str">
        <f t="shared" si="3"/>
        <v>Exclude</v>
      </c>
    </row>
    <row r="33" spans="1:47" s="64" customFormat="1" x14ac:dyDescent="0.25">
      <c r="A33" s="63" t="s">
        <v>170</v>
      </c>
      <c r="B33" s="64">
        <v>1</v>
      </c>
      <c r="C33" s="64" t="s">
        <v>171</v>
      </c>
      <c r="D33" s="64">
        <v>10</v>
      </c>
      <c r="E33" s="64" t="s">
        <v>172</v>
      </c>
      <c r="F33" s="64" t="s">
        <v>208</v>
      </c>
      <c r="G33" s="64" t="s">
        <v>174</v>
      </c>
      <c r="H33" s="64" t="s">
        <v>185</v>
      </c>
      <c r="I33" s="64" t="s">
        <v>176</v>
      </c>
      <c r="J33" s="64">
        <v>751</v>
      </c>
      <c r="K33" s="64" t="s">
        <v>177</v>
      </c>
      <c r="L33" s="64">
        <v>19809</v>
      </c>
      <c r="M33" s="64" t="s">
        <v>178</v>
      </c>
      <c r="N33" s="64">
        <v>662</v>
      </c>
      <c r="O33" s="64" t="s">
        <v>179</v>
      </c>
      <c r="P33" s="64" t="s">
        <v>187</v>
      </c>
      <c r="Q33" s="64" t="s">
        <v>181</v>
      </c>
      <c r="R33" s="64" t="s">
        <v>188</v>
      </c>
      <c r="U33" s="64" t="str">
        <f t="shared" si="0"/>
        <v>Pant</v>
      </c>
      <c r="W33" s="65" t="str">
        <f t="shared" si="1"/>
        <v>Exclude</v>
      </c>
      <c r="Y33" s="63"/>
      <c r="AS33" s="64" t="str">
        <f t="shared" si="2"/>
        <v>Exclude</v>
      </c>
      <c r="AU33" s="65" t="str">
        <f t="shared" si="3"/>
        <v>Exclude</v>
      </c>
    </row>
    <row r="34" spans="1:47" s="64" customFormat="1" x14ac:dyDescent="0.25">
      <c r="A34" s="63" t="s">
        <v>170</v>
      </c>
      <c r="B34" s="64">
        <v>1</v>
      </c>
      <c r="C34" s="64" t="s">
        <v>171</v>
      </c>
      <c r="D34" s="64">
        <v>11</v>
      </c>
      <c r="E34" s="64" t="s">
        <v>172</v>
      </c>
      <c r="F34" s="64" t="s">
        <v>208</v>
      </c>
      <c r="G34" s="64" t="s">
        <v>174</v>
      </c>
      <c r="H34" s="64" t="s">
        <v>175</v>
      </c>
      <c r="I34" s="64" t="s">
        <v>176</v>
      </c>
      <c r="J34" s="64">
        <v>-1</v>
      </c>
      <c r="K34" s="64" t="s">
        <v>177</v>
      </c>
      <c r="L34" s="64">
        <v>21039</v>
      </c>
      <c r="M34" s="64" t="s">
        <v>178</v>
      </c>
      <c r="N34" s="64">
        <v>724</v>
      </c>
      <c r="O34" s="64" t="s">
        <v>179</v>
      </c>
      <c r="P34" s="64" t="s">
        <v>187</v>
      </c>
      <c r="Q34" s="64" t="s">
        <v>181</v>
      </c>
      <c r="R34" s="64" t="s">
        <v>182</v>
      </c>
      <c r="U34" s="64" t="str">
        <f t="shared" si="0"/>
        <v>Exclude</v>
      </c>
      <c r="W34" s="65" t="str">
        <f t="shared" si="1"/>
        <v>Exclude</v>
      </c>
      <c r="Y34" s="63"/>
      <c r="AS34" s="64" t="str">
        <f t="shared" si="2"/>
        <v>Exclude</v>
      </c>
      <c r="AU34" s="65" t="str">
        <f t="shared" si="3"/>
        <v>Exclude</v>
      </c>
    </row>
    <row r="35" spans="1:47" s="64" customFormat="1" x14ac:dyDescent="0.25">
      <c r="A35" s="63" t="s">
        <v>170</v>
      </c>
      <c r="B35" s="64">
        <v>1</v>
      </c>
      <c r="C35" s="64" t="s">
        <v>171</v>
      </c>
      <c r="D35" s="64">
        <v>11</v>
      </c>
      <c r="E35" s="64" t="s">
        <v>172</v>
      </c>
      <c r="F35" s="64" t="s">
        <v>208</v>
      </c>
      <c r="G35" s="64" t="s">
        <v>174</v>
      </c>
      <c r="H35" s="64" t="s">
        <v>175</v>
      </c>
      <c r="I35" s="64" t="s">
        <v>176</v>
      </c>
      <c r="J35" s="64">
        <v>903</v>
      </c>
      <c r="K35" s="64" t="s">
        <v>177</v>
      </c>
      <c r="L35" s="64">
        <v>21706</v>
      </c>
      <c r="M35" s="64" t="s">
        <v>178</v>
      </c>
      <c r="N35" s="64">
        <v>488</v>
      </c>
      <c r="O35" s="64" t="s">
        <v>179</v>
      </c>
      <c r="P35" s="64" t="s">
        <v>180</v>
      </c>
      <c r="Q35" s="64" t="s">
        <v>181</v>
      </c>
      <c r="R35" s="64" t="s">
        <v>92</v>
      </c>
      <c r="U35" s="64" t="str">
        <f t="shared" si="0"/>
        <v>Pant</v>
      </c>
      <c r="W35" s="65" t="str">
        <f t="shared" si="1"/>
        <v>Exclude</v>
      </c>
      <c r="Y35" s="63"/>
      <c r="AS35" s="64" t="str">
        <f t="shared" si="2"/>
        <v>Exclude</v>
      </c>
      <c r="AU35" s="65" t="str">
        <f t="shared" si="3"/>
        <v>Exclude</v>
      </c>
    </row>
    <row r="36" spans="1:47" s="64" customFormat="1" x14ac:dyDescent="0.25">
      <c r="A36" s="63" t="s">
        <v>170</v>
      </c>
      <c r="B36" s="64">
        <v>1</v>
      </c>
      <c r="C36" s="64" t="s">
        <v>171</v>
      </c>
      <c r="D36" s="64">
        <v>12</v>
      </c>
      <c r="E36" s="64" t="s">
        <v>172</v>
      </c>
      <c r="F36" s="64" t="s">
        <v>211</v>
      </c>
      <c r="G36" s="64" t="s">
        <v>174</v>
      </c>
      <c r="H36" s="64" t="s">
        <v>185</v>
      </c>
      <c r="I36" s="64" t="s">
        <v>176</v>
      </c>
      <c r="J36" s="64">
        <v>607</v>
      </c>
      <c r="K36" s="64" t="s">
        <v>177</v>
      </c>
      <c r="L36" s="64">
        <v>23241</v>
      </c>
      <c r="M36" s="64" t="s">
        <v>178</v>
      </c>
      <c r="N36" s="64">
        <v>431</v>
      </c>
      <c r="O36" s="64" t="s">
        <v>179</v>
      </c>
      <c r="P36" s="64" t="s">
        <v>187</v>
      </c>
      <c r="Q36" s="64" t="s">
        <v>181</v>
      </c>
      <c r="R36" s="64" t="s">
        <v>188</v>
      </c>
      <c r="U36" s="64">
        <f t="shared" si="0"/>
        <v>431</v>
      </c>
      <c r="W36" s="65">
        <f t="shared" si="1"/>
        <v>2.6344772701607315</v>
      </c>
      <c r="Y36" s="63"/>
      <c r="AS36" s="64" t="str">
        <f t="shared" si="2"/>
        <v>Exclude</v>
      </c>
      <c r="AU36" s="65" t="str">
        <f t="shared" si="3"/>
        <v>Exclude</v>
      </c>
    </row>
    <row r="37" spans="1:47" s="64" customFormat="1" x14ac:dyDescent="0.25">
      <c r="A37" s="63" t="s">
        <v>170</v>
      </c>
      <c r="B37" s="64">
        <v>1</v>
      </c>
      <c r="C37" s="64" t="s">
        <v>171</v>
      </c>
      <c r="D37" s="64">
        <v>13</v>
      </c>
      <c r="E37" s="64" t="s">
        <v>172</v>
      </c>
      <c r="F37" s="64" t="s">
        <v>211</v>
      </c>
      <c r="G37" s="64" t="s">
        <v>174</v>
      </c>
      <c r="H37" s="64" t="s">
        <v>175</v>
      </c>
      <c r="I37" s="64" t="s">
        <v>176</v>
      </c>
      <c r="J37" s="64">
        <v>852</v>
      </c>
      <c r="K37" s="64" t="s">
        <v>177</v>
      </c>
      <c r="L37" s="64">
        <v>24998</v>
      </c>
      <c r="M37" s="64" t="s">
        <v>178</v>
      </c>
      <c r="N37" s="64">
        <v>401</v>
      </c>
      <c r="O37" s="64" t="s">
        <v>179</v>
      </c>
      <c r="P37" s="64" t="s">
        <v>180</v>
      </c>
      <c r="Q37" s="64" t="s">
        <v>181</v>
      </c>
      <c r="R37" s="64" t="s">
        <v>92</v>
      </c>
      <c r="U37" s="64">
        <f t="shared" si="0"/>
        <v>401</v>
      </c>
      <c r="W37" s="65">
        <f t="shared" si="1"/>
        <v>2.6031443726201822</v>
      </c>
      <c r="Y37" s="63"/>
      <c r="AS37" s="64" t="str">
        <f t="shared" si="2"/>
        <v>Exclude</v>
      </c>
      <c r="AU37" s="65" t="str">
        <f t="shared" si="3"/>
        <v>Exclude</v>
      </c>
    </row>
    <row r="38" spans="1:47" s="64" customFormat="1" x14ac:dyDescent="0.25">
      <c r="A38" s="63" t="s">
        <v>170</v>
      </c>
      <c r="B38" s="64">
        <v>1</v>
      </c>
      <c r="C38" s="64" t="s">
        <v>171</v>
      </c>
      <c r="D38" s="64">
        <v>13</v>
      </c>
      <c r="E38" s="64" t="s">
        <v>172</v>
      </c>
      <c r="F38" s="64" t="s">
        <v>211</v>
      </c>
      <c r="G38" s="64" t="s">
        <v>174</v>
      </c>
      <c r="H38" s="64" t="s">
        <v>175</v>
      </c>
      <c r="I38" s="64" t="s">
        <v>176</v>
      </c>
      <c r="J38" s="64">
        <v>852</v>
      </c>
      <c r="K38" s="64" t="s">
        <v>177</v>
      </c>
      <c r="L38" s="64">
        <v>25502</v>
      </c>
      <c r="M38" s="64" t="s">
        <v>178</v>
      </c>
      <c r="N38" s="64">
        <v>504</v>
      </c>
      <c r="O38" s="64" t="s">
        <v>179</v>
      </c>
      <c r="P38" s="64" t="s">
        <v>180</v>
      </c>
      <c r="Q38" s="64" t="s">
        <v>181</v>
      </c>
      <c r="R38" s="64" t="s">
        <v>190</v>
      </c>
      <c r="U38" s="64" t="str">
        <f t="shared" si="0"/>
        <v>Exclude</v>
      </c>
      <c r="W38" s="65" t="str">
        <f t="shared" si="1"/>
        <v>Exclude</v>
      </c>
      <c r="Y38" s="63"/>
      <c r="AS38" s="64" t="str">
        <f t="shared" si="2"/>
        <v>Exclude</v>
      </c>
      <c r="AU38" s="65" t="str">
        <f t="shared" si="3"/>
        <v>Exclude</v>
      </c>
    </row>
    <row r="39" spans="1:47" s="64" customFormat="1" x14ac:dyDescent="0.25">
      <c r="A39" s="63" t="s">
        <v>170</v>
      </c>
      <c r="B39" s="64">
        <v>1</v>
      </c>
      <c r="C39" s="64" t="s">
        <v>171</v>
      </c>
      <c r="D39" s="64">
        <v>14</v>
      </c>
      <c r="E39" s="64" t="s">
        <v>172</v>
      </c>
      <c r="F39" s="64" t="s">
        <v>209</v>
      </c>
      <c r="G39" s="64" t="s">
        <v>174</v>
      </c>
      <c r="H39" s="64" t="s">
        <v>185</v>
      </c>
      <c r="I39" s="64" t="s">
        <v>176</v>
      </c>
      <c r="J39" s="64">
        <v>951</v>
      </c>
      <c r="K39" s="64" t="s">
        <v>177</v>
      </c>
      <c r="L39" s="64">
        <v>26897</v>
      </c>
      <c r="M39" s="64" t="s">
        <v>178</v>
      </c>
      <c r="N39" s="64">
        <v>434</v>
      </c>
      <c r="O39" s="64" t="s">
        <v>179</v>
      </c>
      <c r="P39" s="64" t="s">
        <v>187</v>
      </c>
      <c r="Q39" s="64" t="s">
        <v>181</v>
      </c>
      <c r="R39" s="64" t="s">
        <v>188</v>
      </c>
      <c r="U39" s="64">
        <f t="shared" si="0"/>
        <v>434</v>
      </c>
      <c r="W39" s="65">
        <f t="shared" si="1"/>
        <v>2.6374897295125108</v>
      </c>
      <c r="Y39" s="63"/>
      <c r="AS39" s="64" t="str">
        <f t="shared" si="2"/>
        <v>Exclude</v>
      </c>
      <c r="AU39" s="65" t="str">
        <f t="shared" si="3"/>
        <v>Exclude</v>
      </c>
    </row>
    <row r="40" spans="1:47" s="64" customFormat="1" x14ac:dyDescent="0.25">
      <c r="A40" s="63" t="s">
        <v>170</v>
      </c>
      <c r="B40" s="64">
        <v>1</v>
      </c>
      <c r="C40" s="64" t="s">
        <v>171</v>
      </c>
      <c r="D40" s="64">
        <v>15</v>
      </c>
      <c r="E40" s="64" t="s">
        <v>172</v>
      </c>
      <c r="F40" s="64" t="s">
        <v>228</v>
      </c>
      <c r="G40" s="64" t="s">
        <v>174</v>
      </c>
      <c r="H40" s="64" t="s">
        <v>185</v>
      </c>
      <c r="I40" s="64" t="s">
        <v>176</v>
      </c>
      <c r="J40" s="64">
        <v>754</v>
      </c>
      <c r="K40" s="64" t="s">
        <v>177</v>
      </c>
      <c r="L40" s="64">
        <v>28932</v>
      </c>
      <c r="M40" s="64" t="s">
        <v>178</v>
      </c>
      <c r="N40" s="64">
        <v>782</v>
      </c>
      <c r="O40" s="64" t="s">
        <v>179</v>
      </c>
      <c r="P40" s="64" t="s">
        <v>187</v>
      </c>
      <c r="Q40" s="64" t="s">
        <v>181</v>
      </c>
      <c r="R40" s="64" t="s">
        <v>188</v>
      </c>
      <c r="U40" s="64">
        <f t="shared" si="0"/>
        <v>782</v>
      </c>
      <c r="W40" s="65">
        <f t="shared" si="1"/>
        <v>2.893206753059848</v>
      </c>
      <c r="Y40" s="63"/>
      <c r="AS40" s="64" t="str">
        <f t="shared" si="2"/>
        <v>Exclude</v>
      </c>
      <c r="AU40" s="65" t="str">
        <f t="shared" si="3"/>
        <v>Exclude</v>
      </c>
    </row>
    <row r="41" spans="1:47" s="64" customFormat="1" x14ac:dyDescent="0.25">
      <c r="A41" s="63" t="s">
        <v>170</v>
      </c>
      <c r="B41" s="64">
        <v>1</v>
      </c>
      <c r="C41" s="64" t="s">
        <v>171</v>
      </c>
      <c r="D41" s="64">
        <v>16</v>
      </c>
      <c r="E41" s="64" t="s">
        <v>172</v>
      </c>
      <c r="F41" s="64" t="s">
        <v>240</v>
      </c>
      <c r="G41" s="64" t="s">
        <v>174</v>
      </c>
      <c r="H41" s="64" t="s">
        <v>185</v>
      </c>
      <c r="I41" s="64" t="s">
        <v>176</v>
      </c>
      <c r="J41" s="64">
        <v>568</v>
      </c>
      <c r="K41" s="64" t="s">
        <v>177</v>
      </c>
      <c r="L41" s="64">
        <v>30906</v>
      </c>
      <c r="M41" s="64" t="s">
        <v>178</v>
      </c>
      <c r="N41" s="64">
        <v>913</v>
      </c>
      <c r="O41" s="64" t="s">
        <v>179</v>
      </c>
      <c r="P41" s="64" t="s">
        <v>187</v>
      </c>
      <c r="Q41" s="64" t="s">
        <v>181</v>
      </c>
      <c r="R41" s="64" t="s">
        <v>188</v>
      </c>
      <c r="U41" s="64">
        <f t="shared" si="0"/>
        <v>913</v>
      </c>
      <c r="W41" s="65">
        <f t="shared" si="1"/>
        <v>2.9604707775342991</v>
      </c>
      <c r="Y41" s="63"/>
      <c r="AS41" s="64" t="str">
        <f t="shared" si="2"/>
        <v>Exclude</v>
      </c>
      <c r="AU41" s="65" t="str">
        <f t="shared" si="3"/>
        <v>Exclude</v>
      </c>
    </row>
    <row r="42" spans="1:47" s="64" customFormat="1" x14ac:dyDescent="0.25">
      <c r="A42" s="63" t="s">
        <v>170</v>
      </c>
      <c r="B42" s="64">
        <v>1</v>
      </c>
      <c r="C42" s="64" t="s">
        <v>171</v>
      </c>
      <c r="D42" s="64">
        <v>17</v>
      </c>
      <c r="E42" s="64" t="s">
        <v>172</v>
      </c>
      <c r="F42" s="64" t="s">
        <v>191</v>
      </c>
      <c r="G42" s="64" t="s">
        <v>174</v>
      </c>
      <c r="H42" s="64" t="s">
        <v>185</v>
      </c>
      <c r="I42" s="64" t="s">
        <v>176</v>
      </c>
      <c r="J42" s="64">
        <v>1367</v>
      </c>
      <c r="K42" s="64" t="s">
        <v>177</v>
      </c>
      <c r="L42" s="64">
        <v>33933</v>
      </c>
      <c r="M42" s="64" t="s">
        <v>178</v>
      </c>
      <c r="N42" s="64">
        <v>1170</v>
      </c>
      <c r="O42" s="64" t="s">
        <v>179</v>
      </c>
      <c r="P42" s="64" t="s">
        <v>187</v>
      </c>
      <c r="Q42" s="64" t="s">
        <v>181</v>
      </c>
      <c r="R42" s="64" t="s">
        <v>188</v>
      </c>
      <c r="U42" s="64">
        <f t="shared" si="0"/>
        <v>1170</v>
      </c>
      <c r="W42" s="65">
        <f t="shared" si="1"/>
        <v>3.0681858617461617</v>
      </c>
      <c r="Y42" s="63"/>
      <c r="AS42" s="64" t="str">
        <f t="shared" si="2"/>
        <v>Exclude</v>
      </c>
      <c r="AU42" s="65" t="str">
        <f t="shared" si="3"/>
        <v>Exclude</v>
      </c>
    </row>
    <row r="43" spans="1:47" s="64" customFormat="1" x14ac:dyDescent="0.25">
      <c r="A43" s="63" t="s">
        <v>170</v>
      </c>
      <c r="B43" s="64">
        <v>1</v>
      </c>
      <c r="C43" s="64" t="s">
        <v>171</v>
      </c>
      <c r="D43" s="64">
        <v>18</v>
      </c>
      <c r="E43" s="64" t="s">
        <v>172</v>
      </c>
      <c r="F43" s="64" t="s">
        <v>239</v>
      </c>
      <c r="G43" s="64" t="s">
        <v>174</v>
      </c>
      <c r="H43" s="64" t="s">
        <v>185</v>
      </c>
      <c r="I43" s="64" t="s">
        <v>176</v>
      </c>
      <c r="J43" s="64">
        <v>-1</v>
      </c>
      <c r="K43" s="64" t="s">
        <v>177</v>
      </c>
      <c r="L43" s="64">
        <v>35114</v>
      </c>
      <c r="M43" s="64" t="s">
        <v>178</v>
      </c>
      <c r="N43" s="64">
        <v>668</v>
      </c>
      <c r="O43" s="64" t="s">
        <v>179</v>
      </c>
      <c r="P43" s="64" t="s">
        <v>187</v>
      </c>
      <c r="Q43" s="64" t="s">
        <v>181</v>
      </c>
      <c r="R43" s="64" t="s">
        <v>182</v>
      </c>
      <c r="U43" s="64" t="str">
        <f t="shared" si="0"/>
        <v>Exclude</v>
      </c>
      <c r="W43" s="65" t="str">
        <f t="shared" si="1"/>
        <v>Exclude</v>
      </c>
      <c r="Y43" s="63"/>
      <c r="AS43" s="64" t="str">
        <f t="shared" si="2"/>
        <v>Exclude</v>
      </c>
      <c r="AU43" s="65" t="str">
        <f t="shared" si="3"/>
        <v>Exclude</v>
      </c>
    </row>
    <row r="44" spans="1:47" s="64" customFormat="1" x14ac:dyDescent="0.25">
      <c r="A44" s="63" t="s">
        <v>170</v>
      </c>
      <c r="B44" s="64">
        <v>1</v>
      </c>
      <c r="C44" s="64" t="s">
        <v>171</v>
      </c>
      <c r="D44" s="64">
        <v>18</v>
      </c>
      <c r="E44" s="64" t="s">
        <v>172</v>
      </c>
      <c r="F44" s="64" t="s">
        <v>239</v>
      </c>
      <c r="G44" s="64" t="s">
        <v>174</v>
      </c>
      <c r="H44" s="64" t="s">
        <v>185</v>
      </c>
      <c r="I44" s="64" t="s">
        <v>176</v>
      </c>
      <c r="J44" s="64">
        <v>839</v>
      </c>
      <c r="K44" s="64" t="s">
        <v>177</v>
      </c>
      <c r="L44" s="64">
        <v>35903</v>
      </c>
      <c r="M44" s="64" t="s">
        <v>178</v>
      </c>
      <c r="N44" s="64">
        <v>618</v>
      </c>
      <c r="O44" s="64" t="s">
        <v>179</v>
      </c>
      <c r="P44" s="64" t="s">
        <v>187</v>
      </c>
      <c r="Q44" s="64" t="s">
        <v>181</v>
      </c>
      <c r="R44" s="64" t="s">
        <v>188</v>
      </c>
      <c r="U44" s="64" t="str">
        <f t="shared" si="0"/>
        <v>Pant</v>
      </c>
      <c r="W44" s="65" t="str">
        <f t="shared" si="1"/>
        <v>Exclude</v>
      </c>
      <c r="Y44" s="63"/>
      <c r="AS44" s="64" t="str">
        <f t="shared" si="2"/>
        <v>Exclude</v>
      </c>
      <c r="AU44" s="65" t="str">
        <f t="shared" si="3"/>
        <v>Exclude</v>
      </c>
    </row>
    <row r="45" spans="1:47" s="64" customFormat="1" x14ac:dyDescent="0.25">
      <c r="A45" s="63" t="s">
        <v>170</v>
      </c>
      <c r="B45" s="64">
        <v>1</v>
      </c>
      <c r="C45" s="64" t="s">
        <v>171</v>
      </c>
      <c r="D45" s="64">
        <v>19</v>
      </c>
      <c r="E45" s="64" t="s">
        <v>172</v>
      </c>
      <c r="F45" s="64" t="s">
        <v>239</v>
      </c>
      <c r="G45" s="64" t="s">
        <v>174</v>
      </c>
      <c r="H45" s="64" t="s">
        <v>175</v>
      </c>
      <c r="I45" s="64" t="s">
        <v>176</v>
      </c>
      <c r="J45" s="64">
        <v>-1</v>
      </c>
      <c r="K45" s="64" t="s">
        <v>177</v>
      </c>
      <c r="L45" s="64">
        <v>37044</v>
      </c>
      <c r="M45" s="64" t="s">
        <v>178</v>
      </c>
      <c r="N45" s="64">
        <v>637</v>
      </c>
      <c r="O45" s="64" t="s">
        <v>179</v>
      </c>
      <c r="P45" s="64" t="s">
        <v>187</v>
      </c>
      <c r="Q45" s="64" t="s">
        <v>181</v>
      </c>
      <c r="R45" s="64" t="s">
        <v>182</v>
      </c>
      <c r="U45" s="64" t="str">
        <f>IF(OR(R45="TruePositive",R45="TrueNegative"),IF(R44&lt;&gt;"Anticipatory",(N45),"Pant"),"Exclude")</f>
        <v>Exclude</v>
      </c>
      <c r="W45" s="65" t="str">
        <f>IF(OR(R45="TruePositive",R45="TrueNegative"),IF(R44&lt;&gt;"Anticipatory",LOG10(N45),"Exclude"),"Exclude")</f>
        <v>Exclude</v>
      </c>
      <c r="Y45" s="63"/>
      <c r="AS45" s="64" t="str">
        <f t="shared" si="2"/>
        <v>Exclude</v>
      </c>
      <c r="AU45" s="65" t="str">
        <f t="shared" si="3"/>
        <v>Exclude</v>
      </c>
    </row>
    <row r="46" spans="1:47" s="64" customFormat="1" x14ac:dyDescent="0.25">
      <c r="A46" s="63" t="s">
        <v>170</v>
      </c>
      <c r="B46" s="64">
        <v>1</v>
      </c>
      <c r="C46" s="64" t="s">
        <v>171</v>
      </c>
      <c r="D46" s="64">
        <v>19</v>
      </c>
      <c r="E46" s="64" t="s">
        <v>172</v>
      </c>
      <c r="F46" s="64" t="s">
        <v>239</v>
      </c>
      <c r="G46" s="64" t="s">
        <v>174</v>
      </c>
      <c r="H46" s="64" t="s">
        <v>175</v>
      </c>
      <c r="I46" s="64" t="s">
        <v>176</v>
      </c>
      <c r="J46" s="64">
        <v>1052</v>
      </c>
      <c r="K46" s="64" t="s">
        <v>177</v>
      </c>
      <c r="L46" s="64">
        <v>37961</v>
      </c>
      <c r="M46" s="64" t="s">
        <v>178</v>
      </c>
      <c r="N46" s="64">
        <v>502</v>
      </c>
      <c r="O46" s="64" t="s">
        <v>179</v>
      </c>
      <c r="P46" s="64" t="s">
        <v>180</v>
      </c>
      <c r="Q46" s="64" t="s">
        <v>181</v>
      </c>
      <c r="R46" s="64" t="s">
        <v>92</v>
      </c>
      <c r="U46" s="64" t="str">
        <f>IF(OR(R46="TruePositive",R46="TrueNegative"),IF(R45&lt;&gt;"Anticipatory",(N46),"Pant"),"Exclude")</f>
        <v>Pant</v>
      </c>
      <c r="W46" s="65" t="str">
        <f>IF(OR(R46="TruePositive",R46="TrueNegative"),IF(R45&lt;&gt;"Anticipatory",LOG10(N46),"Exclude"),"Exclude")</f>
        <v>Exclude</v>
      </c>
      <c r="Y46" s="63"/>
      <c r="AS46" s="64" t="str">
        <f t="shared" si="2"/>
        <v>Exclude</v>
      </c>
      <c r="AU46" s="65" t="str">
        <f t="shared" si="3"/>
        <v>Exclude</v>
      </c>
    </row>
    <row r="47" spans="1:47" s="64" customFormat="1" x14ac:dyDescent="0.25">
      <c r="A47" s="63" t="s">
        <v>170</v>
      </c>
      <c r="B47" s="64">
        <v>1</v>
      </c>
      <c r="C47" s="64" t="s">
        <v>171</v>
      </c>
      <c r="D47" s="64">
        <v>20</v>
      </c>
      <c r="E47" s="64" t="s">
        <v>172</v>
      </c>
      <c r="F47" s="64" t="s">
        <v>207</v>
      </c>
      <c r="G47" s="64" t="s">
        <v>174</v>
      </c>
      <c r="H47" s="64" t="s">
        <v>185</v>
      </c>
      <c r="I47" s="64" t="s">
        <v>176</v>
      </c>
      <c r="J47" s="64">
        <v>683</v>
      </c>
      <c r="K47" s="64" t="s">
        <v>177</v>
      </c>
      <c r="L47" s="64">
        <v>39588</v>
      </c>
      <c r="M47" s="64" t="s">
        <v>178</v>
      </c>
      <c r="N47" s="64">
        <v>443</v>
      </c>
      <c r="O47" s="64" t="s">
        <v>179</v>
      </c>
      <c r="P47" s="64" t="s">
        <v>187</v>
      </c>
      <c r="Q47" s="64" t="s">
        <v>181</v>
      </c>
      <c r="R47" s="64" t="s">
        <v>188</v>
      </c>
      <c r="U47" s="64">
        <f t="shared" si="0"/>
        <v>443</v>
      </c>
      <c r="W47" s="65">
        <f t="shared" si="1"/>
        <v>2.6464037262230695</v>
      </c>
      <c r="Y47" s="63"/>
      <c r="AS47" s="64" t="str">
        <f t="shared" si="2"/>
        <v>Exclude</v>
      </c>
      <c r="AU47" s="65" t="str">
        <f t="shared" si="3"/>
        <v>Exclude</v>
      </c>
    </row>
    <row r="48" spans="1:47" s="64" customFormat="1" x14ac:dyDescent="0.25">
      <c r="A48" s="63" t="s">
        <v>170</v>
      </c>
      <c r="B48" s="64">
        <v>1</v>
      </c>
      <c r="C48" s="64" t="s">
        <v>171</v>
      </c>
      <c r="D48" s="64">
        <v>21</v>
      </c>
      <c r="E48" s="64" t="s">
        <v>172</v>
      </c>
      <c r="F48" s="64" t="s">
        <v>241</v>
      </c>
      <c r="G48" s="64" t="s">
        <v>174</v>
      </c>
      <c r="H48" s="64" t="s">
        <v>185</v>
      </c>
      <c r="I48" s="64" t="s">
        <v>176</v>
      </c>
      <c r="J48" s="64">
        <v>933</v>
      </c>
      <c r="K48" s="64" t="s">
        <v>177</v>
      </c>
      <c r="L48" s="64">
        <v>41528</v>
      </c>
      <c r="M48" s="64" t="s">
        <v>178</v>
      </c>
      <c r="N48" s="64">
        <v>514</v>
      </c>
      <c r="O48" s="64" t="s">
        <v>179</v>
      </c>
      <c r="P48" s="64" t="s">
        <v>187</v>
      </c>
      <c r="Q48" s="64" t="s">
        <v>181</v>
      </c>
      <c r="R48" s="64" t="s">
        <v>188</v>
      </c>
      <c r="U48" s="64">
        <f t="shared" si="0"/>
        <v>514</v>
      </c>
      <c r="W48" s="65">
        <f t="shared" si="1"/>
        <v>2.7109631189952759</v>
      </c>
      <c r="Y48" s="63"/>
      <c r="AS48" s="64" t="str">
        <f t="shared" si="2"/>
        <v>Exclude</v>
      </c>
      <c r="AU48" s="65" t="str">
        <f t="shared" si="3"/>
        <v>Exclude</v>
      </c>
    </row>
    <row r="49" spans="1:47" s="64" customFormat="1" x14ac:dyDescent="0.25">
      <c r="A49" s="63" t="s">
        <v>170</v>
      </c>
      <c r="B49" s="64">
        <v>1</v>
      </c>
      <c r="C49" s="64" t="s">
        <v>171</v>
      </c>
      <c r="D49" s="64">
        <v>22</v>
      </c>
      <c r="E49" s="64" t="s">
        <v>172</v>
      </c>
      <c r="F49" s="64" t="s">
        <v>241</v>
      </c>
      <c r="G49" s="64" t="s">
        <v>174</v>
      </c>
      <c r="H49" s="64" t="s">
        <v>175</v>
      </c>
      <c r="I49" s="64" t="s">
        <v>176</v>
      </c>
      <c r="J49" s="64">
        <v>831</v>
      </c>
      <c r="K49" s="64" t="s">
        <v>177</v>
      </c>
      <c r="L49" s="64">
        <v>43657</v>
      </c>
      <c r="M49" s="64" t="s">
        <v>178</v>
      </c>
      <c r="N49" s="64">
        <v>811</v>
      </c>
      <c r="O49" s="64" t="s">
        <v>179</v>
      </c>
      <c r="P49" s="64" t="s">
        <v>187</v>
      </c>
      <c r="Q49" s="64" t="s">
        <v>181</v>
      </c>
      <c r="R49" s="64" t="s">
        <v>189</v>
      </c>
      <c r="U49" s="64" t="str">
        <f t="shared" si="0"/>
        <v>Exclude</v>
      </c>
      <c r="W49" s="65" t="str">
        <f t="shared" si="1"/>
        <v>Exclude</v>
      </c>
      <c r="Y49" s="63"/>
      <c r="AS49" s="64" t="str">
        <f t="shared" si="2"/>
        <v>Exclude</v>
      </c>
      <c r="AU49" s="65" t="str">
        <f t="shared" si="3"/>
        <v>Exclude</v>
      </c>
    </row>
    <row r="50" spans="1:47" s="64" customFormat="1" x14ac:dyDescent="0.25">
      <c r="A50" s="63" t="s">
        <v>170</v>
      </c>
      <c r="B50" s="64">
        <v>1</v>
      </c>
      <c r="C50" s="64" t="s">
        <v>171</v>
      </c>
      <c r="D50" s="64">
        <v>23</v>
      </c>
      <c r="E50" s="64" t="s">
        <v>172</v>
      </c>
      <c r="F50" s="64" t="s">
        <v>241</v>
      </c>
      <c r="G50" s="64" t="s">
        <v>174</v>
      </c>
      <c r="H50" s="64" t="s">
        <v>175</v>
      </c>
      <c r="I50" s="64" t="s">
        <v>176</v>
      </c>
      <c r="J50" s="64">
        <v>621</v>
      </c>
      <c r="K50" s="64" t="s">
        <v>177</v>
      </c>
      <c r="L50" s="64">
        <v>45149</v>
      </c>
      <c r="M50" s="64" t="s">
        <v>178</v>
      </c>
      <c r="N50" s="64">
        <v>379</v>
      </c>
      <c r="O50" s="64" t="s">
        <v>179</v>
      </c>
      <c r="P50" s="64" t="s">
        <v>180</v>
      </c>
      <c r="Q50" s="64" t="s">
        <v>181</v>
      </c>
      <c r="R50" s="64" t="s">
        <v>92</v>
      </c>
      <c r="U50" s="64">
        <f t="shared" si="0"/>
        <v>379</v>
      </c>
      <c r="W50" s="65">
        <f t="shared" si="1"/>
        <v>2.5786392099680722</v>
      </c>
      <c r="Y50" s="63"/>
      <c r="AS50" s="64" t="str">
        <f t="shared" si="2"/>
        <v>Exclude</v>
      </c>
      <c r="AU50" s="65" t="str">
        <f t="shared" si="3"/>
        <v>Exclude</v>
      </c>
    </row>
    <row r="51" spans="1:47" s="64" customFormat="1" x14ac:dyDescent="0.25">
      <c r="A51" s="63" t="s">
        <v>170</v>
      </c>
      <c r="B51" s="64">
        <v>1</v>
      </c>
      <c r="C51" s="64" t="s">
        <v>171</v>
      </c>
      <c r="D51" s="64">
        <v>24</v>
      </c>
      <c r="E51" s="64" t="s">
        <v>172</v>
      </c>
      <c r="F51" s="64" t="s">
        <v>203</v>
      </c>
      <c r="G51" s="64" t="s">
        <v>174</v>
      </c>
      <c r="H51" s="64" t="s">
        <v>185</v>
      </c>
      <c r="I51" s="64" t="s">
        <v>176</v>
      </c>
      <c r="J51" s="64">
        <v>569</v>
      </c>
      <c r="K51" s="64" t="s">
        <v>177</v>
      </c>
      <c r="L51" s="64">
        <v>46729</v>
      </c>
      <c r="M51" s="64" t="s">
        <v>178</v>
      </c>
      <c r="N51" s="64">
        <v>522</v>
      </c>
      <c r="O51" s="64" t="s">
        <v>179</v>
      </c>
      <c r="P51" s="64" t="s">
        <v>187</v>
      </c>
      <c r="Q51" s="64" t="s">
        <v>181</v>
      </c>
      <c r="R51" s="64" t="s">
        <v>188</v>
      </c>
      <c r="U51" s="64">
        <f t="shared" si="0"/>
        <v>522</v>
      </c>
      <c r="W51" s="65">
        <f t="shared" si="1"/>
        <v>2.7176705030022621</v>
      </c>
      <c r="Y51" s="63"/>
      <c r="AS51" s="64" t="str">
        <f t="shared" si="2"/>
        <v>Exclude</v>
      </c>
      <c r="AU51" s="65" t="str">
        <f t="shared" si="3"/>
        <v>Exclude</v>
      </c>
    </row>
    <row r="52" spans="1:47" s="64" customFormat="1" x14ac:dyDescent="0.25">
      <c r="A52" s="63" t="s">
        <v>170</v>
      </c>
      <c r="B52" s="64">
        <v>1</v>
      </c>
      <c r="C52" s="64" t="s">
        <v>171</v>
      </c>
      <c r="D52" s="64">
        <v>24</v>
      </c>
      <c r="E52" s="64" t="s">
        <v>172</v>
      </c>
      <c r="F52" s="64" t="s">
        <v>203</v>
      </c>
      <c r="G52" s="64" t="s">
        <v>174</v>
      </c>
      <c r="H52" s="64" t="s">
        <v>185</v>
      </c>
      <c r="I52" s="64" t="s">
        <v>176</v>
      </c>
      <c r="J52" s="64">
        <v>569</v>
      </c>
      <c r="K52" s="64" t="s">
        <v>177</v>
      </c>
      <c r="L52" s="64">
        <v>47045</v>
      </c>
      <c r="M52" s="64" t="s">
        <v>178</v>
      </c>
      <c r="N52" s="64">
        <v>316</v>
      </c>
      <c r="O52" s="64" t="s">
        <v>179</v>
      </c>
      <c r="P52" s="64" t="s">
        <v>180</v>
      </c>
      <c r="Q52" s="64" t="s">
        <v>181</v>
      </c>
      <c r="R52" s="64" t="s">
        <v>190</v>
      </c>
      <c r="U52" s="64" t="str">
        <f t="shared" si="0"/>
        <v>Exclude</v>
      </c>
      <c r="W52" s="65" t="str">
        <f t="shared" si="1"/>
        <v>Exclude</v>
      </c>
      <c r="Y52" s="63"/>
      <c r="AS52" s="64" t="str">
        <f t="shared" si="2"/>
        <v>Exclude</v>
      </c>
      <c r="AU52" s="65" t="str">
        <f t="shared" si="3"/>
        <v>Exclude</v>
      </c>
    </row>
    <row r="53" spans="1:47" s="64" customFormat="1" x14ac:dyDescent="0.25">
      <c r="A53" s="63" t="s">
        <v>170</v>
      </c>
      <c r="B53" s="64">
        <v>1</v>
      </c>
      <c r="C53" s="64" t="s">
        <v>171</v>
      </c>
      <c r="D53" s="64">
        <v>25</v>
      </c>
      <c r="E53" s="64" t="s">
        <v>172</v>
      </c>
      <c r="F53" s="64" t="s">
        <v>217</v>
      </c>
      <c r="G53" s="64" t="s">
        <v>174</v>
      </c>
      <c r="H53" s="64" t="s">
        <v>185</v>
      </c>
      <c r="I53" s="64" t="s">
        <v>176</v>
      </c>
      <c r="J53" s="64">
        <v>1450</v>
      </c>
      <c r="K53" s="64" t="s">
        <v>177</v>
      </c>
      <c r="L53" s="64">
        <v>49082</v>
      </c>
      <c r="M53" s="64" t="s">
        <v>178</v>
      </c>
      <c r="N53" s="64">
        <v>403</v>
      </c>
      <c r="O53" s="64" t="s">
        <v>179</v>
      </c>
      <c r="P53" s="64" t="s">
        <v>187</v>
      </c>
      <c r="Q53" s="64" t="s">
        <v>181</v>
      </c>
      <c r="R53" s="64" t="s">
        <v>188</v>
      </c>
      <c r="U53" s="64">
        <f t="shared" si="0"/>
        <v>403</v>
      </c>
      <c r="W53" s="65">
        <f t="shared" si="1"/>
        <v>2.6053050461411096</v>
      </c>
      <c r="Y53" s="63"/>
      <c r="AS53" s="64" t="str">
        <f t="shared" si="2"/>
        <v>Exclude</v>
      </c>
      <c r="AU53" s="65" t="str">
        <f t="shared" si="3"/>
        <v>Exclude</v>
      </c>
    </row>
    <row r="54" spans="1:47" s="64" customFormat="1" x14ac:dyDescent="0.25">
      <c r="A54" s="63" t="s">
        <v>170</v>
      </c>
      <c r="B54" s="64">
        <v>1</v>
      </c>
      <c r="C54" s="64" t="s">
        <v>171</v>
      </c>
      <c r="D54" s="64">
        <v>26</v>
      </c>
      <c r="E54" s="64" t="s">
        <v>172</v>
      </c>
      <c r="F54" s="64" t="s">
        <v>217</v>
      </c>
      <c r="G54" s="64" t="s">
        <v>174</v>
      </c>
      <c r="H54" s="64" t="s">
        <v>175</v>
      </c>
      <c r="I54" s="64" t="s">
        <v>176</v>
      </c>
      <c r="J54" s="64">
        <v>1473</v>
      </c>
      <c r="K54" s="64" t="s">
        <v>177</v>
      </c>
      <c r="L54" s="64">
        <v>51454</v>
      </c>
      <c r="M54" s="64" t="s">
        <v>178</v>
      </c>
      <c r="N54" s="64">
        <v>403</v>
      </c>
      <c r="O54" s="64" t="s">
        <v>179</v>
      </c>
      <c r="P54" s="64" t="s">
        <v>180</v>
      </c>
      <c r="Q54" s="64" t="s">
        <v>181</v>
      </c>
      <c r="R54" s="64" t="s">
        <v>92</v>
      </c>
      <c r="U54" s="64">
        <f t="shared" si="0"/>
        <v>403</v>
      </c>
      <c r="W54" s="65">
        <f t="shared" si="1"/>
        <v>2.6053050461411096</v>
      </c>
      <c r="Y54" s="63"/>
      <c r="AS54" s="64" t="str">
        <f t="shared" si="2"/>
        <v>Exclude</v>
      </c>
      <c r="AU54" s="65" t="str">
        <f t="shared" si="3"/>
        <v>Exclude</v>
      </c>
    </row>
    <row r="55" spans="1:47" s="64" customFormat="1" x14ac:dyDescent="0.25">
      <c r="A55" s="63" t="s">
        <v>170</v>
      </c>
      <c r="B55" s="64">
        <v>1</v>
      </c>
      <c r="C55" s="64" t="s">
        <v>171</v>
      </c>
      <c r="D55" s="64">
        <v>27</v>
      </c>
      <c r="E55" s="64" t="s">
        <v>172</v>
      </c>
      <c r="F55" s="64" t="s">
        <v>242</v>
      </c>
      <c r="G55" s="64" t="s">
        <v>174</v>
      </c>
      <c r="H55" s="64" t="s">
        <v>185</v>
      </c>
      <c r="I55" s="64" t="s">
        <v>176</v>
      </c>
      <c r="J55" s="64">
        <v>1071</v>
      </c>
      <c r="K55" s="64" t="s">
        <v>177</v>
      </c>
      <c r="L55" s="64">
        <v>53500</v>
      </c>
      <c r="M55" s="64" t="s">
        <v>178</v>
      </c>
      <c r="N55" s="64">
        <v>487</v>
      </c>
      <c r="O55" s="64" t="s">
        <v>179</v>
      </c>
      <c r="P55" s="64" t="s">
        <v>187</v>
      </c>
      <c r="Q55" s="64" t="s">
        <v>181</v>
      </c>
      <c r="R55" s="64" t="s">
        <v>188</v>
      </c>
      <c r="U55" s="64">
        <f t="shared" si="0"/>
        <v>487</v>
      </c>
      <c r="W55" s="65">
        <f t="shared" si="1"/>
        <v>2.6875289612146345</v>
      </c>
      <c r="Y55" s="63"/>
      <c r="AS55" s="64" t="str">
        <f t="shared" si="2"/>
        <v>Exclude</v>
      </c>
      <c r="AU55" s="65" t="str">
        <f t="shared" si="3"/>
        <v>Exclude</v>
      </c>
    </row>
    <row r="56" spans="1:47" s="64" customFormat="1" x14ac:dyDescent="0.25">
      <c r="A56" s="63" t="s">
        <v>170</v>
      </c>
      <c r="B56" s="64">
        <v>1</v>
      </c>
      <c r="C56" s="64" t="s">
        <v>171</v>
      </c>
      <c r="D56" s="64">
        <v>28</v>
      </c>
      <c r="E56" s="64" t="s">
        <v>172</v>
      </c>
      <c r="F56" s="64" t="s">
        <v>221</v>
      </c>
      <c r="G56" s="64" t="s">
        <v>174</v>
      </c>
      <c r="H56" s="64" t="s">
        <v>185</v>
      </c>
      <c r="I56" s="64" t="s">
        <v>176</v>
      </c>
      <c r="J56" s="64">
        <v>1287</v>
      </c>
      <c r="K56" s="64" t="s">
        <v>177</v>
      </c>
      <c r="L56" s="64">
        <v>55839</v>
      </c>
      <c r="M56" s="64" t="s">
        <v>178</v>
      </c>
      <c r="N56" s="64">
        <v>539</v>
      </c>
      <c r="O56" s="64" t="s">
        <v>179</v>
      </c>
      <c r="P56" s="64" t="s">
        <v>187</v>
      </c>
      <c r="Q56" s="64" t="s">
        <v>181</v>
      </c>
      <c r="R56" s="64" t="s">
        <v>188</v>
      </c>
      <c r="U56" s="64">
        <f t="shared" si="0"/>
        <v>539</v>
      </c>
      <c r="W56" s="65">
        <f t="shared" si="1"/>
        <v>2.7315887651867388</v>
      </c>
      <c r="Y56" s="63"/>
      <c r="AS56" s="64" t="str">
        <f t="shared" si="2"/>
        <v>Exclude</v>
      </c>
      <c r="AU56" s="65" t="str">
        <f t="shared" si="3"/>
        <v>Exclude</v>
      </c>
    </row>
    <row r="57" spans="1:47" s="64" customFormat="1" x14ac:dyDescent="0.25">
      <c r="A57" s="63" t="s">
        <v>170</v>
      </c>
      <c r="B57" s="64">
        <v>1</v>
      </c>
      <c r="C57" s="64" t="s">
        <v>171</v>
      </c>
      <c r="D57" s="64">
        <v>29</v>
      </c>
      <c r="E57" s="64" t="s">
        <v>172</v>
      </c>
      <c r="F57" s="64" t="s">
        <v>221</v>
      </c>
      <c r="G57" s="64" t="s">
        <v>174</v>
      </c>
      <c r="H57" s="64" t="s">
        <v>175</v>
      </c>
      <c r="I57" s="64" t="s">
        <v>176</v>
      </c>
      <c r="J57" s="64">
        <v>-1</v>
      </c>
      <c r="K57" s="64" t="s">
        <v>177</v>
      </c>
      <c r="L57" s="64">
        <v>56783</v>
      </c>
      <c r="M57" s="64" t="s">
        <v>178</v>
      </c>
      <c r="N57" s="64">
        <v>450</v>
      </c>
      <c r="O57" s="64" t="s">
        <v>179</v>
      </c>
      <c r="P57" s="64" t="s">
        <v>187</v>
      </c>
      <c r="Q57" s="64" t="s">
        <v>181</v>
      </c>
      <c r="R57" s="64" t="s">
        <v>182</v>
      </c>
      <c r="U57" s="64" t="str">
        <f t="shared" si="0"/>
        <v>Exclude</v>
      </c>
      <c r="W57" s="65" t="str">
        <f t="shared" si="1"/>
        <v>Exclude</v>
      </c>
      <c r="Y57" s="63"/>
      <c r="AS57" s="64" t="str">
        <f t="shared" si="2"/>
        <v>Exclude</v>
      </c>
      <c r="AU57" s="65" t="str">
        <f t="shared" si="3"/>
        <v>Exclude</v>
      </c>
    </row>
    <row r="58" spans="1:47" s="64" customFormat="1" x14ac:dyDescent="0.25">
      <c r="A58" s="63" t="s">
        <v>170</v>
      </c>
      <c r="B58" s="64">
        <v>1</v>
      </c>
      <c r="C58" s="64" t="s">
        <v>171</v>
      </c>
      <c r="D58" s="64">
        <v>29</v>
      </c>
      <c r="E58" s="64" t="s">
        <v>172</v>
      </c>
      <c r="F58" s="64" t="s">
        <v>221</v>
      </c>
      <c r="G58" s="64" t="s">
        <v>174</v>
      </c>
      <c r="H58" s="64" t="s">
        <v>175</v>
      </c>
      <c r="I58" s="64" t="s">
        <v>176</v>
      </c>
      <c r="J58" s="64">
        <v>1025</v>
      </c>
      <c r="K58" s="64" t="s">
        <v>177</v>
      </c>
      <c r="L58" s="64">
        <v>57812</v>
      </c>
      <c r="M58" s="64" t="s">
        <v>178</v>
      </c>
      <c r="N58" s="64">
        <v>454</v>
      </c>
      <c r="O58" s="64" t="s">
        <v>179</v>
      </c>
      <c r="P58" s="64" t="s">
        <v>180</v>
      </c>
      <c r="Q58" s="64" t="s">
        <v>181</v>
      </c>
      <c r="R58" s="64" t="s">
        <v>92</v>
      </c>
      <c r="U58" s="64" t="str">
        <f t="shared" si="0"/>
        <v>Pant</v>
      </c>
      <c r="W58" s="65" t="str">
        <f t="shared" si="1"/>
        <v>Exclude</v>
      </c>
      <c r="Y58" s="63"/>
      <c r="AS58" s="64" t="str">
        <f t="shared" si="2"/>
        <v>Exclude</v>
      </c>
      <c r="AU58" s="65" t="str">
        <f t="shared" si="3"/>
        <v>Exclude</v>
      </c>
    </row>
    <row r="59" spans="1:47" s="64" customFormat="1" x14ac:dyDescent="0.25">
      <c r="A59" s="63" t="s">
        <v>170</v>
      </c>
      <c r="B59" s="64">
        <v>1</v>
      </c>
      <c r="C59" s="64" t="s">
        <v>171</v>
      </c>
      <c r="D59" s="64">
        <v>30</v>
      </c>
      <c r="E59" s="64" t="s">
        <v>172</v>
      </c>
      <c r="F59" s="64" t="s">
        <v>221</v>
      </c>
      <c r="G59" s="64" t="s">
        <v>174</v>
      </c>
      <c r="H59" s="64" t="s">
        <v>175</v>
      </c>
      <c r="I59" s="64" t="s">
        <v>176</v>
      </c>
      <c r="J59" s="64">
        <v>657</v>
      </c>
      <c r="K59" s="64" t="s">
        <v>177</v>
      </c>
      <c r="L59" s="64">
        <v>59613</v>
      </c>
      <c r="M59" s="64" t="s">
        <v>178</v>
      </c>
      <c r="N59" s="64">
        <v>644</v>
      </c>
      <c r="O59" s="64" t="s">
        <v>179</v>
      </c>
      <c r="P59" s="64" t="s">
        <v>187</v>
      </c>
      <c r="Q59" s="64" t="s">
        <v>181</v>
      </c>
      <c r="R59" s="64" t="s">
        <v>189</v>
      </c>
      <c r="U59" s="64" t="str">
        <f t="shared" si="0"/>
        <v>Exclude</v>
      </c>
      <c r="W59" s="65" t="str">
        <f t="shared" si="1"/>
        <v>Exclude</v>
      </c>
      <c r="Y59" s="63"/>
      <c r="AS59" s="64" t="str">
        <f t="shared" si="2"/>
        <v>Exclude</v>
      </c>
      <c r="AU59" s="65" t="str">
        <f t="shared" si="3"/>
        <v>Exclude</v>
      </c>
    </row>
    <row r="60" spans="1:47" s="64" customFormat="1" x14ac:dyDescent="0.25">
      <c r="A60" s="63" t="s">
        <v>170</v>
      </c>
      <c r="B60" s="64">
        <v>1</v>
      </c>
      <c r="C60" s="64" t="s">
        <v>171</v>
      </c>
      <c r="D60" s="64">
        <v>31</v>
      </c>
      <c r="E60" s="64" t="s">
        <v>172</v>
      </c>
      <c r="F60" s="64" t="s">
        <v>221</v>
      </c>
      <c r="G60" s="64" t="s">
        <v>174</v>
      </c>
      <c r="H60" s="64" t="s">
        <v>175</v>
      </c>
      <c r="I60" s="64" t="s">
        <v>176</v>
      </c>
      <c r="J60" s="64">
        <v>669</v>
      </c>
      <c r="K60" s="64" t="s">
        <v>177</v>
      </c>
      <c r="L60" s="64">
        <v>61202</v>
      </c>
      <c r="M60" s="64" t="s">
        <v>178</v>
      </c>
      <c r="N60" s="64">
        <v>425</v>
      </c>
      <c r="O60" s="64" t="s">
        <v>179</v>
      </c>
      <c r="P60" s="64" t="s">
        <v>180</v>
      </c>
      <c r="Q60" s="64" t="s">
        <v>181</v>
      </c>
      <c r="R60" s="64" t="s">
        <v>92</v>
      </c>
      <c r="U60" s="64">
        <f t="shared" si="0"/>
        <v>425</v>
      </c>
      <c r="W60" s="65">
        <f t="shared" si="1"/>
        <v>2.6283889300503116</v>
      </c>
      <c r="Y60" s="63"/>
      <c r="AS60" s="64" t="str">
        <f t="shared" si="2"/>
        <v>Exclude</v>
      </c>
      <c r="AU60" s="65" t="str">
        <f t="shared" si="3"/>
        <v>Exclude</v>
      </c>
    </row>
    <row r="61" spans="1:47" s="64" customFormat="1" x14ac:dyDescent="0.25">
      <c r="A61" s="63" t="s">
        <v>170</v>
      </c>
      <c r="B61" s="64">
        <v>1</v>
      </c>
      <c r="C61" s="64" t="s">
        <v>171</v>
      </c>
      <c r="D61" s="64">
        <v>32</v>
      </c>
      <c r="E61" s="64" t="s">
        <v>172</v>
      </c>
      <c r="F61" s="64" t="s">
        <v>221</v>
      </c>
      <c r="G61" s="64" t="s">
        <v>174</v>
      </c>
      <c r="H61" s="64" t="s">
        <v>175</v>
      </c>
      <c r="I61" s="64" t="s">
        <v>176</v>
      </c>
      <c r="J61" s="64">
        <v>867</v>
      </c>
      <c r="K61" s="64" t="s">
        <v>177</v>
      </c>
      <c r="L61" s="64">
        <v>62973</v>
      </c>
      <c r="M61" s="64" t="s">
        <v>178</v>
      </c>
      <c r="N61" s="64">
        <v>396</v>
      </c>
      <c r="O61" s="64" t="s">
        <v>179</v>
      </c>
      <c r="P61" s="64" t="s">
        <v>180</v>
      </c>
      <c r="Q61" s="64" t="s">
        <v>181</v>
      </c>
      <c r="R61" s="64" t="s">
        <v>92</v>
      </c>
      <c r="U61" s="64">
        <f t="shared" si="0"/>
        <v>396</v>
      </c>
      <c r="W61" s="65">
        <f t="shared" si="1"/>
        <v>2.5976951859255122</v>
      </c>
      <c r="Y61" s="63"/>
      <c r="AS61" s="64" t="str">
        <f t="shared" si="2"/>
        <v>Exclude</v>
      </c>
      <c r="AU61" s="65" t="str">
        <f t="shared" si="3"/>
        <v>Exclude</v>
      </c>
    </row>
    <row r="62" spans="1:47" s="64" customFormat="1" x14ac:dyDescent="0.25">
      <c r="A62" s="63" t="s">
        <v>170</v>
      </c>
      <c r="B62" s="64">
        <v>1</v>
      </c>
      <c r="C62" s="64" t="s">
        <v>171</v>
      </c>
      <c r="D62" s="64">
        <v>33</v>
      </c>
      <c r="E62" s="64" t="s">
        <v>172</v>
      </c>
      <c r="F62" s="64" t="s">
        <v>220</v>
      </c>
      <c r="G62" s="64" t="s">
        <v>174</v>
      </c>
      <c r="H62" s="64" t="s">
        <v>185</v>
      </c>
      <c r="I62" s="64" t="s">
        <v>176</v>
      </c>
      <c r="J62" s="64">
        <v>-1</v>
      </c>
      <c r="K62" s="64" t="s">
        <v>177</v>
      </c>
      <c r="L62" s="64">
        <v>63962</v>
      </c>
      <c r="M62" s="64" t="s">
        <v>178</v>
      </c>
      <c r="N62" s="64">
        <v>500</v>
      </c>
      <c r="O62" s="64" t="s">
        <v>179</v>
      </c>
      <c r="P62" s="64" t="s">
        <v>187</v>
      </c>
      <c r="Q62" s="64" t="s">
        <v>181</v>
      </c>
      <c r="R62" s="64" t="s">
        <v>182</v>
      </c>
      <c r="U62" s="64" t="str">
        <f t="shared" si="0"/>
        <v>Exclude</v>
      </c>
      <c r="W62" s="65" t="str">
        <f t="shared" si="1"/>
        <v>Exclude</v>
      </c>
      <c r="Y62" s="63"/>
      <c r="AS62" s="64" t="str">
        <f t="shared" si="2"/>
        <v>Exclude</v>
      </c>
      <c r="AU62" s="65" t="str">
        <f t="shared" si="3"/>
        <v>Exclude</v>
      </c>
    </row>
    <row r="63" spans="1:47" s="64" customFormat="1" x14ac:dyDescent="0.25">
      <c r="A63" s="63" t="s">
        <v>170</v>
      </c>
      <c r="B63" s="64">
        <v>1</v>
      </c>
      <c r="C63" s="64" t="s">
        <v>171</v>
      </c>
      <c r="D63" s="64">
        <v>33</v>
      </c>
      <c r="E63" s="64" t="s">
        <v>172</v>
      </c>
      <c r="F63" s="64" t="s">
        <v>220</v>
      </c>
      <c r="G63" s="64" t="s">
        <v>174</v>
      </c>
      <c r="H63" s="64" t="s">
        <v>185</v>
      </c>
      <c r="I63" s="64" t="s">
        <v>176</v>
      </c>
      <c r="J63" s="64">
        <v>886</v>
      </c>
      <c r="K63" s="64" t="s">
        <v>177</v>
      </c>
      <c r="L63" s="64">
        <v>64796</v>
      </c>
      <c r="M63" s="64" t="s">
        <v>178</v>
      </c>
      <c r="N63" s="64">
        <v>448</v>
      </c>
      <c r="O63" s="64" t="s">
        <v>179</v>
      </c>
      <c r="P63" s="64" t="s">
        <v>187</v>
      </c>
      <c r="Q63" s="64" t="s">
        <v>181</v>
      </c>
      <c r="R63" s="64" t="s">
        <v>188</v>
      </c>
      <c r="U63" s="64" t="str">
        <f t="shared" si="0"/>
        <v>Pant</v>
      </c>
      <c r="W63" s="65" t="str">
        <f t="shared" si="1"/>
        <v>Exclude</v>
      </c>
      <c r="Y63" s="63"/>
      <c r="AS63" s="64" t="str">
        <f t="shared" si="2"/>
        <v>Exclude</v>
      </c>
      <c r="AU63" s="65" t="str">
        <f t="shared" si="3"/>
        <v>Exclude</v>
      </c>
    </row>
    <row r="64" spans="1:47" s="64" customFormat="1" x14ac:dyDescent="0.25">
      <c r="A64" s="63" t="s">
        <v>170</v>
      </c>
      <c r="B64" s="64">
        <v>1</v>
      </c>
      <c r="C64" s="64" t="s">
        <v>171</v>
      </c>
      <c r="D64" s="64">
        <v>34</v>
      </c>
      <c r="E64" s="64" t="s">
        <v>172</v>
      </c>
      <c r="F64" s="64" t="s">
        <v>237</v>
      </c>
      <c r="G64" s="64" t="s">
        <v>174</v>
      </c>
      <c r="H64" s="64" t="s">
        <v>185</v>
      </c>
      <c r="I64" s="64" t="s">
        <v>176</v>
      </c>
      <c r="J64" s="64">
        <v>1389</v>
      </c>
      <c r="K64" s="64" t="s">
        <v>177</v>
      </c>
      <c r="L64" s="64">
        <v>67196</v>
      </c>
      <c r="M64" s="64" t="s">
        <v>178</v>
      </c>
      <c r="N64" s="64">
        <v>519</v>
      </c>
      <c r="O64" s="64" t="s">
        <v>179</v>
      </c>
      <c r="P64" s="64" t="s">
        <v>187</v>
      </c>
      <c r="Q64" s="64" t="s">
        <v>181</v>
      </c>
      <c r="R64" s="64" t="s">
        <v>188</v>
      </c>
      <c r="U64" s="64">
        <f t="shared" si="0"/>
        <v>519</v>
      </c>
      <c r="W64" s="65">
        <f t="shared" si="1"/>
        <v>2.7151673578484576</v>
      </c>
      <c r="Y64" s="63"/>
      <c r="AS64" s="64" t="str">
        <f t="shared" si="2"/>
        <v>Exclude</v>
      </c>
      <c r="AU64" s="65" t="str">
        <f t="shared" si="3"/>
        <v>Exclude</v>
      </c>
    </row>
    <row r="65" spans="1:47" s="64" customFormat="1" x14ac:dyDescent="0.25">
      <c r="A65" s="63" t="s">
        <v>170</v>
      </c>
      <c r="B65" s="64">
        <v>1</v>
      </c>
      <c r="C65" s="64" t="s">
        <v>171</v>
      </c>
      <c r="D65" s="64">
        <v>35</v>
      </c>
      <c r="E65" s="64" t="s">
        <v>172</v>
      </c>
      <c r="F65" s="64" t="s">
        <v>237</v>
      </c>
      <c r="G65" s="64" t="s">
        <v>174</v>
      </c>
      <c r="H65" s="64" t="s">
        <v>175</v>
      </c>
      <c r="I65" s="64" t="s">
        <v>176</v>
      </c>
      <c r="J65" s="64">
        <v>786</v>
      </c>
      <c r="K65" s="64" t="s">
        <v>177</v>
      </c>
      <c r="L65" s="64">
        <v>69432</v>
      </c>
      <c r="M65" s="64" t="s">
        <v>178</v>
      </c>
      <c r="N65" s="64">
        <v>950</v>
      </c>
      <c r="O65" s="64" t="s">
        <v>179</v>
      </c>
      <c r="P65" s="64" t="s">
        <v>180</v>
      </c>
      <c r="Q65" s="64" t="s">
        <v>181</v>
      </c>
      <c r="R65" s="64" t="s">
        <v>92</v>
      </c>
      <c r="U65" s="64">
        <f t="shared" si="0"/>
        <v>950</v>
      </c>
      <c r="W65" s="65">
        <f t="shared" si="1"/>
        <v>2.9777236052888476</v>
      </c>
      <c r="Y65" s="63"/>
      <c r="AS65" s="64" t="str">
        <f t="shared" si="2"/>
        <v>Exclude</v>
      </c>
      <c r="AU65" s="65" t="str">
        <f t="shared" si="3"/>
        <v>Exclude</v>
      </c>
    </row>
    <row r="66" spans="1:47" s="64" customFormat="1" x14ac:dyDescent="0.25">
      <c r="A66" s="63" t="s">
        <v>170</v>
      </c>
      <c r="B66" s="64">
        <v>1</v>
      </c>
      <c r="C66" s="64" t="s">
        <v>171</v>
      </c>
      <c r="D66" s="64">
        <v>36</v>
      </c>
      <c r="E66" s="64" t="s">
        <v>172</v>
      </c>
      <c r="F66" s="64" t="s">
        <v>222</v>
      </c>
      <c r="G66" s="64" t="s">
        <v>174</v>
      </c>
      <c r="H66" s="64" t="s">
        <v>185</v>
      </c>
      <c r="I66" s="64" t="s">
        <v>176</v>
      </c>
      <c r="J66" s="64">
        <v>533</v>
      </c>
      <c r="K66" s="64" t="s">
        <v>177</v>
      </c>
      <c r="L66" s="64">
        <v>70949</v>
      </c>
      <c r="M66" s="64" t="s">
        <v>178</v>
      </c>
      <c r="N66" s="64">
        <v>489</v>
      </c>
      <c r="O66" s="64" t="s">
        <v>179</v>
      </c>
      <c r="P66" s="64" t="s">
        <v>187</v>
      </c>
      <c r="Q66" s="64" t="s">
        <v>181</v>
      </c>
      <c r="R66" s="64" t="s">
        <v>188</v>
      </c>
      <c r="U66" s="64">
        <f t="shared" si="0"/>
        <v>489</v>
      </c>
      <c r="W66" s="65">
        <f t="shared" si="1"/>
        <v>2.6893088591236203</v>
      </c>
      <c r="Y66" s="63"/>
      <c r="AS66" s="64" t="str">
        <f t="shared" si="2"/>
        <v>Exclude</v>
      </c>
      <c r="AU66" s="65" t="str">
        <f t="shared" si="3"/>
        <v>Exclude</v>
      </c>
    </row>
    <row r="67" spans="1:47" s="64" customFormat="1" x14ac:dyDescent="0.25">
      <c r="A67" s="63" t="s">
        <v>170</v>
      </c>
      <c r="B67" s="64">
        <v>1</v>
      </c>
      <c r="C67" s="64" t="s">
        <v>171</v>
      </c>
      <c r="D67" s="64">
        <v>37</v>
      </c>
      <c r="E67" s="64" t="s">
        <v>172</v>
      </c>
      <c r="F67" s="64" t="s">
        <v>199</v>
      </c>
      <c r="G67" s="64" t="s">
        <v>174</v>
      </c>
      <c r="H67" s="64" t="s">
        <v>185</v>
      </c>
      <c r="I67" s="64" t="s">
        <v>176</v>
      </c>
      <c r="J67" s="64">
        <v>634</v>
      </c>
      <c r="K67" s="64" t="s">
        <v>177</v>
      </c>
      <c r="L67" s="64">
        <v>72733</v>
      </c>
      <c r="M67" s="64" t="s">
        <v>178</v>
      </c>
      <c r="N67" s="64">
        <v>652</v>
      </c>
      <c r="O67" s="64" t="s">
        <v>179</v>
      </c>
      <c r="P67" s="64" t="s">
        <v>180</v>
      </c>
      <c r="Q67" s="64" t="s">
        <v>181</v>
      </c>
      <c r="R67" s="64" t="s">
        <v>186</v>
      </c>
      <c r="U67" s="64" t="str">
        <f t="shared" si="0"/>
        <v>Exclude</v>
      </c>
      <c r="W67" s="65" t="str">
        <f t="shared" si="1"/>
        <v>Exclude</v>
      </c>
      <c r="Y67" s="63"/>
      <c r="AS67" s="64" t="str">
        <f t="shared" si="2"/>
        <v>Exclude</v>
      </c>
      <c r="AU67" s="65" t="str">
        <f t="shared" si="3"/>
        <v>Exclude</v>
      </c>
    </row>
    <row r="68" spans="1:47" s="64" customFormat="1" x14ac:dyDescent="0.25">
      <c r="A68" s="63" t="s">
        <v>170</v>
      </c>
      <c r="B68" s="64">
        <v>1</v>
      </c>
      <c r="C68" s="64" t="s">
        <v>171</v>
      </c>
      <c r="D68" s="64">
        <v>38</v>
      </c>
      <c r="E68" s="64" t="s">
        <v>172</v>
      </c>
      <c r="F68" s="64" t="s">
        <v>213</v>
      </c>
      <c r="G68" s="64" t="s">
        <v>174</v>
      </c>
      <c r="H68" s="64" t="s">
        <v>185</v>
      </c>
      <c r="I68" s="64" t="s">
        <v>176</v>
      </c>
      <c r="J68" s="64">
        <v>615</v>
      </c>
      <c r="K68" s="64" t="s">
        <v>177</v>
      </c>
      <c r="L68" s="64">
        <v>74267</v>
      </c>
      <c r="M68" s="64" t="s">
        <v>178</v>
      </c>
      <c r="N68" s="64">
        <v>407</v>
      </c>
      <c r="O68" s="64" t="s">
        <v>179</v>
      </c>
      <c r="P68" s="64" t="s">
        <v>187</v>
      </c>
      <c r="Q68" s="64" t="s">
        <v>181</v>
      </c>
      <c r="R68" s="64" t="s">
        <v>188</v>
      </c>
      <c r="U68" s="64">
        <f t="shared" si="0"/>
        <v>407</v>
      </c>
      <c r="W68" s="65">
        <f t="shared" si="1"/>
        <v>2.6095944092252199</v>
      </c>
      <c r="Y68" s="63"/>
      <c r="AS68" s="64" t="str">
        <f t="shared" si="2"/>
        <v>Exclude</v>
      </c>
      <c r="AU68" s="65" t="str">
        <f t="shared" si="3"/>
        <v>Exclude</v>
      </c>
    </row>
    <row r="69" spans="1:47" s="64" customFormat="1" x14ac:dyDescent="0.25">
      <c r="A69" s="63" t="s">
        <v>170</v>
      </c>
      <c r="B69" s="64">
        <v>1</v>
      </c>
      <c r="C69" s="64" t="s">
        <v>171</v>
      </c>
      <c r="D69" s="64">
        <v>39</v>
      </c>
      <c r="E69" s="64" t="s">
        <v>172</v>
      </c>
      <c r="F69" s="64" t="s">
        <v>213</v>
      </c>
      <c r="G69" s="64" t="s">
        <v>174</v>
      </c>
      <c r="H69" s="64" t="s">
        <v>175</v>
      </c>
      <c r="I69" s="64" t="s">
        <v>176</v>
      </c>
      <c r="J69" s="64">
        <v>1469</v>
      </c>
      <c r="K69" s="64" t="s">
        <v>177</v>
      </c>
      <c r="L69" s="64">
        <v>76691</v>
      </c>
      <c r="M69" s="64" t="s">
        <v>178</v>
      </c>
      <c r="N69" s="64">
        <v>462</v>
      </c>
      <c r="O69" s="64" t="s">
        <v>179</v>
      </c>
      <c r="P69" s="64" t="s">
        <v>180</v>
      </c>
      <c r="Q69" s="64" t="s">
        <v>181</v>
      </c>
      <c r="R69" s="64" t="s">
        <v>92</v>
      </c>
      <c r="U69" s="64">
        <f t="shared" si="0"/>
        <v>462</v>
      </c>
      <c r="W69" s="65">
        <f t="shared" si="1"/>
        <v>2.6646419755561257</v>
      </c>
      <c r="Y69" s="63"/>
      <c r="AS69" s="64" t="str">
        <f t="shared" si="2"/>
        <v>Exclude</v>
      </c>
      <c r="AU69" s="65" t="str">
        <f t="shared" si="3"/>
        <v>Exclude</v>
      </c>
    </row>
    <row r="70" spans="1:47" s="64" customFormat="1" x14ac:dyDescent="0.25">
      <c r="A70" s="63" t="s">
        <v>170</v>
      </c>
      <c r="B70" s="64">
        <v>1</v>
      </c>
      <c r="C70" s="64" t="s">
        <v>171</v>
      </c>
      <c r="D70" s="64">
        <v>40</v>
      </c>
      <c r="E70" s="64" t="s">
        <v>172</v>
      </c>
      <c r="F70" s="64" t="s">
        <v>213</v>
      </c>
      <c r="G70" s="64" t="s">
        <v>174</v>
      </c>
      <c r="H70" s="64" t="s">
        <v>175</v>
      </c>
      <c r="I70" s="64" t="s">
        <v>176</v>
      </c>
      <c r="J70" s="64">
        <v>724</v>
      </c>
      <c r="K70" s="64" t="s">
        <v>177</v>
      </c>
      <c r="L70" s="64">
        <v>78253</v>
      </c>
      <c r="M70" s="64" t="s">
        <v>178</v>
      </c>
      <c r="N70" s="64">
        <v>333</v>
      </c>
      <c r="O70" s="64" t="s">
        <v>179</v>
      </c>
      <c r="P70" s="64" t="s">
        <v>187</v>
      </c>
      <c r="Q70" s="64" t="s">
        <v>181</v>
      </c>
      <c r="R70" s="64" t="s">
        <v>189</v>
      </c>
      <c r="U70" s="64" t="str">
        <f t="shared" si="0"/>
        <v>Exclude</v>
      </c>
      <c r="W70" s="65" t="str">
        <f t="shared" si="1"/>
        <v>Exclude</v>
      </c>
      <c r="Y70" s="63"/>
      <c r="AS70" s="64" t="str">
        <f t="shared" si="2"/>
        <v>Exclude</v>
      </c>
      <c r="AU70" s="65" t="str">
        <f t="shared" si="3"/>
        <v>Exclude</v>
      </c>
    </row>
    <row r="71" spans="1:47" s="64" customFormat="1" x14ac:dyDescent="0.25">
      <c r="A71" s="63" t="s">
        <v>170</v>
      </c>
      <c r="B71" s="64">
        <v>1</v>
      </c>
      <c r="C71" s="64" t="s">
        <v>171</v>
      </c>
      <c r="D71" s="64">
        <v>41</v>
      </c>
      <c r="E71" s="64" t="s">
        <v>172</v>
      </c>
      <c r="F71" s="64" t="s">
        <v>213</v>
      </c>
      <c r="G71" s="64" t="s">
        <v>174</v>
      </c>
      <c r="H71" s="64" t="s">
        <v>175</v>
      </c>
      <c r="I71" s="64" t="s">
        <v>176</v>
      </c>
      <c r="J71" s="64">
        <v>1053</v>
      </c>
      <c r="K71" s="64" t="s">
        <v>177</v>
      </c>
      <c r="L71" s="64">
        <v>80204</v>
      </c>
      <c r="M71" s="64" t="s">
        <v>178</v>
      </c>
      <c r="N71" s="64">
        <v>410</v>
      </c>
      <c r="O71" s="64" t="s">
        <v>179</v>
      </c>
      <c r="P71" s="64" t="s">
        <v>187</v>
      </c>
      <c r="Q71" s="64" t="s">
        <v>181</v>
      </c>
      <c r="R71" s="64" t="s">
        <v>189</v>
      </c>
      <c r="U71" s="64" t="str">
        <f t="shared" si="0"/>
        <v>Exclude</v>
      </c>
      <c r="W71" s="65" t="str">
        <f t="shared" si="1"/>
        <v>Exclude</v>
      </c>
      <c r="Y71" s="63"/>
      <c r="AS71" s="64" t="str">
        <f t="shared" si="2"/>
        <v>Exclude</v>
      </c>
      <c r="AU71" s="65" t="str">
        <f t="shared" si="3"/>
        <v>Exclude</v>
      </c>
    </row>
    <row r="72" spans="1:47" s="64" customFormat="1" x14ac:dyDescent="0.25">
      <c r="A72" s="63" t="s">
        <v>170</v>
      </c>
      <c r="B72" s="64">
        <v>1</v>
      </c>
      <c r="C72" s="64" t="s">
        <v>171</v>
      </c>
      <c r="D72" s="64">
        <v>42</v>
      </c>
      <c r="E72" s="64" t="s">
        <v>172</v>
      </c>
      <c r="F72" s="64" t="s">
        <v>218</v>
      </c>
      <c r="G72" s="64" t="s">
        <v>174</v>
      </c>
      <c r="H72" s="64" t="s">
        <v>185</v>
      </c>
      <c r="I72" s="64" t="s">
        <v>176</v>
      </c>
      <c r="J72" s="64">
        <v>1235</v>
      </c>
      <c r="K72" s="64" t="s">
        <v>177</v>
      </c>
      <c r="L72" s="64">
        <v>82343</v>
      </c>
      <c r="M72" s="64" t="s">
        <v>178</v>
      </c>
      <c r="N72" s="64">
        <v>408</v>
      </c>
      <c r="O72" s="64" t="s">
        <v>179</v>
      </c>
      <c r="P72" s="64" t="s">
        <v>187</v>
      </c>
      <c r="Q72" s="64" t="s">
        <v>181</v>
      </c>
      <c r="R72" s="64" t="s">
        <v>188</v>
      </c>
      <c r="U72" s="64">
        <f t="shared" si="0"/>
        <v>408</v>
      </c>
      <c r="W72" s="65">
        <f t="shared" si="1"/>
        <v>2.61066016308988</v>
      </c>
      <c r="Y72" s="63"/>
      <c r="AS72" s="64" t="str">
        <f t="shared" si="2"/>
        <v>Exclude</v>
      </c>
      <c r="AU72" s="65" t="str">
        <f t="shared" si="3"/>
        <v>Exclude</v>
      </c>
    </row>
    <row r="73" spans="1:47" s="64" customFormat="1" x14ac:dyDescent="0.25">
      <c r="A73" s="63" t="s">
        <v>170</v>
      </c>
      <c r="B73" s="64">
        <v>1</v>
      </c>
      <c r="C73" s="64" t="s">
        <v>171</v>
      </c>
      <c r="D73" s="64">
        <v>43</v>
      </c>
      <c r="E73" s="64" t="s">
        <v>172</v>
      </c>
      <c r="F73" s="64" t="s">
        <v>218</v>
      </c>
      <c r="G73" s="64" t="s">
        <v>174</v>
      </c>
      <c r="H73" s="64" t="s">
        <v>175</v>
      </c>
      <c r="I73" s="64" t="s">
        <v>176</v>
      </c>
      <c r="J73" s="64">
        <v>924</v>
      </c>
      <c r="K73" s="64" t="s">
        <v>177</v>
      </c>
      <c r="L73" s="64">
        <v>84156</v>
      </c>
      <c r="M73" s="64" t="s">
        <v>178</v>
      </c>
      <c r="N73" s="64">
        <v>389</v>
      </c>
      <c r="O73" s="64" t="s">
        <v>179</v>
      </c>
      <c r="P73" s="64" t="s">
        <v>180</v>
      </c>
      <c r="Q73" s="64" t="s">
        <v>181</v>
      </c>
      <c r="R73" s="64" t="s">
        <v>92</v>
      </c>
      <c r="U73" s="64">
        <f t="shared" si="0"/>
        <v>389</v>
      </c>
      <c r="W73" s="65">
        <f t="shared" si="1"/>
        <v>2.5899496013257077</v>
      </c>
      <c r="Y73" s="63"/>
      <c r="AS73" s="64" t="str">
        <f t="shared" si="2"/>
        <v>Exclude</v>
      </c>
      <c r="AU73" s="65" t="str">
        <f t="shared" si="3"/>
        <v>Exclude</v>
      </c>
    </row>
    <row r="74" spans="1:47" s="64" customFormat="1" x14ac:dyDescent="0.25">
      <c r="A74" s="63" t="s">
        <v>170</v>
      </c>
      <c r="B74" s="64">
        <v>1</v>
      </c>
      <c r="C74" s="64" t="s">
        <v>171</v>
      </c>
      <c r="D74" s="64">
        <v>43</v>
      </c>
      <c r="E74" s="64" t="s">
        <v>172</v>
      </c>
      <c r="F74" s="64" t="s">
        <v>218</v>
      </c>
      <c r="G74" s="64" t="s">
        <v>174</v>
      </c>
      <c r="H74" s="64" t="s">
        <v>175</v>
      </c>
      <c r="I74" s="64" t="s">
        <v>176</v>
      </c>
      <c r="J74" s="64">
        <v>924</v>
      </c>
      <c r="K74" s="64" t="s">
        <v>177</v>
      </c>
      <c r="L74" s="64">
        <v>84248</v>
      </c>
      <c r="M74" s="64" t="s">
        <v>178</v>
      </c>
      <c r="N74" s="64">
        <v>92</v>
      </c>
      <c r="O74" s="64" t="s">
        <v>179</v>
      </c>
      <c r="P74" s="64" t="s">
        <v>180</v>
      </c>
      <c r="Q74" s="64" t="s">
        <v>181</v>
      </c>
      <c r="R74" s="64" t="s">
        <v>190</v>
      </c>
      <c r="U74" s="64" t="str">
        <f t="shared" si="0"/>
        <v>Exclude</v>
      </c>
      <c r="W74" s="65" t="str">
        <f t="shared" si="1"/>
        <v>Exclude</v>
      </c>
      <c r="Y74" s="63"/>
      <c r="AS74" s="64" t="str">
        <f t="shared" si="2"/>
        <v>Exclude</v>
      </c>
      <c r="AU74" s="65" t="str">
        <f t="shared" si="3"/>
        <v>Exclude</v>
      </c>
    </row>
    <row r="75" spans="1:47" s="64" customFormat="1" x14ac:dyDescent="0.25">
      <c r="A75" s="63"/>
      <c r="U75" s="64" t="str">
        <f t="shared" si="0"/>
        <v>Exclude</v>
      </c>
      <c r="W75" s="65" t="str">
        <f t="shared" si="1"/>
        <v>Exclude</v>
      </c>
      <c r="Y75" s="63"/>
      <c r="AS75" s="64" t="str">
        <f t="shared" si="2"/>
        <v>Exclude</v>
      </c>
      <c r="AU75" s="65" t="str">
        <f t="shared" si="3"/>
        <v>Exclude</v>
      </c>
    </row>
    <row r="76" spans="1:47" s="64" customFormat="1" x14ac:dyDescent="0.25">
      <c r="A76" s="63"/>
      <c r="U76" s="64" t="str">
        <f t="shared" si="0"/>
        <v>Exclude</v>
      </c>
      <c r="W76" s="65" t="str">
        <f t="shared" si="1"/>
        <v>Exclude</v>
      </c>
      <c r="Y76" s="63"/>
      <c r="AS76" s="64" t="str">
        <f t="shared" si="2"/>
        <v>Exclude</v>
      </c>
      <c r="AU76" s="65" t="str">
        <f t="shared" si="3"/>
        <v>Exclude</v>
      </c>
    </row>
    <row r="77" spans="1:47" s="64" customFormat="1" x14ac:dyDescent="0.25">
      <c r="A77" s="63"/>
      <c r="U77" s="64" t="str">
        <f t="shared" si="0"/>
        <v>Exclude</v>
      </c>
      <c r="W77" s="65" t="str">
        <f t="shared" si="1"/>
        <v>Exclude</v>
      </c>
      <c r="Y77" s="63"/>
      <c r="AS77" s="64" t="str">
        <f t="shared" si="2"/>
        <v>Exclude</v>
      </c>
      <c r="AU77" s="65" t="str">
        <f t="shared" si="3"/>
        <v>Exclude</v>
      </c>
    </row>
    <row r="78" spans="1:47" s="64" customFormat="1" x14ac:dyDescent="0.25">
      <c r="A78" s="63"/>
      <c r="U78" s="64" t="str">
        <f t="shared" si="0"/>
        <v>Exclude</v>
      </c>
      <c r="W78" s="65" t="str">
        <f t="shared" si="1"/>
        <v>Exclude</v>
      </c>
      <c r="Y78" s="63"/>
      <c r="AS78" s="64" t="str">
        <f t="shared" si="2"/>
        <v>Exclude</v>
      </c>
      <c r="AU78" s="65" t="str">
        <f t="shared" si="3"/>
        <v>Exclude</v>
      </c>
    </row>
    <row r="79" spans="1:47" s="64" customFormat="1" x14ac:dyDescent="0.25">
      <c r="A79" s="63"/>
      <c r="U79" s="64" t="str">
        <f t="shared" si="0"/>
        <v>Exclude</v>
      </c>
      <c r="W79" s="65" t="str">
        <f t="shared" si="1"/>
        <v>Exclude</v>
      </c>
      <c r="Y79" s="63"/>
      <c r="AS79" s="64" t="str">
        <f t="shared" si="2"/>
        <v>Exclude</v>
      </c>
      <c r="AU79" s="65" t="str">
        <f t="shared" si="3"/>
        <v>Exclude</v>
      </c>
    </row>
    <row r="80" spans="1:47" s="64" customFormat="1" x14ac:dyDescent="0.25">
      <c r="A80" s="63"/>
      <c r="U80" s="64" t="str">
        <f t="shared" si="0"/>
        <v>Exclude</v>
      </c>
      <c r="W80" s="65" t="str">
        <f t="shared" si="1"/>
        <v>Exclude</v>
      </c>
      <c r="Y80" s="63"/>
      <c r="AS80" s="64" t="str">
        <f t="shared" si="2"/>
        <v>Exclude</v>
      </c>
      <c r="AU80" s="65" t="str">
        <f t="shared" si="3"/>
        <v>Exclude</v>
      </c>
    </row>
    <row r="81" spans="1:47" s="64" customFormat="1" x14ac:dyDescent="0.25">
      <c r="A81" s="63"/>
      <c r="U81" s="64" t="str">
        <f t="shared" si="0"/>
        <v>Exclude</v>
      </c>
      <c r="W81" s="65" t="str">
        <f t="shared" si="1"/>
        <v>Exclude</v>
      </c>
      <c r="Y81" s="63"/>
      <c r="AS81" s="64" t="str">
        <f t="shared" si="2"/>
        <v>Exclude</v>
      </c>
      <c r="AU81" s="65" t="str">
        <f t="shared" si="3"/>
        <v>Exclude</v>
      </c>
    </row>
    <row r="82" spans="1:47" s="64" customFormat="1" x14ac:dyDescent="0.25">
      <c r="A82" s="63"/>
      <c r="U82" s="64" t="str">
        <f t="shared" si="0"/>
        <v>Exclude</v>
      </c>
      <c r="W82" s="65" t="str">
        <f t="shared" si="1"/>
        <v>Exclude</v>
      </c>
      <c r="Y82" s="63"/>
      <c r="AS82" s="64" t="str">
        <f t="shared" si="2"/>
        <v>Exclude</v>
      </c>
      <c r="AU82" s="65" t="str">
        <f t="shared" si="3"/>
        <v>Exclude</v>
      </c>
    </row>
    <row r="83" spans="1:47" s="64" customFormat="1" x14ac:dyDescent="0.25">
      <c r="A83" s="63"/>
      <c r="U83" s="64" t="str">
        <f t="shared" si="0"/>
        <v>Exclude</v>
      </c>
      <c r="W83" s="65" t="str">
        <f t="shared" si="1"/>
        <v>Exclude</v>
      </c>
      <c r="Y83" s="63"/>
      <c r="AS83" s="64" t="str">
        <f t="shared" si="2"/>
        <v>Exclude</v>
      </c>
      <c r="AU83" s="65" t="str">
        <f t="shared" si="3"/>
        <v>Exclude</v>
      </c>
    </row>
    <row r="84" spans="1:47" s="64" customFormat="1" x14ac:dyDescent="0.25">
      <c r="A84" s="63"/>
      <c r="U84" s="64" t="str">
        <f t="shared" si="0"/>
        <v>Exclude</v>
      </c>
      <c r="W84" s="65" t="str">
        <f t="shared" si="1"/>
        <v>Exclude</v>
      </c>
      <c r="Y84" s="63"/>
      <c r="AS84" s="64" t="str">
        <f t="shared" si="2"/>
        <v>Exclude</v>
      </c>
      <c r="AU84" s="65" t="str">
        <f t="shared" si="3"/>
        <v>Exclude</v>
      </c>
    </row>
    <row r="85" spans="1:47" s="64" customFormat="1" x14ac:dyDescent="0.25">
      <c r="A85" s="63"/>
      <c r="U85" s="64" t="str">
        <f t="shared" si="0"/>
        <v>Exclude</v>
      </c>
      <c r="W85" s="65" t="str">
        <f t="shared" si="1"/>
        <v>Exclude</v>
      </c>
      <c r="Y85" s="63"/>
      <c r="AS85" s="64" t="str">
        <f t="shared" si="2"/>
        <v>Exclude</v>
      </c>
      <c r="AU85" s="65" t="str">
        <f t="shared" si="3"/>
        <v>Exclude</v>
      </c>
    </row>
    <row r="86" spans="1:47" s="64" customFormat="1" x14ac:dyDescent="0.25">
      <c r="A86" s="63"/>
      <c r="U86" s="64" t="str">
        <f t="shared" si="0"/>
        <v>Exclude</v>
      </c>
      <c r="W86" s="65" t="str">
        <f t="shared" si="1"/>
        <v>Exclude</v>
      </c>
      <c r="Y86" s="63"/>
      <c r="AS86" s="64" t="str">
        <f t="shared" si="2"/>
        <v>Exclude</v>
      </c>
      <c r="AU86" s="65" t="str">
        <f t="shared" si="3"/>
        <v>Exclude</v>
      </c>
    </row>
    <row r="87" spans="1:47" s="64" customFormat="1" x14ac:dyDescent="0.25">
      <c r="A87" s="63"/>
      <c r="U87" s="64" t="str">
        <f t="shared" ref="U87:U150" si="4">IF(OR(R87="TruePositive",R87="TrueNegative"),IF(R86&lt;&gt;"Anticipatory",(N87),"Pant"),"Exclude")</f>
        <v>Exclude</v>
      </c>
      <c r="W87" s="65" t="str">
        <f t="shared" ref="W87:W150" si="5">IF(OR(R87="TruePositive",R87="TrueNegative"),IF(R86&lt;&gt;"Anticipatory",LOG10(N87),"Exclude"),"Exclude")</f>
        <v>Exclude</v>
      </c>
      <c r="Y87" s="63"/>
      <c r="AS87" s="64" t="str">
        <f t="shared" ref="AS87:AS150" si="6">IF(OR(AP87="TruePositive",AP87="TrueNegative"),IF(AP86&lt;&gt;"Anticipatory",(AL87),"Pant"),"Exclude")</f>
        <v>Exclude</v>
      </c>
      <c r="AU87" s="65" t="str">
        <f t="shared" ref="AU87:AU150" si="7">IF(OR(AP87="TruePositive",AP87="TrueNegative"),IF(AP86&lt;&gt;"Anticipatory",LOG10(AL87),"Exclude"),"Exclude")</f>
        <v>Exclude</v>
      </c>
    </row>
    <row r="88" spans="1:47" s="64" customFormat="1" x14ac:dyDescent="0.25">
      <c r="A88" s="63"/>
      <c r="U88" s="64" t="str">
        <f t="shared" si="4"/>
        <v>Exclude</v>
      </c>
      <c r="W88" s="65" t="str">
        <f t="shared" si="5"/>
        <v>Exclude</v>
      </c>
      <c r="Y88" s="63"/>
      <c r="AS88" s="64" t="str">
        <f t="shared" si="6"/>
        <v>Exclude</v>
      </c>
      <c r="AU88" s="65" t="str">
        <f t="shared" si="7"/>
        <v>Exclude</v>
      </c>
    </row>
    <row r="89" spans="1:47" s="64" customFormat="1" x14ac:dyDescent="0.25">
      <c r="A89" s="63"/>
      <c r="U89" s="64" t="str">
        <f t="shared" si="4"/>
        <v>Exclude</v>
      </c>
      <c r="W89" s="65" t="str">
        <f t="shared" si="5"/>
        <v>Exclude</v>
      </c>
      <c r="Y89" s="63"/>
      <c r="AS89" s="64" t="str">
        <f t="shared" si="6"/>
        <v>Exclude</v>
      </c>
      <c r="AU89" s="65" t="str">
        <f t="shared" si="7"/>
        <v>Exclude</v>
      </c>
    </row>
    <row r="90" spans="1:47" s="64" customFormat="1" x14ac:dyDescent="0.25">
      <c r="A90" s="63"/>
      <c r="U90" s="64" t="str">
        <f t="shared" si="4"/>
        <v>Exclude</v>
      </c>
      <c r="W90" s="65" t="str">
        <f t="shared" si="5"/>
        <v>Exclude</v>
      </c>
      <c r="Y90" s="63"/>
      <c r="AS90" s="64" t="str">
        <f t="shared" si="6"/>
        <v>Exclude</v>
      </c>
      <c r="AU90" s="65" t="str">
        <f t="shared" si="7"/>
        <v>Exclude</v>
      </c>
    </row>
    <row r="91" spans="1:47" s="64" customFormat="1" x14ac:dyDescent="0.25">
      <c r="A91" s="63"/>
      <c r="U91" s="64" t="str">
        <f t="shared" si="4"/>
        <v>Exclude</v>
      </c>
      <c r="W91" s="65" t="str">
        <f t="shared" si="5"/>
        <v>Exclude</v>
      </c>
      <c r="Y91" s="63"/>
      <c r="AS91" s="64" t="str">
        <f t="shared" si="6"/>
        <v>Exclude</v>
      </c>
      <c r="AU91" s="65" t="str">
        <f t="shared" si="7"/>
        <v>Exclude</v>
      </c>
    </row>
    <row r="92" spans="1:47" s="64" customFormat="1" x14ac:dyDescent="0.25">
      <c r="A92" s="63"/>
      <c r="U92" s="64" t="str">
        <f t="shared" si="4"/>
        <v>Exclude</v>
      </c>
      <c r="W92" s="65" t="str">
        <f t="shared" si="5"/>
        <v>Exclude</v>
      </c>
      <c r="Y92" s="63"/>
      <c r="AS92" s="64" t="str">
        <f t="shared" si="6"/>
        <v>Exclude</v>
      </c>
      <c r="AU92" s="65" t="str">
        <f t="shared" si="7"/>
        <v>Exclude</v>
      </c>
    </row>
    <row r="93" spans="1:47" s="64" customFormat="1" x14ac:dyDescent="0.25">
      <c r="A93" s="63"/>
      <c r="U93" s="64" t="str">
        <f t="shared" si="4"/>
        <v>Exclude</v>
      </c>
      <c r="W93" s="65" t="str">
        <f t="shared" si="5"/>
        <v>Exclude</v>
      </c>
      <c r="Y93" s="63"/>
      <c r="AS93" s="64" t="str">
        <f t="shared" si="6"/>
        <v>Exclude</v>
      </c>
      <c r="AU93" s="65" t="str">
        <f t="shared" si="7"/>
        <v>Exclude</v>
      </c>
    </row>
    <row r="94" spans="1:47" s="64" customFormat="1" x14ac:dyDescent="0.25">
      <c r="A94" s="63"/>
      <c r="U94" s="64" t="str">
        <f t="shared" si="4"/>
        <v>Exclude</v>
      </c>
      <c r="W94" s="65" t="str">
        <f t="shared" si="5"/>
        <v>Exclude</v>
      </c>
      <c r="Y94" s="63"/>
      <c r="AS94" s="64" t="str">
        <f t="shared" si="6"/>
        <v>Exclude</v>
      </c>
      <c r="AU94" s="65" t="str">
        <f t="shared" si="7"/>
        <v>Exclude</v>
      </c>
    </row>
    <row r="95" spans="1:47" s="64" customFormat="1" x14ac:dyDescent="0.25">
      <c r="A95" s="63"/>
      <c r="U95" s="64" t="str">
        <f t="shared" si="4"/>
        <v>Exclude</v>
      </c>
      <c r="W95" s="65" t="str">
        <f t="shared" si="5"/>
        <v>Exclude</v>
      </c>
      <c r="Y95" s="63"/>
      <c r="AS95" s="64" t="str">
        <f t="shared" si="6"/>
        <v>Exclude</v>
      </c>
      <c r="AU95" s="65" t="str">
        <f t="shared" si="7"/>
        <v>Exclude</v>
      </c>
    </row>
    <row r="96" spans="1:47" s="64" customFormat="1" x14ac:dyDescent="0.25">
      <c r="A96" s="63"/>
      <c r="U96" s="64" t="str">
        <f t="shared" si="4"/>
        <v>Exclude</v>
      </c>
      <c r="W96" s="65" t="str">
        <f t="shared" si="5"/>
        <v>Exclude</v>
      </c>
      <c r="Y96" s="63"/>
      <c r="AS96" s="64" t="str">
        <f t="shared" si="6"/>
        <v>Exclude</v>
      </c>
      <c r="AU96" s="65" t="str">
        <f t="shared" si="7"/>
        <v>Exclude</v>
      </c>
    </row>
    <row r="97" spans="1:47" s="64" customFormat="1" x14ac:dyDescent="0.25">
      <c r="A97" s="63"/>
      <c r="U97" s="64" t="str">
        <f t="shared" si="4"/>
        <v>Exclude</v>
      </c>
      <c r="W97" s="65" t="str">
        <f t="shared" si="5"/>
        <v>Exclude</v>
      </c>
      <c r="Y97" s="63"/>
      <c r="AS97" s="64" t="str">
        <f t="shared" si="6"/>
        <v>Exclude</v>
      </c>
      <c r="AU97" s="65" t="str">
        <f t="shared" si="7"/>
        <v>Exclude</v>
      </c>
    </row>
    <row r="98" spans="1:47" s="64" customFormat="1" x14ac:dyDescent="0.25">
      <c r="A98" s="63"/>
      <c r="U98" s="64" t="str">
        <f t="shared" si="4"/>
        <v>Exclude</v>
      </c>
      <c r="W98" s="65" t="str">
        <f t="shared" si="5"/>
        <v>Exclude</v>
      </c>
      <c r="Y98" s="63"/>
      <c r="AS98" s="64" t="str">
        <f t="shared" si="6"/>
        <v>Exclude</v>
      </c>
      <c r="AU98" s="65" t="str">
        <f t="shared" si="7"/>
        <v>Exclude</v>
      </c>
    </row>
    <row r="99" spans="1:47" s="64" customFormat="1" x14ac:dyDescent="0.25">
      <c r="A99" s="63"/>
      <c r="U99" s="64" t="str">
        <f t="shared" si="4"/>
        <v>Exclude</v>
      </c>
      <c r="W99" s="65" t="str">
        <f t="shared" si="5"/>
        <v>Exclude</v>
      </c>
      <c r="Y99" s="63"/>
      <c r="AS99" s="64" t="str">
        <f t="shared" si="6"/>
        <v>Exclude</v>
      </c>
      <c r="AU99" s="65" t="str">
        <f t="shared" si="7"/>
        <v>Exclude</v>
      </c>
    </row>
    <row r="100" spans="1:47" s="64" customFormat="1" x14ac:dyDescent="0.25">
      <c r="A100" s="63"/>
      <c r="U100" s="64" t="str">
        <f t="shared" si="4"/>
        <v>Exclude</v>
      </c>
      <c r="W100" s="65" t="str">
        <f t="shared" si="5"/>
        <v>Exclude</v>
      </c>
      <c r="Y100" s="63"/>
      <c r="AS100" s="64" t="str">
        <f t="shared" si="6"/>
        <v>Exclude</v>
      </c>
      <c r="AU100" s="65" t="str">
        <f t="shared" si="7"/>
        <v>Exclude</v>
      </c>
    </row>
    <row r="101" spans="1:47" s="64" customFormat="1" x14ac:dyDescent="0.25">
      <c r="A101" s="63"/>
      <c r="U101" s="64" t="str">
        <f t="shared" si="4"/>
        <v>Exclude</v>
      </c>
      <c r="W101" s="65" t="str">
        <f t="shared" si="5"/>
        <v>Exclude</v>
      </c>
      <c r="Y101" s="63"/>
      <c r="AS101" s="64" t="str">
        <f t="shared" si="6"/>
        <v>Exclude</v>
      </c>
      <c r="AU101" s="65" t="str">
        <f t="shared" si="7"/>
        <v>Exclude</v>
      </c>
    </row>
    <row r="102" spans="1:47" s="64" customFormat="1" x14ac:dyDescent="0.25">
      <c r="A102" s="63"/>
      <c r="U102" s="64" t="str">
        <f t="shared" si="4"/>
        <v>Exclude</v>
      </c>
      <c r="W102" s="65" t="str">
        <f t="shared" si="5"/>
        <v>Exclude</v>
      </c>
      <c r="Y102" s="63"/>
      <c r="AS102" s="64" t="str">
        <f t="shared" si="6"/>
        <v>Exclude</v>
      </c>
      <c r="AU102" s="65" t="str">
        <f t="shared" si="7"/>
        <v>Exclude</v>
      </c>
    </row>
    <row r="103" spans="1:47" s="64" customFormat="1" x14ac:dyDescent="0.25">
      <c r="A103" s="63"/>
      <c r="U103" s="64" t="str">
        <f t="shared" si="4"/>
        <v>Exclude</v>
      </c>
      <c r="W103" s="65" t="str">
        <f t="shared" si="5"/>
        <v>Exclude</v>
      </c>
      <c r="Y103" s="63"/>
      <c r="AS103" s="64" t="str">
        <f t="shared" si="6"/>
        <v>Exclude</v>
      </c>
      <c r="AU103" s="65" t="str">
        <f t="shared" si="7"/>
        <v>Exclude</v>
      </c>
    </row>
    <row r="104" spans="1:47" s="64" customFormat="1" x14ac:dyDescent="0.25">
      <c r="A104" s="63"/>
      <c r="U104" s="64" t="str">
        <f t="shared" si="4"/>
        <v>Exclude</v>
      </c>
      <c r="W104" s="65" t="str">
        <f t="shared" si="5"/>
        <v>Exclude</v>
      </c>
      <c r="Y104" s="63"/>
      <c r="AS104" s="64" t="str">
        <f t="shared" si="6"/>
        <v>Exclude</v>
      </c>
      <c r="AU104" s="65" t="str">
        <f t="shared" si="7"/>
        <v>Exclude</v>
      </c>
    </row>
    <row r="105" spans="1:47" s="64" customFormat="1" x14ac:dyDescent="0.25">
      <c r="A105" s="63"/>
      <c r="U105" s="64" t="str">
        <f t="shared" si="4"/>
        <v>Exclude</v>
      </c>
      <c r="W105" s="65" t="str">
        <f t="shared" si="5"/>
        <v>Exclude</v>
      </c>
      <c r="Y105" s="63"/>
      <c r="AS105" s="64" t="str">
        <f t="shared" si="6"/>
        <v>Exclude</v>
      </c>
      <c r="AU105" s="65" t="str">
        <f t="shared" si="7"/>
        <v>Exclude</v>
      </c>
    </row>
    <row r="106" spans="1:47" s="64" customFormat="1" x14ac:dyDescent="0.25">
      <c r="A106" s="63"/>
      <c r="U106" s="64" t="str">
        <f t="shared" si="4"/>
        <v>Exclude</v>
      </c>
      <c r="W106" s="65" t="str">
        <f t="shared" si="5"/>
        <v>Exclude</v>
      </c>
      <c r="Y106" s="63"/>
      <c r="AS106" s="64" t="str">
        <f t="shared" si="6"/>
        <v>Exclude</v>
      </c>
      <c r="AU106" s="65" t="str">
        <f t="shared" si="7"/>
        <v>Exclude</v>
      </c>
    </row>
    <row r="107" spans="1:47" s="64" customFormat="1" x14ac:dyDescent="0.25">
      <c r="A107" s="63"/>
      <c r="U107" s="64" t="str">
        <f t="shared" si="4"/>
        <v>Exclude</v>
      </c>
      <c r="W107" s="65" t="str">
        <f t="shared" si="5"/>
        <v>Exclude</v>
      </c>
      <c r="Y107" s="63"/>
      <c r="AS107" s="64" t="str">
        <f t="shared" si="6"/>
        <v>Exclude</v>
      </c>
      <c r="AU107" s="65" t="str">
        <f t="shared" si="7"/>
        <v>Exclude</v>
      </c>
    </row>
    <row r="108" spans="1:47" s="64" customFormat="1" x14ac:dyDescent="0.25">
      <c r="A108" s="63"/>
      <c r="U108" s="64" t="str">
        <f t="shared" si="4"/>
        <v>Exclude</v>
      </c>
      <c r="W108" s="65" t="str">
        <f t="shared" si="5"/>
        <v>Exclude</v>
      </c>
      <c r="Y108" s="63"/>
      <c r="AS108" s="64" t="str">
        <f t="shared" si="6"/>
        <v>Exclude</v>
      </c>
      <c r="AU108" s="65" t="str">
        <f t="shared" si="7"/>
        <v>Exclude</v>
      </c>
    </row>
    <row r="109" spans="1:47" s="64" customFormat="1" x14ac:dyDescent="0.25">
      <c r="A109" s="63"/>
      <c r="U109" s="64" t="str">
        <f t="shared" si="4"/>
        <v>Exclude</v>
      </c>
      <c r="W109" s="65" t="str">
        <f t="shared" si="5"/>
        <v>Exclude</v>
      </c>
      <c r="Y109" s="63"/>
      <c r="AS109" s="64" t="str">
        <f t="shared" si="6"/>
        <v>Exclude</v>
      </c>
      <c r="AU109" s="65" t="str">
        <f t="shared" si="7"/>
        <v>Exclude</v>
      </c>
    </row>
    <row r="110" spans="1:47" s="64" customFormat="1" x14ac:dyDescent="0.25">
      <c r="A110" s="63"/>
      <c r="U110" s="64" t="str">
        <f t="shared" si="4"/>
        <v>Exclude</v>
      </c>
      <c r="W110" s="65" t="str">
        <f t="shared" si="5"/>
        <v>Exclude</v>
      </c>
      <c r="Y110" s="63"/>
      <c r="AS110" s="64" t="str">
        <f t="shared" si="6"/>
        <v>Exclude</v>
      </c>
      <c r="AU110" s="65" t="str">
        <f t="shared" si="7"/>
        <v>Exclude</v>
      </c>
    </row>
    <row r="111" spans="1:47" s="64" customFormat="1" x14ac:dyDescent="0.25">
      <c r="A111" s="63"/>
      <c r="U111" s="64" t="str">
        <f t="shared" si="4"/>
        <v>Exclude</v>
      </c>
      <c r="W111" s="65" t="str">
        <f t="shared" si="5"/>
        <v>Exclude</v>
      </c>
      <c r="Y111" s="63"/>
      <c r="AS111" s="64" t="str">
        <f t="shared" si="6"/>
        <v>Exclude</v>
      </c>
      <c r="AU111" s="65" t="str">
        <f t="shared" si="7"/>
        <v>Exclude</v>
      </c>
    </row>
    <row r="112" spans="1:47" s="64" customFormat="1" x14ac:dyDescent="0.25">
      <c r="A112" s="63"/>
      <c r="U112" s="64" t="str">
        <f t="shared" si="4"/>
        <v>Exclude</v>
      </c>
      <c r="W112" s="65" t="str">
        <f t="shared" si="5"/>
        <v>Exclude</v>
      </c>
      <c r="Y112" s="63"/>
      <c r="AS112" s="64" t="str">
        <f t="shared" si="6"/>
        <v>Exclude</v>
      </c>
      <c r="AU112" s="65" t="str">
        <f t="shared" si="7"/>
        <v>Exclude</v>
      </c>
    </row>
    <row r="113" spans="1:47" s="64" customFormat="1" x14ac:dyDescent="0.25">
      <c r="A113" s="63"/>
      <c r="U113" s="64" t="str">
        <f t="shared" si="4"/>
        <v>Exclude</v>
      </c>
      <c r="W113" s="65" t="str">
        <f t="shared" si="5"/>
        <v>Exclude</v>
      </c>
      <c r="Y113" s="63"/>
      <c r="AS113" s="64" t="str">
        <f t="shared" si="6"/>
        <v>Exclude</v>
      </c>
      <c r="AU113" s="65" t="str">
        <f t="shared" si="7"/>
        <v>Exclude</v>
      </c>
    </row>
    <row r="114" spans="1:47" s="64" customFormat="1" x14ac:dyDescent="0.25">
      <c r="A114" s="63"/>
      <c r="U114" s="64" t="str">
        <f t="shared" si="4"/>
        <v>Exclude</v>
      </c>
      <c r="W114" s="65" t="str">
        <f t="shared" si="5"/>
        <v>Exclude</v>
      </c>
      <c r="Y114" s="63"/>
      <c r="AS114" s="64" t="str">
        <f t="shared" si="6"/>
        <v>Exclude</v>
      </c>
      <c r="AU114" s="65" t="str">
        <f t="shared" si="7"/>
        <v>Exclude</v>
      </c>
    </row>
    <row r="115" spans="1:47" s="64" customFormat="1" x14ac:dyDescent="0.25">
      <c r="A115" s="63"/>
      <c r="U115" s="64" t="str">
        <f t="shared" si="4"/>
        <v>Exclude</v>
      </c>
      <c r="W115" s="65" t="str">
        <f t="shared" si="5"/>
        <v>Exclude</v>
      </c>
      <c r="Y115" s="63"/>
      <c r="AS115" s="64" t="str">
        <f t="shared" si="6"/>
        <v>Exclude</v>
      </c>
      <c r="AU115" s="65" t="str">
        <f t="shared" si="7"/>
        <v>Exclude</v>
      </c>
    </row>
    <row r="116" spans="1:47" s="64" customFormat="1" x14ac:dyDescent="0.25">
      <c r="A116" s="63"/>
      <c r="U116" s="64" t="str">
        <f t="shared" si="4"/>
        <v>Exclude</v>
      </c>
      <c r="W116" s="65" t="str">
        <f t="shared" si="5"/>
        <v>Exclude</v>
      </c>
      <c r="Y116" s="63"/>
      <c r="AS116" s="64" t="str">
        <f t="shared" si="6"/>
        <v>Exclude</v>
      </c>
      <c r="AU116" s="65" t="str">
        <f t="shared" si="7"/>
        <v>Exclude</v>
      </c>
    </row>
    <row r="117" spans="1:47" s="64" customFormat="1" x14ac:dyDescent="0.25">
      <c r="A117" s="63"/>
      <c r="U117" s="64" t="str">
        <f t="shared" si="4"/>
        <v>Exclude</v>
      </c>
      <c r="W117" s="65" t="str">
        <f t="shared" si="5"/>
        <v>Exclude</v>
      </c>
      <c r="Y117" s="63"/>
      <c r="AS117" s="64" t="str">
        <f t="shared" si="6"/>
        <v>Exclude</v>
      </c>
      <c r="AU117" s="65" t="str">
        <f t="shared" si="7"/>
        <v>Exclude</v>
      </c>
    </row>
    <row r="118" spans="1:47" s="64" customFormat="1" x14ac:dyDescent="0.25">
      <c r="A118" s="63"/>
      <c r="U118" s="64" t="str">
        <f t="shared" si="4"/>
        <v>Exclude</v>
      </c>
      <c r="W118" s="65" t="str">
        <f t="shared" si="5"/>
        <v>Exclude</v>
      </c>
      <c r="Y118" s="63"/>
      <c r="AS118" s="64" t="str">
        <f t="shared" si="6"/>
        <v>Exclude</v>
      </c>
      <c r="AU118" s="65" t="str">
        <f t="shared" si="7"/>
        <v>Exclude</v>
      </c>
    </row>
    <row r="119" spans="1:47" s="64" customFormat="1" x14ac:dyDescent="0.25">
      <c r="A119" s="63"/>
      <c r="U119" s="64" t="str">
        <f t="shared" si="4"/>
        <v>Exclude</v>
      </c>
      <c r="W119" s="65" t="str">
        <f t="shared" si="5"/>
        <v>Exclude</v>
      </c>
      <c r="Y119" s="63"/>
      <c r="AS119" s="64" t="str">
        <f t="shared" si="6"/>
        <v>Exclude</v>
      </c>
      <c r="AU119" s="65" t="str">
        <f t="shared" si="7"/>
        <v>Exclude</v>
      </c>
    </row>
    <row r="120" spans="1:47" s="64" customFormat="1" x14ac:dyDescent="0.25">
      <c r="A120" s="63"/>
      <c r="U120" s="64" t="str">
        <f t="shared" si="4"/>
        <v>Exclude</v>
      </c>
      <c r="W120" s="65" t="str">
        <f t="shared" si="5"/>
        <v>Exclude</v>
      </c>
      <c r="Y120" s="63"/>
      <c r="AS120" s="64" t="str">
        <f t="shared" si="6"/>
        <v>Exclude</v>
      </c>
      <c r="AU120" s="65" t="str">
        <f t="shared" si="7"/>
        <v>Exclude</v>
      </c>
    </row>
    <row r="121" spans="1:47" s="64" customFormat="1" x14ac:dyDescent="0.25">
      <c r="A121" s="63"/>
      <c r="U121" s="64" t="str">
        <f t="shared" si="4"/>
        <v>Exclude</v>
      </c>
      <c r="W121" s="65" t="str">
        <f t="shared" si="5"/>
        <v>Exclude</v>
      </c>
      <c r="Y121" s="63"/>
      <c r="AS121" s="64" t="str">
        <f t="shared" si="6"/>
        <v>Exclude</v>
      </c>
      <c r="AU121" s="65" t="str">
        <f t="shared" si="7"/>
        <v>Exclude</v>
      </c>
    </row>
    <row r="122" spans="1:47" s="64" customFormat="1" x14ac:dyDescent="0.25">
      <c r="A122" s="63"/>
      <c r="U122" s="64" t="str">
        <f t="shared" si="4"/>
        <v>Exclude</v>
      </c>
      <c r="W122" s="65" t="str">
        <f t="shared" si="5"/>
        <v>Exclude</v>
      </c>
      <c r="Y122" s="63"/>
      <c r="AS122" s="64" t="str">
        <f t="shared" si="6"/>
        <v>Exclude</v>
      </c>
      <c r="AU122" s="65" t="str">
        <f t="shared" si="7"/>
        <v>Exclude</v>
      </c>
    </row>
    <row r="123" spans="1:47" s="64" customFormat="1" x14ac:dyDescent="0.25">
      <c r="A123" s="63"/>
      <c r="U123" s="64" t="str">
        <f t="shared" si="4"/>
        <v>Exclude</v>
      </c>
      <c r="W123" s="65" t="str">
        <f t="shared" si="5"/>
        <v>Exclude</v>
      </c>
      <c r="Y123" s="63"/>
      <c r="AS123" s="64" t="str">
        <f t="shared" si="6"/>
        <v>Exclude</v>
      </c>
      <c r="AU123" s="65" t="str">
        <f t="shared" si="7"/>
        <v>Exclude</v>
      </c>
    </row>
    <row r="124" spans="1:47" s="64" customFormat="1" x14ac:dyDescent="0.25">
      <c r="A124" s="63"/>
      <c r="U124" s="64" t="str">
        <f t="shared" si="4"/>
        <v>Exclude</v>
      </c>
      <c r="W124" s="65" t="str">
        <f t="shared" si="5"/>
        <v>Exclude</v>
      </c>
      <c r="Y124" s="63"/>
      <c r="AS124" s="64" t="str">
        <f t="shared" si="6"/>
        <v>Exclude</v>
      </c>
      <c r="AU124" s="65" t="str">
        <f t="shared" si="7"/>
        <v>Exclude</v>
      </c>
    </row>
    <row r="125" spans="1:47" s="64" customFormat="1" x14ac:dyDescent="0.25">
      <c r="A125" s="63"/>
      <c r="U125" s="64" t="str">
        <f t="shared" si="4"/>
        <v>Exclude</v>
      </c>
      <c r="W125" s="65" t="str">
        <f t="shared" si="5"/>
        <v>Exclude</v>
      </c>
      <c r="Y125" s="63"/>
      <c r="AS125" s="64" t="str">
        <f t="shared" si="6"/>
        <v>Exclude</v>
      </c>
      <c r="AU125" s="65" t="str">
        <f t="shared" si="7"/>
        <v>Exclude</v>
      </c>
    </row>
    <row r="126" spans="1:47" s="64" customFormat="1" x14ac:dyDescent="0.25">
      <c r="A126" s="63"/>
      <c r="U126" s="64" t="str">
        <f t="shared" si="4"/>
        <v>Exclude</v>
      </c>
      <c r="W126" s="65" t="str">
        <f t="shared" si="5"/>
        <v>Exclude</v>
      </c>
      <c r="Y126" s="63"/>
      <c r="AS126" s="64" t="str">
        <f t="shared" si="6"/>
        <v>Exclude</v>
      </c>
      <c r="AU126" s="65" t="str">
        <f t="shared" si="7"/>
        <v>Exclude</v>
      </c>
    </row>
    <row r="127" spans="1:47" s="64" customFormat="1" x14ac:dyDescent="0.25">
      <c r="A127" s="63"/>
      <c r="U127" s="64" t="str">
        <f t="shared" si="4"/>
        <v>Exclude</v>
      </c>
      <c r="W127" s="65" t="str">
        <f t="shared" si="5"/>
        <v>Exclude</v>
      </c>
      <c r="Y127" s="63"/>
      <c r="AS127" s="64" t="str">
        <f t="shared" si="6"/>
        <v>Exclude</v>
      </c>
      <c r="AU127" s="65" t="str">
        <f t="shared" si="7"/>
        <v>Exclude</v>
      </c>
    </row>
    <row r="128" spans="1:47" s="64" customFormat="1" x14ac:dyDescent="0.25">
      <c r="A128" s="63"/>
      <c r="U128" s="64" t="str">
        <f t="shared" si="4"/>
        <v>Exclude</v>
      </c>
      <c r="W128" s="65" t="str">
        <f t="shared" si="5"/>
        <v>Exclude</v>
      </c>
      <c r="Y128" s="63"/>
      <c r="AS128" s="64" t="str">
        <f t="shared" si="6"/>
        <v>Exclude</v>
      </c>
      <c r="AU128" s="65" t="str">
        <f t="shared" si="7"/>
        <v>Exclude</v>
      </c>
    </row>
    <row r="129" spans="1:47" s="64" customFormat="1" x14ac:dyDescent="0.25">
      <c r="A129" s="63"/>
      <c r="U129" s="64" t="str">
        <f t="shared" si="4"/>
        <v>Exclude</v>
      </c>
      <c r="W129" s="65" t="str">
        <f t="shared" si="5"/>
        <v>Exclude</v>
      </c>
      <c r="Y129" s="63"/>
      <c r="AS129" s="64" t="str">
        <f t="shared" si="6"/>
        <v>Exclude</v>
      </c>
      <c r="AU129" s="65" t="str">
        <f t="shared" si="7"/>
        <v>Exclude</v>
      </c>
    </row>
    <row r="130" spans="1:47" s="64" customFormat="1" x14ac:dyDescent="0.25">
      <c r="A130" s="63"/>
      <c r="U130" s="64" t="str">
        <f t="shared" si="4"/>
        <v>Exclude</v>
      </c>
      <c r="W130" s="65" t="str">
        <f t="shared" si="5"/>
        <v>Exclude</v>
      </c>
      <c r="Y130" s="63"/>
      <c r="AS130" s="64" t="str">
        <f t="shared" si="6"/>
        <v>Exclude</v>
      </c>
      <c r="AU130" s="65" t="str">
        <f t="shared" si="7"/>
        <v>Exclude</v>
      </c>
    </row>
    <row r="131" spans="1:47" s="64" customFormat="1" x14ac:dyDescent="0.25">
      <c r="A131" s="63"/>
      <c r="U131" s="64" t="str">
        <f t="shared" si="4"/>
        <v>Exclude</v>
      </c>
      <c r="W131" s="65" t="str">
        <f t="shared" si="5"/>
        <v>Exclude</v>
      </c>
      <c r="Y131" s="63"/>
      <c r="AS131" s="64" t="str">
        <f t="shared" si="6"/>
        <v>Exclude</v>
      </c>
      <c r="AU131" s="65" t="str">
        <f t="shared" si="7"/>
        <v>Exclude</v>
      </c>
    </row>
    <row r="132" spans="1:47" s="64" customFormat="1" x14ac:dyDescent="0.25">
      <c r="A132" s="63"/>
      <c r="U132" s="64" t="str">
        <f t="shared" si="4"/>
        <v>Exclude</v>
      </c>
      <c r="W132" s="65" t="str">
        <f t="shared" si="5"/>
        <v>Exclude</v>
      </c>
      <c r="Y132" s="63"/>
      <c r="AS132" s="64" t="str">
        <f t="shared" si="6"/>
        <v>Exclude</v>
      </c>
      <c r="AU132" s="65" t="str">
        <f t="shared" si="7"/>
        <v>Exclude</v>
      </c>
    </row>
    <row r="133" spans="1:47" s="64" customFormat="1" x14ac:dyDescent="0.25">
      <c r="A133" s="63"/>
      <c r="U133" s="64" t="str">
        <f t="shared" si="4"/>
        <v>Exclude</v>
      </c>
      <c r="W133" s="65" t="str">
        <f t="shared" si="5"/>
        <v>Exclude</v>
      </c>
      <c r="Y133" s="63"/>
      <c r="AS133" s="64" t="str">
        <f t="shared" si="6"/>
        <v>Exclude</v>
      </c>
      <c r="AU133" s="65" t="str">
        <f t="shared" si="7"/>
        <v>Exclude</v>
      </c>
    </row>
    <row r="134" spans="1:47" s="64" customFormat="1" x14ac:dyDescent="0.25">
      <c r="A134" s="63"/>
      <c r="U134" s="64" t="str">
        <f t="shared" si="4"/>
        <v>Exclude</v>
      </c>
      <c r="W134" s="65" t="str">
        <f t="shared" si="5"/>
        <v>Exclude</v>
      </c>
      <c r="Y134" s="63"/>
      <c r="AS134" s="64" t="str">
        <f t="shared" si="6"/>
        <v>Exclude</v>
      </c>
      <c r="AU134" s="65" t="str">
        <f t="shared" si="7"/>
        <v>Exclude</v>
      </c>
    </row>
    <row r="135" spans="1:47" s="64" customFormat="1" x14ac:dyDescent="0.25">
      <c r="A135" s="63"/>
      <c r="U135" s="64" t="str">
        <f t="shared" si="4"/>
        <v>Exclude</v>
      </c>
      <c r="W135" s="65" t="str">
        <f t="shared" si="5"/>
        <v>Exclude</v>
      </c>
      <c r="Y135" s="63"/>
      <c r="AS135" s="64" t="str">
        <f t="shared" si="6"/>
        <v>Exclude</v>
      </c>
      <c r="AU135" s="65" t="str">
        <f t="shared" si="7"/>
        <v>Exclude</v>
      </c>
    </row>
    <row r="136" spans="1:47" s="64" customFormat="1" x14ac:dyDescent="0.25">
      <c r="A136" s="63"/>
      <c r="U136" s="64" t="str">
        <f t="shared" si="4"/>
        <v>Exclude</v>
      </c>
      <c r="W136" s="65" t="str">
        <f t="shared" si="5"/>
        <v>Exclude</v>
      </c>
      <c r="Y136" s="63"/>
      <c r="AS136" s="64" t="str">
        <f t="shared" si="6"/>
        <v>Exclude</v>
      </c>
      <c r="AU136" s="65" t="str">
        <f t="shared" si="7"/>
        <v>Exclude</v>
      </c>
    </row>
    <row r="137" spans="1:47" s="64" customFormat="1" x14ac:dyDescent="0.25">
      <c r="A137" s="63"/>
      <c r="U137" s="64" t="str">
        <f t="shared" si="4"/>
        <v>Exclude</v>
      </c>
      <c r="W137" s="65" t="str">
        <f t="shared" si="5"/>
        <v>Exclude</v>
      </c>
      <c r="Y137" s="63"/>
      <c r="AS137" s="64" t="str">
        <f t="shared" si="6"/>
        <v>Exclude</v>
      </c>
      <c r="AU137" s="65" t="str">
        <f t="shared" si="7"/>
        <v>Exclude</v>
      </c>
    </row>
    <row r="138" spans="1:47" s="64" customFormat="1" x14ac:dyDescent="0.25">
      <c r="A138" s="63"/>
      <c r="U138" s="64" t="str">
        <f t="shared" si="4"/>
        <v>Exclude</v>
      </c>
      <c r="W138" s="65" t="str">
        <f t="shared" si="5"/>
        <v>Exclude</v>
      </c>
      <c r="Y138" s="63"/>
      <c r="AS138" s="64" t="str">
        <f t="shared" si="6"/>
        <v>Exclude</v>
      </c>
      <c r="AU138" s="65" t="str">
        <f t="shared" si="7"/>
        <v>Exclude</v>
      </c>
    </row>
    <row r="139" spans="1:47" s="64" customFormat="1" x14ac:dyDescent="0.25">
      <c r="A139" s="63"/>
      <c r="U139" s="64" t="str">
        <f t="shared" si="4"/>
        <v>Exclude</v>
      </c>
      <c r="W139" s="65" t="str">
        <f t="shared" si="5"/>
        <v>Exclude</v>
      </c>
      <c r="Y139" s="63"/>
      <c r="AS139" s="64" t="str">
        <f t="shared" si="6"/>
        <v>Exclude</v>
      </c>
      <c r="AU139" s="65" t="str">
        <f t="shared" si="7"/>
        <v>Exclude</v>
      </c>
    </row>
    <row r="140" spans="1:47" s="64" customFormat="1" x14ac:dyDescent="0.25">
      <c r="A140" s="63"/>
      <c r="U140" s="64" t="str">
        <f t="shared" si="4"/>
        <v>Exclude</v>
      </c>
      <c r="W140" s="65" t="str">
        <f t="shared" si="5"/>
        <v>Exclude</v>
      </c>
      <c r="Y140" s="63"/>
      <c r="AS140" s="64" t="str">
        <f t="shared" si="6"/>
        <v>Exclude</v>
      </c>
      <c r="AU140" s="65" t="str">
        <f t="shared" si="7"/>
        <v>Exclude</v>
      </c>
    </row>
    <row r="141" spans="1:47" s="64" customFormat="1" x14ac:dyDescent="0.25">
      <c r="A141" s="63"/>
      <c r="U141" s="64" t="str">
        <f t="shared" si="4"/>
        <v>Exclude</v>
      </c>
      <c r="W141" s="65" t="str">
        <f t="shared" si="5"/>
        <v>Exclude</v>
      </c>
      <c r="Y141" s="63"/>
      <c r="AS141" s="64" t="str">
        <f t="shared" si="6"/>
        <v>Exclude</v>
      </c>
      <c r="AU141" s="65" t="str">
        <f t="shared" si="7"/>
        <v>Exclude</v>
      </c>
    </row>
    <row r="142" spans="1:47" s="64" customFormat="1" x14ac:dyDescent="0.25">
      <c r="A142" s="63"/>
      <c r="U142" s="64" t="str">
        <f t="shared" si="4"/>
        <v>Exclude</v>
      </c>
      <c r="W142" s="65" t="str">
        <f t="shared" si="5"/>
        <v>Exclude</v>
      </c>
      <c r="Y142" s="63"/>
      <c r="AS142" s="64" t="str">
        <f t="shared" si="6"/>
        <v>Exclude</v>
      </c>
      <c r="AU142" s="65" t="str">
        <f t="shared" si="7"/>
        <v>Exclude</v>
      </c>
    </row>
    <row r="143" spans="1:47" s="64" customFormat="1" x14ac:dyDescent="0.25">
      <c r="A143" s="63"/>
      <c r="U143" s="64" t="str">
        <f t="shared" si="4"/>
        <v>Exclude</v>
      </c>
      <c r="W143" s="65" t="str">
        <f t="shared" si="5"/>
        <v>Exclude</v>
      </c>
      <c r="Y143" s="63"/>
      <c r="AS143" s="64" t="str">
        <f t="shared" si="6"/>
        <v>Exclude</v>
      </c>
      <c r="AU143" s="65" t="str">
        <f t="shared" si="7"/>
        <v>Exclude</v>
      </c>
    </row>
    <row r="144" spans="1:47" s="64" customFormat="1" x14ac:dyDescent="0.25">
      <c r="A144" s="63"/>
      <c r="U144" s="64" t="str">
        <f t="shared" si="4"/>
        <v>Exclude</v>
      </c>
      <c r="W144" s="65" t="str">
        <f t="shared" si="5"/>
        <v>Exclude</v>
      </c>
      <c r="Y144" s="63"/>
      <c r="AS144" s="64" t="str">
        <f t="shared" si="6"/>
        <v>Exclude</v>
      </c>
      <c r="AU144" s="65" t="str">
        <f t="shared" si="7"/>
        <v>Exclude</v>
      </c>
    </row>
    <row r="145" spans="1:47" s="64" customFormat="1" x14ac:dyDescent="0.25">
      <c r="A145" s="63"/>
      <c r="U145" s="64" t="str">
        <f t="shared" si="4"/>
        <v>Exclude</v>
      </c>
      <c r="W145" s="65" t="str">
        <f t="shared" si="5"/>
        <v>Exclude</v>
      </c>
      <c r="Y145" s="63"/>
      <c r="AS145" s="64" t="str">
        <f t="shared" si="6"/>
        <v>Exclude</v>
      </c>
      <c r="AU145" s="65" t="str">
        <f t="shared" si="7"/>
        <v>Exclude</v>
      </c>
    </row>
    <row r="146" spans="1:47" s="64" customFormat="1" x14ac:dyDescent="0.25">
      <c r="A146" s="63"/>
      <c r="U146" s="64" t="str">
        <f t="shared" si="4"/>
        <v>Exclude</v>
      </c>
      <c r="W146" s="65" t="str">
        <f t="shared" si="5"/>
        <v>Exclude</v>
      </c>
      <c r="Y146" s="63"/>
      <c r="AS146" s="64" t="str">
        <f t="shared" si="6"/>
        <v>Exclude</v>
      </c>
      <c r="AU146" s="65" t="str">
        <f t="shared" si="7"/>
        <v>Exclude</v>
      </c>
    </row>
    <row r="147" spans="1:47" s="64" customFormat="1" x14ac:dyDescent="0.25">
      <c r="A147" s="63"/>
      <c r="U147" s="64" t="str">
        <f t="shared" si="4"/>
        <v>Exclude</v>
      </c>
      <c r="W147" s="65" t="str">
        <f t="shared" si="5"/>
        <v>Exclude</v>
      </c>
      <c r="Y147" s="63"/>
      <c r="AS147" s="64" t="str">
        <f t="shared" si="6"/>
        <v>Exclude</v>
      </c>
      <c r="AU147" s="65" t="str">
        <f t="shared" si="7"/>
        <v>Exclude</v>
      </c>
    </row>
    <row r="148" spans="1:47" s="64" customFormat="1" x14ac:dyDescent="0.25">
      <c r="A148" s="63"/>
      <c r="U148" s="64" t="str">
        <f t="shared" si="4"/>
        <v>Exclude</v>
      </c>
      <c r="W148" s="65" t="str">
        <f t="shared" si="5"/>
        <v>Exclude</v>
      </c>
      <c r="Y148" s="63"/>
      <c r="AS148" s="64" t="str">
        <f t="shared" si="6"/>
        <v>Exclude</v>
      </c>
      <c r="AU148" s="65" t="str">
        <f t="shared" si="7"/>
        <v>Exclude</v>
      </c>
    </row>
    <row r="149" spans="1:47" s="64" customFormat="1" x14ac:dyDescent="0.25">
      <c r="A149" s="63"/>
      <c r="U149" s="64" t="str">
        <f t="shared" si="4"/>
        <v>Exclude</v>
      </c>
      <c r="W149" s="65" t="str">
        <f t="shared" si="5"/>
        <v>Exclude</v>
      </c>
      <c r="Y149" s="63"/>
      <c r="AS149" s="64" t="str">
        <f t="shared" si="6"/>
        <v>Exclude</v>
      </c>
      <c r="AU149" s="65" t="str">
        <f t="shared" si="7"/>
        <v>Exclude</v>
      </c>
    </row>
    <row r="150" spans="1:47" s="64" customFormat="1" x14ac:dyDescent="0.25">
      <c r="A150" s="63"/>
      <c r="U150" s="64" t="str">
        <f t="shared" si="4"/>
        <v>Exclude</v>
      </c>
      <c r="W150" s="65" t="str">
        <f t="shared" si="5"/>
        <v>Exclude</v>
      </c>
      <c r="Y150" s="63"/>
      <c r="AS150" s="64" t="str">
        <f t="shared" si="6"/>
        <v>Exclude</v>
      </c>
      <c r="AU150" s="65" t="str">
        <f t="shared" si="7"/>
        <v>Exclude</v>
      </c>
    </row>
    <row r="151" spans="1:47" s="64" customFormat="1" x14ac:dyDescent="0.25">
      <c r="A151" s="63"/>
      <c r="U151" s="64" t="str">
        <f t="shared" ref="U151:U214" si="8">IF(OR(R151="TruePositive",R151="TrueNegative"),IF(R150&lt;&gt;"Anticipatory",(N151),"Pant"),"Exclude")</f>
        <v>Exclude</v>
      </c>
      <c r="W151" s="65" t="str">
        <f t="shared" ref="W151:W214" si="9">IF(OR(R151="TruePositive",R151="TrueNegative"),IF(R150&lt;&gt;"Anticipatory",LOG10(N151),"Exclude"),"Exclude")</f>
        <v>Exclude</v>
      </c>
      <c r="Y151" s="63"/>
      <c r="AS151" s="64" t="str">
        <f t="shared" ref="AS151:AS214" si="10">IF(OR(AP151="TruePositive",AP151="TrueNegative"),IF(AP150&lt;&gt;"Anticipatory",(AL151),"Pant"),"Exclude")</f>
        <v>Exclude</v>
      </c>
      <c r="AU151" s="65" t="str">
        <f t="shared" ref="AU151:AU214" si="11">IF(OR(AP151="TruePositive",AP151="TrueNegative"),IF(AP150&lt;&gt;"Anticipatory",LOG10(AL151),"Exclude"),"Exclude")</f>
        <v>Exclude</v>
      </c>
    </row>
    <row r="152" spans="1:47" s="64" customFormat="1" x14ac:dyDescent="0.25">
      <c r="A152" s="63"/>
      <c r="U152" s="64" t="str">
        <f t="shared" si="8"/>
        <v>Exclude</v>
      </c>
      <c r="W152" s="65" t="str">
        <f t="shared" si="9"/>
        <v>Exclude</v>
      </c>
      <c r="Y152" s="63"/>
      <c r="AS152" s="64" t="str">
        <f t="shared" si="10"/>
        <v>Exclude</v>
      </c>
      <c r="AU152" s="65" t="str">
        <f t="shared" si="11"/>
        <v>Exclude</v>
      </c>
    </row>
    <row r="153" spans="1:47" s="64" customFormat="1" x14ac:dyDescent="0.25">
      <c r="A153" s="63"/>
      <c r="U153" s="64" t="str">
        <f t="shared" si="8"/>
        <v>Exclude</v>
      </c>
      <c r="W153" s="65" t="str">
        <f t="shared" si="9"/>
        <v>Exclude</v>
      </c>
      <c r="Y153" s="63"/>
      <c r="AS153" s="64" t="str">
        <f t="shared" si="10"/>
        <v>Exclude</v>
      </c>
      <c r="AU153" s="65" t="str">
        <f t="shared" si="11"/>
        <v>Exclude</v>
      </c>
    </row>
    <row r="154" spans="1:47" s="64" customFormat="1" x14ac:dyDescent="0.25">
      <c r="A154" s="63"/>
      <c r="U154" s="64" t="str">
        <f t="shared" si="8"/>
        <v>Exclude</v>
      </c>
      <c r="W154" s="65" t="str">
        <f t="shared" si="9"/>
        <v>Exclude</v>
      </c>
      <c r="Y154" s="63"/>
      <c r="AS154" s="64" t="str">
        <f t="shared" si="10"/>
        <v>Exclude</v>
      </c>
      <c r="AU154" s="65" t="str">
        <f t="shared" si="11"/>
        <v>Exclude</v>
      </c>
    </row>
    <row r="155" spans="1:47" s="64" customFormat="1" x14ac:dyDescent="0.25">
      <c r="A155" s="63"/>
      <c r="U155" s="64" t="str">
        <f t="shared" si="8"/>
        <v>Exclude</v>
      </c>
      <c r="W155" s="65" t="str">
        <f t="shared" si="9"/>
        <v>Exclude</v>
      </c>
      <c r="Y155" s="63"/>
      <c r="AS155" s="64" t="str">
        <f t="shared" si="10"/>
        <v>Exclude</v>
      </c>
      <c r="AU155" s="65" t="str">
        <f t="shared" si="11"/>
        <v>Exclude</v>
      </c>
    </row>
    <row r="156" spans="1:47" s="64" customFormat="1" x14ac:dyDescent="0.25">
      <c r="A156" s="63"/>
      <c r="U156" s="64" t="str">
        <f t="shared" si="8"/>
        <v>Exclude</v>
      </c>
      <c r="W156" s="65" t="str">
        <f t="shared" si="9"/>
        <v>Exclude</v>
      </c>
      <c r="Y156" s="63"/>
      <c r="AS156" s="64" t="str">
        <f t="shared" si="10"/>
        <v>Exclude</v>
      </c>
      <c r="AU156" s="65" t="str">
        <f t="shared" si="11"/>
        <v>Exclude</v>
      </c>
    </row>
    <row r="157" spans="1:47" s="64" customFormat="1" x14ac:dyDescent="0.25">
      <c r="A157" s="63"/>
      <c r="U157" s="64" t="str">
        <f t="shared" si="8"/>
        <v>Exclude</v>
      </c>
      <c r="W157" s="65" t="str">
        <f t="shared" si="9"/>
        <v>Exclude</v>
      </c>
      <c r="Y157" s="63"/>
      <c r="AS157" s="64" t="str">
        <f t="shared" si="10"/>
        <v>Exclude</v>
      </c>
      <c r="AU157" s="65" t="str">
        <f t="shared" si="11"/>
        <v>Exclude</v>
      </c>
    </row>
    <row r="158" spans="1:47" s="64" customFormat="1" x14ac:dyDescent="0.25">
      <c r="A158" s="63"/>
      <c r="U158" s="64" t="str">
        <f t="shared" si="8"/>
        <v>Exclude</v>
      </c>
      <c r="W158" s="65" t="str">
        <f t="shared" si="9"/>
        <v>Exclude</v>
      </c>
      <c r="Y158" s="63"/>
      <c r="AS158" s="64" t="str">
        <f t="shared" si="10"/>
        <v>Exclude</v>
      </c>
      <c r="AU158" s="65" t="str">
        <f t="shared" si="11"/>
        <v>Exclude</v>
      </c>
    </row>
    <row r="159" spans="1:47" s="64" customFormat="1" x14ac:dyDescent="0.25">
      <c r="A159" s="63"/>
      <c r="U159" s="64" t="str">
        <f t="shared" si="8"/>
        <v>Exclude</v>
      </c>
      <c r="W159" s="65" t="str">
        <f t="shared" si="9"/>
        <v>Exclude</v>
      </c>
      <c r="Y159" s="63"/>
      <c r="AS159" s="64" t="str">
        <f t="shared" si="10"/>
        <v>Exclude</v>
      </c>
      <c r="AU159" s="65" t="str">
        <f t="shared" si="11"/>
        <v>Exclude</v>
      </c>
    </row>
    <row r="160" spans="1:47" s="64" customFormat="1" x14ac:dyDescent="0.25">
      <c r="A160" s="63"/>
      <c r="U160" s="64" t="str">
        <f t="shared" si="8"/>
        <v>Exclude</v>
      </c>
      <c r="W160" s="65" t="str">
        <f t="shared" si="9"/>
        <v>Exclude</v>
      </c>
      <c r="Y160" s="63"/>
      <c r="AS160" s="64" t="str">
        <f t="shared" si="10"/>
        <v>Exclude</v>
      </c>
      <c r="AU160" s="65" t="str">
        <f t="shared" si="11"/>
        <v>Exclude</v>
      </c>
    </row>
    <row r="161" spans="1:47" s="64" customFormat="1" x14ac:dyDescent="0.25">
      <c r="A161" s="63"/>
      <c r="U161" s="64" t="str">
        <f t="shared" si="8"/>
        <v>Exclude</v>
      </c>
      <c r="W161" s="65" t="str">
        <f t="shared" si="9"/>
        <v>Exclude</v>
      </c>
      <c r="Y161" s="63"/>
      <c r="AS161" s="64" t="str">
        <f t="shared" si="10"/>
        <v>Exclude</v>
      </c>
      <c r="AU161" s="65" t="str">
        <f t="shared" si="11"/>
        <v>Exclude</v>
      </c>
    </row>
    <row r="162" spans="1:47" s="64" customFormat="1" x14ac:dyDescent="0.25">
      <c r="A162" s="63"/>
      <c r="U162" s="64" t="str">
        <f t="shared" si="8"/>
        <v>Exclude</v>
      </c>
      <c r="W162" s="65" t="str">
        <f t="shared" si="9"/>
        <v>Exclude</v>
      </c>
      <c r="Y162" s="63"/>
      <c r="AS162" s="64" t="str">
        <f t="shared" si="10"/>
        <v>Exclude</v>
      </c>
      <c r="AU162" s="65" t="str">
        <f t="shared" si="11"/>
        <v>Exclude</v>
      </c>
    </row>
    <row r="163" spans="1:47" s="64" customFormat="1" x14ac:dyDescent="0.25">
      <c r="A163" s="63"/>
      <c r="U163" s="64" t="str">
        <f t="shared" si="8"/>
        <v>Exclude</v>
      </c>
      <c r="W163" s="65" t="str">
        <f t="shared" si="9"/>
        <v>Exclude</v>
      </c>
      <c r="Y163" s="63"/>
      <c r="AS163" s="64" t="str">
        <f t="shared" si="10"/>
        <v>Exclude</v>
      </c>
      <c r="AU163" s="65" t="str">
        <f t="shared" si="11"/>
        <v>Exclude</v>
      </c>
    </row>
    <row r="164" spans="1:47" s="64" customFormat="1" x14ac:dyDescent="0.25">
      <c r="A164" s="63"/>
      <c r="U164" s="64" t="str">
        <f t="shared" si="8"/>
        <v>Exclude</v>
      </c>
      <c r="W164" s="65" t="str">
        <f t="shared" si="9"/>
        <v>Exclude</v>
      </c>
      <c r="Y164" s="63"/>
      <c r="AS164" s="64" t="str">
        <f t="shared" si="10"/>
        <v>Exclude</v>
      </c>
      <c r="AU164" s="65" t="str">
        <f t="shared" si="11"/>
        <v>Exclude</v>
      </c>
    </row>
    <row r="165" spans="1:47" s="64" customFormat="1" x14ac:dyDescent="0.25">
      <c r="A165" s="63"/>
      <c r="U165" s="64" t="str">
        <f t="shared" si="8"/>
        <v>Exclude</v>
      </c>
      <c r="W165" s="65" t="str">
        <f t="shared" si="9"/>
        <v>Exclude</v>
      </c>
      <c r="Y165" s="63"/>
      <c r="AS165" s="64" t="str">
        <f t="shared" si="10"/>
        <v>Exclude</v>
      </c>
      <c r="AU165" s="65" t="str">
        <f t="shared" si="11"/>
        <v>Exclude</v>
      </c>
    </row>
    <row r="166" spans="1:47" s="64" customFormat="1" x14ac:dyDescent="0.25">
      <c r="A166" s="63"/>
      <c r="U166" s="64" t="str">
        <f t="shared" si="8"/>
        <v>Exclude</v>
      </c>
      <c r="W166" s="65" t="str">
        <f t="shared" si="9"/>
        <v>Exclude</v>
      </c>
      <c r="Y166" s="63"/>
      <c r="AS166" s="64" t="str">
        <f t="shared" si="10"/>
        <v>Exclude</v>
      </c>
      <c r="AU166" s="65" t="str">
        <f t="shared" si="11"/>
        <v>Exclude</v>
      </c>
    </row>
    <row r="167" spans="1:47" s="64" customFormat="1" x14ac:dyDescent="0.25">
      <c r="A167" s="63"/>
      <c r="U167" s="64" t="str">
        <f t="shared" si="8"/>
        <v>Exclude</v>
      </c>
      <c r="W167" s="65" t="str">
        <f t="shared" si="9"/>
        <v>Exclude</v>
      </c>
      <c r="Y167" s="63"/>
      <c r="AS167" s="64" t="str">
        <f t="shared" si="10"/>
        <v>Exclude</v>
      </c>
      <c r="AU167" s="65" t="str">
        <f t="shared" si="11"/>
        <v>Exclude</v>
      </c>
    </row>
    <row r="168" spans="1:47" s="64" customFormat="1" x14ac:dyDescent="0.25">
      <c r="A168" s="63"/>
      <c r="U168" s="64" t="str">
        <f t="shared" si="8"/>
        <v>Exclude</v>
      </c>
      <c r="W168" s="65" t="str">
        <f t="shared" si="9"/>
        <v>Exclude</v>
      </c>
      <c r="Y168" s="63"/>
      <c r="AS168" s="64" t="str">
        <f t="shared" si="10"/>
        <v>Exclude</v>
      </c>
      <c r="AU168" s="65" t="str">
        <f t="shared" si="11"/>
        <v>Exclude</v>
      </c>
    </row>
    <row r="169" spans="1:47" s="64" customFormat="1" x14ac:dyDescent="0.25">
      <c r="A169" s="63"/>
      <c r="U169" s="64" t="str">
        <f t="shared" si="8"/>
        <v>Exclude</v>
      </c>
      <c r="W169" s="65" t="str">
        <f t="shared" si="9"/>
        <v>Exclude</v>
      </c>
      <c r="Y169" s="63"/>
      <c r="AS169" s="64" t="str">
        <f t="shared" si="10"/>
        <v>Exclude</v>
      </c>
      <c r="AU169" s="65" t="str">
        <f t="shared" si="11"/>
        <v>Exclude</v>
      </c>
    </row>
    <row r="170" spans="1:47" s="64" customFormat="1" x14ac:dyDescent="0.25">
      <c r="A170" s="63"/>
      <c r="U170" s="64" t="str">
        <f t="shared" si="8"/>
        <v>Exclude</v>
      </c>
      <c r="W170" s="65" t="str">
        <f t="shared" si="9"/>
        <v>Exclude</v>
      </c>
      <c r="Y170" s="63"/>
      <c r="AS170" s="64" t="str">
        <f t="shared" si="10"/>
        <v>Exclude</v>
      </c>
      <c r="AU170" s="65" t="str">
        <f t="shared" si="11"/>
        <v>Exclude</v>
      </c>
    </row>
    <row r="171" spans="1:47" s="64" customFormat="1" x14ac:dyDescent="0.25">
      <c r="A171" s="63"/>
      <c r="U171" s="64" t="str">
        <f t="shared" si="8"/>
        <v>Exclude</v>
      </c>
      <c r="W171" s="65" t="str">
        <f t="shared" si="9"/>
        <v>Exclude</v>
      </c>
      <c r="Y171" s="63"/>
      <c r="AS171" s="64" t="str">
        <f t="shared" si="10"/>
        <v>Exclude</v>
      </c>
      <c r="AU171" s="65" t="str">
        <f t="shared" si="11"/>
        <v>Exclude</v>
      </c>
    </row>
    <row r="172" spans="1:47" s="64" customFormat="1" x14ac:dyDescent="0.25">
      <c r="A172" s="63"/>
      <c r="U172" s="64" t="str">
        <f t="shared" si="8"/>
        <v>Exclude</v>
      </c>
      <c r="W172" s="65" t="str">
        <f t="shared" si="9"/>
        <v>Exclude</v>
      </c>
      <c r="Y172" s="63"/>
      <c r="AS172" s="64" t="str">
        <f t="shared" si="10"/>
        <v>Exclude</v>
      </c>
      <c r="AU172" s="65" t="str">
        <f t="shared" si="11"/>
        <v>Exclude</v>
      </c>
    </row>
    <row r="173" spans="1:47" s="64" customFormat="1" x14ac:dyDescent="0.25">
      <c r="A173" s="63"/>
      <c r="U173" s="64" t="str">
        <f t="shared" si="8"/>
        <v>Exclude</v>
      </c>
      <c r="W173" s="65" t="str">
        <f t="shared" si="9"/>
        <v>Exclude</v>
      </c>
      <c r="Y173" s="63"/>
      <c r="AS173" s="64" t="str">
        <f t="shared" si="10"/>
        <v>Exclude</v>
      </c>
      <c r="AU173" s="65" t="str">
        <f t="shared" si="11"/>
        <v>Exclude</v>
      </c>
    </row>
    <row r="174" spans="1:47" s="64" customFormat="1" x14ac:dyDescent="0.25">
      <c r="A174" s="63"/>
      <c r="U174" s="64" t="str">
        <f t="shared" si="8"/>
        <v>Exclude</v>
      </c>
      <c r="W174" s="65" t="str">
        <f t="shared" si="9"/>
        <v>Exclude</v>
      </c>
      <c r="Y174" s="63"/>
      <c r="AS174" s="64" t="str">
        <f t="shared" si="10"/>
        <v>Exclude</v>
      </c>
      <c r="AU174" s="65" t="str">
        <f t="shared" si="11"/>
        <v>Exclude</v>
      </c>
    </row>
    <row r="175" spans="1:47" s="64" customFormat="1" x14ac:dyDescent="0.25">
      <c r="A175" s="63"/>
      <c r="U175" s="64" t="str">
        <f t="shared" si="8"/>
        <v>Exclude</v>
      </c>
      <c r="W175" s="65" t="str">
        <f t="shared" si="9"/>
        <v>Exclude</v>
      </c>
      <c r="Y175" s="63"/>
      <c r="AS175" s="64" t="str">
        <f t="shared" si="10"/>
        <v>Exclude</v>
      </c>
      <c r="AU175" s="65" t="str">
        <f t="shared" si="11"/>
        <v>Exclude</v>
      </c>
    </row>
    <row r="176" spans="1:47" s="64" customFormat="1" x14ac:dyDescent="0.25">
      <c r="A176" s="63"/>
      <c r="U176" s="64" t="str">
        <f t="shared" si="8"/>
        <v>Exclude</v>
      </c>
      <c r="W176" s="65" t="str">
        <f t="shared" si="9"/>
        <v>Exclude</v>
      </c>
      <c r="Y176" s="63"/>
      <c r="AS176" s="64" t="str">
        <f t="shared" si="10"/>
        <v>Exclude</v>
      </c>
      <c r="AU176" s="65" t="str">
        <f t="shared" si="11"/>
        <v>Exclude</v>
      </c>
    </row>
    <row r="177" spans="1:47" s="64" customFormat="1" x14ac:dyDescent="0.25">
      <c r="A177" s="63"/>
      <c r="U177" s="64" t="str">
        <f t="shared" si="8"/>
        <v>Exclude</v>
      </c>
      <c r="W177" s="65" t="str">
        <f t="shared" si="9"/>
        <v>Exclude</v>
      </c>
      <c r="Y177" s="63"/>
      <c r="AS177" s="64" t="str">
        <f t="shared" si="10"/>
        <v>Exclude</v>
      </c>
      <c r="AU177" s="65" t="str">
        <f t="shared" si="11"/>
        <v>Exclude</v>
      </c>
    </row>
    <row r="178" spans="1:47" s="64" customFormat="1" x14ac:dyDescent="0.25">
      <c r="A178" s="63"/>
      <c r="U178" s="64" t="str">
        <f t="shared" si="8"/>
        <v>Exclude</v>
      </c>
      <c r="W178" s="65" t="str">
        <f t="shared" si="9"/>
        <v>Exclude</v>
      </c>
      <c r="Y178" s="63"/>
      <c r="AS178" s="64" t="str">
        <f t="shared" si="10"/>
        <v>Exclude</v>
      </c>
      <c r="AU178" s="65" t="str">
        <f t="shared" si="11"/>
        <v>Exclude</v>
      </c>
    </row>
    <row r="179" spans="1:47" s="64" customFormat="1" x14ac:dyDescent="0.25">
      <c r="A179" s="63"/>
      <c r="U179" s="64" t="str">
        <f t="shared" si="8"/>
        <v>Exclude</v>
      </c>
      <c r="W179" s="65" t="str">
        <f t="shared" si="9"/>
        <v>Exclude</v>
      </c>
      <c r="Y179" s="63"/>
      <c r="AS179" s="64" t="str">
        <f t="shared" si="10"/>
        <v>Exclude</v>
      </c>
      <c r="AU179" s="65" t="str">
        <f t="shared" si="11"/>
        <v>Exclude</v>
      </c>
    </row>
    <row r="180" spans="1:47" s="64" customFormat="1" x14ac:dyDescent="0.25">
      <c r="A180" s="63"/>
      <c r="U180" s="64" t="str">
        <f t="shared" si="8"/>
        <v>Exclude</v>
      </c>
      <c r="W180" s="65" t="str">
        <f t="shared" si="9"/>
        <v>Exclude</v>
      </c>
      <c r="Y180" s="63"/>
      <c r="AS180" s="64" t="str">
        <f t="shared" si="10"/>
        <v>Exclude</v>
      </c>
      <c r="AU180" s="65" t="str">
        <f t="shared" si="11"/>
        <v>Exclude</v>
      </c>
    </row>
    <row r="181" spans="1:47" s="64" customFormat="1" x14ac:dyDescent="0.25">
      <c r="A181" s="63"/>
      <c r="U181" s="64" t="str">
        <f t="shared" si="8"/>
        <v>Exclude</v>
      </c>
      <c r="W181" s="65" t="str">
        <f t="shared" si="9"/>
        <v>Exclude</v>
      </c>
      <c r="Y181" s="63"/>
      <c r="AS181" s="64" t="str">
        <f t="shared" si="10"/>
        <v>Exclude</v>
      </c>
      <c r="AU181" s="65" t="str">
        <f t="shared" si="11"/>
        <v>Exclude</v>
      </c>
    </row>
    <row r="182" spans="1:47" s="64" customFormat="1" x14ac:dyDescent="0.25">
      <c r="A182" s="63"/>
      <c r="U182" s="64" t="str">
        <f t="shared" si="8"/>
        <v>Exclude</v>
      </c>
      <c r="W182" s="65" t="str">
        <f t="shared" si="9"/>
        <v>Exclude</v>
      </c>
      <c r="Y182" s="63"/>
      <c r="AS182" s="64" t="str">
        <f t="shared" si="10"/>
        <v>Exclude</v>
      </c>
      <c r="AU182" s="65" t="str">
        <f t="shared" si="11"/>
        <v>Exclude</v>
      </c>
    </row>
    <row r="183" spans="1:47" s="64" customFormat="1" x14ac:dyDescent="0.25">
      <c r="A183" s="63"/>
      <c r="U183" s="64" t="str">
        <f t="shared" si="8"/>
        <v>Exclude</v>
      </c>
      <c r="W183" s="65" t="str">
        <f t="shared" si="9"/>
        <v>Exclude</v>
      </c>
      <c r="Y183" s="63"/>
      <c r="AS183" s="64" t="str">
        <f t="shared" si="10"/>
        <v>Exclude</v>
      </c>
      <c r="AU183" s="65" t="str">
        <f t="shared" si="11"/>
        <v>Exclude</v>
      </c>
    </row>
    <row r="184" spans="1:47" s="64" customFormat="1" x14ac:dyDescent="0.25">
      <c r="A184" s="63"/>
      <c r="U184" s="64" t="str">
        <f t="shared" si="8"/>
        <v>Exclude</v>
      </c>
      <c r="W184" s="65" t="str">
        <f t="shared" si="9"/>
        <v>Exclude</v>
      </c>
      <c r="Y184" s="63"/>
      <c r="AS184" s="64" t="str">
        <f t="shared" si="10"/>
        <v>Exclude</v>
      </c>
      <c r="AU184" s="65" t="str">
        <f t="shared" si="11"/>
        <v>Exclude</v>
      </c>
    </row>
    <row r="185" spans="1:47" s="64" customFormat="1" x14ac:dyDescent="0.25">
      <c r="A185" s="63"/>
      <c r="U185" s="64" t="str">
        <f t="shared" si="8"/>
        <v>Exclude</v>
      </c>
      <c r="W185" s="65" t="str">
        <f t="shared" si="9"/>
        <v>Exclude</v>
      </c>
      <c r="Y185" s="63"/>
      <c r="AS185" s="64" t="str">
        <f t="shared" si="10"/>
        <v>Exclude</v>
      </c>
      <c r="AU185" s="65" t="str">
        <f t="shared" si="11"/>
        <v>Exclude</v>
      </c>
    </row>
    <row r="186" spans="1:47" s="64" customFormat="1" x14ac:dyDescent="0.25">
      <c r="A186" s="63"/>
      <c r="U186" s="64" t="str">
        <f t="shared" si="8"/>
        <v>Exclude</v>
      </c>
      <c r="W186" s="65" t="str">
        <f t="shared" si="9"/>
        <v>Exclude</v>
      </c>
      <c r="Y186" s="63"/>
      <c r="AS186" s="64" t="str">
        <f t="shared" si="10"/>
        <v>Exclude</v>
      </c>
      <c r="AU186" s="65" t="str">
        <f t="shared" si="11"/>
        <v>Exclude</v>
      </c>
    </row>
    <row r="187" spans="1:47" s="64" customFormat="1" x14ac:dyDescent="0.25">
      <c r="A187" s="63"/>
      <c r="U187" s="64" t="str">
        <f t="shared" si="8"/>
        <v>Exclude</v>
      </c>
      <c r="W187" s="65" t="str">
        <f t="shared" si="9"/>
        <v>Exclude</v>
      </c>
      <c r="Y187" s="63"/>
      <c r="AS187" s="64" t="str">
        <f t="shared" si="10"/>
        <v>Exclude</v>
      </c>
      <c r="AU187" s="65" t="str">
        <f t="shared" si="11"/>
        <v>Exclude</v>
      </c>
    </row>
    <row r="188" spans="1:47" s="64" customFormat="1" x14ac:dyDescent="0.25">
      <c r="A188" s="63"/>
      <c r="U188" s="64" t="str">
        <f t="shared" si="8"/>
        <v>Exclude</v>
      </c>
      <c r="W188" s="65" t="str">
        <f t="shared" si="9"/>
        <v>Exclude</v>
      </c>
      <c r="Y188" s="63"/>
      <c r="AS188" s="64" t="str">
        <f t="shared" si="10"/>
        <v>Exclude</v>
      </c>
      <c r="AU188" s="65" t="str">
        <f t="shared" si="11"/>
        <v>Exclude</v>
      </c>
    </row>
    <row r="189" spans="1:47" s="64" customFormat="1" x14ac:dyDescent="0.25">
      <c r="A189" s="63"/>
      <c r="U189" s="64" t="str">
        <f t="shared" si="8"/>
        <v>Exclude</v>
      </c>
      <c r="W189" s="65" t="str">
        <f t="shared" si="9"/>
        <v>Exclude</v>
      </c>
      <c r="Y189" s="63"/>
      <c r="AS189" s="64" t="str">
        <f t="shared" si="10"/>
        <v>Exclude</v>
      </c>
      <c r="AU189" s="65" t="str">
        <f t="shared" si="11"/>
        <v>Exclude</v>
      </c>
    </row>
    <row r="190" spans="1:47" s="64" customFormat="1" x14ac:dyDescent="0.25">
      <c r="A190" s="63"/>
      <c r="U190" s="64" t="str">
        <f t="shared" si="8"/>
        <v>Exclude</v>
      </c>
      <c r="W190" s="65" t="str">
        <f t="shared" si="9"/>
        <v>Exclude</v>
      </c>
      <c r="Y190" s="63"/>
      <c r="AS190" s="64" t="str">
        <f t="shared" si="10"/>
        <v>Exclude</v>
      </c>
      <c r="AU190" s="65" t="str">
        <f t="shared" si="11"/>
        <v>Exclude</v>
      </c>
    </row>
    <row r="191" spans="1:47" s="64" customFormat="1" x14ac:dyDescent="0.25">
      <c r="A191" s="63"/>
      <c r="U191" s="64" t="str">
        <f t="shared" si="8"/>
        <v>Exclude</v>
      </c>
      <c r="W191" s="65" t="str">
        <f t="shared" si="9"/>
        <v>Exclude</v>
      </c>
      <c r="Y191" s="63"/>
      <c r="AS191" s="64" t="str">
        <f t="shared" si="10"/>
        <v>Exclude</v>
      </c>
      <c r="AU191" s="65" t="str">
        <f t="shared" si="11"/>
        <v>Exclude</v>
      </c>
    </row>
    <row r="192" spans="1:47" s="64" customFormat="1" x14ac:dyDescent="0.25">
      <c r="A192" s="63"/>
      <c r="U192" s="64" t="str">
        <f t="shared" si="8"/>
        <v>Exclude</v>
      </c>
      <c r="W192" s="65" t="str">
        <f t="shared" si="9"/>
        <v>Exclude</v>
      </c>
      <c r="Y192" s="63"/>
      <c r="AS192" s="64" t="str">
        <f t="shared" si="10"/>
        <v>Exclude</v>
      </c>
      <c r="AU192" s="65" t="str">
        <f t="shared" si="11"/>
        <v>Exclude</v>
      </c>
    </row>
    <row r="193" spans="1:47" s="64" customFormat="1" x14ac:dyDescent="0.25">
      <c r="A193" s="63"/>
      <c r="U193" s="64" t="str">
        <f t="shared" si="8"/>
        <v>Exclude</v>
      </c>
      <c r="W193" s="65" t="str">
        <f t="shared" si="9"/>
        <v>Exclude</v>
      </c>
      <c r="Y193" s="63"/>
      <c r="AS193" s="64" t="str">
        <f t="shared" si="10"/>
        <v>Exclude</v>
      </c>
      <c r="AU193" s="65" t="str">
        <f t="shared" si="11"/>
        <v>Exclude</v>
      </c>
    </row>
    <row r="194" spans="1:47" s="64" customFormat="1" x14ac:dyDescent="0.25">
      <c r="A194" s="63"/>
      <c r="U194" s="64" t="str">
        <f t="shared" si="8"/>
        <v>Exclude</v>
      </c>
      <c r="W194" s="65" t="str">
        <f t="shared" si="9"/>
        <v>Exclude</v>
      </c>
      <c r="Y194" s="63"/>
      <c r="AS194" s="64" t="str">
        <f t="shared" si="10"/>
        <v>Exclude</v>
      </c>
      <c r="AU194" s="65" t="str">
        <f t="shared" si="11"/>
        <v>Exclude</v>
      </c>
    </row>
    <row r="195" spans="1:47" s="64" customFormat="1" x14ac:dyDescent="0.25">
      <c r="A195" s="63"/>
      <c r="U195" s="64" t="str">
        <f t="shared" si="8"/>
        <v>Exclude</v>
      </c>
      <c r="W195" s="65" t="str">
        <f t="shared" si="9"/>
        <v>Exclude</v>
      </c>
      <c r="Y195" s="63"/>
      <c r="AS195" s="64" t="str">
        <f t="shared" si="10"/>
        <v>Exclude</v>
      </c>
      <c r="AU195" s="65" t="str">
        <f t="shared" si="11"/>
        <v>Exclude</v>
      </c>
    </row>
    <row r="196" spans="1:47" s="64" customFormat="1" x14ac:dyDescent="0.25">
      <c r="A196" s="63"/>
      <c r="U196" s="64" t="str">
        <f t="shared" si="8"/>
        <v>Exclude</v>
      </c>
      <c r="W196" s="65" t="str">
        <f t="shared" si="9"/>
        <v>Exclude</v>
      </c>
      <c r="Y196" s="63"/>
      <c r="AS196" s="64" t="str">
        <f t="shared" si="10"/>
        <v>Exclude</v>
      </c>
      <c r="AU196" s="65" t="str">
        <f t="shared" si="11"/>
        <v>Exclude</v>
      </c>
    </row>
    <row r="197" spans="1:47" s="64" customFormat="1" x14ac:dyDescent="0.25">
      <c r="A197" s="63"/>
      <c r="U197" s="64" t="str">
        <f t="shared" si="8"/>
        <v>Exclude</v>
      </c>
      <c r="W197" s="65" t="str">
        <f t="shared" si="9"/>
        <v>Exclude</v>
      </c>
      <c r="Y197" s="63"/>
      <c r="AS197" s="64" t="str">
        <f t="shared" si="10"/>
        <v>Exclude</v>
      </c>
      <c r="AU197" s="65" t="str">
        <f t="shared" si="11"/>
        <v>Exclude</v>
      </c>
    </row>
    <row r="198" spans="1:47" s="64" customFormat="1" x14ac:dyDescent="0.25">
      <c r="A198" s="63"/>
      <c r="U198" s="64" t="str">
        <f t="shared" si="8"/>
        <v>Exclude</v>
      </c>
      <c r="W198" s="65" t="str">
        <f t="shared" si="9"/>
        <v>Exclude</v>
      </c>
      <c r="Y198" s="63"/>
      <c r="AS198" s="64" t="str">
        <f t="shared" si="10"/>
        <v>Exclude</v>
      </c>
      <c r="AU198" s="65" t="str">
        <f t="shared" si="11"/>
        <v>Exclude</v>
      </c>
    </row>
    <row r="199" spans="1:47" s="64" customFormat="1" x14ac:dyDescent="0.25">
      <c r="A199" s="63"/>
      <c r="U199" s="64" t="str">
        <f t="shared" si="8"/>
        <v>Exclude</v>
      </c>
      <c r="W199" s="65" t="str">
        <f t="shared" si="9"/>
        <v>Exclude</v>
      </c>
      <c r="Y199" s="63"/>
      <c r="AS199" s="64" t="str">
        <f t="shared" si="10"/>
        <v>Exclude</v>
      </c>
      <c r="AU199" s="65" t="str">
        <f t="shared" si="11"/>
        <v>Exclude</v>
      </c>
    </row>
    <row r="200" spans="1:47" s="64" customFormat="1" x14ac:dyDescent="0.25">
      <c r="A200" s="63"/>
      <c r="U200" s="64" t="str">
        <f t="shared" si="8"/>
        <v>Exclude</v>
      </c>
      <c r="W200" s="65" t="str">
        <f t="shared" si="9"/>
        <v>Exclude</v>
      </c>
      <c r="Y200" s="63"/>
      <c r="AS200" s="64" t="str">
        <f t="shared" si="10"/>
        <v>Exclude</v>
      </c>
      <c r="AU200" s="65" t="str">
        <f t="shared" si="11"/>
        <v>Exclude</v>
      </c>
    </row>
    <row r="201" spans="1:47" s="64" customFormat="1" x14ac:dyDescent="0.25">
      <c r="A201" s="63"/>
      <c r="U201" s="64" t="str">
        <f t="shared" si="8"/>
        <v>Exclude</v>
      </c>
      <c r="W201" s="65" t="str">
        <f t="shared" si="9"/>
        <v>Exclude</v>
      </c>
      <c r="Y201" s="63"/>
      <c r="AS201" s="64" t="str">
        <f t="shared" si="10"/>
        <v>Exclude</v>
      </c>
      <c r="AU201" s="65" t="str">
        <f t="shared" si="11"/>
        <v>Exclude</v>
      </c>
    </row>
    <row r="202" spans="1:47" s="64" customFormat="1" x14ac:dyDescent="0.25">
      <c r="A202" s="63"/>
      <c r="U202" s="64" t="str">
        <f t="shared" si="8"/>
        <v>Exclude</v>
      </c>
      <c r="W202" s="65" t="str">
        <f t="shared" si="9"/>
        <v>Exclude</v>
      </c>
      <c r="Y202" s="63"/>
      <c r="AS202" s="64" t="str">
        <f t="shared" si="10"/>
        <v>Exclude</v>
      </c>
      <c r="AU202" s="65" t="str">
        <f t="shared" si="11"/>
        <v>Exclude</v>
      </c>
    </row>
    <row r="203" spans="1:47" s="64" customFormat="1" x14ac:dyDescent="0.25">
      <c r="A203" s="63"/>
      <c r="U203" s="64" t="str">
        <f t="shared" si="8"/>
        <v>Exclude</v>
      </c>
      <c r="W203" s="65" t="str">
        <f t="shared" si="9"/>
        <v>Exclude</v>
      </c>
      <c r="Y203" s="63"/>
      <c r="AS203" s="64" t="str">
        <f t="shared" si="10"/>
        <v>Exclude</v>
      </c>
      <c r="AU203" s="65" t="str">
        <f t="shared" si="11"/>
        <v>Exclude</v>
      </c>
    </row>
    <row r="204" spans="1:47" s="64" customFormat="1" x14ac:dyDescent="0.25">
      <c r="A204" s="63"/>
      <c r="U204" s="64" t="str">
        <f t="shared" si="8"/>
        <v>Exclude</v>
      </c>
      <c r="W204" s="65" t="str">
        <f t="shared" si="9"/>
        <v>Exclude</v>
      </c>
      <c r="Y204" s="63"/>
      <c r="AS204" s="64" t="str">
        <f t="shared" si="10"/>
        <v>Exclude</v>
      </c>
      <c r="AU204" s="65" t="str">
        <f t="shared" si="11"/>
        <v>Exclude</v>
      </c>
    </row>
    <row r="205" spans="1:47" s="64" customFormat="1" x14ac:dyDescent="0.25">
      <c r="A205" s="63"/>
      <c r="U205" s="64" t="str">
        <f t="shared" si="8"/>
        <v>Exclude</v>
      </c>
      <c r="W205" s="65" t="str">
        <f t="shared" si="9"/>
        <v>Exclude</v>
      </c>
      <c r="Y205" s="63"/>
      <c r="AS205" s="64" t="str">
        <f t="shared" si="10"/>
        <v>Exclude</v>
      </c>
      <c r="AU205" s="65" t="str">
        <f t="shared" si="11"/>
        <v>Exclude</v>
      </c>
    </row>
    <row r="206" spans="1:47" s="64" customFormat="1" x14ac:dyDescent="0.25">
      <c r="A206" s="63"/>
      <c r="U206" s="64" t="str">
        <f t="shared" si="8"/>
        <v>Exclude</v>
      </c>
      <c r="W206" s="65" t="str">
        <f t="shared" si="9"/>
        <v>Exclude</v>
      </c>
      <c r="Y206" s="63"/>
      <c r="AS206" s="64" t="str">
        <f t="shared" si="10"/>
        <v>Exclude</v>
      </c>
      <c r="AU206" s="65" t="str">
        <f t="shared" si="11"/>
        <v>Exclude</v>
      </c>
    </row>
    <row r="207" spans="1:47" s="64" customFormat="1" x14ac:dyDescent="0.25">
      <c r="A207" s="63"/>
      <c r="U207" s="64" t="str">
        <f t="shared" si="8"/>
        <v>Exclude</v>
      </c>
      <c r="W207" s="65" t="str">
        <f t="shared" si="9"/>
        <v>Exclude</v>
      </c>
      <c r="Y207" s="63"/>
      <c r="AS207" s="64" t="str">
        <f t="shared" si="10"/>
        <v>Exclude</v>
      </c>
      <c r="AU207" s="65" t="str">
        <f t="shared" si="11"/>
        <v>Exclude</v>
      </c>
    </row>
    <row r="208" spans="1:47" s="64" customFormat="1" x14ac:dyDescent="0.25">
      <c r="A208" s="63"/>
      <c r="U208" s="64" t="str">
        <f t="shared" si="8"/>
        <v>Exclude</v>
      </c>
      <c r="W208" s="65" t="str">
        <f t="shared" si="9"/>
        <v>Exclude</v>
      </c>
      <c r="Y208" s="63"/>
      <c r="AS208" s="64" t="str">
        <f t="shared" si="10"/>
        <v>Exclude</v>
      </c>
      <c r="AU208" s="65" t="str">
        <f t="shared" si="11"/>
        <v>Exclude</v>
      </c>
    </row>
    <row r="209" spans="1:47" s="64" customFormat="1" x14ac:dyDescent="0.25">
      <c r="A209" s="63"/>
      <c r="U209" s="64" t="str">
        <f t="shared" si="8"/>
        <v>Exclude</v>
      </c>
      <c r="W209" s="65" t="str">
        <f t="shared" si="9"/>
        <v>Exclude</v>
      </c>
      <c r="Y209" s="63"/>
      <c r="AS209" s="64" t="str">
        <f t="shared" si="10"/>
        <v>Exclude</v>
      </c>
      <c r="AU209" s="65" t="str">
        <f t="shared" si="11"/>
        <v>Exclude</v>
      </c>
    </row>
    <row r="210" spans="1:47" s="64" customFormat="1" x14ac:dyDescent="0.25">
      <c r="A210" s="63"/>
      <c r="U210" s="64" t="str">
        <f t="shared" si="8"/>
        <v>Exclude</v>
      </c>
      <c r="W210" s="65" t="str">
        <f t="shared" si="9"/>
        <v>Exclude</v>
      </c>
      <c r="Y210" s="63"/>
      <c r="AS210" s="64" t="str">
        <f t="shared" si="10"/>
        <v>Exclude</v>
      </c>
      <c r="AU210" s="65" t="str">
        <f t="shared" si="11"/>
        <v>Exclude</v>
      </c>
    </row>
    <row r="211" spans="1:47" s="64" customFormat="1" x14ac:dyDescent="0.25">
      <c r="A211" s="63"/>
      <c r="U211" s="64" t="str">
        <f t="shared" si="8"/>
        <v>Exclude</v>
      </c>
      <c r="W211" s="65" t="str">
        <f t="shared" si="9"/>
        <v>Exclude</v>
      </c>
      <c r="Y211" s="63"/>
      <c r="AS211" s="64" t="str">
        <f t="shared" si="10"/>
        <v>Exclude</v>
      </c>
      <c r="AU211" s="65" t="str">
        <f t="shared" si="11"/>
        <v>Exclude</v>
      </c>
    </row>
    <row r="212" spans="1:47" s="64" customFormat="1" x14ac:dyDescent="0.25">
      <c r="A212" s="63"/>
      <c r="U212" s="64" t="str">
        <f t="shared" si="8"/>
        <v>Exclude</v>
      </c>
      <c r="W212" s="65" t="str">
        <f t="shared" si="9"/>
        <v>Exclude</v>
      </c>
      <c r="Y212" s="63"/>
      <c r="AS212" s="64" t="str">
        <f t="shared" si="10"/>
        <v>Exclude</v>
      </c>
      <c r="AU212" s="65" t="str">
        <f t="shared" si="11"/>
        <v>Exclude</v>
      </c>
    </row>
    <row r="213" spans="1:47" s="64" customFormat="1" x14ac:dyDescent="0.25">
      <c r="A213" s="63"/>
      <c r="U213" s="64" t="str">
        <f t="shared" si="8"/>
        <v>Exclude</v>
      </c>
      <c r="W213" s="65" t="str">
        <f t="shared" si="9"/>
        <v>Exclude</v>
      </c>
      <c r="Y213" s="63"/>
      <c r="AS213" s="64" t="str">
        <f t="shared" si="10"/>
        <v>Exclude</v>
      </c>
      <c r="AU213" s="65" t="str">
        <f t="shared" si="11"/>
        <v>Exclude</v>
      </c>
    </row>
    <row r="214" spans="1:47" s="64" customFormat="1" x14ac:dyDescent="0.25">
      <c r="A214" s="63"/>
      <c r="U214" s="64" t="str">
        <f t="shared" si="8"/>
        <v>Exclude</v>
      </c>
      <c r="W214" s="65" t="str">
        <f t="shared" si="9"/>
        <v>Exclude</v>
      </c>
      <c r="Y214" s="63"/>
      <c r="AS214" s="64" t="str">
        <f t="shared" si="10"/>
        <v>Exclude</v>
      </c>
      <c r="AU214" s="65" t="str">
        <f t="shared" si="11"/>
        <v>Exclude</v>
      </c>
    </row>
    <row r="215" spans="1:47" s="64" customFormat="1" x14ac:dyDescent="0.25">
      <c r="A215" s="63"/>
      <c r="U215" s="64" t="str">
        <f t="shared" ref="U215:U278" si="12">IF(OR(R215="TruePositive",R215="TrueNegative"),IF(R214&lt;&gt;"Anticipatory",(N215),"Pant"),"Exclude")</f>
        <v>Exclude</v>
      </c>
      <c r="W215" s="65" t="str">
        <f t="shared" ref="W215:W278" si="13">IF(OR(R215="TruePositive",R215="TrueNegative"),IF(R214&lt;&gt;"Anticipatory",LOG10(N215),"Exclude"),"Exclude")</f>
        <v>Exclude</v>
      </c>
      <c r="Y215" s="63"/>
      <c r="AS215" s="64" t="str">
        <f t="shared" ref="AS215:AS278" si="14">IF(OR(AP215="TruePositive",AP215="TrueNegative"),IF(AP214&lt;&gt;"Anticipatory",(AL215),"Pant"),"Exclude")</f>
        <v>Exclude</v>
      </c>
      <c r="AU215" s="65" t="str">
        <f t="shared" ref="AU215:AU278" si="15">IF(OR(AP215="TruePositive",AP215="TrueNegative"),IF(AP214&lt;&gt;"Anticipatory",LOG10(AL215),"Exclude"),"Exclude")</f>
        <v>Exclude</v>
      </c>
    </row>
    <row r="216" spans="1:47" s="64" customFormat="1" x14ac:dyDescent="0.25">
      <c r="A216" s="63"/>
      <c r="U216" s="64" t="str">
        <f t="shared" si="12"/>
        <v>Exclude</v>
      </c>
      <c r="W216" s="65" t="str">
        <f t="shared" si="13"/>
        <v>Exclude</v>
      </c>
      <c r="Y216" s="63"/>
      <c r="AS216" s="64" t="str">
        <f t="shared" si="14"/>
        <v>Exclude</v>
      </c>
      <c r="AU216" s="65" t="str">
        <f t="shared" si="15"/>
        <v>Exclude</v>
      </c>
    </row>
    <row r="217" spans="1:47" s="64" customFormat="1" x14ac:dyDescent="0.25">
      <c r="A217" s="63"/>
      <c r="U217" s="64" t="str">
        <f t="shared" si="12"/>
        <v>Exclude</v>
      </c>
      <c r="W217" s="65" t="str">
        <f t="shared" si="13"/>
        <v>Exclude</v>
      </c>
      <c r="Y217" s="63"/>
      <c r="AS217" s="64" t="str">
        <f t="shared" si="14"/>
        <v>Exclude</v>
      </c>
      <c r="AU217" s="65" t="str">
        <f t="shared" si="15"/>
        <v>Exclude</v>
      </c>
    </row>
    <row r="218" spans="1:47" s="64" customFormat="1" x14ac:dyDescent="0.25">
      <c r="A218" s="63"/>
      <c r="U218" s="64" t="str">
        <f t="shared" si="12"/>
        <v>Exclude</v>
      </c>
      <c r="W218" s="65" t="str">
        <f t="shared" si="13"/>
        <v>Exclude</v>
      </c>
      <c r="Y218" s="63"/>
      <c r="AS218" s="64" t="str">
        <f t="shared" si="14"/>
        <v>Exclude</v>
      </c>
      <c r="AU218" s="65" t="str">
        <f t="shared" si="15"/>
        <v>Exclude</v>
      </c>
    </row>
    <row r="219" spans="1:47" s="64" customFormat="1" x14ac:dyDescent="0.25">
      <c r="A219" s="63"/>
      <c r="U219" s="64" t="str">
        <f t="shared" si="12"/>
        <v>Exclude</v>
      </c>
      <c r="W219" s="65" t="str">
        <f t="shared" si="13"/>
        <v>Exclude</v>
      </c>
      <c r="Y219" s="63"/>
      <c r="AS219" s="64" t="str">
        <f t="shared" si="14"/>
        <v>Exclude</v>
      </c>
      <c r="AU219" s="65" t="str">
        <f t="shared" si="15"/>
        <v>Exclude</v>
      </c>
    </row>
    <row r="220" spans="1:47" s="64" customFormat="1" x14ac:dyDescent="0.25">
      <c r="A220" s="63"/>
      <c r="U220" s="64" t="str">
        <f t="shared" si="12"/>
        <v>Exclude</v>
      </c>
      <c r="W220" s="65" t="str">
        <f t="shared" si="13"/>
        <v>Exclude</v>
      </c>
      <c r="Y220" s="63"/>
      <c r="AS220" s="64" t="str">
        <f t="shared" si="14"/>
        <v>Exclude</v>
      </c>
      <c r="AU220" s="65" t="str">
        <f t="shared" si="15"/>
        <v>Exclude</v>
      </c>
    </row>
    <row r="221" spans="1:47" s="64" customFormat="1" x14ac:dyDescent="0.25">
      <c r="A221" s="63"/>
      <c r="U221" s="64" t="str">
        <f t="shared" si="12"/>
        <v>Exclude</v>
      </c>
      <c r="W221" s="65" t="str">
        <f t="shared" si="13"/>
        <v>Exclude</v>
      </c>
      <c r="Y221" s="63"/>
      <c r="AS221" s="64" t="str">
        <f t="shared" si="14"/>
        <v>Exclude</v>
      </c>
      <c r="AU221" s="65" t="str">
        <f t="shared" si="15"/>
        <v>Exclude</v>
      </c>
    </row>
    <row r="222" spans="1:47" s="64" customFormat="1" x14ac:dyDescent="0.25">
      <c r="A222" s="63"/>
      <c r="U222" s="64" t="str">
        <f t="shared" si="12"/>
        <v>Exclude</v>
      </c>
      <c r="W222" s="65" t="str">
        <f t="shared" si="13"/>
        <v>Exclude</v>
      </c>
      <c r="Y222" s="63"/>
      <c r="AS222" s="64" t="str">
        <f t="shared" si="14"/>
        <v>Exclude</v>
      </c>
      <c r="AU222" s="65" t="str">
        <f t="shared" si="15"/>
        <v>Exclude</v>
      </c>
    </row>
    <row r="223" spans="1:47" s="64" customFormat="1" x14ac:dyDescent="0.25">
      <c r="A223" s="63"/>
      <c r="U223" s="64" t="str">
        <f t="shared" si="12"/>
        <v>Exclude</v>
      </c>
      <c r="W223" s="65" t="str">
        <f t="shared" si="13"/>
        <v>Exclude</v>
      </c>
      <c r="Y223" s="63"/>
      <c r="AS223" s="64" t="str">
        <f t="shared" si="14"/>
        <v>Exclude</v>
      </c>
      <c r="AU223" s="65" t="str">
        <f t="shared" si="15"/>
        <v>Exclude</v>
      </c>
    </row>
    <row r="224" spans="1:47" s="64" customFormat="1" x14ac:dyDescent="0.25">
      <c r="A224" s="63"/>
      <c r="U224" s="64" t="str">
        <f t="shared" si="12"/>
        <v>Exclude</v>
      </c>
      <c r="W224" s="65" t="str">
        <f t="shared" si="13"/>
        <v>Exclude</v>
      </c>
      <c r="Y224" s="63"/>
      <c r="AS224" s="64" t="str">
        <f t="shared" si="14"/>
        <v>Exclude</v>
      </c>
      <c r="AU224" s="65" t="str">
        <f t="shared" si="15"/>
        <v>Exclude</v>
      </c>
    </row>
    <row r="225" spans="1:47" s="64" customFormat="1" x14ac:dyDescent="0.25">
      <c r="A225" s="63"/>
      <c r="U225" s="64" t="str">
        <f t="shared" si="12"/>
        <v>Exclude</v>
      </c>
      <c r="W225" s="65" t="str">
        <f t="shared" si="13"/>
        <v>Exclude</v>
      </c>
      <c r="Y225" s="63"/>
      <c r="AS225" s="64" t="str">
        <f t="shared" si="14"/>
        <v>Exclude</v>
      </c>
      <c r="AU225" s="65" t="str">
        <f t="shared" si="15"/>
        <v>Exclude</v>
      </c>
    </row>
    <row r="226" spans="1:47" s="64" customFormat="1" x14ac:dyDescent="0.25">
      <c r="A226" s="63"/>
      <c r="U226" s="64" t="str">
        <f t="shared" si="12"/>
        <v>Exclude</v>
      </c>
      <c r="W226" s="65" t="str">
        <f t="shared" si="13"/>
        <v>Exclude</v>
      </c>
      <c r="Y226" s="63"/>
      <c r="AS226" s="64" t="str">
        <f t="shared" si="14"/>
        <v>Exclude</v>
      </c>
      <c r="AU226" s="65" t="str">
        <f t="shared" si="15"/>
        <v>Exclude</v>
      </c>
    </row>
    <row r="227" spans="1:47" s="64" customFormat="1" x14ac:dyDescent="0.25">
      <c r="A227" s="63"/>
      <c r="U227" s="64" t="str">
        <f t="shared" si="12"/>
        <v>Exclude</v>
      </c>
      <c r="W227" s="65" t="str">
        <f t="shared" si="13"/>
        <v>Exclude</v>
      </c>
      <c r="Y227" s="63"/>
      <c r="AS227" s="64" t="str">
        <f t="shared" si="14"/>
        <v>Exclude</v>
      </c>
      <c r="AU227" s="65" t="str">
        <f t="shared" si="15"/>
        <v>Exclude</v>
      </c>
    </row>
    <row r="228" spans="1:47" s="64" customFormat="1" x14ac:dyDescent="0.25">
      <c r="A228" s="63"/>
      <c r="U228" s="64" t="str">
        <f t="shared" si="12"/>
        <v>Exclude</v>
      </c>
      <c r="W228" s="65" t="str">
        <f t="shared" si="13"/>
        <v>Exclude</v>
      </c>
      <c r="Y228" s="63"/>
      <c r="AS228" s="64" t="str">
        <f t="shared" si="14"/>
        <v>Exclude</v>
      </c>
      <c r="AU228" s="65" t="str">
        <f t="shared" si="15"/>
        <v>Exclude</v>
      </c>
    </row>
    <row r="229" spans="1:47" s="64" customFormat="1" x14ac:dyDescent="0.25">
      <c r="A229" s="63"/>
      <c r="U229" s="64" t="str">
        <f t="shared" si="12"/>
        <v>Exclude</v>
      </c>
      <c r="W229" s="65" t="str">
        <f t="shared" si="13"/>
        <v>Exclude</v>
      </c>
      <c r="Y229" s="63"/>
      <c r="AS229" s="64" t="str">
        <f t="shared" si="14"/>
        <v>Exclude</v>
      </c>
      <c r="AU229" s="65" t="str">
        <f t="shared" si="15"/>
        <v>Exclude</v>
      </c>
    </row>
    <row r="230" spans="1:47" s="64" customFormat="1" x14ac:dyDescent="0.25">
      <c r="A230" s="63"/>
      <c r="U230" s="64" t="str">
        <f t="shared" si="12"/>
        <v>Exclude</v>
      </c>
      <c r="W230" s="65" t="str">
        <f t="shared" si="13"/>
        <v>Exclude</v>
      </c>
      <c r="Y230" s="63"/>
      <c r="AS230" s="64" t="str">
        <f t="shared" si="14"/>
        <v>Exclude</v>
      </c>
      <c r="AU230" s="65" t="str">
        <f t="shared" si="15"/>
        <v>Exclude</v>
      </c>
    </row>
    <row r="231" spans="1:47" s="64" customFormat="1" x14ac:dyDescent="0.25">
      <c r="A231" s="63"/>
      <c r="U231" s="64" t="str">
        <f t="shared" si="12"/>
        <v>Exclude</v>
      </c>
      <c r="W231" s="65" t="str">
        <f t="shared" si="13"/>
        <v>Exclude</v>
      </c>
      <c r="Y231" s="63"/>
      <c r="AS231" s="64" t="str">
        <f t="shared" si="14"/>
        <v>Exclude</v>
      </c>
      <c r="AU231" s="65" t="str">
        <f t="shared" si="15"/>
        <v>Exclude</v>
      </c>
    </row>
    <row r="232" spans="1:47" s="64" customFormat="1" x14ac:dyDescent="0.25">
      <c r="A232" s="63"/>
      <c r="U232" s="64" t="str">
        <f t="shared" si="12"/>
        <v>Exclude</v>
      </c>
      <c r="W232" s="65" t="str">
        <f t="shared" si="13"/>
        <v>Exclude</v>
      </c>
      <c r="Y232" s="63"/>
      <c r="AS232" s="64" t="str">
        <f t="shared" si="14"/>
        <v>Exclude</v>
      </c>
      <c r="AU232" s="65" t="str">
        <f t="shared" si="15"/>
        <v>Exclude</v>
      </c>
    </row>
    <row r="233" spans="1:47" s="64" customFormat="1" x14ac:dyDescent="0.25">
      <c r="A233" s="63"/>
      <c r="U233" s="64" t="str">
        <f t="shared" si="12"/>
        <v>Exclude</v>
      </c>
      <c r="W233" s="65" t="str">
        <f t="shared" si="13"/>
        <v>Exclude</v>
      </c>
      <c r="Y233" s="63"/>
      <c r="AS233" s="64" t="str">
        <f t="shared" si="14"/>
        <v>Exclude</v>
      </c>
      <c r="AU233" s="65" t="str">
        <f t="shared" si="15"/>
        <v>Exclude</v>
      </c>
    </row>
    <row r="234" spans="1:47" s="64" customFormat="1" x14ac:dyDescent="0.25">
      <c r="A234" s="63"/>
      <c r="U234" s="64" t="str">
        <f t="shared" si="12"/>
        <v>Exclude</v>
      </c>
      <c r="W234" s="65" t="str">
        <f t="shared" si="13"/>
        <v>Exclude</v>
      </c>
      <c r="Y234" s="63"/>
      <c r="AS234" s="64" t="str">
        <f t="shared" si="14"/>
        <v>Exclude</v>
      </c>
      <c r="AU234" s="65" t="str">
        <f t="shared" si="15"/>
        <v>Exclude</v>
      </c>
    </row>
    <row r="235" spans="1:47" s="64" customFormat="1" x14ac:dyDescent="0.25">
      <c r="A235" s="63"/>
      <c r="U235" s="64" t="str">
        <f t="shared" si="12"/>
        <v>Exclude</v>
      </c>
      <c r="W235" s="65" t="str">
        <f t="shared" si="13"/>
        <v>Exclude</v>
      </c>
      <c r="Y235" s="63"/>
      <c r="AS235" s="64" t="str">
        <f t="shared" si="14"/>
        <v>Exclude</v>
      </c>
      <c r="AU235" s="65" t="str">
        <f t="shared" si="15"/>
        <v>Exclude</v>
      </c>
    </row>
    <row r="236" spans="1:47" s="64" customFormat="1" x14ac:dyDescent="0.25">
      <c r="A236" s="63"/>
      <c r="U236" s="64" t="str">
        <f t="shared" si="12"/>
        <v>Exclude</v>
      </c>
      <c r="W236" s="65" t="str">
        <f t="shared" si="13"/>
        <v>Exclude</v>
      </c>
      <c r="Y236" s="63"/>
      <c r="AS236" s="64" t="str">
        <f t="shared" si="14"/>
        <v>Exclude</v>
      </c>
      <c r="AU236" s="65" t="str">
        <f t="shared" si="15"/>
        <v>Exclude</v>
      </c>
    </row>
    <row r="237" spans="1:47" s="64" customFormat="1" x14ac:dyDescent="0.25">
      <c r="A237" s="63"/>
      <c r="U237" s="64" t="str">
        <f t="shared" si="12"/>
        <v>Exclude</v>
      </c>
      <c r="W237" s="65" t="str">
        <f t="shared" si="13"/>
        <v>Exclude</v>
      </c>
      <c r="Y237" s="63"/>
      <c r="AS237" s="64" t="str">
        <f t="shared" si="14"/>
        <v>Exclude</v>
      </c>
      <c r="AU237" s="65" t="str">
        <f t="shared" si="15"/>
        <v>Exclude</v>
      </c>
    </row>
    <row r="238" spans="1:47" s="64" customFormat="1" x14ac:dyDescent="0.25">
      <c r="A238" s="63"/>
      <c r="U238" s="64" t="str">
        <f t="shared" si="12"/>
        <v>Exclude</v>
      </c>
      <c r="W238" s="65" t="str">
        <f t="shared" si="13"/>
        <v>Exclude</v>
      </c>
      <c r="Y238" s="63"/>
      <c r="AS238" s="64" t="str">
        <f t="shared" si="14"/>
        <v>Exclude</v>
      </c>
      <c r="AU238" s="65" t="str">
        <f t="shared" si="15"/>
        <v>Exclude</v>
      </c>
    </row>
    <row r="239" spans="1:47" s="64" customFormat="1" x14ac:dyDescent="0.25">
      <c r="A239" s="63"/>
      <c r="U239" s="64" t="str">
        <f t="shared" si="12"/>
        <v>Exclude</v>
      </c>
      <c r="W239" s="65" t="str">
        <f t="shared" si="13"/>
        <v>Exclude</v>
      </c>
      <c r="Y239" s="63"/>
      <c r="AS239" s="64" t="str">
        <f t="shared" si="14"/>
        <v>Exclude</v>
      </c>
      <c r="AU239" s="65" t="str">
        <f t="shared" si="15"/>
        <v>Exclude</v>
      </c>
    </row>
    <row r="240" spans="1:47" s="64" customFormat="1" x14ac:dyDescent="0.25">
      <c r="A240" s="63"/>
      <c r="U240" s="64" t="str">
        <f t="shared" si="12"/>
        <v>Exclude</v>
      </c>
      <c r="W240" s="65" t="str">
        <f t="shared" si="13"/>
        <v>Exclude</v>
      </c>
      <c r="Y240" s="63"/>
      <c r="AS240" s="64" t="str">
        <f t="shared" si="14"/>
        <v>Exclude</v>
      </c>
      <c r="AU240" s="65" t="str">
        <f t="shared" si="15"/>
        <v>Exclude</v>
      </c>
    </row>
    <row r="241" spans="1:47" s="64" customFormat="1" x14ac:dyDescent="0.25">
      <c r="A241" s="63"/>
      <c r="U241" s="64" t="str">
        <f t="shared" si="12"/>
        <v>Exclude</v>
      </c>
      <c r="W241" s="65" t="str">
        <f t="shared" si="13"/>
        <v>Exclude</v>
      </c>
      <c r="Y241" s="63"/>
      <c r="AS241" s="64" t="str">
        <f t="shared" si="14"/>
        <v>Exclude</v>
      </c>
      <c r="AU241" s="65" t="str">
        <f t="shared" si="15"/>
        <v>Exclude</v>
      </c>
    </row>
    <row r="242" spans="1:47" s="64" customFormat="1" x14ac:dyDescent="0.25">
      <c r="A242" s="63"/>
      <c r="U242" s="64" t="str">
        <f t="shared" si="12"/>
        <v>Exclude</v>
      </c>
      <c r="W242" s="65" t="str">
        <f t="shared" si="13"/>
        <v>Exclude</v>
      </c>
      <c r="Y242" s="63"/>
      <c r="AS242" s="64" t="str">
        <f t="shared" si="14"/>
        <v>Exclude</v>
      </c>
      <c r="AU242" s="65" t="str">
        <f t="shared" si="15"/>
        <v>Exclude</v>
      </c>
    </row>
    <row r="243" spans="1:47" s="64" customFormat="1" x14ac:dyDescent="0.25">
      <c r="A243" s="63"/>
      <c r="U243" s="64" t="str">
        <f t="shared" si="12"/>
        <v>Exclude</v>
      </c>
      <c r="W243" s="65" t="str">
        <f t="shared" si="13"/>
        <v>Exclude</v>
      </c>
      <c r="Y243" s="63"/>
      <c r="AS243" s="64" t="str">
        <f t="shared" si="14"/>
        <v>Exclude</v>
      </c>
      <c r="AU243" s="65" t="str">
        <f t="shared" si="15"/>
        <v>Exclude</v>
      </c>
    </row>
    <row r="244" spans="1:47" s="64" customFormat="1" x14ac:dyDescent="0.25">
      <c r="A244" s="63"/>
      <c r="U244" s="64" t="str">
        <f t="shared" si="12"/>
        <v>Exclude</v>
      </c>
      <c r="W244" s="65" t="str">
        <f t="shared" si="13"/>
        <v>Exclude</v>
      </c>
      <c r="Y244" s="63"/>
      <c r="AS244" s="64" t="str">
        <f t="shared" si="14"/>
        <v>Exclude</v>
      </c>
      <c r="AU244" s="65" t="str">
        <f t="shared" si="15"/>
        <v>Exclude</v>
      </c>
    </row>
    <row r="245" spans="1:47" s="64" customFormat="1" x14ac:dyDescent="0.25">
      <c r="A245" s="63"/>
      <c r="U245" s="64" t="str">
        <f t="shared" si="12"/>
        <v>Exclude</v>
      </c>
      <c r="W245" s="65" t="str">
        <f t="shared" si="13"/>
        <v>Exclude</v>
      </c>
      <c r="Y245" s="63"/>
      <c r="AS245" s="64" t="str">
        <f t="shared" si="14"/>
        <v>Exclude</v>
      </c>
      <c r="AU245" s="65" t="str">
        <f t="shared" si="15"/>
        <v>Exclude</v>
      </c>
    </row>
    <row r="246" spans="1:47" s="64" customFormat="1" x14ac:dyDescent="0.25">
      <c r="A246" s="63"/>
      <c r="U246" s="64" t="str">
        <f t="shared" si="12"/>
        <v>Exclude</v>
      </c>
      <c r="W246" s="65" t="str">
        <f t="shared" si="13"/>
        <v>Exclude</v>
      </c>
      <c r="Y246" s="63"/>
      <c r="AS246" s="64" t="str">
        <f t="shared" si="14"/>
        <v>Exclude</v>
      </c>
      <c r="AU246" s="65" t="str">
        <f t="shared" si="15"/>
        <v>Exclude</v>
      </c>
    </row>
    <row r="247" spans="1:47" s="64" customFormat="1" x14ac:dyDescent="0.25">
      <c r="A247" s="63"/>
      <c r="U247" s="64" t="str">
        <f t="shared" si="12"/>
        <v>Exclude</v>
      </c>
      <c r="W247" s="65" t="str">
        <f t="shared" si="13"/>
        <v>Exclude</v>
      </c>
      <c r="Y247" s="63"/>
      <c r="AS247" s="64" t="str">
        <f t="shared" si="14"/>
        <v>Exclude</v>
      </c>
      <c r="AU247" s="65" t="str">
        <f t="shared" si="15"/>
        <v>Exclude</v>
      </c>
    </row>
    <row r="248" spans="1:47" s="64" customFormat="1" x14ac:dyDescent="0.25">
      <c r="A248" s="63"/>
      <c r="U248" s="64" t="str">
        <f t="shared" si="12"/>
        <v>Exclude</v>
      </c>
      <c r="W248" s="65" t="str">
        <f t="shared" si="13"/>
        <v>Exclude</v>
      </c>
      <c r="Y248" s="63"/>
      <c r="AS248" s="64" t="str">
        <f t="shared" si="14"/>
        <v>Exclude</v>
      </c>
      <c r="AU248" s="65" t="str">
        <f t="shared" si="15"/>
        <v>Exclude</v>
      </c>
    </row>
    <row r="249" spans="1:47" s="64" customFormat="1" x14ac:dyDescent="0.25">
      <c r="A249" s="63"/>
      <c r="U249" s="64" t="str">
        <f t="shared" si="12"/>
        <v>Exclude</v>
      </c>
      <c r="W249" s="65" t="str">
        <f t="shared" si="13"/>
        <v>Exclude</v>
      </c>
      <c r="Y249" s="63"/>
      <c r="AS249" s="64" t="str">
        <f t="shared" si="14"/>
        <v>Exclude</v>
      </c>
      <c r="AU249" s="65" t="str">
        <f t="shared" si="15"/>
        <v>Exclude</v>
      </c>
    </row>
    <row r="250" spans="1:47" s="64" customFormat="1" x14ac:dyDescent="0.25">
      <c r="A250" s="63"/>
      <c r="U250" s="64" t="str">
        <f t="shared" si="12"/>
        <v>Exclude</v>
      </c>
      <c r="W250" s="65" t="str">
        <f t="shared" si="13"/>
        <v>Exclude</v>
      </c>
      <c r="Y250" s="63"/>
      <c r="AS250" s="64" t="str">
        <f t="shared" si="14"/>
        <v>Exclude</v>
      </c>
      <c r="AU250" s="65" t="str">
        <f t="shared" si="15"/>
        <v>Exclude</v>
      </c>
    </row>
    <row r="251" spans="1:47" s="64" customFormat="1" x14ac:dyDescent="0.25">
      <c r="A251" s="63"/>
      <c r="U251" s="64" t="str">
        <f t="shared" si="12"/>
        <v>Exclude</v>
      </c>
      <c r="W251" s="65" t="str">
        <f t="shared" si="13"/>
        <v>Exclude</v>
      </c>
      <c r="Y251" s="63"/>
      <c r="AS251" s="64" t="str">
        <f t="shared" si="14"/>
        <v>Exclude</v>
      </c>
      <c r="AU251" s="65" t="str">
        <f t="shared" si="15"/>
        <v>Exclude</v>
      </c>
    </row>
    <row r="252" spans="1:47" s="64" customFormat="1" x14ac:dyDescent="0.25">
      <c r="A252" s="63"/>
      <c r="U252" s="64" t="str">
        <f t="shared" si="12"/>
        <v>Exclude</v>
      </c>
      <c r="W252" s="65" t="str">
        <f t="shared" si="13"/>
        <v>Exclude</v>
      </c>
      <c r="Y252" s="63"/>
      <c r="AS252" s="64" t="str">
        <f t="shared" si="14"/>
        <v>Exclude</v>
      </c>
      <c r="AU252" s="65" t="str">
        <f t="shared" si="15"/>
        <v>Exclude</v>
      </c>
    </row>
    <row r="253" spans="1:47" s="64" customFormat="1" x14ac:dyDescent="0.25">
      <c r="A253" s="63"/>
      <c r="U253" s="64" t="str">
        <f t="shared" si="12"/>
        <v>Exclude</v>
      </c>
      <c r="W253" s="65" t="str">
        <f t="shared" si="13"/>
        <v>Exclude</v>
      </c>
      <c r="Y253" s="63"/>
      <c r="AS253" s="64" t="str">
        <f t="shared" si="14"/>
        <v>Exclude</v>
      </c>
      <c r="AU253" s="65" t="str">
        <f t="shared" si="15"/>
        <v>Exclude</v>
      </c>
    </row>
    <row r="254" spans="1:47" s="64" customFormat="1" x14ac:dyDescent="0.25">
      <c r="A254" s="63"/>
      <c r="U254" s="64" t="str">
        <f t="shared" si="12"/>
        <v>Exclude</v>
      </c>
      <c r="W254" s="65" t="str">
        <f t="shared" si="13"/>
        <v>Exclude</v>
      </c>
      <c r="Y254" s="63"/>
      <c r="AS254" s="64" t="str">
        <f t="shared" si="14"/>
        <v>Exclude</v>
      </c>
      <c r="AU254" s="65" t="str">
        <f t="shared" si="15"/>
        <v>Exclude</v>
      </c>
    </row>
    <row r="255" spans="1:47" s="64" customFormat="1" x14ac:dyDescent="0.25">
      <c r="A255" s="63"/>
      <c r="U255" s="64" t="str">
        <f t="shared" si="12"/>
        <v>Exclude</v>
      </c>
      <c r="W255" s="65" t="str">
        <f t="shared" si="13"/>
        <v>Exclude</v>
      </c>
      <c r="Y255" s="63"/>
      <c r="AS255" s="64" t="str">
        <f t="shared" si="14"/>
        <v>Exclude</v>
      </c>
      <c r="AU255" s="65" t="str">
        <f t="shared" si="15"/>
        <v>Exclude</v>
      </c>
    </row>
    <row r="256" spans="1:47" s="64" customFormat="1" x14ac:dyDescent="0.25">
      <c r="A256" s="63"/>
      <c r="U256" s="64" t="str">
        <f t="shared" si="12"/>
        <v>Exclude</v>
      </c>
      <c r="W256" s="65" t="str">
        <f t="shared" si="13"/>
        <v>Exclude</v>
      </c>
      <c r="Y256" s="63"/>
      <c r="AS256" s="64" t="str">
        <f t="shared" si="14"/>
        <v>Exclude</v>
      </c>
      <c r="AU256" s="65" t="str">
        <f t="shared" si="15"/>
        <v>Exclude</v>
      </c>
    </row>
    <row r="257" spans="1:47" s="64" customFormat="1" x14ac:dyDescent="0.25">
      <c r="A257" s="63"/>
      <c r="U257" s="64" t="str">
        <f t="shared" si="12"/>
        <v>Exclude</v>
      </c>
      <c r="W257" s="65" t="str">
        <f t="shared" si="13"/>
        <v>Exclude</v>
      </c>
      <c r="Y257" s="63"/>
      <c r="AS257" s="64" t="str">
        <f t="shared" si="14"/>
        <v>Exclude</v>
      </c>
      <c r="AU257" s="65" t="str">
        <f t="shared" si="15"/>
        <v>Exclude</v>
      </c>
    </row>
    <row r="258" spans="1:47" s="64" customFormat="1" x14ac:dyDescent="0.25">
      <c r="A258" s="63"/>
      <c r="U258" s="64" t="str">
        <f t="shared" si="12"/>
        <v>Exclude</v>
      </c>
      <c r="W258" s="65" t="str">
        <f t="shared" si="13"/>
        <v>Exclude</v>
      </c>
      <c r="Y258" s="63"/>
      <c r="AS258" s="64" t="str">
        <f t="shared" si="14"/>
        <v>Exclude</v>
      </c>
      <c r="AU258" s="65" t="str">
        <f t="shared" si="15"/>
        <v>Exclude</v>
      </c>
    </row>
    <row r="259" spans="1:47" s="64" customFormat="1" x14ac:dyDescent="0.25">
      <c r="A259" s="63"/>
      <c r="U259" s="64" t="str">
        <f t="shared" si="12"/>
        <v>Exclude</v>
      </c>
      <c r="W259" s="65" t="str">
        <f t="shared" si="13"/>
        <v>Exclude</v>
      </c>
      <c r="Y259" s="63"/>
      <c r="AS259" s="64" t="str">
        <f t="shared" si="14"/>
        <v>Exclude</v>
      </c>
      <c r="AU259" s="65" t="str">
        <f t="shared" si="15"/>
        <v>Exclude</v>
      </c>
    </row>
    <row r="260" spans="1:47" s="64" customFormat="1" x14ac:dyDescent="0.25">
      <c r="A260" s="63"/>
      <c r="U260" s="64" t="str">
        <f t="shared" si="12"/>
        <v>Exclude</v>
      </c>
      <c r="W260" s="65" t="str">
        <f t="shared" si="13"/>
        <v>Exclude</v>
      </c>
      <c r="Y260" s="63"/>
      <c r="AS260" s="64" t="str">
        <f t="shared" si="14"/>
        <v>Exclude</v>
      </c>
      <c r="AU260" s="65" t="str">
        <f t="shared" si="15"/>
        <v>Exclude</v>
      </c>
    </row>
    <row r="261" spans="1:47" s="64" customFormat="1" x14ac:dyDescent="0.25">
      <c r="A261" s="63"/>
      <c r="U261" s="64" t="str">
        <f t="shared" si="12"/>
        <v>Exclude</v>
      </c>
      <c r="W261" s="65" t="str">
        <f t="shared" si="13"/>
        <v>Exclude</v>
      </c>
      <c r="Y261" s="63"/>
      <c r="AS261" s="64" t="str">
        <f t="shared" si="14"/>
        <v>Exclude</v>
      </c>
      <c r="AU261" s="65" t="str">
        <f t="shared" si="15"/>
        <v>Exclude</v>
      </c>
    </row>
    <row r="262" spans="1:47" s="64" customFormat="1" x14ac:dyDescent="0.25">
      <c r="A262" s="63"/>
      <c r="U262" s="64" t="str">
        <f t="shared" si="12"/>
        <v>Exclude</v>
      </c>
      <c r="W262" s="65" t="str">
        <f t="shared" si="13"/>
        <v>Exclude</v>
      </c>
      <c r="Y262" s="63"/>
      <c r="AS262" s="64" t="str">
        <f t="shared" si="14"/>
        <v>Exclude</v>
      </c>
      <c r="AU262" s="65" t="str">
        <f t="shared" si="15"/>
        <v>Exclude</v>
      </c>
    </row>
    <row r="263" spans="1:47" s="64" customFormat="1" x14ac:dyDescent="0.25">
      <c r="A263" s="63"/>
      <c r="U263" s="64" t="str">
        <f t="shared" si="12"/>
        <v>Exclude</v>
      </c>
      <c r="W263" s="65" t="str">
        <f t="shared" si="13"/>
        <v>Exclude</v>
      </c>
      <c r="Y263" s="63"/>
      <c r="AS263" s="64" t="str">
        <f t="shared" si="14"/>
        <v>Exclude</v>
      </c>
      <c r="AU263" s="65" t="str">
        <f t="shared" si="15"/>
        <v>Exclude</v>
      </c>
    </row>
    <row r="264" spans="1:47" s="64" customFormat="1" x14ac:dyDescent="0.25">
      <c r="A264" s="63"/>
      <c r="U264" s="64" t="str">
        <f t="shared" si="12"/>
        <v>Exclude</v>
      </c>
      <c r="W264" s="65" t="str">
        <f t="shared" si="13"/>
        <v>Exclude</v>
      </c>
      <c r="Y264" s="63"/>
      <c r="AS264" s="64" t="str">
        <f t="shared" si="14"/>
        <v>Exclude</v>
      </c>
      <c r="AU264" s="65" t="str">
        <f t="shared" si="15"/>
        <v>Exclude</v>
      </c>
    </row>
    <row r="265" spans="1:47" s="64" customFormat="1" x14ac:dyDescent="0.25">
      <c r="A265" s="63"/>
      <c r="U265" s="64" t="str">
        <f t="shared" si="12"/>
        <v>Exclude</v>
      </c>
      <c r="W265" s="65" t="str">
        <f t="shared" si="13"/>
        <v>Exclude</v>
      </c>
      <c r="Y265" s="63"/>
      <c r="AS265" s="64" t="str">
        <f t="shared" si="14"/>
        <v>Exclude</v>
      </c>
      <c r="AU265" s="65" t="str">
        <f t="shared" si="15"/>
        <v>Exclude</v>
      </c>
    </row>
    <row r="266" spans="1:47" s="64" customFormat="1" x14ac:dyDescent="0.25">
      <c r="A266" s="63"/>
      <c r="U266" s="64" t="str">
        <f t="shared" si="12"/>
        <v>Exclude</v>
      </c>
      <c r="W266" s="65" t="str">
        <f t="shared" si="13"/>
        <v>Exclude</v>
      </c>
      <c r="Y266" s="63"/>
      <c r="AS266" s="64" t="str">
        <f t="shared" si="14"/>
        <v>Exclude</v>
      </c>
      <c r="AU266" s="65" t="str">
        <f t="shared" si="15"/>
        <v>Exclude</v>
      </c>
    </row>
    <row r="267" spans="1:47" s="64" customFormat="1" x14ac:dyDescent="0.25">
      <c r="A267" s="63"/>
      <c r="U267" s="64" t="str">
        <f t="shared" si="12"/>
        <v>Exclude</v>
      </c>
      <c r="W267" s="65" t="str">
        <f t="shared" si="13"/>
        <v>Exclude</v>
      </c>
      <c r="Y267" s="63"/>
      <c r="AS267" s="64" t="str">
        <f t="shared" si="14"/>
        <v>Exclude</v>
      </c>
      <c r="AU267" s="65" t="str">
        <f t="shared" si="15"/>
        <v>Exclude</v>
      </c>
    </row>
    <row r="268" spans="1:47" s="64" customFormat="1" x14ac:dyDescent="0.25">
      <c r="A268" s="63"/>
      <c r="U268" s="64" t="str">
        <f t="shared" si="12"/>
        <v>Exclude</v>
      </c>
      <c r="W268" s="65" t="str">
        <f t="shared" si="13"/>
        <v>Exclude</v>
      </c>
      <c r="Y268" s="63"/>
      <c r="AS268" s="64" t="str">
        <f t="shared" si="14"/>
        <v>Exclude</v>
      </c>
      <c r="AU268" s="65" t="str">
        <f t="shared" si="15"/>
        <v>Exclude</v>
      </c>
    </row>
    <row r="269" spans="1:47" s="64" customFormat="1" x14ac:dyDescent="0.25">
      <c r="A269" s="63"/>
      <c r="U269" s="64" t="str">
        <f t="shared" si="12"/>
        <v>Exclude</v>
      </c>
      <c r="W269" s="65" t="str">
        <f t="shared" si="13"/>
        <v>Exclude</v>
      </c>
      <c r="Y269" s="63"/>
      <c r="AS269" s="64" t="str">
        <f t="shared" si="14"/>
        <v>Exclude</v>
      </c>
      <c r="AU269" s="65" t="str">
        <f t="shared" si="15"/>
        <v>Exclude</v>
      </c>
    </row>
    <row r="270" spans="1:47" s="64" customFormat="1" x14ac:dyDescent="0.25">
      <c r="A270" s="63"/>
      <c r="U270" s="64" t="str">
        <f t="shared" si="12"/>
        <v>Exclude</v>
      </c>
      <c r="W270" s="65" t="str">
        <f t="shared" si="13"/>
        <v>Exclude</v>
      </c>
      <c r="Y270" s="63"/>
      <c r="AS270" s="64" t="str">
        <f t="shared" si="14"/>
        <v>Exclude</v>
      </c>
      <c r="AU270" s="65" t="str">
        <f t="shared" si="15"/>
        <v>Exclude</v>
      </c>
    </row>
    <row r="271" spans="1:47" s="64" customFormat="1" x14ac:dyDescent="0.25">
      <c r="A271" s="63"/>
      <c r="U271" s="64" t="str">
        <f t="shared" si="12"/>
        <v>Exclude</v>
      </c>
      <c r="W271" s="65" t="str">
        <f t="shared" si="13"/>
        <v>Exclude</v>
      </c>
      <c r="Y271" s="63"/>
      <c r="AS271" s="64" t="str">
        <f t="shared" si="14"/>
        <v>Exclude</v>
      </c>
      <c r="AU271" s="65" t="str">
        <f t="shared" si="15"/>
        <v>Exclude</v>
      </c>
    </row>
    <row r="272" spans="1:47" s="64" customFormat="1" x14ac:dyDescent="0.25">
      <c r="A272" s="63"/>
      <c r="U272" s="64" t="str">
        <f t="shared" si="12"/>
        <v>Exclude</v>
      </c>
      <c r="W272" s="65" t="str">
        <f t="shared" si="13"/>
        <v>Exclude</v>
      </c>
      <c r="Y272" s="63"/>
      <c r="AS272" s="64" t="str">
        <f t="shared" si="14"/>
        <v>Exclude</v>
      </c>
      <c r="AU272" s="65" t="str">
        <f t="shared" si="15"/>
        <v>Exclude</v>
      </c>
    </row>
    <row r="273" spans="1:47" s="64" customFormat="1" x14ac:dyDescent="0.25">
      <c r="A273" s="63"/>
      <c r="U273" s="64" t="str">
        <f t="shared" si="12"/>
        <v>Exclude</v>
      </c>
      <c r="W273" s="65" t="str">
        <f t="shared" si="13"/>
        <v>Exclude</v>
      </c>
      <c r="Y273" s="63"/>
      <c r="AS273" s="64" t="str">
        <f t="shared" si="14"/>
        <v>Exclude</v>
      </c>
      <c r="AU273" s="65" t="str">
        <f t="shared" si="15"/>
        <v>Exclude</v>
      </c>
    </row>
    <row r="274" spans="1:47" s="64" customFormat="1" x14ac:dyDescent="0.25">
      <c r="A274" s="63"/>
      <c r="U274" s="64" t="str">
        <f t="shared" si="12"/>
        <v>Exclude</v>
      </c>
      <c r="W274" s="65" t="str">
        <f t="shared" si="13"/>
        <v>Exclude</v>
      </c>
      <c r="Y274" s="63"/>
      <c r="AS274" s="64" t="str">
        <f t="shared" si="14"/>
        <v>Exclude</v>
      </c>
      <c r="AU274" s="65" t="str">
        <f t="shared" si="15"/>
        <v>Exclude</v>
      </c>
    </row>
    <row r="275" spans="1:47" s="64" customFormat="1" x14ac:dyDescent="0.25">
      <c r="A275" s="63"/>
      <c r="U275" s="64" t="str">
        <f t="shared" si="12"/>
        <v>Exclude</v>
      </c>
      <c r="W275" s="65" t="str">
        <f t="shared" si="13"/>
        <v>Exclude</v>
      </c>
      <c r="Y275" s="63"/>
      <c r="AS275" s="64" t="str">
        <f t="shared" si="14"/>
        <v>Exclude</v>
      </c>
      <c r="AU275" s="65" t="str">
        <f t="shared" si="15"/>
        <v>Exclude</v>
      </c>
    </row>
    <row r="276" spans="1:47" s="64" customFormat="1" x14ac:dyDescent="0.25">
      <c r="A276" s="63"/>
      <c r="U276" s="64" t="str">
        <f t="shared" si="12"/>
        <v>Exclude</v>
      </c>
      <c r="W276" s="65" t="str">
        <f t="shared" si="13"/>
        <v>Exclude</v>
      </c>
      <c r="Y276" s="63"/>
      <c r="AS276" s="64" t="str">
        <f t="shared" si="14"/>
        <v>Exclude</v>
      </c>
      <c r="AU276" s="65" t="str">
        <f t="shared" si="15"/>
        <v>Exclude</v>
      </c>
    </row>
    <row r="277" spans="1:47" s="64" customFormat="1" x14ac:dyDescent="0.25">
      <c r="A277" s="63"/>
      <c r="U277" s="64" t="str">
        <f t="shared" si="12"/>
        <v>Exclude</v>
      </c>
      <c r="W277" s="65" t="str">
        <f t="shared" si="13"/>
        <v>Exclude</v>
      </c>
      <c r="Y277" s="63"/>
      <c r="AS277" s="64" t="str">
        <f t="shared" si="14"/>
        <v>Exclude</v>
      </c>
      <c r="AU277" s="65" t="str">
        <f t="shared" si="15"/>
        <v>Exclude</v>
      </c>
    </row>
    <row r="278" spans="1:47" s="64" customFormat="1" x14ac:dyDescent="0.25">
      <c r="A278" s="63"/>
      <c r="U278" s="64" t="str">
        <f t="shared" si="12"/>
        <v>Exclude</v>
      </c>
      <c r="W278" s="65" t="str">
        <f t="shared" si="13"/>
        <v>Exclude</v>
      </c>
      <c r="Y278" s="63"/>
      <c r="AS278" s="64" t="str">
        <f t="shared" si="14"/>
        <v>Exclude</v>
      </c>
      <c r="AU278" s="65" t="str">
        <f t="shared" si="15"/>
        <v>Exclude</v>
      </c>
    </row>
    <row r="279" spans="1:47" s="64" customFormat="1" x14ac:dyDescent="0.25">
      <c r="A279" s="63"/>
      <c r="U279" s="64" t="str">
        <f t="shared" ref="U279:U342" si="16">IF(OR(R279="TruePositive",R279="TrueNegative"),IF(R278&lt;&gt;"Anticipatory",(N279),"Pant"),"Exclude")</f>
        <v>Exclude</v>
      </c>
      <c r="W279" s="65" t="str">
        <f t="shared" ref="W279:W342" si="17">IF(OR(R279="TruePositive",R279="TrueNegative"),IF(R278&lt;&gt;"Anticipatory",LOG10(N279),"Exclude"),"Exclude")</f>
        <v>Exclude</v>
      </c>
      <c r="Y279" s="63"/>
      <c r="AS279" s="64" t="str">
        <f t="shared" ref="AS279:AS342" si="18">IF(OR(AP279="TruePositive",AP279="TrueNegative"),IF(AP278&lt;&gt;"Anticipatory",(AL279),"Pant"),"Exclude")</f>
        <v>Exclude</v>
      </c>
      <c r="AU279" s="65" t="str">
        <f t="shared" ref="AU279:AU342" si="19">IF(OR(AP279="TruePositive",AP279="TrueNegative"),IF(AP278&lt;&gt;"Anticipatory",LOG10(AL279),"Exclude"),"Exclude")</f>
        <v>Exclude</v>
      </c>
    </row>
    <row r="280" spans="1:47" s="64" customFormat="1" x14ac:dyDescent="0.25">
      <c r="A280" s="63"/>
      <c r="U280" s="64" t="str">
        <f t="shared" si="16"/>
        <v>Exclude</v>
      </c>
      <c r="W280" s="65" t="str">
        <f t="shared" si="17"/>
        <v>Exclude</v>
      </c>
      <c r="Y280" s="63"/>
      <c r="AS280" s="64" t="str">
        <f t="shared" si="18"/>
        <v>Exclude</v>
      </c>
      <c r="AU280" s="65" t="str">
        <f t="shared" si="19"/>
        <v>Exclude</v>
      </c>
    </row>
    <row r="281" spans="1:47" s="64" customFormat="1" x14ac:dyDescent="0.25">
      <c r="A281" s="63"/>
      <c r="U281" s="64" t="str">
        <f t="shared" si="16"/>
        <v>Exclude</v>
      </c>
      <c r="W281" s="65" t="str">
        <f t="shared" si="17"/>
        <v>Exclude</v>
      </c>
      <c r="Y281" s="63"/>
      <c r="AS281" s="64" t="str">
        <f t="shared" si="18"/>
        <v>Exclude</v>
      </c>
      <c r="AU281" s="65" t="str">
        <f t="shared" si="19"/>
        <v>Exclude</v>
      </c>
    </row>
    <row r="282" spans="1:47" s="64" customFormat="1" x14ac:dyDescent="0.25">
      <c r="A282" s="63"/>
      <c r="U282" s="64" t="str">
        <f t="shared" si="16"/>
        <v>Exclude</v>
      </c>
      <c r="W282" s="65" t="str">
        <f t="shared" si="17"/>
        <v>Exclude</v>
      </c>
      <c r="Y282" s="63"/>
      <c r="AS282" s="64" t="str">
        <f t="shared" si="18"/>
        <v>Exclude</v>
      </c>
      <c r="AU282" s="65" t="str">
        <f t="shared" si="19"/>
        <v>Exclude</v>
      </c>
    </row>
    <row r="283" spans="1:47" s="64" customFormat="1" x14ac:dyDescent="0.25">
      <c r="A283" s="63"/>
      <c r="U283" s="64" t="str">
        <f t="shared" si="16"/>
        <v>Exclude</v>
      </c>
      <c r="W283" s="65" t="str">
        <f t="shared" si="17"/>
        <v>Exclude</v>
      </c>
      <c r="Y283" s="63"/>
      <c r="AS283" s="64" t="str">
        <f t="shared" si="18"/>
        <v>Exclude</v>
      </c>
      <c r="AU283" s="65" t="str">
        <f t="shared" si="19"/>
        <v>Exclude</v>
      </c>
    </row>
    <row r="284" spans="1:47" s="64" customFormat="1" x14ac:dyDescent="0.25">
      <c r="A284" s="63"/>
      <c r="U284" s="64" t="str">
        <f t="shared" si="16"/>
        <v>Exclude</v>
      </c>
      <c r="W284" s="65" t="str">
        <f t="shared" si="17"/>
        <v>Exclude</v>
      </c>
      <c r="Y284" s="63"/>
      <c r="AS284" s="64" t="str">
        <f t="shared" si="18"/>
        <v>Exclude</v>
      </c>
      <c r="AU284" s="65" t="str">
        <f t="shared" si="19"/>
        <v>Exclude</v>
      </c>
    </row>
    <row r="285" spans="1:47" s="64" customFormat="1" x14ac:dyDescent="0.25">
      <c r="A285" s="63"/>
      <c r="U285" s="64" t="str">
        <f t="shared" si="16"/>
        <v>Exclude</v>
      </c>
      <c r="W285" s="65" t="str">
        <f t="shared" si="17"/>
        <v>Exclude</v>
      </c>
      <c r="Y285" s="63"/>
      <c r="AS285" s="64" t="str">
        <f t="shared" si="18"/>
        <v>Exclude</v>
      </c>
      <c r="AU285" s="65" t="str">
        <f t="shared" si="19"/>
        <v>Exclude</v>
      </c>
    </row>
    <row r="286" spans="1:47" s="64" customFormat="1" x14ac:dyDescent="0.25">
      <c r="A286" s="63"/>
      <c r="U286" s="64" t="str">
        <f t="shared" si="16"/>
        <v>Exclude</v>
      </c>
      <c r="W286" s="65" t="str">
        <f t="shared" si="17"/>
        <v>Exclude</v>
      </c>
      <c r="Y286" s="63"/>
      <c r="AS286" s="64" t="str">
        <f t="shared" si="18"/>
        <v>Exclude</v>
      </c>
      <c r="AU286" s="65" t="str">
        <f t="shared" si="19"/>
        <v>Exclude</v>
      </c>
    </row>
    <row r="287" spans="1:47" s="64" customFormat="1" x14ac:dyDescent="0.25">
      <c r="A287" s="63"/>
      <c r="U287" s="64" t="str">
        <f t="shared" si="16"/>
        <v>Exclude</v>
      </c>
      <c r="W287" s="65" t="str">
        <f t="shared" si="17"/>
        <v>Exclude</v>
      </c>
      <c r="Y287" s="63"/>
      <c r="AS287" s="64" t="str">
        <f t="shared" si="18"/>
        <v>Exclude</v>
      </c>
      <c r="AU287" s="65" t="str">
        <f t="shared" si="19"/>
        <v>Exclude</v>
      </c>
    </row>
    <row r="288" spans="1:47" s="64" customFormat="1" x14ac:dyDescent="0.25">
      <c r="A288" s="63"/>
      <c r="U288" s="64" t="str">
        <f t="shared" si="16"/>
        <v>Exclude</v>
      </c>
      <c r="W288" s="65" t="str">
        <f t="shared" si="17"/>
        <v>Exclude</v>
      </c>
      <c r="Y288" s="63"/>
      <c r="AS288" s="64" t="str">
        <f t="shared" si="18"/>
        <v>Exclude</v>
      </c>
      <c r="AU288" s="65" t="str">
        <f t="shared" si="19"/>
        <v>Exclude</v>
      </c>
    </row>
    <row r="289" spans="1:47" s="64" customFormat="1" x14ac:dyDescent="0.25">
      <c r="A289" s="63"/>
      <c r="U289" s="64" t="str">
        <f t="shared" si="16"/>
        <v>Exclude</v>
      </c>
      <c r="W289" s="65" t="str">
        <f t="shared" si="17"/>
        <v>Exclude</v>
      </c>
      <c r="Y289" s="63"/>
      <c r="AS289" s="64" t="str">
        <f t="shared" si="18"/>
        <v>Exclude</v>
      </c>
      <c r="AU289" s="65" t="str">
        <f t="shared" si="19"/>
        <v>Exclude</v>
      </c>
    </row>
    <row r="290" spans="1:47" s="64" customFormat="1" x14ac:dyDescent="0.25">
      <c r="A290" s="63"/>
      <c r="U290" s="64" t="str">
        <f t="shared" si="16"/>
        <v>Exclude</v>
      </c>
      <c r="W290" s="65" t="str">
        <f t="shared" si="17"/>
        <v>Exclude</v>
      </c>
      <c r="Y290" s="63"/>
      <c r="AS290" s="64" t="str">
        <f t="shared" si="18"/>
        <v>Exclude</v>
      </c>
      <c r="AU290" s="65" t="str">
        <f t="shared" si="19"/>
        <v>Exclude</v>
      </c>
    </row>
    <row r="291" spans="1:47" s="64" customFormat="1" x14ac:dyDescent="0.25">
      <c r="A291" s="63"/>
      <c r="U291" s="64" t="str">
        <f t="shared" si="16"/>
        <v>Exclude</v>
      </c>
      <c r="W291" s="65" t="str">
        <f t="shared" si="17"/>
        <v>Exclude</v>
      </c>
      <c r="Y291" s="63"/>
      <c r="AS291" s="64" t="str">
        <f t="shared" si="18"/>
        <v>Exclude</v>
      </c>
      <c r="AU291" s="65" t="str">
        <f t="shared" si="19"/>
        <v>Exclude</v>
      </c>
    </row>
    <row r="292" spans="1:47" s="64" customFormat="1" x14ac:dyDescent="0.25">
      <c r="A292" s="63"/>
      <c r="U292" s="64" t="str">
        <f t="shared" si="16"/>
        <v>Exclude</v>
      </c>
      <c r="W292" s="65" t="str">
        <f t="shared" si="17"/>
        <v>Exclude</v>
      </c>
      <c r="Y292" s="63"/>
      <c r="AS292" s="64" t="str">
        <f t="shared" si="18"/>
        <v>Exclude</v>
      </c>
      <c r="AU292" s="65" t="str">
        <f t="shared" si="19"/>
        <v>Exclude</v>
      </c>
    </row>
    <row r="293" spans="1:47" s="64" customFormat="1" x14ac:dyDescent="0.25">
      <c r="A293" s="63"/>
      <c r="U293" s="64" t="str">
        <f t="shared" si="16"/>
        <v>Exclude</v>
      </c>
      <c r="W293" s="65" t="str">
        <f t="shared" si="17"/>
        <v>Exclude</v>
      </c>
      <c r="Y293" s="63"/>
      <c r="AS293" s="64" t="str">
        <f t="shared" si="18"/>
        <v>Exclude</v>
      </c>
      <c r="AU293" s="65" t="str">
        <f t="shared" si="19"/>
        <v>Exclude</v>
      </c>
    </row>
    <row r="294" spans="1:47" s="64" customFormat="1" x14ac:dyDescent="0.25">
      <c r="A294" s="63"/>
      <c r="U294" s="64" t="str">
        <f t="shared" si="16"/>
        <v>Exclude</v>
      </c>
      <c r="W294" s="65" t="str">
        <f t="shared" si="17"/>
        <v>Exclude</v>
      </c>
      <c r="Y294" s="63"/>
      <c r="AS294" s="64" t="str">
        <f t="shared" si="18"/>
        <v>Exclude</v>
      </c>
      <c r="AU294" s="65" t="str">
        <f t="shared" si="19"/>
        <v>Exclude</v>
      </c>
    </row>
    <row r="295" spans="1:47" s="64" customFormat="1" x14ac:dyDescent="0.25">
      <c r="A295" s="63"/>
      <c r="U295" s="64" t="str">
        <f t="shared" si="16"/>
        <v>Exclude</v>
      </c>
      <c r="W295" s="65" t="str">
        <f t="shared" si="17"/>
        <v>Exclude</v>
      </c>
      <c r="Y295" s="63"/>
      <c r="AS295" s="64" t="str">
        <f t="shared" si="18"/>
        <v>Exclude</v>
      </c>
      <c r="AU295" s="65" t="str">
        <f t="shared" si="19"/>
        <v>Exclude</v>
      </c>
    </row>
    <row r="296" spans="1:47" s="64" customFormat="1" x14ac:dyDescent="0.25">
      <c r="A296" s="63"/>
      <c r="U296" s="64" t="str">
        <f t="shared" si="16"/>
        <v>Exclude</v>
      </c>
      <c r="W296" s="65" t="str">
        <f t="shared" si="17"/>
        <v>Exclude</v>
      </c>
      <c r="Y296" s="63"/>
      <c r="AS296" s="64" t="str">
        <f t="shared" si="18"/>
        <v>Exclude</v>
      </c>
      <c r="AU296" s="65" t="str">
        <f t="shared" si="19"/>
        <v>Exclude</v>
      </c>
    </row>
    <row r="297" spans="1:47" s="64" customFormat="1" x14ac:dyDescent="0.25">
      <c r="A297" s="63"/>
      <c r="U297" s="64" t="str">
        <f t="shared" si="16"/>
        <v>Exclude</v>
      </c>
      <c r="W297" s="65" t="str">
        <f t="shared" si="17"/>
        <v>Exclude</v>
      </c>
      <c r="Y297" s="63"/>
      <c r="AS297" s="64" t="str">
        <f t="shared" si="18"/>
        <v>Exclude</v>
      </c>
      <c r="AU297" s="65" t="str">
        <f t="shared" si="19"/>
        <v>Exclude</v>
      </c>
    </row>
    <row r="298" spans="1:47" s="64" customFormat="1" x14ac:dyDescent="0.25">
      <c r="A298" s="63"/>
      <c r="U298" s="64" t="str">
        <f t="shared" si="16"/>
        <v>Exclude</v>
      </c>
      <c r="W298" s="65" t="str">
        <f t="shared" si="17"/>
        <v>Exclude</v>
      </c>
      <c r="Y298" s="63"/>
      <c r="AS298" s="64" t="str">
        <f t="shared" si="18"/>
        <v>Exclude</v>
      </c>
      <c r="AU298" s="65" t="str">
        <f t="shared" si="19"/>
        <v>Exclude</v>
      </c>
    </row>
    <row r="299" spans="1:47" s="64" customFormat="1" x14ac:dyDescent="0.25">
      <c r="A299" s="63"/>
      <c r="U299" s="64" t="str">
        <f t="shared" si="16"/>
        <v>Exclude</v>
      </c>
      <c r="W299" s="65" t="str">
        <f t="shared" si="17"/>
        <v>Exclude</v>
      </c>
      <c r="Y299" s="63"/>
      <c r="AS299" s="64" t="str">
        <f t="shared" si="18"/>
        <v>Exclude</v>
      </c>
      <c r="AU299" s="65" t="str">
        <f t="shared" si="19"/>
        <v>Exclude</v>
      </c>
    </row>
    <row r="300" spans="1:47" s="64" customFormat="1" x14ac:dyDescent="0.25">
      <c r="A300" s="63"/>
      <c r="U300" s="64" t="str">
        <f t="shared" si="16"/>
        <v>Exclude</v>
      </c>
      <c r="W300" s="65" t="str">
        <f t="shared" si="17"/>
        <v>Exclude</v>
      </c>
      <c r="Y300" s="63"/>
      <c r="AS300" s="64" t="str">
        <f t="shared" si="18"/>
        <v>Exclude</v>
      </c>
      <c r="AU300" s="65" t="str">
        <f t="shared" si="19"/>
        <v>Exclude</v>
      </c>
    </row>
    <row r="301" spans="1:47" s="64" customFormat="1" x14ac:dyDescent="0.25">
      <c r="A301" s="63"/>
      <c r="U301" s="64" t="str">
        <f t="shared" si="16"/>
        <v>Exclude</v>
      </c>
      <c r="W301" s="65" t="str">
        <f t="shared" si="17"/>
        <v>Exclude</v>
      </c>
      <c r="Y301" s="63"/>
      <c r="AS301" s="64" t="str">
        <f t="shared" si="18"/>
        <v>Exclude</v>
      </c>
      <c r="AU301" s="65" t="str">
        <f t="shared" si="19"/>
        <v>Exclude</v>
      </c>
    </row>
    <row r="302" spans="1:47" s="64" customFormat="1" x14ac:dyDescent="0.25">
      <c r="A302" s="63"/>
      <c r="U302" s="64" t="str">
        <f t="shared" si="16"/>
        <v>Exclude</v>
      </c>
      <c r="W302" s="65" t="str">
        <f t="shared" si="17"/>
        <v>Exclude</v>
      </c>
      <c r="Y302" s="63"/>
      <c r="AS302" s="64" t="str">
        <f t="shared" si="18"/>
        <v>Exclude</v>
      </c>
      <c r="AU302" s="65" t="str">
        <f t="shared" si="19"/>
        <v>Exclude</v>
      </c>
    </row>
    <row r="303" spans="1:47" s="64" customFormat="1" x14ac:dyDescent="0.25">
      <c r="A303" s="63"/>
      <c r="U303" s="64" t="str">
        <f t="shared" si="16"/>
        <v>Exclude</v>
      </c>
      <c r="W303" s="65" t="str">
        <f t="shared" si="17"/>
        <v>Exclude</v>
      </c>
      <c r="Y303" s="63"/>
      <c r="AS303" s="64" t="str">
        <f t="shared" si="18"/>
        <v>Exclude</v>
      </c>
      <c r="AU303" s="65" t="str">
        <f t="shared" si="19"/>
        <v>Exclude</v>
      </c>
    </row>
    <row r="304" spans="1:47" s="64" customFormat="1" x14ac:dyDescent="0.25">
      <c r="A304" s="63"/>
      <c r="U304" s="64" t="str">
        <f t="shared" si="16"/>
        <v>Exclude</v>
      </c>
      <c r="W304" s="65" t="str">
        <f t="shared" si="17"/>
        <v>Exclude</v>
      </c>
      <c r="Y304" s="63"/>
      <c r="AS304" s="64" t="str">
        <f t="shared" si="18"/>
        <v>Exclude</v>
      </c>
      <c r="AU304" s="65" t="str">
        <f t="shared" si="19"/>
        <v>Exclude</v>
      </c>
    </row>
    <row r="305" spans="1:47" s="64" customFormat="1" x14ac:dyDescent="0.25">
      <c r="A305" s="63"/>
      <c r="U305" s="64" t="str">
        <f t="shared" si="16"/>
        <v>Exclude</v>
      </c>
      <c r="W305" s="65" t="str">
        <f t="shared" si="17"/>
        <v>Exclude</v>
      </c>
      <c r="Y305" s="63"/>
      <c r="AS305" s="64" t="str">
        <f t="shared" si="18"/>
        <v>Exclude</v>
      </c>
      <c r="AU305" s="65" t="str">
        <f t="shared" si="19"/>
        <v>Exclude</v>
      </c>
    </row>
    <row r="306" spans="1:47" s="64" customFormat="1" x14ac:dyDescent="0.25">
      <c r="A306" s="63"/>
      <c r="U306" s="64" t="str">
        <f t="shared" si="16"/>
        <v>Exclude</v>
      </c>
      <c r="W306" s="65" t="str">
        <f t="shared" si="17"/>
        <v>Exclude</v>
      </c>
      <c r="Y306" s="63"/>
      <c r="AS306" s="64" t="str">
        <f t="shared" si="18"/>
        <v>Exclude</v>
      </c>
      <c r="AU306" s="65" t="str">
        <f t="shared" si="19"/>
        <v>Exclude</v>
      </c>
    </row>
    <row r="307" spans="1:47" s="64" customFormat="1" x14ac:dyDescent="0.25">
      <c r="A307" s="63"/>
      <c r="U307" s="64" t="str">
        <f t="shared" si="16"/>
        <v>Exclude</v>
      </c>
      <c r="W307" s="65" t="str">
        <f t="shared" si="17"/>
        <v>Exclude</v>
      </c>
      <c r="Y307" s="63"/>
      <c r="AS307" s="64" t="str">
        <f t="shared" si="18"/>
        <v>Exclude</v>
      </c>
      <c r="AU307" s="65" t="str">
        <f t="shared" si="19"/>
        <v>Exclude</v>
      </c>
    </row>
    <row r="308" spans="1:47" s="64" customFormat="1" x14ac:dyDescent="0.25">
      <c r="A308" s="63"/>
      <c r="U308" s="64" t="str">
        <f t="shared" si="16"/>
        <v>Exclude</v>
      </c>
      <c r="W308" s="65" t="str">
        <f t="shared" si="17"/>
        <v>Exclude</v>
      </c>
      <c r="Y308" s="63"/>
      <c r="AS308" s="64" t="str">
        <f t="shared" si="18"/>
        <v>Exclude</v>
      </c>
      <c r="AU308" s="65" t="str">
        <f t="shared" si="19"/>
        <v>Exclude</v>
      </c>
    </row>
    <row r="309" spans="1:47" s="64" customFormat="1" x14ac:dyDescent="0.25">
      <c r="A309" s="63"/>
      <c r="U309" s="64" t="str">
        <f t="shared" si="16"/>
        <v>Exclude</v>
      </c>
      <c r="W309" s="65" t="str">
        <f t="shared" si="17"/>
        <v>Exclude</v>
      </c>
      <c r="Y309" s="63"/>
      <c r="AS309" s="64" t="str">
        <f t="shared" si="18"/>
        <v>Exclude</v>
      </c>
      <c r="AU309" s="65" t="str">
        <f t="shared" si="19"/>
        <v>Exclude</v>
      </c>
    </row>
    <row r="310" spans="1:47" s="64" customFormat="1" x14ac:dyDescent="0.25">
      <c r="A310" s="63"/>
      <c r="U310" s="64" t="str">
        <f t="shared" si="16"/>
        <v>Exclude</v>
      </c>
      <c r="W310" s="65" t="str">
        <f t="shared" si="17"/>
        <v>Exclude</v>
      </c>
      <c r="Y310" s="63"/>
      <c r="AS310" s="64" t="str">
        <f t="shared" si="18"/>
        <v>Exclude</v>
      </c>
      <c r="AU310" s="65" t="str">
        <f t="shared" si="19"/>
        <v>Exclude</v>
      </c>
    </row>
    <row r="311" spans="1:47" s="64" customFormat="1" x14ac:dyDescent="0.25">
      <c r="A311" s="63"/>
      <c r="U311" s="64" t="str">
        <f t="shared" si="16"/>
        <v>Exclude</v>
      </c>
      <c r="W311" s="65" t="str">
        <f t="shared" si="17"/>
        <v>Exclude</v>
      </c>
      <c r="Y311" s="63"/>
      <c r="AS311" s="64" t="str">
        <f t="shared" si="18"/>
        <v>Exclude</v>
      </c>
      <c r="AU311" s="65" t="str">
        <f t="shared" si="19"/>
        <v>Exclude</v>
      </c>
    </row>
    <row r="312" spans="1:47" s="64" customFormat="1" x14ac:dyDescent="0.25">
      <c r="A312" s="63"/>
      <c r="U312" s="64" t="str">
        <f t="shared" si="16"/>
        <v>Exclude</v>
      </c>
      <c r="W312" s="65" t="str">
        <f t="shared" si="17"/>
        <v>Exclude</v>
      </c>
      <c r="Y312" s="63"/>
      <c r="AS312" s="64" t="str">
        <f t="shared" si="18"/>
        <v>Exclude</v>
      </c>
      <c r="AU312" s="65" t="str">
        <f t="shared" si="19"/>
        <v>Exclude</v>
      </c>
    </row>
    <row r="313" spans="1:47" s="64" customFormat="1" x14ac:dyDescent="0.25">
      <c r="A313" s="63"/>
      <c r="U313" s="64" t="str">
        <f t="shared" si="16"/>
        <v>Exclude</v>
      </c>
      <c r="W313" s="65" t="str">
        <f t="shared" si="17"/>
        <v>Exclude</v>
      </c>
      <c r="Y313" s="63"/>
      <c r="AS313" s="64" t="str">
        <f t="shared" si="18"/>
        <v>Exclude</v>
      </c>
      <c r="AU313" s="65" t="str">
        <f t="shared" si="19"/>
        <v>Exclude</v>
      </c>
    </row>
    <row r="314" spans="1:47" s="64" customFormat="1" x14ac:dyDescent="0.25">
      <c r="A314" s="63"/>
      <c r="U314" s="64" t="str">
        <f t="shared" si="16"/>
        <v>Exclude</v>
      </c>
      <c r="W314" s="65" t="str">
        <f t="shared" si="17"/>
        <v>Exclude</v>
      </c>
      <c r="Y314" s="63"/>
      <c r="AS314" s="64" t="str">
        <f t="shared" si="18"/>
        <v>Exclude</v>
      </c>
      <c r="AU314" s="65" t="str">
        <f t="shared" si="19"/>
        <v>Exclude</v>
      </c>
    </row>
    <row r="315" spans="1:47" s="64" customFormat="1" x14ac:dyDescent="0.25">
      <c r="A315" s="63"/>
      <c r="U315" s="64" t="str">
        <f t="shared" si="16"/>
        <v>Exclude</v>
      </c>
      <c r="W315" s="65" t="str">
        <f t="shared" si="17"/>
        <v>Exclude</v>
      </c>
      <c r="Y315" s="63"/>
      <c r="AS315" s="64" t="str">
        <f t="shared" si="18"/>
        <v>Exclude</v>
      </c>
      <c r="AU315" s="65" t="str">
        <f t="shared" si="19"/>
        <v>Exclude</v>
      </c>
    </row>
    <row r="316" spans="1:47" s="64" customFormat="1" x14ac:dyDescent="0.25">
      <c r="A316" s="63"/>
      <c r="U316" s="64" t="str">
        <f t="shared" si="16"/>
        <v>Exclude</v>
      </c>
      <c r="W316" s="65" t="str">
        <f t="shared" si="17"/>
        <v>Exclude</v>
      </c>
      <c r="Y316" s="63"/>
      <c r="AS316" s="64" t="str">
        <f t="shared" si="18"/>
        <v>Exclude</v>
      </c>
      <c r="AU316" s="65" t="str">
        <f t="shared" si="19"/>
        <v>Exclude</v>
      </c>
    </row>
    <row r="317" spans="1:47" s="64" customFormat="1" x14ac:dyDescent="0.25">
      <c r="A317" s="63"/>
      <c r="U317" s="64" t="str">
        <f t="shared" si="16"/>
        <v>Exclude</v>
      </c>
      <c r="W317" s="65" t="str">
        <f t="shared" si="17"/>
        <v>Exclude</v>
      </c>
      <c r="Y317" s="63"/>
      <c r="AS317" s="64" t="str">
        <f t="shared" si="18"/>
        <v>Exclude</v>
      </c>
      <c r="AU317" s="65" t="str">
        <f t="shared" si="19"/>
        <v>Exclude</v>
      </c>
    </row>
    <row r="318" spans="1:47" s="64" customFormat="1" x14ac:dyDescent="0.25">
      <c r="A318" s="63"/>
      <c r="U318" s="64" t="str">
        <f t="shared" si="16"/>
        <v>Exclude</v>
      </c>
      <c r="W318" s="65" t="str">
        <f t="shared" si="17"/>
        <v>Exclude</v>
      </c>
      <c r="Y318" s="63"/>
      <c r="AS318" s="64" t="str">
        <f t="shared" si="18"/>
        <v>Exclude</v>
      </c>
      <c r="AU318" s="65" t="str">
        <f t="shared" si="19"/>
        <v>Exclude</v>
      </c>
    </row>
    <row r="319" spans="1:47" s="64" customFormat="1" x14ac:dyDescent="0.25">
      <c r="A319" s="63"/>
      <c r="U319" s="64" t="str">
        <f t="shared" si="16"/>
        <v>Exclude</v>
      </c>
      <c r="W319" s="65" t="str">
        <f t="shared" si="17"/>
        <v>Exclude</v>
      </c>
      <c r="Y319" s="63"/>
      <c r="AS319" s="64" t="str">
        <f t="shared" si="18"/>
        <v>Exclude</v>
      </c>
      <c r="AU319" s="65" t="str">
        <f t="shared" si="19"/>
        <v>Exclude</v>
      </c>
    </row>
    <row r="320" spans="1:47" s="64" customFormat="1" x14ac:dyDescent="0.25">
      <c r="A320" s="63"/>
      <c r="U320" s="64" t="str">
        <f t="shared" si="16"/>
        <v>Exclude</v>
      </c>
      <c r="W320" s="65" t="str">
        <f t="shared" si="17"/>
        <v>Exclude</v>
      </c>
      <c r="Y320" s="63"/>
      <c r="AS320" s="64" t="str">
        <f t="shared" si="18"/>
        <v>Exclude</v>
      </c>
      <c r="AU320" s="65" t="str">
        <f t="shared" si="19"/>
        <v>Exclude</v>
      </c>
    </row>
    <row r="321" spans="1:47" s="64" customFormat="1" x14ac:dyDescent="0.25">
      <c r="A321" s="63"/>
      <c r="U321" s="64" t="str">
        <f t="shared" si="16"/>
        <v>Exclude</v>
      </c>
      <c r="W321" s="65" t="str">
        <f t="shared" si="17"/>
        <v>Exclude</v>
      </c>
      <c r="Y321" s="63"/>
      <c r="AS321" s="64" t="str">
        <f t="shared" si="18"/>
        <v>Exclude</v>
      </c>
      <c r="AU321" s="65" t="str">
        <f t="shared" si="19"/>
        <v>Exclude</v>
      </c>
    </row>
    <row r="322" spans="1:47" s="64" customFormat="1" x14ac:dyDescent="0.25">
      <c r="A322" s="63"/>
      <c r="U322" s="64" t="str">
        <f t="shared" si="16"/>
        <v>Exclude</v>
      </c>
      <c r="W322" s="65" t="str">
        <f t="shared" si="17"/>
        <v>Exclude</v>
      </c>
      <c r="Y322" s="63"/>
      <c r="AS322" s="64" t="str">
        <f t="shared" si="18"/>
        <v>Exclude</v>
      </c>
      <c r="AU322" s="65" t="str">
        <f t="shared" si="19"/>
        <v>Exclude</v>
      </c>
    </row>
    <row r="323" spans="1:47" s="64" customFormat="1" x14ac:dyDescent="0.25">
      <c r="A323" s="63"/>
      <c r="U323" s="64" t="str">
        <f t="shared" si="16"/>
        <v>Exclude</v>
      </c>
      <c r="W323" s="65" t="str">
        <f t="shared" si="17"/>
        <v>Exclude</v>
      </c>
      <c r="Y323" s="63"/>
      <c r="AS323" s="64" t="str">
        <f t="shared" si="18"/>
        <v>Exclude</v>
      </c>
      <c r="AU323" s="65" t="str">
        <f t="shared" si="19"/>
        <v>Exclude</v>
      </c>
    </row>
    <row r="324" spans="1:47" s="64" customFormat="1" x14ac:dyDescent="0.25">
      <c r="A324" s="63"/>
      <c r="U324" s="64" t="str">
        <f t="shared" si="16"/>
        <v>Exclude</v>
      </c>
      <c r="W324" s="65" t="str">
        <f t="shared" si="17"/>
        <v>Exclude</v>
      </c>
      <c r="Y324" s="63"/>
      <c r="AS324" s="64" t="str">
        <f t="shared" si="18"/>
        <v>Exclude</v>
      </c>
      <c r="AU324" s="65" t="str">
        <f t="shared" si="19"/>
        <v>Exclude</v>
      </c>
    </row>
    <row r="325" spans="1:47" s="64" customFormat="1" x14ac:dyDescent="0.25">
      <c r="A325" s="63"/>
      <c r="U325" s="64" t="str">
        <f t="shared" si="16"/>
        <v>Exclude</v>
      </c>
      <c r="W325" s="65" t="str">
        <f t="shared" si="17"/>
        <v>Exclude</v>
      </c>
      <c r="Y325" s="63"/>
      <c r="AS325" s="64" t="str">
        <f t="shared" si="18"/>
        <v>Exclude</v>
      </c>
      <c r="AU325" s="65" t="str">
        <f t="shared" si="19"/>
        <v>Exclude</v>
      </c>
    </row>
    <row r="326" spans="1:47" s="64" customFormat="1" x14ac:dyDescent="0.25">
      <c r="A326" s="63"/>
      <c r="U326" s="64" t="str">
        <f t="shared" si="16"/>
        <v>Exclude</v>
      </c>
      <c r="W326" s="65" t="str">
        <f t="shared" si="17"/>
        <v>Exclude</v>
      </c>
      <c r="Y326" s="63"/>
      <c r="AS326" s="64" t="str">
        <f t="shared" si="18"/>
        <v>Exclude</v>
      </c>
      <c r="AU326" s="65" t="str">
        <f t="shared" si="19"/>
        <v>Exclude</v>
      </c>
    </row>
    <row r="327" spans="1:47" s="64" customFormat="1" x14ac:dyDescent="0.25">
      <c r="A327" s="63"/>
      <c r="U327" s="64" t="str">
        <f t="shared" si="16"/>
        <v>Exclude</v>
      </c>
      <c r="W327" s="65" t="str">
        <f t="shared" si="17"/>
        <v>Exclude</v>
      </c>
      <c r="Y327" s="63"/>
      <c r="AS327" s="64" t="str">
        <f t="shared" si="18"/>
        <v>Exclude</v>
      </c>
      <c r="AU327" s="65" t="str">
        <f t="shared" si="19"/>
        <v>Exclude</v>
      </c>
    </row>
    <row r="328" spans="1:47" s="64" customFormat="1" x14ac:dyDescent="0.25">
      <c r="A328" s="63"/>
      <c r="U328" s="64" t="str">
        <f t="shared" si="16"/>
        <v>Exclude</v>
      </c>
      <c r="W328" s="65" t="str">
        <f t="shared" si="17"/>
        <v>Exclude</v>
      </c>
      <c r="Y328" s="63"/>
      <c r="AS328" s="64" t="str">
        <f t="shared" si="18"/>
        <v>Exclude</v>
      </c>
      <c r="AU328" s="65" t="str">
        <f t="shared" si="19"/>
        <v>Exclude</v>
      </c>
    </row>
    <row r="329" spans="1:47" s="64" customFormat="1" x14ac:dyDescent="0.25">
      <c r="A329" s="63"/>
      <c r="U329" s="64" t="str">
        <f t="shared" si="16"/>
        <v>Exclude</v>
      </c>
      <c r="W329" s="65" t="str">
        <f t="shared" si="17"/>
        <v>Exclude</v>
      </c>
      <c r="Y329" s="63"/>
      <c r="AS329" s="64" t="str">
        <f t="shared" si="18"/>
        <v>Exclude</v>
      </c>
      <c r="AU329" s="65" t="str">
        <f t="shared" si="19"/>
        <v>Exclude</v>
      </c>
    </row>
    <row r="330" spans="1:47" s="64" customFormat="1" x14ac:dyDescent="0.25">
      <c r="A330" s="63"/>
      <c r="U330" s="64" t="str">
        <f t="shared" si="16"/>
        <v>Exclude</v>
      </c>
      <c r="W330" s="65" t="str">
        <f t="shared" si="17"/>
        <v>Exclude</v>
      </c>
      <c r="Y330" s="63"/>
      <c r="AS330" s="64" t="str">
        <f t="shared" si="18"/>
        <v>Exclude</v>
      </c>
      <c r="AU330" s="65" t="str">
        <f t="shared" si="19"/>
        <v>Exclude</v>
      </c>
    </row>
    <row r="331" spans="1:47" s="64" customFormat="1" x14ac:dyDescent="0.25">
      <c r="A331" s="63"/>
      <c r="U331" s="64" t="str">
        <f t="shared" si="16"/>
        <v>Exclude</v>
      </c>
      <c r="W331" s="65" t="str">
        <f t="shared" si="17"/>
        <v>Exclude</v>
      </c>
      <c r="Y331" s="63"/>
      <c r="AS331" s="64" t="str">
        <f t="shared" si="18"/>
        <v>Exclude</v>
      </c>
      <c r="AU331" s="65" t="str">
        <f t="shared" si="19"/>
        <v>Exclude</v>
      </c>
    </row>
    <row r="332" spans="1:47" s="64" customFormat="1" x14ac:dyDescent="0.25">
      <c r="A332" s="63"/>
      <c r="U332" s="64" t="str">
        <f t="shared" si="16"/>
        <v>Exclude</v>
      </c>
      <c r="W332" s="65" t="str">
        <f t="shared" si="17"/>
        <v>Exclude</v>
      </c>
      <c r="Y332" s="63"/>
      <c r="AS332" s="64" t="str">
        <f t="shared" si="18"/>
        <v>Exclude</v>
      </c>
      <c r="AU332" s="65" t="str">
        <f t="shared" si="19"/>
        <v>Exclude</v>
      </c>
    </row>
    <row r="333" spans="1:47" s="64" customFormat="1" x14ac:dyDescent="0.25">
      <c r="A333" s="63"/>
      <c r="U333" s="64" t="str">
        <f t="shared" si="16"/>
        <v>Exclude</v>
      </c>
      <c r="W333" s="65" t="str">
        <f t="shared" si="17"/>
        <v>Exclude</v>
      </c>
      <c r="Y333" s="63"/>
      <c r="AS333" s="64" t="str">
        <f t="shared" si="18"/>
        <v>Exclude</v>
      </c>
      <c r="AU333" s="65" t="str">
        <f t="shared" si="19"/>
        <v>Exclude</v>
      </c>
    </row>
    <row r="334" spans="1:47" s="64" customFormat="1" x14ac:dyDescent="0.25">
      <c r="A334" s="63"/>
      <c r="U334" s="64" t="str">
        <f t="shared" si="16"/>
        <v>Exclude</v>
      </c>
      <c r="W334" s="65" t="str">
        <f t="shared" si="17"/>
        <v>Exclude</v>
      </c>
      <c r="Y334" s="63"/>
      <c r="AS334" s="64" t="str">
        <f t="shared" si="18"/>
        <v>Exclude</v>
      </c>
      <c r="AU334" s="65" t="str">
        <f t="shared" si="19"/>
        <v>Exclude</v>
      </c>
    </row>
    <row r="335" spans="1:47" s="64" customFormat="1" x14ac:dyDescent="0.25">
      <c r="A335" s="63"/>
      <c r="U335" s="64" t="str">
        <f t="shared" si="16"/>
        <v>Exclude</v>
      </c>
      <c r="W335" s="65" t="str">
        <f t="shared" si="17"/>
        <v>Exclude</v>
      </c>
      <c r="Y335" s="63"/>
      <c r="AS335" s="64" t="str">
        <f t="shared" si="18"/>
        <v>Exclude</v>
      </c>
      <c r="AU335" s="65" t="str">
        <f t="shared" si="19"/>
        <v>Exclude</v>
      </c>
    </row>
    <row r="336" spans="1:47" s="64" customFormat="1" x14ac:dyDescent="0.25">
      <c r="A336" s="63"/>
      <c r="U336" s="64" t="str">
        <f t="shared" si="16"/>
        <v>Exclude</v>
      </c>
      <c r="W336" s="65" t="str">
        <f t="shared" si="17"/>
        <v>Exclude</v>
      </c>
      <c r="Y336" s="63"/>
      <c r="AS336" s="64" t="str">
        <f t="shared" si="18"/>
        <v>Exclude</v>
      </c>
      <c r="AU336" s="65" t="str">
        <f t="shared" si="19"/>
        <v>Exclude</v>
      </c>
    </row>
    <row r="337" spans="1:47" s="64" customFormat="1" x14ac:dyDescent="0.25">
      <c r="A337" s="63"/>
      <c r="U337" s="64" t="str">
        <f t="shared" si="16"/>
        <v>Exclude</v>
      </c>
      <c r="W337" s="65" t="str">
        <f t="shared" si="17"/>
        <v>Exclude</v>
      </c>
      <c r="Y337" s="63"/>
      <c r="AS337" s="64" t="str">
        <f t="shared" si="18"/>
        <v>Exclude</v>
      </c>
      <c r="AU337" s="65" t="str">
        <f t="shared" si="19"/>
        <v>Exclude</v>
      </c>
    </row>
    <row r="338" spans="1:47" s="64" customFormat="1" x14ac:dyDescent="0.25">
      <c r="A338" s="63"/>
      <c r="U338" s="64" t="str">
        <f t="shared" si="16"/>
        <v>Exclude</v>
      </c>
      <c r="W338" s="65" t="str">
        <f t="shared" si="17"/>
        <v>Exclude</v>
      </c>
      <c r="Y338" s="63"/>
      <c r="AS338" s="64" t="str">
        <f t="shared" si="18"/>
        <v>Exclude</v>
      </c>
      <c r="AU338" s="65" t="str">
        <f t="shared" si="19"/>
        <v>Exclude</v>
      </c>
    </row>
    <row r="339" spans="1:47" s="64" customFormat="1" x14ac:dyDescent="0.25">
      <c r="A339" s="63"/>
      <c r="U339" s="64" t="str">
        <f t="shared" si="16"/>
        <v>Exclude</v>
      </c>
      <c r="W339" s="65" t="str">
        <f t="shared" si="17"/>
        <v>Exclude</v>
      </c>
      <c r="Y339" s="63"/>
      <c r="AS339" s="64" t="str">
        <f t="shared" si="18"/>
        <v>Exclude</v>
      </c>
      <c r="AU339" s="65" t="str">
        <f t="shared" si="19"/>
        <v>Exclude</v>
      </c>
    </row>
    <row r="340" spans="1:47" s="64" customFormat="1" x14ac:dyDescent="0.25">
      <c r="A340" s="63"/>
      <c r="U340" s="64" t="str">
        <f t="shared" si="16"/>
        <v>Exclude</v>
      </c>
      <c r="W340" s="65" t="str">
        <f t="shared" si="17"/>
        <v>Exclude</v>
      </c>
      <c r="Y340" s="63"/>
      <c r="AS340" s="64" t="str">
        <f t="shared" si="18"/>
        <v>Exclude</v>
      </c>
      <c r="AU340" s="65" t="str">
        <f t="shared" si="19"/>
        <v>Exclude</v>
      </c>
    </row>
    <row r="341" spans="1:47" s="64" customFormat="1" x14ac:dyDescent="0.25">
      <c r="A341" s="63"/>
      <c r="U341" s="64" t="str">
        <f t="shared" si="16"/>
        <v>Exclude</v>
      </c>
      <c r="W341" s="65" t="str">
        <f t="shared" si="17"/>
        <v>Exclude</v>
      </c>
      <c r="Y341" s="63"/>
      <c r="AS341" s="64" t="str">
        <f t="shared" si="18"/>
        <v>Exclude</v>
      </c>
      <c r="AU341" s="65" t="str">
        <f t="shared" si="19"/>
        <v>Exclude</v>
      </c>
    </row>
    <row r="342" spans="1:47" s="64" customFormat="1" x14ac:dyDescent="0.25">
      <c r="A342" s="63"/>
      <c r="U342" s="64" t="str">
        <f t="shared" si="16"/>
        <v>Exclude</v>
      </c>
      <c r="W342" s="65" t="str">
        <f t="shared" si="17"/>
        <v>Exclude</v>
      </c>
      <c r="Y342" s="63"/>
      <c r="AS342" s="64" t="str">
        <f t="shared" si="18"/>
        <v>Exclude</v>
      </c>
      <c r="AU342" s="65" t="str">
        <f t="shared" si="19"/>
        <v>Exclude</v>
      </c>
    </row>
    <row r="343" spans="1:47" s="64" customFormat="1" x14ac:dyDescent="0.25">
      <c r="A343" s="63"/>
      <c r="U343" s="64" t="str">
        <f t="shared" ref="U343:U406" si="20">IF(OR(R343="TruePositive",R343="TrueNegative"),IF(R342&lt;&gt;"Anticipatory",(N343),"Pant"),"Exclude")</f>
        <v>Exclude</v>
      </c>
      <c r="W343" s="65" t="str">
        <f t="shared" ref="W343:W406" si="21">IF(OR(R343="TruePositive",R343="TrueNegative"),IF(R342&lt;&gt;"Anticipatory",LOG10(N343),"Exclude"),"Exclude")</f>
        <v>Exclude</v>
      </c>
      <c r="Y343" s="63"/>
      <c r="AS343" s="64" t="str">
        <f t="shared" ref="AS343:AS406" si="22">IF(OR(AP343="TruePositive",AP343="TrueNegative"),IF(AP342&lt;&gt;"Anticipatory",(AL343),"Pant"),"Exclude")</f>
        <v>Exclude</v>
      </c>
      <c r="AU343" s="65" t="str">
        <f t="shared" ref="AU343:AU406" si="23">IF(OR(AP343="TruePositive",AP343="TrueNegative"),IF(AP342&lt;&gt;"Anticipatory",LOG10(AL343),"Exclude"),"Exclude")</f>
        <v>Exclude</v>
      </c>
    </row>
    <row r="344" spans="1:47" s="64" customFormat="1" x14ac:dyDescent="0.25">
      <c r="A344" s="63"/>
      <c r="U344" s="64" t="str">
        <f t="shared" si="20"/>
        <v>Exclude</v>
      </c>
      <c r="W344" s="65" t="str">
        <f t="shared" si="21"/>
        <v>Exclude</v>
      </c>
      <c r="Y344" s="63"/>
      <c r="AS344" s="64" t="str">
        <f t="shared" si="22"/>
        <v>Exclude</v>
      </c>
      <c r="AU344" s="65" t="str">
        <f t="shared" si="23"/>
        <v>Exclude</v>
      </c>
    </row>
    <row r="345" spans="1:47" s="64" customFormat="1" x14ac:dyDescent="0.25">
      <c r="A345" s="63"/>
      <c r="U345" s="64" t="str">
        <f t="shared" si="20"/>
        <v>Exclude</v>
      </c>
      <c r="W345" s="65" t="str">
        <f t="shared" si="21"/>
        <v>Exclude</v>
      </c>
      <c r="Y345" s="63"/>
      <c r="AS345" s="64" t="str">
        <f t="shared" si="22"/>
        <v>Exclude</v>
      </c>
      <c r="AU345" s="65" t="str">
        <f t="shared" si="23"/>
        <v>Exclude</v>
      </c>
    </row>
    <row r="346" spans="1:47" s="64" customFormat="1" x14ac:dyDescent="0.25">
      <c r="A346" s="63"/>
      <c r="U346" s="64" t="str">
        <f t="shared" si="20"/>
        <v>Exclude</v>
      </c>
      <c r="W346" s="65" t="str">
        <f t="shared" si="21"/>
        <v>Exclude</v>
      </c>
      <c r="Y346" s="63"/>
      <c r="AS346" s="64" t="str">
        <f t="shared" si="22"/>
        <v>Exclude</v>
      </c>
      <c r="AU346" s="65" t="str">
        <f t="shared" si="23"/>
        <v>Exclude</v>
      </c>
    </row>
    <row r="347" spans="1:47" s="64" customFormat="1" x14ac:dyDescent="0.25">
      <c r="A347" s="63"/>
      <c r="U347" s="64" t="str">
        <f t="shared" si="20"/>
        <v>Exclude</v>
      </c>
      <c r="W347" s="65" t="str">
        <f t="shared" si="21"/>
        <v>Exclude</v>
      </c>
      <c r="Y347" s="63"/>
      <c r="AS347" s="64" t="str">
        <f t="shared" si="22"/>
        <v>Exclude</v>
      </c>
      <c r="AU347" s="65" t="str">
        <f t="shared" si="23"/>
        <v>Exclude</v>
      </c>
    </row>
    <row r="348" spans="1:47" s="64" customFormat="1" x14ac:dyDescent="0.25">
      <c r="A348" s="63"/>
      <c r="U348" s="64" t="str">
        <f t="shared" si="20"/>
        <v>Exclude</v>
      </c>
      <c r="W348" s="65" t="str">
        <f t="shared" si="21"/>
        <v>Exclude</v>
      </c>
      <c r="Y348" s="63"/>
      <c r="AS348" s="64" t="str">
        <f t="shared" si="22"/>
        <v>Exclude</v>
      </c>
      <c r="AU348" s="65" t="str">
        <f t="shared" si="23"/>
        <v>Exclude</v>
      </c>
    </row>
    <row r="349" spans="1:47" s="64" customFormat="1" x14ac:dyDescent="0.25">
      <c r="A349" s="63"/>
      <c r="U349" s="64" t="str">
        <f t="shared" si="20"/>
        <v>Exclude</v>
      </c>
      <c r="W349" s="65" t="str">
        <f t="shared" si="21"/>
        <v>Exclude</v>
      </c>
      <c r="Y349" s="63"/>
      <c r="AS349" s="64" t="str">
        <f t="shared" si="22"/>
        <v>Exclude</v>
      </c>
      <c r="AU349" s="65" t="str">
        <f t="shared" si="23"/>
        <v>Exclude</v>
      </c>
    </row>
    <row r="350" spans="1:47" s="64" customFormat="1" x14ac:dyDescent="0.25">
      <c r="A350" s="63"/>
      <c r="U350" s="64" t="str">
        <f t="shared" si="20"/>
        <v>Exclude</v>
      </c>
      <c r="W350" s="65" t="str">
        <f t="shared" si="21"/>
        <v>Exclude</v>
      </c>
      <c r="Y350" s="63"/>
      <c r="AS350" s="64" t="str">
        <f t="shared" si="22"/>
        <v>Exclude</v>
      </c>
      <c r="AU350" s="65" t="str">
        <f t="shared" si="23"/>
        <v>Exclude</v>
      </c>
    </row>
    <row r="351" spans="1:47" s="64" customFormat="1" x14ac:dyDescent="0.25">
      <c r="A351" s="63"/>
      <c r="U351" s="64" t="str">
        <f t="shared" si="20"/>
        <v>Exclude</v>
      </c>
      <c r="W351" s="65" t="str">
        <f t="shared" si="21"/>
        <v>Exclude</v>
      </c>
      <c r="Y351" s="63"/>
      <c r="AS351" s="64" t="str">
        <f t="shared" si="22"/>
        <v>Exclude</v>
      </c>
      <c r="AU351" s="65" t="str">
        <f t="shared" si="23"/>
        <v>Exclude</v>
      </c>
    </row>
    <row r="352" spans="1:47" s="64" customFormat="1" x14ac:dyDescent="0.25">
      <c r="A352" s="63"/>
      <c r="U352" s="64" t="str">
        <f t="shared" si="20"/>
        <v>Exclude</v>
      </c>
      <c r="W352" s="65" t="str">
        <f t="shared" si="21"/>
        <v>Exclude</v>
      </c>
      <c r="Y352" s="63"/>
      <c r="AS352" s="64" t="str">
        <f t="shared" si="22"/>
        <v>Exclude</v>
      </c>
      <c r="AU352" s="65" t="str">
        <f t="shared" si="23"/>
        <v>Exclude</v>
      </c>
    </row>
    <row r="353" spans="1:47" s="64" customFormat="1" x14ac:dyDescent="0.25">
      <c r="A353" s="63"/>
      <c r="U353" s="64" t="str">
        <f t="shared" si="20"/>
        <v>Exclude</v>
      </c>
      <c r="W353" s="65" t="str">
        <f t="shared" si="21"/>
        <v>Exclude</v>
      </c>
      <c r="Y353" s="63"/>
      <c r="AS353" s="64" t="str">
        <f t="shared" si="22"/>
        <v>Exclude</v>
      </c>
      <c r="AU353" s="65" t="str">
        <f t="shared" si="23"/>
        <v>Exclude</v>
      </c>
    </row>
    <row r="354" spans="1:47" s="64" customFormat="1" x14ac:dyDescent="0.25">
      <c r="A354" s="63"/>
      <c r="U354" s="64" t="str">
        <f t="shared" si="20"/>
        <v>Exclude</v>
      </c>
      <c r="W354" s="65" t="str">
        <f t="shared" si="21"/>
        <v>Exclude</v>
      </c>
      <c r="Y354" s="63"/>
      <c r="AS354" s="64" t="str">
        <f t="shared" si="22"/>
        <v>Exclude</v>
      </c>
      <c r="AU354" s="65" t="str">
        <f t="shared" si="23"/>
        <v>Exclude</v>
      </c>
    </row>
    <row r="355" spans="1:47" s="64" customFormat="1" x14ac:dyDescent="0.25">
      <c r="A355" s="63"/>
      <c r="U355" s="64" t="str">
        <f t="shared" si="20"/>
        <v>Exclude</v>
      </c>
      <c r="W355" s="65" t="str">
        <f t="shared" si="21"/>
        <v>Exclude</v>
      </c>
      <c r="Y355" s="63"/>
      <c r="AS355" s="64" t="str">
        <f t="shared" si="22"/>
        <v>Exclude</v>
      </c>
      <c r="AU355" s="65" t="str">
        <f t="shared" si="23"/>
        <v>Exclude</v>
      </c>
    </row>
    <row r="356" spans="1:47" s="64" customFormat="1" x14ac:dyDescent="0.25">
      <c r="A356" s="63"/>
      <c r="U356" s="64" t="str">
        <f t="shared" si="20"/>
        <v>Exclude</v>
      </c>
      <c r="W356" s="65" t="str">
        <f t="shared" si="21"/>
        <v>Exclude</v>
      </c>
      <c r="Y356" s="63"/>
      <c r="AS356" s="64" t="str">
        <f t="shared" si="22"/>
        <v>Exclude</v>
      </c>
      <c r="AU356" s="65" t="str">
        <f t="shared" si="23"/>
        <v>Exclude</v>
      </c>
    </row>
    <row r="357" spans="1:47" s="64" customFormat="1" x14ac:dyDescent="0.25">
      <c r="A357" s="63"/>
      <c r="U357" s="64" t="str">
        <f t="shared" si="20"/>
        <v>Exclude</v>
      </c>
      <c r="W357" s="65" t="str">
        <f t="shared" si="21"/>
        <v>Exclude</v>
      </c>
      <c r="Y357" s="63"/>
      <c r="AS357" s="64" t="str">
        <f t="shared" si="22"/>
        <v>Exclude</v>
      </c>
      <c r="AU357" s="65" t="str">
        <f t="shared" si="23"/>
        <v>Exclude</v>
      </c>
    </row>
    <row r="358" spans="1:47" s="64" customFormat="1" x14ac:dyDescent="0.25">
      <c r="A358" s="63"/>
      <c r="U358" s="64" t="str">
        <f t="shared" si="20"/>
        <v>Exclude</v>
      </c>
      <c r="W358" s="65" t="str">
        <f t="shared" si="21"/>
        <v>Exclude</v>
      </c>
      <c r="Y358" s="63"/>
      <c r="AS358" s="64" t="str">
        <f t="shared" si="22"/>
        <v>Exclude</v>
      </c>
      <c r="AU358" s="65" t="str">
        <f t="shared" si="23"/>
        <v>Exclude</v>
      </c>
    </row>
    <row r="359" spans="1:47" s="64" customFormat="1" x14ac:dyDescent="0.25">
      <c r="A359" s="63"/>
      <c r="U359" s="64" t="str">
        <f t="shared" si="20"/>
        <v>Exclude</v>
      </c>
      <c r="W359" s="65" t="str">
        <f t="shared" si="21"/>
        <v>Exclude</v>
      </c>
      <c r="Y359" s="63"/>
      <c r="AS359" s="64" t="str">
        <f t="shared" si="22"/>
        <v>Exclude</v>
      </c>
      <c r="AU359" s="65" t="str">
        <f t="shared" si="23"/>
        <v>Exclude</v>
      </c>
    </row>
    <row r="360" spans="1:47" s="64" customFormat="1" x14ac:dyDescent="0.25">
      <c r="A360" s="63"/>
      <c r="U360" s="64" t="str">
        <f t="shared" si="20"/>
        <v>Exclude</v>
      </c>
      <c r="W360" s="65" t="str">
        <f t="shared" si="21"/>
        <v>Exclude</v>
      </c>
      <c r="Y360" s="63"/>
      <c r="AS360" s="64" t="str">
        <f t="shared" si="22"/>
        <v>Exclude</v>
      </c>
      <c r="AU360" s="65" t="str">
        <f t="shared" si="23"/>
        <v>Exclude</v>
      </c>
    </row>
    <row r="361" spans="1:47" s="64" customFormat="1" x14ac:dyDescent="0.25">
      <c r="A361" s="63"/>
      <c r="U361" s="64" t="str">
        <f t="shared" si="20"/>
        <v>Exclude</v>
      </c>
      <c r="W361" s="65" t="str">
        <f t="shared" si="21"/>
        <v>Exclude</v>
      </c>
      <c r="Y361" s="63"/>
      <c r="AS361" s="64" t="str">
        <f t="shared" si="22"/>
        <v>Exclude</v>
      </c>
      <c r="AU361" s="65" t="str">
        <f t="shared" si="23"/>
        <v>Exclude</v>
      </c>
    </row>
    <row r="362" spans="1:47" s="64" customFormat="1" x14ac:dyDescent="0.25">
      <c r="A362" s="63"/>
      <c r="U362" s="64" t="str">
        <f t="shared" si="20"/>
        <v>Exclude</v>
      </c>
      <c r="W362" s="65" t="str">
        <f t="shared" si="21"/>
        <v>Exclude</v>
      </c>
      <c r="Y362" s="63"/>
      <c r="AS362" s="64" t="str">
        <f t="shared" si="22"/>
        <v>Exclude</v>
      </c>
      <c r="AU362" s="65" t="str">
        <f t="shared" si="23"/>
        <v>Exclude</v>
      </c>
    </row>
    <row r="363" spans="1:47" s="64" customFormat="1" x14ac:dyDescent="0.25">
      <c r="A363" s="63"/>
      <c r="U363" s="64" t="str">
        <f t="shared" si="20"/>
        <v>Exclude</v>
      </c>
      <c r="W363" s="65" t="str">
        <f t="shared" si="21"/>
        <v>Exclude</v>
      </c>
      <c r="Y363" s="63"/>
      <c r="AS363" s="64" t="str">
        <f t="shared" si="22"/>
        <v>Exclude</v>
      </c>
      <c r="AU363" s="65" t="str">
        <f t="shared" si="23"/>
        <v>Exclude</v>
      </c>
    </row>
    <row r="364" spans="1:47" s="64" customFormat="1" x14ac:dyDescent="0.25">
      <c r="A364" s="63"/>
      <c r="U364" s="64" t="str">
        <f t="shared" si="20"/>
        <v>Exclude</v>
      </c>
      <c r="W364" s="65" t="str">
        <f t="shared" si="21"/>
        <v>Exclude</v>
      </c>
      <c r="Y364" s="63"/>
      <c r="AS364" s="64" t="str">
        <f t="shared" si="22"/>
        <v>Exclude</v>
      </c>
      <c r="AU364" s="65" t="str">
        <f t="shared" si="23"/>
        <v>Exclude</v>
      </c>
    </row>
    <row r="365" spans="1:47" s="64" customFormat="1" x14ac:dyDescent="0.25">
      <c r="A365" s="63"/>
      <c r="U365" s="64" t="str">
        <f t="shared" si="20"/>
        <v>Exclude</v>
      </c>
      <c r="W365" s="65" t="str">
        <f t="shared" si="21"/>
        <v>Exclude</v>
      </c>
      <c r="Y365" s="63"/>
      <c r="AS365" s="64" t="str">
        <f t="shared" si="22"/>
        <v>Exclude</v>
      </c>
      <c r="AU365" s="65" t="str">
        <f t="shared" si="23"/>
        <v>Exclude</v>
      </c>
    </row>
    <row r="366" spans="1:47" s="64" customFormat="1" x14ac:dyDescent="0.25">
      <c r="A366" s="63"/>
      <c r="U366" s="64" t="str">
        <f t="shared" si="20"/>
        <v>Exclude</v>
      </c>
      <c r="W366" s="65" t="str">
        <f t="shared" si="21"/>
        <v>Exclude</v>
      </c>
      <c r="Y366" s="63"/>
      <c r="AS366" s="64" t="str">
        <f t="shared" si="22"/>
        <v>Exclude</v>
      </c>
      <c r="AU366" s="65" t="str">
        <f t="shared" si="23"/>
        <v>Exclude</v>
      </c>
    </row>
    <row r="367" spans="1:47" s="64" customFormat="1" x14ac:dyDescent="0.25">
      <c r="A367" s="63"/>
      <c r="U367" s="64" t="str">
        <f t="shared" si="20"/>
        <v>Exclude</v>
      </c>
      <c r="W367" s="65" t="str">
        <f t="shared" si="21"/>
        <v>Exclude</v>
      </c>
      <c r="Y367" s="63"/>
      <c r="AS367" s="64" t="str">
        <f t="shared" si="22"/>
        <v>Exclude</v>
      </c>
      <c r="AU367" s="65" t="str">
        <f t="shared" si="23"/>
        <v>Exclude</v>
      </c>
    </row>
    <row r="368" spans="1:47" s="64" customFormat="1" x14ac:dyDescent="0.25">
      <c r="A368" s="63"/>
      <c r="U368" s="64" t="str">
        <f t="shared" si="20"/>
        <v>Exclude</v>
      </c>
      <c r="W368" s="65" t="str">
        <f t="shared" si="21"/>
        <v>Exclude</v>
      </c>
      <c r="Y368" s="63"/>
      <c r="AS368" s="64" t="str">
        <f t="shared" si="22"/>
        <v>Exclude</v>
      </c>
      <c r="AU368" s="65" t="str">
        <f t="shared" si="23"/>
        <v>Exclude</v>
      </c>
    </row>
    <row r="369" spans="1:47" s="64" customFormat="1" x14ac:dyDescent="0.25">
      <c r="A369" s="63"/>
      <c r="U369" s="64" t="str">
        <f t="shared" si="20"/>
        <v>Exclude</v>
      </c>
      <c r="W369" s="65" t="str">
        <f t="shared" si="21"/>
        <v>Exclude</v>
      </c>
      <c r="Y369" s="63"/>
      <c r="AS369" s="64" t="str">
        <f t="shared" si="22"/>
        <v>Exclude</v>
      </c>
      <c r="AU369" s="65" t="str">
        <f t="shared" si="23"/>
        <v>Exclude</v>
      </c>
    </row>
    <row r="370" spans="1:47" s="64" customFormat="1" x14ac:dyDescent="0.25">
      <c r="A370" s="63"/>
      <c r="U370" s="64" t="str">
        <f t="shared" si="20"/>
        <v>Exclude</v>
      </c>
      <c r="W370" s="65" t="str">
        <f t="shared" si="21"/>
        <v>Exclude</v>
      </c>
      <c r="Y370" s="63"/>
      <c r="AS370" s="64" t="str">
        <f t="shared" si="22"/>
        <v>Exclude</v>
      </c>
      <c r="AU370" s="65" t="str">
        <f t="shared" si="23"/>
        <v>Exclude</v>
      </c>
    </row>
    <row r="371" spans="1:47" s="64" customFormat="1" x14ac:dyDescent="0.25">
      <c r="A371" s="63"/>
      <c r="U371" s="64" t="str">
        <f t="shared" si="20"/>
        <v>Exclude</v>
      </c>
      <c r="W371" s="65" t="str">
        <f t="shared" si="21"/>
        <v>Exclude</v>
      </c>
      <c r="Y371" s="63"/>
      <c r="AS371" s="64" t="str">
        <f t="shared" si="22"/>
        <v>Exclude</v>
      </c>
      <c r="AU371" s="65" t="str">
        <f t="shared" si="23"/>
        <v>Exclude</v>
      </c>
    </row>
    <row r="372" spans="1:47" s="64" customFormat="1" x14ac:dyDescent="0.25">
      <c r="A372" s="63"/>
      <c r="U372" s="64" t="str">
        <f t="shared" si="20"/>
        <v>Exclude</v>
      </c>
      <c r="W372" s="65" t="str">
        <f t="shared" si="21"/>
        <v>Exclude</v>
      </c>
      <c r="Y372" s="63"/>
      <c r="AS372" s="64" t="str">
        <f t="shared" si="22"/>
        <v>Exclude</v>
      </c>
      <c r="AU372" s="65" t="str">
        <f t="shared" si="23"/>
        <v>Exclude</v>
      </c>
    </row>
    <row r="373" spans="1:47" s="64" customFormat="1" x14ac:dyDescent="0.25">
      <c r="A373" s="63"/>
      <c r="U373" s="64" t="str">
        <f t="shared" si="20"/>
        <v>Exclude</v>
      </c>
      <c r="W373" s="65" t="str">
        <f t="shared" si="21"/>
        <v>Exclude</v>
      </c>
      <c r="Y373" s="63"/>
      <c r="AS373" s="64" t="str">
        <f t="shared" si="22"/>
        <v>Exclude</v>
      </c>
      <c r="AU373" s="65" t="str">
        <f t="shared" si="23"/>
        <v>Exclude</v>
      </c>
    </row>
    <row r="374" spans="1:47" s="64" customFormat="1" x14ac:dyDescent="0.25">
      <c r="A374" s="63"/>
      <c r="U374" s="64" t="str">
        <f t="shared" si="20"/>
        <v>Exclude</v>
      </c>
      <c r="W374" s="65" t="str">
        <f t="shared" si="21"/>
        <v>Exclude</v>
      </c>
      <c r="Y374" s="63"/>
      <c r="AS374" s="64" t="str">
        <f t="shared" si="22"/>
        <v>Exclude</v>
      </c>
      <c r="AU374" s="65" t="str">
        <f t="shared" si="23"/>
        <v>Exclude</v>
      </c>
    </row>
    <row r="375" spans="1:47" s="64" customFormat="1" x14ac:dyDescent="0.25">
      <c r="A375" s="63"/>
      <c r="U375" s="64" t="str">
        <f t="shared" si="20"/>
        <v>Exclude</v>
      </c>
      <c r="W375" s="65" t="str">
        <f t="shared" si="21"/>
        <v>Exclude</v>
      </c>
      <c r="Y375" s="63"/>
      <c r="AS375" s="64" t="str">
        <f t="shared" si="22"/>
        <v>Exclude</v>
      </c>
      <c r="AU375" s="65" t="str">
        <f t="shared" si="23"/>
        <v>Exclude</v>
      </c>
    </row>
    <row r="376" spans="1:47" s="64" customFormat="1" x14ac:dyDescent="0.25">
      <c r="A376" s="63"/>
      <c r="U376" s="64" t="str">
        <f t="shared" si="20"/>
        <v>Exclude</v>
      </c>
      <c r="W376" s="65" t="str">
        <f t="shared" si="21"/>
        <v>Exclude</v>
      </c>
      <c r="Y376" s="63"/>
      <c r="AS376" s="64" t="str">
        <f t="shared" si="22"/>
        <v>Exclude</v>
      </c>
      <c r="AU376" s="65" t="str">
        <f t="shared" si="23"/>
        <v>Exclude</v>
      </c>
    </row>
    <row r="377" spans="1:47" s="64" customFormat="1" x14ac:dyDescent="0.25">
      <c r="A377" s="63"/>
      <c r="U377" s="64" t="str">
        <f t="shared" si="20"/>
        <v>Exclude</v>
      </c>
      <c r="W377" s="65" t="str">
        <f t="shared" si="21"/>
        <v>Exclude</v>
      </c>
      <c r="Y377" s="63"/>
      <c r="AS377" s="64" t="str">
        <f t="shared" si="22"/>
        <v>Exclude</v>
      </c>
      <c r="AU377" s="65" t="str">
        <f t="shared" si="23"/>
        <v>Exclude</v>
      </c>
    </row>
    <row r="378" spans="1:47" s="64" customFormat="1" x14ac:dyDescent="0.25">
      <c r="A378" s="63"/>
      <c r="U378" s="64" t="str">
        <f t="shared" si="20"/>
        <v>Exclude</v>
      </c>
      <c r="W378" s="65" t="str">
        <f t="shared" si="21"/>
        <v>Exclude</v>
      </c>
      <c r="Y378" s="63"/>
      <c r="AS378" s="64" t="str">
        <f t="shared" si="22"/>
        <v>Exclude</v>
      </c>
      <c r="AU378" s="65" t="str">
        <f t="shared" si="23"/>
        <v>Exclude</v>
      </c>
    </row>
    <row r="379" spans="1:47" s="64" customFormat="1" x14ac:dyDescent="0.25">
      <c r="A379" s="63"/>
      <c r="U379" s="64" t="str">
        <f t="shared" si="20"/>
        <v>Exclude</v>
      </c>
      <c r="W379" s="65" t="str">
        <f t="shared" si="21"/>
        <v>Exclude</v>
      </c>
      <c r="Y379" s="63"/>
      <c r="AS379" s="64" t="str">
        <f t="shared" si="22"/>
        <v>Exclude</v>
      </c>
      <c r="AU379" s="65" t="str">
        <f t="shared" si="23"/>
        <v>Exclude</v>
      </c>
    </row>
    <row r="380" spans="1:47" s="64" customFormat="1" x14ac:dyDescent="0.25">
      <c r="A380" s="63"/>
      <c r="U380" s="64" t="str">
        <f t="shared" si="20"/>
        <v>Exclude</v>
      </c>
      <c r="W380" s="65" t="str">
        <f t="shared" si="21"/>
        <v>Exclude</v>
      </c>
      <c r="Y380" s="63"/>
      <c r="AS380" s="64" t="str">
        <f t="shared" si="22"/>
        <v>Exclude</v>
      </c>
      <c r="AU380" s="65" t="str">
        <f t="shared" si="23"/>
        <v>Exclude</v>
      </c>
    </row>
    <row r="381" spans="1:47" s="64" customFormat="1" x14ac:dyDescent="0.25">
      <c r="A381" s="63"/>
      <c r="U381" s="64" t="str">
        <f t="shared" si="20"/>
        <v>Exclude</v>
      </c>
      <c r="W381" s="65" t="str">
        <f t="shared" si="21"/>
        <v>Exclude</v>
      </c>
      <c r="Y381" s="63"/>
      <c r="AS381" s="64" t="str">
        <f t="shared" si="22"/>
        <v>Exclude</v>
      </c>
      <c r="AU381" s="65" t="str">
        <f t="shared" si="23"/>
        <v>Exclude</v>
      </c>
    </row>
    <row r="382" spans="1:47" s="64" customFormat="1" x14ac:dyDescent="0.25">
      <c r="A382" s="63"/>
      <c r="U382" s="64" t="str">
        <f t="shared" si="20"/>
        <v>Exclude</v>
      </c>
      <c r="W382" s="65" t="str">
        <f t="shared" si="21"/>
        <v>Exclude</v>
      </c>
      <c r="Y382" s="63"/>
      <c r="AS382" s="64" t="str">
        <f t="shared" si="22"/>
        <v>Exclude</v>
      </c>
      <c r="AU382" s="65" t="str">
        <f t="shared" si="23"/>
        <v>Exclude</v>
      </c>
    </row>
    <row r="383" spans="1:47" s="64" customFormat="1" x14ac:dyDescent="0.25">
      <c r="A383" s="63"/>
      <c r="U383" s="64" t="str">
        <f t="shared" si="20"/>
        <v>Exclude</v>
      </c>
      <c r="W383" s="65" t="str">
        <f t="shared" si="21"/>
        <v>Exclude</v>
      </c>
      <c r="Y383" s="63"/>
      <c r="AS383" s="64" t="str">
        <f t="shared" si="22"/>
        <v>Exclude</v>
      </c>
      <c r="AU383" s="65" t="str">
        <f t="shared" si="23"/>
        <v>Exclude</v>
      </c>
    </row>
    <row r="384" spans="1:47" s="64" customFormat="1" x14ac:dyDescent="0.25">
      <c r="A384" s="63"/>
      <c r="U384" s="64" t="str">
        <f t="shared" si="20"/>
        <v>Exclude</v>
      </c>
      <c r="W384" s="65" t="str">
        <f t="shared" si="21"/>
        <v>Exclude</v>
      </c>
      <c r="Y384" s="63"/>
      <c r="AS384" s="64" t="str">
        <f t="shared" si="22"/>
        <v>Exclude</v>
      </c>
      <c r="AU384" s="65" t="str">
        <f t="shared" si="23"/>
        <v>Exclude</v>
      </c>
    </row>
    <row r="385" spans="1:47" s="64" customFormat="1" x14ac:dyDescent="0.25">
      <c r="A385" s="63"/>
      <c r="U385" s="64" t="str">
        <f t="shared" si="20"/>
        <v>Exclude</v>
      </c>
      <c r="W385" s="65" t="str">
        <f t="shared" si="21"/>
        <v>Exclude</v>
      </c>
      <c r="Y385" s="63"/>
      <c r="AS385" s="64" t="str">
        <f t="shared" si="22"/>
        <v>Exclude</v>
      </c>
      <c r="AU385" s="65" t="str">
        <f t="shared" si="23"/>
        <v>Exclude</v>
      </c>
    </row>
    <row r="386" spans="1:47" s="64" customFormat="1" x14ac:dyDescent="0.25">
      <c r="A386" s="63"/>
      <c r="U386" s="64" t="str">
        <f t="shared" si="20"/>
        <v>Exclude</v>
      </c>
      <c r="W386" s="65" t="str">
        <f t="shared" si="21"/>
        <v>Exclude</v>
      </c>
      <c r="Y386" s="63"/>
      <c r="AS386" s="64" t="str">
        <f t="shared" si="22"/>
        <v>Exclude</v>
      </c>
      <c r="AU386" s="65" t="str">
        <f t="shared" si="23"/>
        <v>Exclude</v>
      </c>
    </row>
    <row r="387" spans="1:47" s="64" customFormat="1" x14ac:dyDescent="0.25">
      <c r="A387" s="63"/>
      <c r="U387" s="64" t="str">
        <f t="shared" si="20"/>
        <v>Exclude</v>
      </c>
      <c r="W387" s="65" t="str">
        <f t="shared" si="21"/>
        <v>Exclude</v>
      </c>
      <c r="Y387" s="63"/>
      <c r="AS387" s="64" t="str">
        <f t="shared" si="22"/>
        <v>Exclude</v>
      </c>
      <c r="AU387" s="65" t="str">
        <f t="shared" si="23"/>
        <v>Exclude</v>
      </c>
    </row>
    <row r="388" spans="1:47" s="64" customFormat="1" x14ac:dyDescent="0.25">
      <c r="A388" s="63"/>
      <c r="U388" s="64" t="str">
        <f t="shared" si="20"/>
        <v>Exclude</v>
      </c>
      <c r="W388" s="65" t="str">
        <f t="shared" si="21"/>
        <v>Exclude</v>
      </c>
      <c r="Y388" s="63"/>
      <c r="AS388" s="64" t="str">
        <f t="shared" si="22"/>
        <v>Exclude</v>
      </c>
      <c r="AU388" s="65" t="str">
        <f t="shared" si="23"/>
        <v>Exclude</v>
      </c>
    </row>
    <row r="389" spans="1:47" s="64" customFormat="1" x14ac:dyDescent="0.25">
      <c r="A389" s="63"/>
      <c r="U389" s="64" t="str">
        <f t="shared" si="20"/>
        <v>Exclude</v>
      </c>
      <c r="W389" s="65" t="str">
        <f t="shared" si="21"/>
        <v>Exclude</v>
      </c>
      <c r="Y389" s="63"/>
      <c r="AS389" s="64" t="str">
        <f t="shared" si="22"/>
        <v>Exclude</v>
      </c>
      <c r="AU389" s="65" t="str">
        <f t="shared" si="23"/>
        <v>Exclude</v>
      </c>
    </row>
    <row r="390" spans="1:47" s="64" customFormat="1" x14ac:dyDescent="0.25">
      <c r="A390" s="63"/>
      <c r="U390" s="64" t="str">
        <f t="shared" si="20"/>
        <v>Exclude</v>
      </c>
      <c r="W390" s="65" t="str">
        <f t="shared" si="21"/>
        <v>Exclude</v>
      </c>
      <c r="Y390" s="63"/>
      <c r="AS390" s="64" t="str">
        <f t="shared" si="22"/>
        <v>Exclude</v>
      </c>
      <c r="AU390" s="65" t="str">
        <f t="shared" si="23"/>
        <v>Exclude</v>
      </c>
    </row>
    <row r="391" spans="1:47" s="64" customFormat="1" x14ac:dyDescent="0.25">
      <c r="A391" s="63"/>
      <c r="U391" s="64" t="str">
        <f t="shared" si="20"/>
        <v>Exclude</v>
      </c>
      <c r="W391" s="65" t="str">
        <f t="shared" si="21"/>
        <v>Exclude</v>
      </c>
      <c r="Y391" s="63"/>
      <c r="AS391" s="64" t="str">
        <f t="shared" si="22"/>
        <v>Exclude</v>
      </c>
      <c r="AU391" s="65" t="str">
        <f t="shared" si="23"/>
        <v>Exclude</v>
      </c>
    </row>
    <row r="392" spans="1:47" s="64" customFormat="1" x14ac:dyDescent="0.25">
      <c r="A392" s="63"/>
      <c r="U392" s="64" t="str">
        <f t="shared" si="20"/>
        <v>Exclude</v>
      </c>
      <c r="W392" s="65" t="str">
        <f t="shared" si="21"/>
        <v>Exclude</v>
      </c>
      <c r="Y392" s="63"/>
      <c r="AS392" s="64" t="str">
        <f t="shared" si="22"/>
        <v>Exclude</v>
      </c>
      <c r="AU392" s="65" t="str">
        <f t="shared" si="23"/>
        <v>Exclude</v>
      </c>
    </row>
    <row r="393" spans="1:47" s="64" customFormat="1" x14ac:dyDescent="0.25">
      <c r="A393" s="63"/>
      <c r="U393" s="64" t="str">
        <f t="shared" si="20"/>
        <v>Exclude</v>
      </c>
      <c r="W393" s="65" t="str">
        <f t="shared" si="21"/>
        <v>Exclude</v>
      </c>
      <c r="Y393" s="63"/>
      <c r="AS393" s="64" t="str">
        <f t="shared" si="22"/>
        <v>Exclude</v>
      </c>
      <c r="AU393" s="65" t="str">
        <f t="shared" si="23"/>
        <v>Exclude</v>
      </c>
    </row>
    <row r="394" spans="1:47" s="64" customFormat="1" x14ac:dyDescent="0.25">
      <c r="A394" s="63"/>
      <c r="U394" s="64" t="str">
        <f t="shared" si="20"/>
        <v>Exclude</v>
      </c>
      <c r="W394" s="65" t="str">
        <f t="shared" si="21"/>
        <v>Exclude</v>
      </c>
      <c r="Y394" s="63"/>
      <c r="AS394" s="64" t="str">
        <f t="shared" si="22"/>
        <v>Exclude</v>
      </c>
      <c r="AU394" s="65" t="str">
        <f t="shared" si="23"/>
        <v>Exclude</v>
      </c>
    </row>
    <row r="395" spans="1:47" s="64" customFormat="1" x14ac:dyDescent="0.25">
      <c r="A395" s="63"/>
      <c r="U395" s="64" t="str">
        <f t="shared" si="20"/>
        <v>Exclude</v>
      </c>
      <c r="W395" s="65" t="str">
        <f t="shared" si="21"/>
        <v>Exclude</v>
      </c>
      <c r="Y395" s="63"/>
      <c r="AS395" s="64" t="str">
        <f t="shared" si="22"/>
        <v>Exclude</v>
      </c>
      <c r="AU395" s="65" t="str">
        <f t="shared" si="23"/>
        <v>Exclude</v>
      </c>
    </row>
    <row r="396" spans="1:47" s="64" customFormat="1" x14ac:dyDescent="0.25">
      <c r="A396" s="63"/>
      <c r="U396" s="64" t="str">
        <f t="shared" si="20"/>
        <v>Exclude</v>
      </c>
      <c r="W396" s="65" t="str">
        <f t="shared" si="21"/>
        <v>Exclude</v>
      </c>
      <c r="Y396" s="63"/>
      <c r="AS396" s="64" t="str">
        <f t="shared" si="22"/>
        <v>Exclude</v>
      </c>
      <c r="AU396" s="65" t="str">
        <f t="shared" si="23"/>
        <v>Exclude</v>
      </c>
    </row>
    <row r="397" spans="1:47" s="64" customFormat="1" x14ac:dyDescent="0.25">
      <c r="A397" s="63"/>
      <c r="U397" s="64" t="str">
        <f t="shared" si="20"/>
        <v>Exclude</v>
      </c>
      <c r="W397" s="65" t="str">
        <f t="shared" si="21"/>
        <v>Exclude</v>
      </c>
      <c r="Y397" s="63"/>
      <c r="AS397" s="64" t="str">
        <f t="shared" si="22"/>
        <v>Exclude</v>
      </c>
      <c r="AU397" s="65" t="str">
        <f t="shared" si="23"/>
        <v>Exclude</v>
      </c>
    </row>
    <row r="398" spans="1:47" s="64" customFormat="1" x14ac:dyDescent="0.25">
      <c r="A398" s="63"/>
      <c r="U398" s="64" t="str">
        <f t="shared" si="20"/>
        <v>Exclude</v>
      </c>
      <c r="W398" s="65" t="str">
        <f t="shared" si="21"/>
        <v>Exclude</v>
      </c>
      <c r="Y398" s="63"/>
      <c r="AS398" s="64" t="str">
        <f t="shared" si="22"/>
        <v>Exclude</v>
      </c>
      <c r="AU398" s="65" t="str">
        <f t="shared" si="23"/>
        <v>Exclude</v>
      </c>
    </row>
    <row r="399" spans="1:47" s="64" customFormat="1" x14ac:dyDescent="0.25">
      <c r="A399" s="63"/>
      <c r="U399" s="64" t="str">
        <f t="shared" si="20"/>
        <v>Exclude</v>
      </c>
      <c r="W399" s="65" t="str">
        <f t="shared" si="21"/>
        <v>Exclude</v>
      </c>
      <c r="Y399" s="63"/>
      <c r="AS399" s="64" t="str">
        <f t="shared" si="22"/>
        <v>Exclude</v>
      </c>
      <c r="AU399" s="65" t="str">
        <f t="shared" si="23"/>
        <v>Exclude</v>
      </c>
    </row>
    <row r="400" spans="1:47" s="64" customFormat="1" x14ac:dyDescent="0.25">
      <c r="A400" s="63"/>
      <c r="U400" s="64" t="str">
        <f t="shared" si="20"/>
        <v>Exclude</v>
      </c>
      <c r="W400" s="65" t="str">
        <f t="shared" si="21"/>
        <v>Exclude</v>
      </c>
      <c r="Y400" s="63"/>
      <c r="AS400" s="64" t="str">
        <f t="shared" si="22"/>
        <v>Exclude</v>
      </c>
      <c r="AU400" s="65" t="str">
        <f t="shared" si="23"/>
        <v>Exclude</v>
      </c>
    </row>
    <row r="401" spans="1:47" s="64" customFormat="1" x14ac:dyDescent="0.25">
      <c r="A401" s="63"/>
      <c r="U401" s="64" t="str">
        <f t="shared" si="20"/>
        <v>Exclude</v>
      </c>
      <c r="W401" s="65" t="str">
        <f t="shared" si="21"/>
        <v>Exclude</v>
      </c>
      <c r="Y401" s="63"/>
      <c r="AS401" s="64" t="str">
        <f t="shared" si="22"/>
        <v>Exclude</v>
      </c>
      <c r="AU401" s="65" t="str">
        <f t="shared" si="23"/>
        <v>Exclude</v>
      </c>
    </row>
    <row r="402" spans="1:47" s="64" customFormat="1" x14ac:dyDescent="0.25">
      <c r="A402" s="63"/>
      <c r="U402" s="64" t="str">
        <f t="shared" si="20"/>
        <v>Exclude</v>
      </c>
      <c r="W402" s="65" t="str">
        <f t="shared" si="21"/>
        <v>Exclude</v>
      </c>
      <c r="Y402" s="63"/>
      <c r="AS402" s="64" t="str">
        <f t="shared" si="22"/>
        <v>Exclude</v>
      </c>
      <c r="AU402" s="65" t="str">
        <f t="shared" si="23"/>
        <v>Exclude</v>
      </c>
    </row>
    <row r="403" spans="1:47" s="64" customFormat="1" x14ac:dyDescent="0.25">
      <c r="A403" s="63"/>
      <c r="U403" s="64" t="str">
        <f t="shared" si="20"/>
        <v>Exclude</v>
      </c>
      <c r="W403" s="65" t="str">
        <f t="shared" si="21"/>
        <v>Exclude</v>
      </c>
      <c r="Y403" s="63"/>
      <c r="AS403" s="64" t="str">
        <f t="shared" si="22"/>
        <v>Exclude</v>
      </c>
      <c r="AU403" s="65" t="str">
        <f t="shared" si="23"/>
        <v>Exclude</v>
      </c>
    </row>
    <row r="404" spans="1:47" s="64" customFormat="1" x14ac:dyDescent="0.25">
      <c r="A404" s="63"/>
      <c r="U404" s="64" t="str">
        <f t="shared" si="20"/>
        <v>Exclude</v>
      </c>
      <c r="W404" s="65" t="str">
        <f t="shared" si="21"/>
        <v>Exclude</v>
      </c>
      <c r="Y404" s="63"/>
      <c r="AS404" s="64" t="str">
        <f t="shared" si="22"/>
        <v>Exclude</v>
      </c>
      <c r="AU404" s="65" t="str">
        <f t="shared" si="23"/>
        <v>Exclude</v>
      </c>
    </row>
    <row r="405" spans="1:47" s="64" customFormat="1" x14ac:dyDescent="0.25">
      <c r="A405" s="63"/>
      <c r="U405" s="64" t="str">
        <f t="shared" si="20"/>
        <v>Exclude</v>
      </c>
      <c r="W405" s="65" t="str">
        <f t="shared" si="21"/>
        <v>Exclude</v>
      </c>
      <c r="Y405" s="63"/>
      <c r="AS405" s="64" t="str">
        <f t="shared" si="22"/>
        <v>Exclude</v>
      </c>
      <c r="AU405" s="65" t="str">
        <f t="shared" si="23"/>
        <v>Exclude</v>
      </c>
    </row>
    <row r="406" spans="1:47" s="64" customFormat="1" x14ac:dyDescent="0.25">
      <c r="A406" s="63"/>
      <c r="U406" s="64" t="str">
        <f t="shared" si="20"/>
        <v>Exclude</v>
      </c>
      <c r="W406" s="65" t="str">
        <f t="shared" si="21"/>
        <v>Exclude</v>
      </c>
      <c r="Y406" s="63"/>
      <c r="AS406" s="64" t="str">
        <f t="shared" si="22"/>
        <v>Exclude</v>
      </c>
      <c r="AU406" s="65" t="str">
        <f t="shared" si="23"/>
        <v>Exclude</v>
      </c>
    </row>
    <row r="407" spans="1:47" s="64" customFormat="1" x14ac:dyDescent="0.25">
      <c r="A407" s="63"/>
      <c r="U407" s="64" t="str">
        <f t="shared" ref="U407:U470" si="24">IF(OR(R407="TruePositive",R407="TrueNegative"),IF(R406&lt;&gt;"Anticipatory",(N407),"Pant"),"Exclude")</f>
        <v>Exclude</v>
      </c>
      <c r="W407" s="65" t="str">
        <f t="shared" ref="W407:W470" si="25">IF(OR(R407="TruePositive",R407="TrueNegative"),IF(R406&lt;&gt;"Anticipatory",LOG10(N407),"Exclude"),"Exclude")</f>
        <v>Exclude</v>
      </c>
      <c r="Y407" s="63"/>
      <c r="AS407" s="64" t="str">
        <f t="shared" ref="AS407:AS470" si="26">IF(OR(AP407="TruePositive",AP407="TrueNegative"),IF(AP406&lt;&gt;"Anticipatory",(AL407),"Pant"),"Exclude")</f>
        <v>Exclude</v>
      </c>
      <c r="AU407" s="65" t="str">
        <f t="shared" ref="AU407:AU470" si="27">IF(OR(AP407="TruePositive",AP407="TrueNegative"),IF(AP406&lt;&gt;"Anticipatory",LOG10(AL407),"Exclude"),"Exclude")</f>
        <v>Exclude</v>
      </c>
    </row>
    <row r="408" spans="1:47" s="64" customFormat="1" x14ac:dyDescent="0.25">
      <c r="A408" s="63"/>
      <c r="U408" s="64" t="str">
        <f t="shared" si="24"/>
        <v>Exclude</v>
      </c>
      <c r="W408" s="65" t="str">
        <f t="shared" si="25"/>
        <v>Exclude</v>
      </c>
      <c r="Y408" s="63"/>
      <c r="AS408" s="64" t="str">
        <f t="shared" si="26"/>
        <v>Exclude</v>
      </c>
      <c r="AU408" s="65" t="str">
        <f t="shared" si="27"/>
        <v>Exclude</v>
      </c>
    </row>
    <row r="409" spans="1:47" s="64" customFormat="1" x14ac:dyDescent="0.25">
      <c r="A409" s="63"/>
      <c r="U409" s="64" t="str">
        <f t="shared" si="24"/>
        <v>Exclude</v>
      </c>
      <c r="W409" s="65" t="str">
        <f t="shared" si="25"/>
        <v>Exclude</v>
      </c>
      <c r="Y409" s="63"/>
      <c r="AS409" s="64" t="str">
        <f t="shared" si="26"/>
        <v>Exclude</v>
      </c>
      <c r="AU409" s="65" t="str">
        <f t="shared" si="27"/>
        <v>Exclude</v>
      </c>
    </row>
    <row r="410" spans="1:47" s="64" customFormat="1" x14ac:dyDescent="0.25">
      <c r="A410" s="63"/>
      <c r="U410" s="64" t="str">
        <f t="shared" si="24"/>
        <v>Exclude</v>
      </c>
      <c r="W410" s="65" t="str">
        <f t="shared" si="25"/>
        <v>Exclude</v>
      </c>
      <c r="Y410" s="63"/>
      <c r="AS410" s="64" t="str">
        <f t="shared" si="26"/>
        <v>Exclude</v>
      </c>
      <c r="AU410" s="65" t="str">
        <f t="shared" si="27"/>
        <v>Exclude</v>
      </c>
    </row>
    <row r="411" spans="1:47" s="64" customFormat="1" x14ac:dyDescent="0.25">
      <c r="A411" s="63"/>
      <c r="U411" s="64" t="str">
        <f t="shared" si="24"/>
        <v>Exclude</v>
      </c>
      <c r="W411" s="65" t="str">
        <f t="shared" si="25"/>
        <v>Exclude</v>
      </c>
      <c r="Y411" s="63"/>
      <c r="AS411" s="64" t="str">
        <f t="shared" si="26"/>
        <v>Exclude</v>
      </c>
      <c r="AU411" s="65" t="str">
        <f t="shared" si="27"/>
        <v>Exclude</v>
      </c>
    </row>
    <row r="412" spans="1:47" s="64" customFormat="1" x14ac:dyDescent="0.25">
      <c r="A412" s="63"/>
      <c r="U412" s="64" t="str">
        <f t="shared" si="24"/>
        <v>Exclude</v>
      </c>
      <c r="W412" s="65" t="str">
        <f t="shared" si="25"/>
        <v>Exclude</v>
      </c>
      <c r="Y412" s="63"/>
      <c r="AS412" s="64" t="str">
        <f t="shared" si="26"/>
        <v>Exclude</v>
      </c>
      <c r="AU412" s="65" t="str">
        <f t="shared" si="27"/>
        <v>Exclude</v>
      </c>
    </row>
    <row r="413" spans="1:47" s="64" customFormat="1" x14ac:dyDescent="0.25">
      <c r="A413" s="63"/>
      <c r="U413" s="64" t="str">
        <f t="shared" si="24"/>
        <v>Exclude</v>
      </c>
      <c r="W413" s="65" t="str">
        <f t="shared" si="25"/>
        <v>Exclude</v>
      </c>
      <c r="Y413" s="63"/>
      <c r="AS413" s="64" t="str">
        <f t="shared" si="26"/>
        <v>Exclude</v>
      </c>
      <c r="AU413" s="65" t="str">
        <f t="shared" si="27"/>
        <v>Exclude</v>
      </c>
    </row>
    <row r="414" spans="1:47" s="64" customFormat="1" x14ac:dyDescent="0.25">
      <c r="A414" s="63"/>
      <c r="U414" s="64" t="str">
        <f t="shared" si="24"/>
        <v>Exclude</v>
      </c>
      <c r="W414" s="65" t="str">
        <f t="shared" si="25"/>
        <v>Exclude</v>
      </c>
      <c r="Y414" s="63"/>
      <c r="AS414" s="64" t="str">
        <f t="shared" si="26"/>
        <v>Exclude</v>
      </c>
      <c r="AU414" s="65" t="str">
        <f t="shared" si="27"/>
        <v>Exclude</v>
      </c>
    </row>
    <row r="415" spans="1:47" s="64" customFormat="1" x14ac:dyDescent="0.25">
      <c r="A415" s="63"/>
      <c r="U415" s="64" t="str">
        <f t="shared" si="24"/>
        <v>Exclude</v>
      </c>
      <c r="W415" s="65" t="str">
        <f t="shared" si="25"/>
        <v>Exclude</v>
      </c>
      <c r="Y415" s="63"/>
      <c r="AS415" s="64" t="str">
        <f t="shared" si="26"/>
        <v>Exclude</v>
      </c>
      <c r="AU415" s="65" t="str">
        <f t="shared" si="27"/>
        <v>Exclude</v>
      </c>
    </row>
    <row r="416" spans="1:47" s="64" customFormat="1" x14ac:dyDescent="0.25">
      <c r="A416" s="63"/>
      <c r="U416" s="64" t="str">
        <f t="shared" si="24"/>
        <v>Exclude</v>
      </c>
      <c r="W416" s="65" t="str">
        <f t="shared" si="25"/>
        <v>Exclude</v>
      </c>
      <c r="Y416" s="63"/>
      <c r="AS416" s="64" t="str">
        <f t="shared" si="26"/>
        <v>Exclude</v>
      </c>
      <c r="AU416" s="65" t="str">
        <f t="shared" si="27"/>
        <v>Exclude</v>
      </c>
    </row>
    <row r="417" spans="1:47" s="64" customFormat="1" x14ac:dyDescent="0.25">
      <c r="A417" s="63"/>
      <c r="U417" s="64" t="str">
        <f t="shared" si="24"/>
        <v>Exclude</v>
      </c>
      <c r="W417" s="65" t="str">
        <f t="shared" si="25"/>
        <v>Exclude</v>
      </c>
      <c r="Y417" s="63"/>
      <c r="AS417" s="64" t="str">
        <f t="shared" si="26"/>
        <v>Exclude</v>
      </c>
      <c r="AU417" s="65" t="str">
        <f t="shared" si="27"/>
        <v>Exclude</v>
      </c>
    </row>
    <row r="418" spans="1:47" s="64" customFormat="1" x14ac:dyDescent="0.25">
      <c r="A418" s="63"/>
      <c r="U418" s="64" t="str">
        <f t="shared" si="24"/>
        <v>Exclude</v>
      </c>
      <c r="W418" s="65" t="str">
        <f t="shared" si="25"/>
        <v>Exclude</v>
      </c>
      <c r="Y418" s="63"/>
      <c r="AS418" s="64" t="str">
        <f t="shared" si="26"/>
        <v>Exclude</v>
      </c>
      <c r="AU418" s="65" t="str">
        <f t="shared" si="27"/>
        <v>Exclude</v>
      </c>
    </row>
    <row r="419" spans="1:47" s="64" customFormat="1" x14ac:dyDescent="0.25">
      <c r="A419" s="63"/>
      <c r="U419" s="64" t="str">
        <f t="shared" si="24"/>
        <v>Exclude</v>
      </c>
      <c r="W419" s="65" t="str">
        <f t="shared" si="25"/>
        <v>Exclude</v>
      </c>
      <c r="Y419" s="63"/>
      <c r="AS419" s="64" t="str">
        <f t="shared" si="26"/>
        <v>Exclude</v>
      </c>
      <c r="AU419" s="65" t="str">
        <f t="shared" si="27"/>
        <v>Exclude</v>
      </c>
    </row>
    <row r="420" spans="1:47" s="64" customFormat="1" x14ac:dyDescent="0.25">
      <c r="A420" s="63"/>
      <c r="U420" s="64" t="str">
        <f t="shared" si="24"/>
        <v>Exclude</v>
      </c>
      <c r="W420" s="65" t="str">
        <f t="shared" si="25"/>
        <v>Exclude</v>
      </c>
      <c r="Y420" s="63"/>
      <c r="AS420" s="64" t="str">
        <f t="shared" si="26"/>
        <v>Exclude</v>
      </c>
      <c r="AU420" s="65" t="str">
        <f t="shared" si="27"/>
        <v>Exclude</v>
      </c>
    </row>
    <row r="421" spans="1:47" s="64" customFormat="1" x14ac:dyDescent="0.25">
      <c r="A421" s="63"/>
      <c r="U421" s="64" t="str">
        <f t="shared" si="24"/>
        <v>Exclude</v>
      </c>
      <c r="W421" s="65" t="str">
        <f t="shared" si="25"/>
        <v>Exclude</v>
      </c>
      <c r="Y421" s="63"/>
      <c r="AS421" s="64" t="str">
        <f t="shared" si="26"/>
        <v>Exclude</v>
      </c>
      <c r="AU421" s="65" t="str">
        <f t="shared" si="27"/>
        <v>Exclude</v>
      </c>
    </row>
    <row r="422" spans="1:47" s="64" customFormat="1" x14ac:dyDescent="0.25">
      <c r="A422" s="63"/>
      <c r="U422" s="64" t="str">
        <f t="shared" si="24"/>
        <v>Exclude</v>
      </c>
      <c r="W422" s="65" t="str">
        <f t="shared" si="25"/>
        <v>Exclude</v>
      </c>
      <c r="Y422" s="63"/>
      <c r="AS422" s="64" t="str">
        <f t="shared" si="26"/>
        <v>Exclude</v>
      </c>
      <c r="AU422" s="65" t="str">
        <f t="shared" si="27"/>
        <v>Exclude</v>
      </c>
    </row>
    <row r="423" spans="1:47" s="64" customFormat="1" x14ac:dyDescent="0.25">
      <c r="A423" s="63"/>
      <c r="U423" s="64" t="str">
        <f t="shared" si="24"/>
        <v>Exclude</v>
      </c>
      <c r="W423" s="65" t="str">
        <f t="shared" si="25"/>
        <v>Exclude</v>
      </c>
      <c r="Y423" s="63"/>
      <c r="AS423" s="64" t="str">
        <f t="shared" si="26"/>
        <v>Exclude</v>
      </c>
      <c r="AU423" s="65" t="str">
        <f t="shared" si="27"/>
        <v>Exclude</v>
      </c>
    </row>
    <row r="424" spans="1:47" s="64" customFormat="1" x14ac:dyDescent="0.25">
      <c r="A424" s="63"/>
      <c r="U424" s="64" t="str">
        <f t="shared" si="24"/>
        <v>Exclude</v>
      </c>
      <c r="W424" s="65" t="str">
        <f t="shared" si="25"/>
        <v>Exclude</v>
      </c>
      <c r="Y424" s="63"/>
      <c r="AS424" s="64" t="str">
        <f t="shared" si="26"/>
        <v>Exclude</v>
      </c>
      <c r="AU424" s="65" t="str">
        <f t="shared" si="27"/>
        <v>Exclude</v>
      </c>
    </row>
    <row r="425" spans="1:47" s="64" customFormat="1" x14ac:dyDescent="0.25">
      <c r="A425" s="63"/>
      <c r="U425" s="64" t="str">
        <f t="shared" si="24"/>
        <v>Exclude</v>
      </c>
      <c r="W425" s="65" t="str">
        <f t="shared" si="25"/>
        <v>Exclude</v>
      </c>
      <c r="Y425" s="63"/>
      <c r="AS425" s="64" t="str">
        <f t="shared" si="26"/>
        <v>Exclude</v>
      </c>
      <c r="AU425" s="65" t="str">
        <f t="shared" si="27"/>
        <v>Exclude</v>
      </c>
    </row>
    <row r="426" spans="1:47" s="64" customFormat="1" x14ac:dyDescent="0.25">
      <c r="A426" s="63"/>
      <c r="U426" s="64" t="str">
        <f t="shared" si="24"/>
        <v>Exclude</v>
      </c>
      <c r="W426" s="65" t="str">
        <f t="shared" si="25"/>
        <v>Exclude</v>
      </c>
      <c r="Y426" s="63"/>
      <c r="AS426" s="64" t="str">
        <f t="shared" si="26"/>
        <v>Exclude</v>
      </c>
      <c r="AU426" s="65" t="str">
        <f t="shared" si="27"/>
        <v>Exclude</v>
      </c>
    </row>
    <row r="427" spans="1:47" s="64" customFormat="1" x14ac:dyDescent="0.25">
      <c r="A427" s="63"/>
      <c r="U427" s="64" t="str">
        <f t="shared" si="24"/>
        <v>Exclude</v>
      </c>
      <c r="W427" s="65" t="str">
        <f t="shared" si="25"/>
        <v>Exclude</v>
      </c>
      <c r="Y427" s="63"/>
      <c r="AS427" s="64" t="str">
        <f t="shared" si="26"/>
        <v>Exclude</v>
      </c>
      <c r="AU427" s="65" t="str">
        <f t="shared" si="27"/>
        <v>Exclude</v>
      </c>
    </row>
    <row r="428" spans="1:47" s="64" customFormat="1" x14ac:dyDescent="0.25">
      <c r="A428" s="63"/>
      <c r="U428" s="64" t="str">
        <f t="shared" si="24"/>
        <v>Exclude</v>
      </c>
      <c r="W428" s="65" t="str">
        <f t="shared" si="25"/>
        <v>Exclude</v>
      </c>
      <c r="Y428" s="63"/>
      <c r="AS428" s="64" t="str">
        <f t="shared" si="26"/>
        <v>Exclude</v>
      </c>
      <c r="AU428" s="65" t="str">
        <f t="shared" si="27"/>
        <v>Exclude</v>
      </c>
    </row>
    <row r="429" spans="1:47" s="64" customFormat="1" x14ac:dyDescent="0.25">
      <c r="A429" s="63"/>
      <c r="U429" s="64" t="str">
        <f t="shared" si="24"/>
        <v>Exclude</v>
      </c>
      <c r="W429" s="65" t="str">
        <f t="shared" si="25"/>
        <v>Exclude</v>
      </c>
      <c r="Y429" s="63"/>
      <c r="AS429" s="64" t="str">
        <f t="shared" si="26"/>
        <v>Exclude</v>
      </c>
      <c r="AU429" s="65" t="str">
        <f t="shared" si="27"/>
        <v>Exclude</v>
      </c>
    </row>
    <row r="430" spans="1:47" s="64" customFormat="1" x14ac:dyDescent="0.25">
      <c r="A430" s="63"/>
      <c r="U430" s="64" t="str">
        <f t="shared" si="24"/>
        <v>Exclude</v>
      </c>
      <c r="W430" s="65" t="str">
        <f t="shared" si="25"/>
        <v>Exclude</v>
      </c>
      <c r="Y430" s="63"/>
      <c r="AS430" s="64" t="str">
        <f t="shared" si="26"/>
        <v>Exclude</v>
      </c>
      <c r="AU430" s="65" t="str">
        <f t="shared" si="27"/>
        <v>Exclude</v>
      </c>
    </row>
    <row r="431" spans="1:47" s="64" customFormat="1" x14ac:dyDescent="0.25">
      <c r="A431" s="63"/>
      <c r="U431" s="64" t="str">
        <f t="shared" si="24"/>
        <v>Exclude</v>
      </c>
      <c r="W431" s="65" t="str">
        <f t="shared" si="25"/>
        <v>Exclude</v>
      </c>
      <c r="Y431" s="63"/>
      <c r="AS431" s="64" t="str">
        <f t="shared" si="26"/>
        <v>Exclude</v>
      </c>
      <c r="AU431" s="65" t="str">
        <f t="shared" si="27"/>
        <v>Exclude</v>
      </c>
    </row>
    <row r="432" spans="1:47" s="64" customFormat="1" x14ac:dyDescent="0.25">
      <c r="A432" s="63"/>
      <c r="U432" s="64" t="str">
        <f t="shared" si="24"/>
        <v>Exclude</v>
      </c>
      <c r="W432" s="65" t="str">
        <f t="shared" si="25"/>
        <v>Exclude</v>
      </c>
      <c r="Y432" s="63"/>
      <c r="AS432" s="64" t="str">
        <f t="shared" si="26"/>
        <v>Exclude</v>
      </c>
      <c r="AU432" s="65" t="str">
        <f t="shared" si="27"/>
        <v>Exclude</v>
      </c>
    </row>
    <row r="433" spans="1:47" s="64" customFormat="1" x14ac:dyDescent="0.25">
      <c r="A433" s="63"/>
      <c r="U433" s="64" t="str">
        <f t="shared" si="24"/>
        <v>Exclude</v>
      </c>
      <c r="W433" s="65" t="str">
        <f t="shared" si="25"/>
        <v>Exclude</v>
      </c>
      <c r="Y433" s="63"/>
      <c r="AS433" s="64" t="str">
        <f t="shared" si="26"/>
        <v>Exclude</v>
      </c>
      <c r="AU433" s="65" t="str">
        <f t="shared" si="27"/>
        <v>Exclude</v>
      </c>
    </row>
    <row r="434" spans="1:47" s="64" customFormat="1" x14ac:dyDescent="0.25">
      <c r="A434" s="63"/>
      <c r="U434" s="64" t="str">
        <f t="shared" si="24"/>
        <v>Exclude</v>
      </c>
      <c r="W434" s="65" t="str">
        <f t="shared" si="25"/>
        <v>Exclude</v>
      </c>
      <c r="Y434" s="63"/>
      <c r="AS434" s="64" t="str">
        <f t="shared" si="26"/>
        <v>Exclude</v>
      </c>
      <c r="AU434" s="65" t="str">
        <f t="shared" si="27"/>
        <v>Exclude</v>
      </c>
    </row>
    <row r="435" spans="1:47" s="64" customFormat="1" x14ac:dyDescent="0.25">
      <c r="A435" s="63"/>
      <c r="U435" s="64" t="str">
        <f t="shared" si="24"/>
        <v>Exclude</v>
      </c>
      <c r="W435" s="65" t="str">
        <f t="shared" si="25"/>
        <v>Exclude</v>
      </c>
      <c r="Y435" s="63"/>
      <c r="AS435" s="64" t="str">
        <f t="shared" si="26"/>
        <v>Exclude</v>
      </c>
      <c r="AU435" s="65" t="str">
        <f t="shared" si="27"/>
        <v>Exclude</v>
      </c>
    </row>
    <row r="436" spans="1:47" s="64" customFormat="1" x14ac:dyDescent="0.25">
      <c r="A436" s="63"/>
      <c r="U436" s="64" t="str">
        <f t="shared" si="24"/>
        <v>Exclude</v>
      </c>
      <c r="W436" s="65" t="str">
        <f t="shared" si="25"/>
        <v>Exclude</v>
      </c>
      <c r="Y436" s="63"/>
      <c r="AS436" s="64" t="str">
        <f t="shared" si="26"/>
        <v>Exclude</v>
      </c>
      <c r="AU436" s="65" t="str">
        <f t="shared" si="27"/>
        <v>Exclude</v>
      </c>
    </row>
    <row r="437" spans="1:47" s="64" customFormat="1" x14ac:dyDescent="0.25">
      <c r="A437" s="63"/>
      <c r="U437" s="64" t="str">
        <f t="shared" si="24"/>
        <v>Exclude</v>
      </c>
      <c r="W437" s="65" t="str">
        <f t="shared" si="25"/>
        <v>Exclude</v>
      </c>
      <c r="Y437" s="63"/>
      <c r="AS437" s="64" t="str">
        <f t="shared" si="26"/>
        <v>Exclude</v>
      </c>
      <c r="AU437" s="65" t="str">
        <f t="shared" si="27"/>
        <v>Exclude</v>
      </c>
    </row>
    <row r="438" spans="1:47" s="64" customFormat="1" x14ac:dyDescent="0.25">
      <c r="A438" s="63"/>
      <c r="U438" s="64" t="str">
        <f t="shared" si="24"/>
        <v>Exclude</v>
      </c>
      <c r="W438" s="65" t="str">
        <f t="shared" si="25"/>
        <v>Exclude</v>
      </c>
      <c r="Y438" s="63"/>
      <c r="AS438" s="64" t="str">
        <f t="shared" si="26"/>
        <v>Exclude</v>
      </c>
      <c r="AU438" s="65" t="str">
        <f t="shared" si="27"/>
        <v>Exclude</v>
      </c>
    </row>
    <row r="439" spans="1:47" s="64" customFormat="1" x14ac:dyDescent="0.25">
      <c r="A439" s="63"/>
      <c r="U439" s="64" t="str">
        <f t="shared" si="24"/>
        <v>Exclude</v>
      </c>
      <c r="W439" s="65" t="str">
        <f t="shared" si="25"/>
        <v>Exclude</v>
      </c>
      <c r="Y439" s="63"/>
      <c r="AS439" s="64" t="str">
        <f t="shared" si="26"/>
        <v>Exclude</v>
      </c>
      <c r="AU439" s="65" t="str">
        <f t="shared" si="27"/>
        <v>Exclude</v>
      </c>
    </row>
    <row r="440" spans="1:47" s="64" customFormat="1" x14ac:dyDescent="0.25">
      <c r="A440" s="63"/>
      <c r="U440" s="64" t="str">
        <f t="shared" si="24"/>
        <v>Exclude</v>
      </c>
      <c r="W440" s="65" t="str">
        <f t="shared" si="25"/>
        <v>Exclude</v>
      </c>
      <c r="Y440" s="63"/>
      <c r="AS440" s="64" t="str">
        <f t="shared" si="26"/>
        <v>Exclude</v>
      </c>
      <c r="AU440" s="65" t="str">
        <f t="shared" si="27"/>
        <v>Exclude</v>
      </c>
    </row>
    <row r="441" spans="1:47" s="64" customFormat="1" x14ac:dyDescent="0.25">
      <c r="A441" s="63"/>
      <c r="U441" s="64" t="str">
        <f t="shared" si="24"/>
        <v>Exclude</v>
      </c>
      <c r="W441" s="65" t="str">
        <f t="shared" si="25"/>
        <v>Exclude</v>
      </c>
      <c r="Y441" s="63"/>
      <c r="AS441" s="64" t="str">
        <f t="shared" si="26"/>
        <v>Exclude</v>
      </c>
      <c r="AU441" s="65" t="str">
        <f t="shared" si="27"/>
        <v>Exclude</v>
      </c>
    </row>
    <row r="442" spans="1:47" s="64" customFormat="1" x14ac:dyDescent="0.25">
      <c r="A442" s="63"/>
      <c r="U442" s="64" t="str">
        <f t="shared" si="24"/>
        <v>Exclude</v>
      </c>
      <c r="W442" s="65" t="str">
        <f t="shared" si="25"/>
        <v>Exclude</v>
      </c>
      <c r="Y442" s="63"/>
      <c r="AS442" s="64" t="str">
        <f t="shared" si="26"/>
        <v>Exclude</v>
      </c>
      <c r="AU442" s="65" t="str">
        <f t="shared" si="27"/>
        <v>Exclude</v>
      </c>
    </row>
    <row r="443" spans="1:47" s="64" customFormat="1" x14ac:dyDescent="0.25">
      <c r="A443" s="63"/>
      <c r="U443" s="64" t="str">
        <f t="shared" si="24"/>
        <v>Exclude</v>
      </c>
      <c r="W443" s="65" t="str">
        <f t="shared" si="25"/>
        <v>Exclude</v>
      </c>
      <c r="Y443" s="63"/>
      <c r="AS443" s="64" t="str">
        <f t="shared" si="26"/>
        <v>Exclude</v>
      </c>
      <c r="AU443" s="65" t="str">
        <f t="shared" si="27"/>
        <v>Exclude</v>
      </c>
    </row>
    <row r="444" spans="1:47" s="64" customFormat="1" x14ac:dyDescent="0.25">
      <c r="A444" s="63"/>
      <c r="U444" s="64" t="str">
        <f t="shared" si="24"/>
        <v>Exclude</v>
      </c>
      <c r="W444" s="65" t="str">
        <f t="shared" si="25"/>
        <v>Exclude</v>
      </c>
      <c r="Y444" s="63"/>
      <c r="AS444" s="64" t="str">
        <f t="shared" si="26"/>
        <v>Exclude</v>
      </c>
      <c r="AU444" s="65" t="str">
        <f t="shared" si="27"/>
        <v>Exclude</v>
      </c>
    </row>
    <row r="445" spans="1:47" s="64" customFormat="1" x14ac:dyDescent="0.25">
      <c r="A445" s="63"/>
      <c r="U445" s="64" t="str">
        <f t="shared" si="24"/>
        <v>Exclude</v>
      </c>
      <c r="W445" s="65" t="str">
        <f t="shared" si="25"/>
        <v>Exclude</v>
      </c>
      <c r="Y445" s="63"/>
      <c r="AS445" s="64" t="str">
        <f t="shared" si="26"/>
        <v>Exclude</v>
      </c>
      <c r="AU445" s="65" t="str">
        <f t="shared" si="27"/>
        <v>Exclude</v>
      </c>
    </row>
    <row r="446" spans="1:47" s="64" customFormat="1" x14ac:dyDescent="0.25">
      <c r="A446" s="63"/>
      <c r="U446" s="64" t="str">
        <f t="shared" si="24"/>
        <v>Exclude</v>
      </c>
      <c r="W446" s="65" t="str">
        <f t="shared" si="25"/>
        <v>Exclude</v>
      </c>
      <c r="Y446" s="63"/>
      <c r="AS446" s="64" t="str">
        <f t="shared" si="26"/>
        <v>Exclude</v>
      </c>
      <c r="AU446" s="65" t="str">
        <f t="shared" si="27"/>
        <v>Exclude</v>
      </c>
    </row>
    <row r="447" spans="1:47" s="64" customFormat="1" x14ac:dyDescent="0.25">
      <c r="A447" s="63"/>
      <c r="U447" s="64" t="str">
        <f t="shared" si="24"/>
        <v>Exclude</v>
      </c>
      <c r="W447" s="65" t="str">
        <f t="shared" si="25"/>
        <v>Exclude</v>
      </c>
      <c r="Y447" s="63"/>
      <c r="AS447" s="64" t="str">
        <f t="shared" si="26"/>
        <v>Exclude</v>
      </c>
      <c r="AU447" s="65" t="str">
        <f t="shared" si="27"/>
        <v>Exclude</v>
      </c>
    </row>
    <row r="448" spans="1:47" s="64" customFormat="1" x14ac:dyDescent="0.25">
      <c r="A448" s="63"/>
      <c r="U448" s="64" t="str">
        <f t="shared" si="24"/>
        <v>Exclude</v>
      </c>
      <c r="W448" s="65" t="str">
        <f t="shared" si="25"/>
        <v>Exclude</v>
      </c>
      <c r="Y448" s="63"/>
      <c r="AS448" s="64" t="str">
        <f t="shared" si="26"/>
        <v>Exclude</v>
      </c>
      <c r="AU448" s="65" t="str">
        <f t="shared" si="27"/>
        <v>Exclude</v>
      </c>
    </row>
    <row r="449" spans="1:47" s="64" customFormat="1" x14ac:dyDescent="0.25">
      <c r="A449" s="63"/>
      <c r="U449" s="64" t="str">
        <f t="shared" si="24"/>
        <v>Exclude</v>
      </c>
      <c r="W449" s="65" t="str">
        <f t="shared" si="25"/>
        <v>Exclude</v>
      </c>
      <c r="Y449" s="63"/>
      <c r="AS449" s="64" t="str">
        <f t="shared" si="26"/>
        <v>Exclude</v>
      </c>
      <c r="AU449" s="65" t="str">
        <f t="shared" si="27"/>
        <v>Exclude</v>
      </c>
    </row>
    <row r="450" spans="1:47" s="64" customFormat="1" x14ac:dyDescent="0.25">
      <c r="A450" s="63"/>
      <c r="U450" s="64" t="str">
        <f t="shared" si="24"/>
        <v>Exclude</v>
      </c>
      <c r="W450" s="65" t="str">
        <f t="shared" si="25"/>
        <v>Exclude</v>
      </c>
      <c r="Y450" s="63"/>
      <c r="AS450" s="64" t="str">
        <f t="shared" si="26"/>
        <v>Exclude</v>
      </c>
      <c r="AU450" s="65" t="str">
        <f t="shared" si="27"/>
        <v>Exclude</v>
      </c>
    </row>
    <row r="451" spans="1:47" s="64" customFormat="1" x14ac:dyDescent="0.25">
      <c r="A451" s="63"/>
      <c r="U451" s="64" t="str">
        <f t="shared" si="24"/>
        <v>Exclude</v>
      </c>
      <c r="W451" s="65" t="str">
        <f t="shared" si="25"/>
        <v>Exclude</v>
      </c>
      <c r="Y451" s="63"/>
      <c r="AS451" s="64" t="str">
        <f t="shared" si="26"/>
        <v>Exclude</v>
      </c>
      <c r="AU451" s="65" t="str">
        <f t="shared" si="27"/>
        <v>Exclude</v>
      </c>
    </row>
    <row r="452" spans="1:47" s="64" customFormat="1" x14ac:dyDescent="0.25">
      <c r="A452" s="63"/>
      <c r="U452" s="64" t="str">
        <f t="shared" si="24"/>
        <v>Exclude</v>
      </c>
      <c r="W452" s="65" t="str">
        <f t="shared" si="25"/>
        <v>Exclude</v>
      </c>
      <c r="Y452" s="63"/>
      <c r="AS452" s="64" t="str">
        <f t="shared" si="26"/>
        <v>Exclude</v>
      </c>
      <c r="AU452" s="65" t="str">
        <f t="shared" si="27"/>
        <v>Exclude</v>
      </c>
    </row>
    <row r="453" spans="1:47" s="64" customFormat="1" x14ac:dyDescent="0.25">
      <c r="A453" s="63"/>
      <c r="U453" s="64" t="str">
        <f t="shared" si="24"/>
        <v>Exclude</v>
      </c>
      <c r="W453" s="65" t="str">
        <f t="shared" si="25"/>
        <v>Exclude</v>
      </c>
      <c r="Y453" s="63"/>
      <c r="AS453" s="64" t="str">
        <f t="shared" si="26"/>
        <v>Exclude</v>
      </c>
      <c r="AU453" s="65" t="str">
        <f t="shared" si="27"/>
        <v>Exclude</v>
      </c>
    </row>
    <row r="454" spans="1:47" s="64" customFormat="1" x14ac:dyDescent="0.25">
      <c r="A454" s="63"/>
      <c r="U454" s="64" t="str">
        <f t="shared" si="24"/>
        <v>Exclude</v>
      </c>
      <c r="W454" s="65" t="str">
        <f t="shared" si="25"/>
        <v>Exclude</v>
      </c>
      <c r="Y454" s="63"/>
      <c r="AS454" s="64" t="str">
        <f t="shared" si="26"/>
        <v>Exclude</v>
      </c>
      <c r="AU454" s="65" t="str">
        <f t="shared" si="27"/>
        <v>Exclude</v>
      </c>
    </row>
    <row r="455" spans="1:47" s="64" customFormat="1" x14ac:dyDescent="0.25">
      <c r="A455" s="63"/>
      <c r="U455" s="64" t="str">
        <f t="shared" si="24"/>
        <v>Exclude</v>
      </c>
      <c r="W455" s="65" t="str">
        <f t="shared" si="25"/>
        <v>Exclude</v>
      </c>
      <c r="Y455" s="63"/>
      <c r="AS455" s="64" t="str">
        <f t="shared" si="26"/>
        <v>Exclude</v>
      </c>
      <c r="AU455" s="65" t="str">
        <f t="shared" si="27"/>
        <v>Exclude</v>
      </c>
    </row>
    <row r="456" spans="1:47" s="64" customFormat="1" x14ac:dyDescent="0.25">
      <c r="A456" s="63"/>
      <c r="U456" s="64" t="str">
        <f t="shared" si="24"/>
        <v>Exclude</v>
      </c>
      <c r="W456" s="65" t="str">
        <f t="shared" si="25"/>
        <v>Exclude</v>
      </c>
      <c r="Y456" s="63"/>
      <c r="AS456" s="64" t="str">
        <f t="shared" si="26"/>
        <v>Exclude</v>
      </c>
      <c r="AU456" s="65" t="str">
        <f t="shared" si="27"/>
        <v>Exclude</v>
      </c>
    </row>
    <row r="457" spans="1:47" s="64" customFormat="1" x14ac:dyDescent="0.25">
      <c r="A457" s="63"/>
      <c r="U457" s="64" t="str">
        <f t="shared" si="24"/>
        <v>Exclude</v>
      </c>
      <c r="W457" s="65" t="str">
        <f t="shared" si="25"/>
        <v>Exclude</v>
      </c>
      <c r="Y457" s="63"/>
      <c r="AS457" s="64" t="str">
        <f t="shared" si="26"/>
        <v>Exclude</v>
      </c>
      <c r="AU457" s="65" t="str">
        <f t="shared" si="27"/>
        <v>Exclude</v>
      </c>
    </row>
    <row r="458" spans="1:47" s="64" customFormat="1" x14ac:dyDescent="0.25">
      <c r="A458" s="63"/>
      <c r="U458" s="64" t="str">
        <f t="shared" si="24"/>
        <v>Exclude</v>
      </c>
      <c r="W458" s="65" t="str">
        <f t="shared" si="25"/>
        <v>Exclude</v>
      </c>
      <c r="Y458" s="63"/>
      <c r="AS458" s="64" t="str">
        <f t="shared" si="26"/>
        <v>Exclude</v>
      </c>
      <c r="AU458" s="65" t="str">
        <f t="shared" si="27"/>
        <v>Exclude</v>
      </c>
    </row>
    <row r="459" spans="1:47" s="64" customFormat="1" x14ac:dyDescent="0.25">
      <c r="A459" s="63"/>
      <c r="U459" s="64" t="str">
        <f t="shared" si="24"/>
        <v>Exclude</v>
      </c>
      <c r="W459" s="65" t="str">
        <f t="shared" si="25"/>
        <v>Exclude</v>
      </c>
      <c r="Y459" s="63"/>
      <c r="AS459" s="64" t="str">
        <f t="shared" si="26"/>
        <v>Exclude</v>
      </c>
      <c r="AU459" s="65" t="str">
        <f t="shared" si="27"/>
        <v>Exclude</v>
      </c>
    </row>
    <row r="460" spans="1:47" s="64" customFormat="1" x14ac:dyDescent="0.25">
      <c r="A460" s="63"/>
      <c r="U460" s="64" t="str">
        <f t="shared" si="24"/>
        <v>Exclude</v>
      </c>
      <c r="W460" s="65" t="str">
        <f t="shared" si="25"/>
        <v>Exclude</v>
      </c>
      <c r="Y460" s="63"/>
      <c r="AS460" s="64" t="str">
        <f t="shared" si="26"/>
        <v>Exclude</v>
      </c>
      <c r="AU460" s="65" t="str">
        <f t="shared" si="27"/>
        <v>Exclude</v>
      </c>
    </row>
    <row r="461" spans="1:47" s="64" customFormat="1" x14ac:dyDescent="0.25">
      <c r="A461" s="63"/>
      <c r="U461" s="64" t="str">
        <f t="shared" si="24"/>
        <v>Exclude</v>
      </c>
      <c r="W461" s="65" t="str">
        <f t="shared" si="25"/>
        <v>Exclude</v>
      </c>
      <c r="Y461" s="63"/>
      <c r="AS461" s="64" t="str">
        <f t="shared" si="26"/>
        <v>Exclude</v>
      </c>
      <c r="AU461" s="65" t="str">
        <f t="shared" si="27"/>
        <v>Exclude</v>
      </c>
    </row>
    <row r="462" spans="1:47" s="64" customFormat="1" x14ac:dyDescent="0.25">
      <c r="A462" s="63"/>
      <c r="U462" s="64" t="str">
        <f t="shared" si="24"/>
        <v>Exclude</v>
      </c>
      <c r="W462" s="65" t="str">
        <f t="shared" si="25"/>
        <v>Exclude</v>
      </c>
      <c r="Y462" s="63"/>
      <c r="AS462" s="64" t="str">
        <f t="shared" si="26"/>
        <v>Exclude</v>
      </c>
      <c r="AU462" s="65" t="str">
        <f t="shared" si="27"/>
        <v>Exclude</v>
      </c>
    </row>
    <row r="463" spans="1:47" s="64" customFormat="1" x14ac:dyDescent="0.25">
      <c r="A463" s="63"/>
      <c r="U463" s="64" t="str">
        <f t="shared" si="24"/>
        <v>Exclude</v>
      </c>
      <c r="W463" s="65" t="str">
        <f t="shared" si="25"/>
        <v>Exclude</v>
      </c>
      <c r="Y463" s="63"/>
      <c r="AS463" s="64" t="str">
        <f t="shared" si="26"/>
        <v>Exclude</v>
      </c>
      <c r="AU463" s="65" t="str">
        <f t="shared" si="27"/>
        <v>Exclude</v>
      </c>
    </row>
    <row r="464" spans="1:47" s="64" customFormat="1" x14ac:dyDescent="0.25">
      <c r="A464" s="63"/>
      <c r="U464" s="64" t="str">
        <f t="shared" si="24"/>
        <v>Exclude</v>
      </c>
      <c r="W464" s="65" t="str">
        <f t="shared" si="25"/>
        <v>Exclude</v>
      </c>
      <c r="Y464" s="63"/>
      <c r="AS464" s="64" t="str">
        <f t="shared" si="26"/>
        <v>Exclude</v>
      </c>
      <c r="AU464" s="65" t="str">
        <f t="shared" si="27"/>
        <v>Exclude</v>
      </c>
    </row>
    <row r="465" spans="1:47" s="64" customFormat="1" x14ac:dyDescent="0.25">
      <c r="A465" s="63"/>
      <c r="U465" s="64" t="str">
        <f t="shared" si="24"/>
        <v>Exclude</v>
      </c>
      <c r="W465" s="65" t="str">
        <f t="shared" si="25"/>
        <v>Exclude</v>
      </c>
      <c r="Y465" s="63"/>
      <c r="AS465" s="64" t="str">
        <f t="shared" si="26"/>
        <v>Exclude</v>
      </c>
      <c r="AU465" s="65" t="str">
        <f t="shared" si="27"/>
        <v>Exclude</v>
      </c>
    </row>
    <row r="466" spans="1:47" s="64" customFormat="1" x14ac:dyDescent="0.25">
      <c r="A466" s="63"/>
      <c r="U466" s="64" t="str">
        <f t="shared" si="24"/>
        <v>Exclude</v>
      </c>
      <c r="W466" s="65" t="str">
        <f t="shared" si="25"/>
        <v>Exclude</v>
      </c>
      <c r="Y466" s="63"/>
      <c r="AS466" s="64" t="str">
        <f t="shared" si="26"/>
        <v>Exclude</v>
      </c>
      <c r="AU466" s="65" t="str">
        <f t="shared" si="27"/>
        <v>Exclude</v>
      </c>
    </row>
    <row r="467" spans="1:47" s="64" customFormat="1" x14ac:dyDescent="0.25">
      <c r="A467" s="63"/>
      <c r="U467" s="64" t="str">
        <f t="shared" si="24"/>
        <v>Exclude</v>
      </c>
      <c r="W467" s="65" t="str">
        <f t="shared" si="25"/>
        <v>Exclude</v>
      </c>
      <c r="Y467" s="63"/>
      <c r="AS467" s="64" t="str">
        <f t="shared" si="26"/>
        <v>Exclude</v>
      </c>
      <c r="AU467" s="65" t="str">
        <f t="shared" si="27"/>
        <v>Exclude</v>
      </c>
    </row>
    <row r="468" spans="1:47" s="64" customFormat="1" x14ac:dyDescent="0.25">
      <c r="A468" s="63"/>
      <c r="U468" s="64" t="str">
        <f t="shared" si="24"/>
        <v>Exclude</v>
      </c>
      <c r="W468" s="65" t="str">
        <f t="shared" si="25"/>
        <v>Exclude</v>
      </c>
      <c r="Y468" s="63"/>
      <c r="AS468" s="64" t="str">
        <f t="shared" si="26"/>
        <v>Exclude</v>
      </c>
      <c r="AU468" s="65" t="str">
        <f t="shared" si="27"/>
        <v>Exclude</v>
      </c>
    </row>
    <row r="469" spans="1:47" s="64" customFormat="1" x14ac:dyDescent="0.25">
      <c r="A469" s="63"/>
      <c r="U469" s="64" t="str">
        <f t="shared" si="24"/>
        <v>Exclude</v>
      </c>
      <c r="W469" s="65" t="str">
        <f t="shared" si="25"/>
        <v>Exclude</v>
      </c>
      <c r="Y469" s="63"/>
      <c r="AS469" s="64" t="str">
        <f t="shared" si="26"/>
        <v>Exclude</v>
      </c>
      <c r="AU469" s="65" t="str">
        <f t="shared" si="27"/>
        <v>Exclude</v>
      </c>
    </row>
    <row r="470" spans="1:47" s="64" customFormat="1" x14ac:dyDescent="0.25">
      <c r="A470" s="63"/>
      <c r="U470" s="64" t="str">
        <f t="shared" si="24"/>
        <v>Exclude</v>
      </c>
      <c r="W470" s="65" t="str">
        <f t="shared" si="25"/>
        <v>Exclude</v>
      </c>
      <c r="Y470" s="63"/>
      <c r="AS470" s="64" t="str">
        <f t="shared" si="26"/>
        <v>Exclude</v>
      </c>
      <c r="AU470" s="65" t="str">
        <f t="shared" si="27"/>
        <v>Exclude</v>
      </c>
    </row>
    <row r="471" spans="1:47" s="64" customFormat="1" x14ac:dyDescent="0.25">
      <c r="A471" s="63"/>
      <c r="U471" s="64" t="str">
        <f t="shared" ref="U471:U534" si="28">IF(OR(R471="TruePositive",R471="TrueNegative"),IF(R470&lt;&gt;"Anticipatory",(N471),"Pant"),"Exclude")</f>
        <v>Exclude</v>
      </c>
      <c r="W471" s="65" t="str">
        <f t="shared" ref="W471:W534" si="29">IF(OR(R471="TruePositive",R471="TrueNegative"),IF(R470&lt;&gt;"Anticipatory",LOG10(N471),"Exclude"),"Exclude")</f>
        <v>Exclude</v>
      </c>
      <c r="Y471" s="63"/>
      <c r="AS471" s="64" t="str">
        <f t="shared" ref="AS471:AS534" si="30">IF(OR(AP471="TruePositive",AP471="TrueNegative"),IF(AP470&lt;&gt;"Anticipatory",(AL471),"Pant"),"Exclude")</f>
        <v>Exclude</v>
      </c>
      <c r="AU471" s="65" t="str">
        <f t="shared" ref="AU471:AU534" si="31">IF(OR(AP471="TruePositive",AP471="TrueNegative"),IF(AP470&lt;&gt;"Anticipatory",LOG10(AL471),"Exclude"),"Exclude")</f>
        <v>Exclude</v>
      </c>
    </row>
    <row r="472" spans="1:47" s="64" customFormat="1" x14ac:dyDescent="0.25">
      <c r="A472" s="63"/>
      <c r="U472" s="64" t="str">
        <f t="shared" si="28"/>
        <v>Exclude</v>
      </c>
      <c r="W472" s="65" t="str">
        <f t="shared" si="29"/>
        <v>Exclude</v>
      </c>
      <c r="Y472" s="63"/>
      <c r="AS472" s="64" t="str">
        <f t="shared" si="30"/>
        <v>Exclude</v>
      </c>
      <c r="AU472" s="65" t="str">
        <f t="shared" si="31"/>
        <v>Exclude</v>
      </c>
    </row>
    <row r="473" spans="1:47" s="64" customFormat="1" x14ac:dyDescent="0.25">
      <c r="A473" s="63"/>
      <c r="U473" s="64" t="str">
        <f t="shared" si="28"/>
        <v>Exclude</v>
      </c>
      <c r="W473" s="65" t="str">
        <f t="shared" si="29"/>
        <v>Exclude</v>
      </c>
      <c r="Y473" s="63"/>
      <c r="AS473" s="64" t="str">
        <f t="shared" si="30"/>
        <v>Exclude</v>
      </c>
      <c r="AU473" s="65" t="str">
        <f t="shared" si="31"/>
        <v>Exclude</v>
      </c>
    </row>
    <row r="474" spans="1:47" s="64" customFormat="1" x14ac:dyDescent="0.25">
      <c r="A474" s="63"/>
      <c r="U474" s="64" t="str">
        <f t="shared" si="28"/>
        <v>Exclude</v>
      </c>
      <c r="W474" s="65" t="str">
        <f t="shared" si="29"/>
        <v>Exclude</v>
      </c>
      <c r="Y474" s="63"/>
      <c r="AS474" s="64" t="str">
        <f t="shared" si="30"/>
        <v>Exclude</v>
      </c>
      <c r="AU474" s="65" t="str">
        <f t="shared" si="31"/>
        <v>Exclude</v>
      </c>
    </row>
    <row r="475" spans="1:47" s="64" customFormat="1" x14ac:dyDescent="0.25">
      <c r="A475" s="63"/>
      <c r="U475" s="64" t="str">
        <f t="shared" si="28"/>
        <v>Exclude</v>
      </c>
      <c r="W475" s="65" t="str">
        <f t="shared" si="29"/>
        <v>Exclude</v>
      </c>
      <c r="Y475" s="63"/>
      <c r="AS475" s="64" t="str">
        <f t="shared" si="30"/>
        <v>Exclude</v>
      </c>
      <c r="AU475" s="65" t="str">
        <f t="shared" si="31"/>
        <v>Exclude</v>
      </c>
    </row>
    <row r="476" spans="1:47" s="64" customFormat="1" x14ac:dyDescent="0.25">
      <c r="A476" s="63"/>
      <c r="U476" s="64" t="str">
        <f t="shared" si="28"/>
        <v>Exclude</v>
      </c>
      <c r="W476" s="65" t="str">
        <f t="shared" si="29"/>
        <v>Exclude</v>
      </c>
      <c r="Y476" s="63"/>
      <c r="AS476" s="64" t="str">
        <f t="shared" si="30"/>
        <v>Exclude</v>
      </c>
      <c r="AU476" s="65" t="str">
        <f t="shared" si="31"/>
        <v>Exclude</v>
      </c>
    </row>
    <row r="477" spans="1:47" s="64" customFormat="1" x14ac:dyDescent="0.25">
      <c r="A477" s="63"/>
      <c r="U477" s="64" t="str">
        <f t="shared" si="28"/>
        <v>Exclude</v>
      </c>
      <c r="W477" s="65" t="str">
        <f t="shared" si="29"/>
        <v>Exclude</v>
      </c>
      <c r="Y477" s="63"/>
      <c r="AS477" s="64" t="str">
        <f t="shared" si="30"/>
        <v>Exclude</v>
      </c>
      <c r="AU477" s="65" t="str">
        <f t="shared" si="31"/>
        <v>Exclude</v>
      </c>
    </row>
    <row r="478" spans="1:47" s="64" customFormat="1" x14ac:dyDescent="0.25">
      <c r="A478" s="63"/>
      <c r="U478" s="64" t="str">
        <f t="shared" si="28"/>
        <v>Exclude</v>
      </c>
      <c r="W478" s="65" t="str">
        <f t="shared" si="29"/>
        <v>Exclude</v>
      </c>
      <c r="Y478" s="63"/>
      <c r="AS478" s="64" t="str">
        <f t="shared" si="30"/>
        <v>Exclude</v>
      </c>
      <c r="AU478" s="65" t="str">
        <f t="shared" si="31"/>
        <v>Exclude</v>
      </c>
    </row>
    <row r="479" spans="1:47" s="64" customFormat="1" x14ac:dyDescent="0.25">
      <c r="A479" s="63"/>
      <c r="U479" s="64" t="str">
        <f t="shared" si="28"/>
        <v>Exclude</v>
      </c>
      <c r="W479" s="65" t="str">
        <f t="shared" si="29"/>
        <v>Exclude</v>
      </c>
      <c r="Y479" s="63"/>
      <c r="AS479" s="64" t="str">
        <f t="shared" si="30"/>
        <v>Exclude</v>
      </c>
      <c r="AU479" s="65" t="str">
        <f t="shared" si="31"/>
        <v>Exclude</v>
      </c>
    </row>
    <row r="480" spans="1:47" s="64" customFormat="1" x14ac:dyDescent="0.25">
      <c r="A480" s="63"/>
      <c r="U480" s="64" t="str">
        <f t="shared" si="28"/>
        <v>Exclude</v>
      </c>
      <c r="W480" s="65" t="str">
        <f t="shared" si="29"/>
        <v>Exclude</v>
      </c>
      <c r="Y480" s="63"/>
      <c r="AS480" s="64" t="str">
        <f t="shared" si="30"/>
        <v>Exclude</v>
      </c>
      <c r="AU480" s="65" t="str">
        <f t="shared" si="31"/>
        <v>Exclude</v>
      </c>
    </row>
    <row r="481" spans="1:47" s="64" customFormat="1" x14ac:dyDescent="0.25">
      <c r="A481" s="63"/>
      <c r="U481" s="64" t="str">
        <f t="shared" si="28"/>
        <v>Exclude</v>
      </c>
      <c r="W481" s="65" t="str">
        <f t="shared" si="29"/>
        <v>Exclude</v>
      </c>
      <c r="Y481" s="63"/>
      <c r="AS481" s="64" t="str">
        <f t="shared" si="30"/>
        <v>Exclude</v>
      </c>
      <c r="AU481" s="65" t="str">
        <f t="shared" si="31"/>
        <v>Exclude</v>
      </c>
    </row>
    <row r="482" spans="1:47" s="64" customFormat="1" x14ac:dyDescent="0.25">
      <c r="A482" s="63"/>
      <c r="U482" s="64" t="str">
        <f t="shared" si="28"/>
        <v>Exclude</v>
      </c>
      <c r="W482" s="65" t="str">
        <f t="shared" si="29"/>
        <v>Exclude</v>
      </c>
      <c r="Y482" s="63"/>
      <c r="AS482" s="64" t="str">
        <f t="shared" si="30"/>
        <v>Exclude</v>
      </c>
      <c r="AU482" s="65" t="str">
        <f t="shared" si="31"/>
        <v>Exclude</v>
      </c>
    </row>
    <row r="483" spans="1:47" s="64" customFormat="1" x14ac:dyDescent="0.25">
      <c r="A483" s="63"/>
      <c r="U483" s="64" t="str">
        <f t="shared" si="28"/>
        <v>Exclude</v>
      </c>
      <c r="W483" s="65" t="str">
        <f t="shared" si="29"/>
        <v>Exclude</v>
      </c>
      <c r="Y483" s="63"/>
      <c r="AS483" s="64" t="str">
        <f t="shared" si="30"/>
        <v>Exclude</v>
      </c>
      <c r="AU483" s="65" t="str">
        <f t="shared" si="31"/>
        <v>Exclude</v>
      </c>
    </row>
    <row r="484" spans="1:47" s="64" customFormat="1" x14ac:dyDescent="0.25">
      <c r="A484" s="63"/>
      <c r="U484" s="64" t="str">
        <f t="shared" si="28"/>
        <v>Exclude</v>
      </c>
      <c r="W484" s="65" t="str">
        <f t="shared" si="29"/>
        <v>Exclude</v>
      </c>
      <c r="Y484" s="63"/>
      <c r="AS484" s="64" t="str">
        <f t="shared" si="30"/>
        <v>Exclude</v>
      </c>
      <c r="AU484" s="65" t="str">
        <f t="shared" si="31"/>
        <v>Exclude</v>
      </c>
    </row>
    <row r="485" spans="1:47" s="64" customFormat="1" x14ac:dyDescent="0.25">
      <c r="A485" s="63"/>
      <c r="U485" s="64" t="str">
        <f t="shared" si="28"/>
        <v>Exclude</v>
      </c>
      <c r="W485" s="65" t="str">
        <f t="shared" si="29"/>
        <v>Exclude</v>
      </c>
      <c r="Y485" s="63"/>
      <c r="AS485" s="64" t="str">
        <f t="shared" si="30"/>
        <v>Exclude</v>
      </c>
      <c r="AU485" s="65" t="str">
        <f t="shared" si="31"/>
        <v>Exclude</v>
      </c>
    </row>
    <row r="486" spans="1:47" s="64" customFormat="1" x14ac:dyDescent="0.25">
      <c r="A486" s="63"/>
      <c r="U486" s="64" t="str">
        <f t="shared" si="28"/>
        <v>Exclude</v>
      </c>
      <c r="W486" s="65" t="str">
        <f t="shared" si="29"/>
        <v>Exclude</v>
      </c>
      <c r="Y486" s="63"/>
      <c r="AS486" s="64" t="str">
        <f t="shared" si="30"/>
        <v>Exclude</v>
      </c>
      <c r="AU486" s="65" t="str">
        <f t="shared" si="31"/>
        <v>Exclude</v>
      </c>
    </row>
    <row r="487" spans="1:47" s="64" customFormat="1" x14ac:dyDescent="0.25">
      <c r="A487" s="63"/>
      <c r="U487" s="64" t="str">
        <f t="shared" si="28"/>
        <v>Exclude</v>
      </c>
      <c r="W487" s="65" t="str">
        <f t="shared" si="29"/>
        <v>Exclude</v>
      </c>
      <c r="Y487" s="63"/>
      <c r="AS487" s="64" t="str">
        <f t="shared" si="30"/>
        <v>Exclude</v>
      </c>
      <c r="AU487" s="65" t="str">
        <f t="shared" si="31"/>
        <v>Exclude</v>
      </c>
    </row>
    <row r="488" spans="1:47" s="64" customFormat="1" x14ac:dyDescent="0.25">
      <c r="A488" s="63"/>
      <c r="U488" s="64" t="str">
        <f t="shared" si="28"/>
        <v>Exclude</v>
      </c>
      <c r="W488" s="65" t="str">
        <f t="shared" si="29"/>
        <v>Exclude</v>
      </c>
      <c r="Y488" s="63"/>
      <c r="AS488" s="64" t="str">
        <f t="shared" si="30"/>
        <v>Exclude</v>
      </c>
      <c r="AU488" s="65" t="str">
        <f t="shared" si="31"/>
        <v>Exclude</v>
      </c>
    </row>
    <row r="489" spans="1:47" s="64" customFormat="1" x14ac:dyDescent="0.25">
      <c r="A489" s="63"/>
      <c r="U489" s="64" t="str">
        <f t="shared" si="28"/>
        <v>Exclude</v>
      </c>
      <c r="W489" s="65" t="str">
        <f t="shared" si="29"/>
        <v>Exclude</v>
      </c>
      <c r="Y489" s="63"/>
      <c r="AS489" s="64" t="str">
        <f t="shared" si="30"/>
        <v>Exclude</v>
      </c>
      <c r="AU489" s="65" t="str">
        <f t="shared" si="31"/>
        <v>Exclude</v>
      </c>
    </row>
    <row r="490" spans="1:47" s="64" customFormat="1" x14ac:dyDescent="0.25">
      <c r="A490" s="63"/>
      <c r="U490" s="64" t="str">
        <f t="shared" si="28"/>
        <v>Exclude</v>
      </c>
      <c r="W490" s="65" t="str">
        <f t="shared" si="29"/>
        <v>Exclude</v>
      </c>
      <c r="Y490" s="63"/>
      <c r="AS490" s="64" t="str">
        <f t="shared" si="30"/>
        <v>Exclude</v>
      </c>
      <c r="AU490" s="65" t="str">
        <f t="shared" si="31"/>
        <v>Exclude</v>
      </c>
    </row>
    <row r="491" spans="1:47" s="64" customFormat="1" x14ac:dyDescent="0.25">
      <c r="A491" s="63"/>
      <c r="U491" s="64" t="str">
        <f t="shared" si="28"/>
        <v>Exclude</v>
      </c>
      <c r="W491" s="65" t="str">
        <f t="shared" si="29"/>
        <v>Exclude</v>
      </c>
      <c r="Y491" s="63"/>
      <c r="AS491" s="64" t="str">
        <f t="shared" si="30"/>
        <v>Exclude</v>
      </c>
      <c r="AU491" s="65" t="str">
        <f t="shared" si="31"/>
        <v>Exclude</v>
      </c>
    </row>
    <row r="492" spans="1:47" s="64" customFormat="1" x14ac:dyDescent="0.25">
      <c r="A492" s="63"/>
      <c r="U492" s="64" t="str">
        <f t="shared" si="28"/>
        <v>Exclude</v>
      </c>
      <c r="W492" s="65" t="str">
        <f t="shared" si="29"/>
        <v>Exclude</v>
      </c>
      <c r="Y492" s="63"/>
      <c r="AS492" s="64" t="str">
        <f t="shared" si="30"/>
        <v>Exclude</v>
      </c>
      <c r="AU492" s="65" t="str">
        <f t="shared" si="31"/>
        <v>Exclude</v>
      </c>
    </row>
    <row r="493" spans="1:47" s="64" customFormat="1" x14ac:dyDescent="0.25">
      <c r="A493" s="63"/>
      <c r="U493" s="64" t="str">
        <f t="shared" si="28"/>
        <v>Exclude</v>
      </c>
      <c r="W493" s="65" t="str">
        <f t="shared" si="29"/>
        <v>Exclude</v>
      </c>
      <c r="Y493" s="63"/>
      <c r="AS493" s="64" t="str">
        <f t="shared" si="30"/>
        <v>Exclude</v>
      </c>
      <c r="AU493" s="65" t="str">
        <f t="shared" si="31"/>
        <v>Exclude</v>
      </c>
    </row>
    <row r="494" spans="1:47" s="64" customFormat="1" x14ac:dyDescent="0.25">
      <c r="A494" s="63"/>
      <c r="U494" s="64" t="str">
        <f t="shared" si="28"/>
        <v>Exclude</v>
      </c>
      <c r="W494" s="65" t="str">
        <f t="shared" si="29"/>
        <v>Exclude</v>
      </c>
      <c r="Y494" s="63"/>
      <c r="AS494" s="64" t="str">
        <f t="shared" si="30"/>
        <v>Exclude</v>
      </c>
      <c r="AU494" s="65" t="str">
        <f t="shared" si="31"/>
        <v>Exclude</v>
      </c>
    </row>
    <row r="495" spans="1:47" s="64" customFormat="1" x14ac:dyDescent="0.25">
      <c r="A495" s="63"/>
      <c r="U495" s="64" t="str">
        <f t="shared" si="28"/>
        <v>Exclude</v>
      </c>
      <c r="W495" s="65" t="str">
        <f t="shared" si="29"/>
        <v>Exclude</v>
      </c>
      <c r="Y495" s="63"/>
      <c r="AS495" s="64" t="str">
        <f t="shared" si="30"/>
        <v>Exclude</v>
      </c>
      <c r="AU495" s="65" t="str">
        <f t="shared" si="31"/>
        <v>Exclude</v>
      </c>
    </row>
    <row r="496" spans="1:47" s="64" customFormat="1" x14ac:dyDescent="0.25">
      <c r="A496" s="63"/>
      <c r="U496" s="64" t="str">
        <f t="shared" si="28"/>
        <v>Exclude</v>
      </c>
      <c r="W496" s="65" t="str">
        <f t="shared" si="29"/>
        <v>Exclude</v>
      </c>
      <c r="Y496" s="63"/>
      <c r="AS496" s="64" t="str">
        <f t="shared" si="30"/>
        <v>Exclude</v>
      </c>
      <c r="AU496" s="65" t="str">
        <f t="shared" si="31"/>
        <v>Exclude</v>
      </c>
    </row>
    <row r="497" spans="1:47" s="64" customFormat="1" x14ac:dyDescent="0.25">
      <c r="A497" s="63"/>
      <c r="U497" s="64" t="str">
        <f t="shared" si="28"/>
        <v>Exclude</v>
      </c>
      <c r="W497" s="65" t="str">
        <f t="shared" si="29"/>
        <v>Exclude</v>
      </c>
      <c r="Y497" s="63"/>
      <c r="AS497" s="64" t="str">
        <f t="shared" si="30"/>
        <v>Exclude</v>
      </c>
      <c r="AU497" s="65" t="str">
        <f t="shared" si="31"/>
        <v>Exclude</v>
      </c>
    </row>
    <row r="498" spans="1:47" s="64" customFormat="1" x14ac:dyDescent="0.25">
      <c r="A498" s="63"/>
      <c r="U498" s="64" t="str">
        <f t="shared" si="28"/>
        <v>Exclude</v>
      </c>
      <c r="W498" s="65" t="str">
        <f t="shared" si="29"/>
        <v>Exclude</v>
      </c>
      <c r="Y498" s="63"/>
      <c r="AS498" s="64" t="str">
        <f t="shared" si="30"/>
        <v>Exclude</v>
      </c>
      <c r="AU498" s="65" t="str">
        <f t="shared" si="31"/>
        <v>Exclude</v>
      </c>
    </row>
    <row r="499" spans="1:47" s="64" customFormat="1" x14ac:dyDescent="0.25">
      <c r="A499" s="63"/>
      <c r="U499" s="64" t="str">
        <f t="shared" si="28"/>
        <v>Exclude</v>
      </c>
      <c r="W499" s="65" t="str">
        <f t="shared" si="29"/>
        <v>Exclude</v>
      </c>
      <c r="Y499" s="63"/>
      <c r="AS499" s="64" t="str">
        <f t="shared" si="30"/>
        <v>Exclude</v>
      </c>
      <c r="AU499" s="65" t="str">
        <f t="shared" si="31"/>
        <v>Exclude</v>
      </c>
    </row>
    <row r="500" spans="1:47" s="64" customFormat="1" x14ac:dyDescent="0.25">
      <c r="A500" s="63"/>
      <c r="U500" s="64" t="str">
        <f t="shared" si="28"/>
        <v>Exclude</v>
      </c>
      <c r="W500" s="65" t="str">
        <f t="shared" si="29"/>
        <v>Exclude</v>
      </c>
      <c r="Y500" s="63"/>
      <c r="AS500" s="64" t="str">
        <f t="shared" si="30"/>
        <v>Exclude</v>
      </c>
      <c r="AU500" s="65" t="str">
        <f t="shared" si="31"/>
        <v>Exclude</v>
      </c>
    </row>
    <row r="501" spans="1:47" s="64" customFormat="1" x14ac:dyDescent="0.25">
      <c r="A501" s="63"/>
      <c r="U501" s="64" t="str">
        <f t="shared" si="28"/>
        <v>Exclude</v>
      </c>
      <c r="W501" s="65" t="str">
        <f t="shared" si="29"/>
        <v>Exclude</v>
      </c>
      <c r="Y501" s="63"/>
      <c r="AS501" s="64" t="str">
        <f t="shared" si="30"/>
        <v>Exclude</v>
      </c>
      <c r="AU501" s="65" t="str">
        <f t="shared" si="31"/>
        <v>Exclude</v>
      </c>
    </row>
    <row r="502" spans="1:47" s="64" customFormat="1" x14ac:dyDescent="0.25">
      <c r="A502" s="63"/>
      <c r="U502" s="64" t="str">
        <f t="shared" si="28"/>
        <v>Exclude</v>
      </c>
      <c r="W502" s="65" t="str">
        <f t="shared" si="29"/>
        <v>Exclude</v>
      </c>
      <c r="Y502" s="63"/>
      <c r="AS502" s="64" t="str">
        <f t="shared" si="30"/>
        <v>Exclude</v>
      </c>
      <c r="AU502" s="65" t="str">
        <f t="shared" si="31"/>
        <v>Exclude</v>
      </c>
    </row>
    <row r="503" spans="1:47" s="64" customFormat="1" x14ac:dyDescent="0.25">
      <c r="A503" s="63"/>
      <c r="U503" s="64" t="str">
        <f t="shared" si="28"/>
        <v>Exclude</v>
      </c>
      <c r="W503" s="65" t="str">
        <f t="shared" si="29"/>
        <v>Exclude</v>
      </c>
      <c r="Y503" s="63"/>
      <c r="AS503" s="64" t="str">
        <f t="shared" si="30"/>
        <v>Exclude</v>
      </c>
      <c r="AU503" s="65" t="str">
        <f t="shared" si="31"/>
        <v>Exclude</v>
      </c>
    </row>
    <row r="504" spans="1:47" s="64" customFormat="1" x14ac:dyDescent="0.25">
      <c r="A504" s="63"/>
      <c r="U504" s="64" t="str">
        <f t="shared" si="28"/>
        <v>Exclude</v>
      </c>
      <c r="W504" s="65" t="str">
        <f t="shared" si="29"/>
        <v>Exclude</v>
      </c>
      <c r="Y504" s="63"/>
      <c r="AS504" s="64" t="str">
        <f t="shared" si="30"/>
        <v>Exclude</v>
      </c>
      <c r="AU504" s="65" t="str">
        <f t="shared" si="31"/>
        <v>Exclude</v>
      </c>
    </row>
    <row r="505" spans="1:47" s="64" customFormat="1" x14ac:dyDescent="0.25">
      <c r="A505" s="63"/>
      <c r="U505" s="64" t="str">
        <f t="shared" si="28"/>
        <v>Exclude</v>
      </c>
      <c r="W505" s="65" t="str">
        <f t="shared" si="29"/>
        <v>Exclude</v>
      </c>
      <c r="Y505" s="63"/>
      <c r="AS505" s="64" t="str">
        <f t="shared" si="30"/>
        <v>Exclude</v>
      </c>
      <c r="AU505" s="65" t="str">
        <f t="shared" si="31"/>
        <v>Exclude</v>
      </c>
    </row>
    <row r="506" spans="1:47" s="64" customFormat="1" x14ac:dyDescent="0.25">
      <c r="A506" s="63"/>
      <c r="U506" s="64" t="str">
        <f t="shared" si="28"/>
        <v>Exclude</v>
      </c>
      <c r="W506" s="65" t="str">
        <f t="shared" si="29"/>
        <v>Exclude</v>
      </c>
      <c r="Y506" s="63"/>
      <c r="AS506" s="64" t="str">
        <f t="shared" si="30"/>
        <v>Exclude</v>
      </c>
      <c r="AU506" s="65" t="str">
        <f t="shared" si="31"/>
        <v>Exclude</v>
      </c>
    </row>
    <row r="507" spans="1:47" s="64" customFormat="1" x14ac:dyDescent="0.25">
      <c r="A507" s="63"/>
      <c r="U507" s="64" t="str">
        <f t="shared" si="28"/>
        <v>Exclude</v>
      </c>
      <c r="W507" s="65" t="str">
        <f t="shared" si="29"/>
        <v>Exclude</v>
      </c>
      <c r="Y507" s="63"/>
      <c r="AS507" s="64" t="str">
        <f t="shared" si="30"/>
        <v>Exclude</v>
      </c>
      <c r="AU507" s="65" t="str">
        <f t="shared" si="31"/>
        <v>Exclude</v>
      </c>
    </row>
    <row r="508" spans="1:47" s="64" customFormat="1" x14ac:dyDescent="0.25">
      <c r="A508" s="63"/>
      <c r="U508" s="64" t="str">
        <f t="shared" si="28"/>
        <v>Exclude</v>
      </c>
      <c r="W508" s="65" t="str">
        <f t="shared" si="29"/>
        <v>Exclude</v>
      </c>
      <c r="Y508" s="63"/>
      <c r="AS508" s="64" t="str">
        <f t="shared" si="30"/>
        <v>Exclude</v>
      </c>
      <c r="AU508" s="65" t="str">
        <f t="shared" si="31"/>
        <v>Exclude</v>
      </c>
    </row>
    <row r="509" spans="1:47" s="64" customFormat="1" x14ac:dyDescent="0.25">
      <c r="A509" s="63"/>
      <c r="U509" s="64" t="str">
        <f t="shared" si="28"/>
        <v>Exclude</v>
      </c>
      <c r="W509" s="65" t="str">
        <f t="shared" si="29"/>
        <v>Exclude</v>
      </c>
      <c r="Y509" s="63"/>
      <c r="AS509" s="64" t="str">
        <f t="shared" si="30"/>
        <v>Exclude</v>
      </c>
      <c r="AU509" s="65" t="str">
        <f t="shared" si="31"/>
        <v>Exclude</v>
      </c>
    </row>
    <row r="510" spans="1:47" s="64" customFormat="1" x14ac:dyDescent="0.25">
      <c r="A510" s="63"/>
      <c r="U510" s="64" t="str">
        <f t="shared" si="28"/>
        <v>Exclude</v>
      </c>
      <c r="W510" s="65" t="str">
        <f t="shared" si="29"/>
        <v>Exclude</v>
      </c>
      <c r="Y510" s="63"/>
      <c r="AS510" s="64" t="str">
        <f t="shared" si="30"/>
        <v>Exclude</v>
      </c>
      <c r="AU510" s="65" t="str">
        <f t="shared" si="31"/>
        <v>Exclude</v>
      </c>
    </row>
    <row r="511" spans="1:47" s="64" customFormat="1" x14ac:dyDescent="0.25">
      <c r="A511" s="63"/>
      <c r="U511" s="64" t="str">
        <f t="shared" si="28"/>
        <v>Exclude</v>
      </c>
      <c r="W511" s="65" t="str">
        <f t="shared" si="29"/>
        <v>Exclude</v>
      </c>
      <c r="Y511" s="63"/>
      <c r="AS511" s="64" t="str">
        <f t="shared" si="30"/>
        <v>Exclude</v>
      </c>
      <c r="AU511" s="65" t="str">
        <f t="shared" si="31"/>
        <v>Exclude</v>
      </c>
    </row>
    <row r="512" spans="1:47" s="64" customFormat="1" x14ac:dyDescent="0.25">
      <c r="A512" s="63"/>
      <c r="U512" s="64" t="str">
        <f t="shared" si="28"/>
        <v>Exclude</v>
      </c>
      <c r="W512" s="65" t="str">
        <f t="shared" si="29"/>
        <v>Exclude</v>
      </c>
      <c r="Y512" s="63"/>
      <c r="AS512" s="64" t="str">
        <f t="shared" si="30"/>
        <v>Exclude</v>
      </c>
      <c r="AU512" s="65" t="str">
        <f t="shared" si="31"/>
        <v>Exclude</v>
      </c>
    </row>
    <row r="513" spans="1:47" s="64" customFormat="1" x14ac:dyDescent="0.25">
      <c r="A513" s="63"/>
      <c r="U513" s="64" t="str">
        <f t="shared" si="28"/>
        <v>Exclude</v>
      </c>
      <c r="W513" s="65" t="str">
        <f t="shared" si="29"/>
        <v>Exclude</v>
      </c>
      <c r="Y513" s="63"/>
      <c r="AS513" s="64" t="str">
        <f t="shared" si="30"/>
        <v>Exclude</v>
      </c>
      <c r="AU513" s="65" t="str">
        <f t="shared" si="31"/>
        <v>Exclude</v>
      </c>
    </row>
    <row r="514" spans="1:47" s="64" customFormat="1" x14ac:dyDescent="0.25">
      <c r="A514" s="63"/>
      <c r="U514" s="64" t="str">
        <f t="shared" si="28"/>
        <v>Exclude</v>
      </c>
      <c r="W514" s="65" t="str">
        <f t="shared" si="29"/>
        <v>Exclude</v>
      </c>
      <c r="Y514" s="63"/>
      <c r="AS514" s="64" t="str">
        <f t="shared" si="30"/>
        <v>Exclude</v>
      </c>
      <c r="AU514" s="65" t="str">
        <f t="shared" si="31"/>
        <v>Exclude</v>
      </c>
    </row>
    <row r="515" spans="1:47" s="64" customFormat="1" x14ac:dyDescent="0.25">
      <c r="A515" s="63"/>
      <c r="U515" s="64" t="str">
        <f t="shared" si="28"/>
        <v>Exclude</v>
      </c>
      <c r="W515" s="65" t="str">
        <f t="shared" si="29"/>
        <v>Exclude</v>
      </c>
      <c r="Y515" s="63"/>
      <c r="AS515" s="64" t="str">
        <f t="shared" si="30"/>
        <v>Exclude</v>
      </c>
      <c r="AU515" s="65" t="str">
        <f t="shared" si="31"/>
        <v>Exclude</v>
      </c>
    </row>
    <row r="516" spans="1:47" s="64" customFormat="1" x14ac:dyDescent="0.25">
      <c r="A516" s="63"/>
      <c r="U516" s="64" t="str">
        <f t="shared" si="28"/>
        <v>Exclude</v>
      </c>
      <c r="W516" s="65" t="str">
        <f t="shared" si="29"/>
        <v>Exclude</v>
      </c>
      <c r="Y516" s="63"/>
      <c r="AS516" s="64" t="str">
        <f t="shared" si="30"/>
        <v>Exclude</v>
      </c>
      <c r="AU516" s="65" t="str">
        <f t="shared" si="31"/>
        <v>Exclude</v>
      </c>
    </row>
    <row r="517" spans="1:47" s="64" customFormat="1" x14ac:dyDescent="0.25">
      <c r="A517" s="63"/>
      <c r="U517" s="64" t="str">
        <f t="shared" si="28"/>
        <v>Exclude</v>
      </c>
      <c r="W517" s="65" t="str">
        <f t="shared" si="29"/>
        <v>Exclude</v>
      </c>
      <c r="Y517" s="63"/>
      <c r="AS517" s="64" t="str">
        <f t="shared" si="30"/>
        <v>Exclude</v>
      </c>
      <c r="AU517" s="65" t="str">
        <f t="shared" si="31"/>
        <v>Exclude</v>
      </c>
    </row>
    <row r="518" spans="1:47" s="64" customFormat="1" x14ac:dyDescent="0.25">
      <c r="A518" s="63"/>
      <c r="U518" s="64" t="str">
        <f t="shared" si="28"/>
        <v>Exclude</v>
      </c>
      <c r="W518" s="65" t="str">
        <f t="shared" si="29"/>
        <v>Exclude</v>
      </c>
      <c r="Y518" s="63"/>
      <c r="AS518" s="64" t="str">
        <f t="shared" si="30"/>
        <v>Exclude</v>
      </c>
      <c r="AU518" s="65" t="str">
        <f t="shared" si="31"/>
        <v>Exclude</v>
      </c>
    </row>
    <row r="519" spans="1:47" s="64" customFormat="1" x14ac:dyDescent="0.25">
      <c r="A519" s="63"/>
      <c r="U519" s="64" t="str">
        <f t="shared" si="28"/>
        <v>Exclude</v>
      </c>
      <c r="W519" s="65" t="str">
        <f t="shared" si="29"/>
        <v>Exclude</v>
      </c>
      <c r="Y519" s="63"/>
      <c r="AS519" s="64" t="str">
        <f t="shared" si="30"/>
        <v>Exclude</v>
      </c>
      <c r="AU519" s="65" t="str">
        <f t="shared" si="31"/>
        <v>Exclude</v>
      </c>
    </row>
    <row r="520" spans="1:47" s="64" customFormat="1" x14ac:dyDescent="0.25">
      <c r="A520" s="63"/>
      <c r="U520" s="64" t="str">
        <f t="shared" si="28"/>
        <v>Exclude</v>
      </c>
      <c r="W520" s="65" t="str">
        <f t="shared" si="29"/>
        <v>Exclude</v>
      </c>
      <c r="Y520" s="63"/>
      <c r="AS520" s="64" t="str">
        <f t="shared" si="30"/>
        <v>Exclude</v>
      </c>
      <c r="AU520" s="65" t="str">
        <f t="shared" si="31"/>
        <v>Exclude</v>
      </c>
    </row>
    <row r="521" spans="1:47" s="64" customFormat="1" x14ac:dyDescent="0.25">
      <c r="A521" s="63"/>
      <c r="U521" s="64" t="str">
        <f t="shared" si="28"/>
        <v>Exclude</v>
      </c>
      <c r="W521" s="65" t="str">
        <f t="shared" si="29"/>
        <v>Exclude</v>
      </c>
      <c r="Y521" s="63"/>
      <c r="AS521" s="64" t="str">
        <f t="shared" si="30"/>
        <v>Exclude</v>
      </c>
      <c r="AU521" s="65" t="str">
        <f t="shared" si="31"/>
        <v>Exclude</v>
      </c>
    </row>
    <row r="522" spans="1:47" s="64" customFormat="1" x14ac:dyDescent="0.25">
      <c r="A522" s="63"/>
      <c r="U522" s="64" t="str">
        <f t="shared" si="28"/>
        <v>Exclude</v>
      </c>
      <c r="W522" s="65" t="str">
        <f t="shared" si="29"/>
        <v>Exclude</v>
      </c>
      <c r="Y522" s="63"/>
      <c r="AS522" s="64" t="str">
        <f t="shared" si="30"/>
        <v>Exclude</v>
      </c>
      <c r="AU522" s="65" t="str">
        <f t="shared" si="31"/>
        <v>Exclude</v>
      </c>
    </row>
    <row r="523" spans="1:47" s="64" customFormat="1" x14ac:dyDescent="0.25">
      <c r="A523" s="63"/>
      <c r="U523" s="64" t="str">
        <f t="shared" si="28"/>
        <v>Exclude</v>
      </c>
      <c r="W523" s="65" t="str">
        <f t="shared" si="29"/>
        <v>Exclude</v>
      </c>
      <c r="Y523" s="63"/>
      <c r="AS523" s="64" t="str">
        <f t="shared" si="30"/>
        <v>Exclude</v>
      </c>
      <c r="AU523" s="65" t="str">
        <f t="shared" si="31"/>
        <v>Exclude</v>
      </c>
    </row>
    <row r="524" spans="1:47" s="64" customFormat="1" x14ac:dyDescent="0.25">
      <c r="A524" s="63"/>
      <c r="U524" s="64" t="str">
        <f t="shared" si="28"/>
        <v>Exclude</v>
      </c>
      <c r="W524" s="65" t="str">
        <f t="shared" si="29"/>
        <v>Exclude</v>
      </c>
      <c r="Y524" s="63"/>
      <c r="AS524" s="64" t="str">
        <f t="shared" si="30"/>
        <v>Exclude</v>
      </c>
      <c r="AU524" s="65" t="str">
        <f t="shared" si="31"/>
        <v>Exclude</v>
      </c>
    </row>
    <row r="525" spans="1:47" s="64" customFormat="1" x14ac:dyDescent="0.25">
      <c r="A525" s="63"/>
      <c r="U525" s="64" t="str">
        <f t="shared" si="28"/>
        <v>Exclude</v>
      </c>
      <c r="W525" s="65" t="str">
        <f t="shared" si="29"/>
        <v>Exclude</v>
      </c>
      <c r="Y525" s="63"/>
      <c r="AS525" s="64" t="str">
        <f t="shared" si="30"/>
        <v>Exclude</v>
      </c>
      <c r="AU525" s="65" t="str">
        <f t="shared" si="31"/>
        <v>Exclude</v>
      </c>
    </row>
    <row r="526" spans="1:47" s="64" customFormat="1" x14ac:dyDescent="0.25">
      <c r="A526" s="63"/>
      <c r="U526" s="64" t="str">
        <f t="shared" si="28"/>
        <v>Exclude</v>
      </c>
      <c r="W526" s="65" t="str">
        <f t="shared" si="29"/>
        <v>Exclude</v>
      </c>
      <c r="Y526" s="63"/>
      <c r="AS526" s="64" t="str">
        <f t="shared" si="30"/>
        <v>Exclude</v>
      </c>
      <c r="AU526" s="65" t="str">
        <f t="shared" si="31"/>
        <v>Exclude</v>
      </c>
    </row>
    <row r="527" spans="1:47" s="64" customFormat="1" x14ac:dyDescent="0.25">
      <c r="A527" s="63"/>
      <c r="U527" s="64" t="str">
        <f t="shared" si="28"/>
        <v>Exclude</v>
      </c>
      <c r="W527" s="65" t="str">
        <f t="shared" si="29"/>
        <v>Exclude</v>
      </c>
      <c r="Y527" s="63"/>
      <c r="AS527" s="64" t="str">
        <f t="shared" si="30"/>
        <v>Exclude</v>
      </c>
      <c r="AU527" s="65" t="str">
        <f t="shared" si="31"/>
        <v>Exclude</v>
      </c>
    </row>
    <row r="528" spans="1:47" s="64" customFormat="1" x14ac:dyDescent="0.25">
      <c r="A528" s="63"/>
      <c r="U528" s="64" t="str">
        <f t="shared" si="28"/>
        <v>Exclude</v>
      </c>
      <c r="W528" s="65" t="str">
        <f t="shared" si="29"/>
        <v>Exclude</v>
      </c>
      <c r="Y528" s="63"/>
      <c r="AS528" s="64" t="str">
        <f t="shared" si="30"/>
        <v>Exclude</v>
      </c>
      <c r="AU528" s="65" t="str">
        <f t="shared" si="31"/>
        <v>Exclude</v>
      </c>
    </row>
    <row r="529" spans="1:47" s="64" customFormat="1" x14ac:dyDescent="0.25">
      <c r="A529" s="63"/>
      <c r="U529" s="64" t="str">
        <f t="shared" si="28"/>
        <v>Exclude</v>
      </c>
      <c r="W529" s="65" t="str">
        <f t="shared" si="29"/>
        <v>Exclude</v>
      </c>
      <c r="Y529" s="63"/>
      <c r="AS529" s="64" t="str">
        <f t="shared" si="30"/>
        <v>Exclude</v>
      </c>
      <c r="AU529" s="65" t="str">
        <f t="shared" si="31"/>
        <v>Exclude</v>
      </c>
    </row>
    <row r="530" spans="1:47" s="64" customFormat="1" x14ac:dyDescent="0.25">
      <c r="A530" s="63"/>
      <c r="U530" s="64" t="str">
        <f t="shared" si="28"/>
        <v>Exclude</v>
      </c>
      <c r="W530" s="65" t="str">
        <f t="shared" si="29"/>
        <v>Exclude</v>
      </c>
      <c r="Y530" s="63"/>
      <c r="AS530" s="64" t="str">
        <f t="shared" si="30"/>
        <v>Exclude</v>
      </c>
      <c r="AU530" s="65" t="str">
        <f t="shared" si="31"/>
        <v>Exclude</v>
      </c>
    </row>
    <row r="531" spans="1:47" s="64" customFormat="1" x14ac:dyDescent="0.25">
      <c r="A531" s="63"/>
      <c r="U531" s="64" t="str">
        <f t="shared" si="28"/>
        <v>Exclude</v>
      </c>
      <c r="W531" s="65" t="str">
        <f t="shared" si="29"/>
        <v>Exclude</v>
      </c>
      <c r="Y531" s="63"/>
      <c r="AS531" s="64" t="str">
        <f t="shared" si="30"/>
        <v>Exclude</v>
      </c>
      <c r="AU531" s="65" t="str">
        <f t="shared" si="31"/>
        <v>Exclude</v>
      </c>
    </row>
    <row r="532" spans="1:47" s="64" customFormat="1" x14ac:dyDescent="0.25">
      <c r="A532" s="63"/>
      <c r="U532" s="64" t="str">
        <f t="shared" si="28"/>
        <v>Exclude</v>
      </c>
      <c r="W532" s="65" t="str">
        <f t="shared" si="29"/>
        <v>Exclude</v>
      </c>
      <c r="Y532" s="63"/>
      <c r="AS532" s="64" t="str">
        <f t="shared" si="30"/>
        <v>Exclude</v>
      </c>
      <c r="AU532" s="65" t="str">
        <f t="shared" si="31"/>
        <v>Exclude</v>
      </c>
    </row>
    <row r="533" spans="1:47" s="64" customFormat="1" x14ac:dyDescent="0.25">
      <c r="A533" s="63"/>
      <c r="U533" s="64" t="str">
        <f t="shared" si="28"/>
        <v>Exclude</v>
      </c>
      <c r="W533" s="65" t="str">
        <f t="shared" si="29"/>
        <v>Exclude</v>
      </c>
      <c r="Y533" s="63"/>
      <c r="AS533" s="64" t="str">
        <f t="shared" si="30"/>
        <v>Exclude</v>
      </c>
      <c r="AU533" s="65" t="str">
        <f t="shared" si="31"/>
        <v>Exclude</v>
      </c>
    </row>
    <row r="534" spans="1:47" s="64" customFormat="1" x14ac:dyDescent="0.25">
      <c r="A534" s="63"/>
      <c r="U534" s="64" t="str">
        <f t="shared" si="28"/>
        <v>Exclude</v>
      </c>
      <c r="W534" s="65" t="str">
        <f t="shared" si="29"/>
        <v>Exclude</v>
      </c>
      <c r="Y534" s="63"/>
      <c r="AS534" s="64" t="str">
        <f t="shared" si="30"/>
        <v>Exclude</v>
      </c>
      <c r="AU534" s="65" t="str">
        <f t="shared" si="31"/>
        <v>Exclude</v>
      </c>
    </row>
    <row r="535" spans="1:47" s="64" customFormat="1" x14ac:dyDescent="0.25">
      <c r="A535" s="63"/>
      <c r="U535" s="64" t="str">
        <f t="shared" ref="U535:U537" si="32">IF(OR(R535="TruePositive",R535="TrueNegative"),IF(R534&lt;&gt;"Anticipatory",(N535),"Pant"),"Exclude")</f>
        <v>Exclude</v>
      </c>
      <c r="W535" s="65" t="str">
        <f t="shared" ref="W535:W537" si="33">IF(OR(R535="TruePositive",R535="TrueNegative"),IF(R534&lt;&gt;"Anticipatory",LOG10(N535),"Exclude"),"Exclude")</f>
        <v>Exclude</v>
      </c>
      <c r="Y535" s="63"/>
      <c r="AS535" s="64" t="str">
        <f t="shared" ref="AS535:AS537" si="34">IF(OR(AP535="TruePositive",AP535="TrueNegative"),IF(AP534&lt;&gt;"Anticipatory",(AL535),"Pant"),"Exclude")</f>
        <v>Exclude</v>
      </c>
      <c r="AU535" s="65" t="str">
        <f t="shared" ref="AU535:AU537" si="35">IF(OR(AP535="TruePositive",AP535="TrueNegative"),IF(AP534&lt;&gt;"Anticipatory",LOG10(AL535),"Exclude"),"Exclude")</f>
        <v>Exclude</v>
      </c>
    </row>
    <row r="536" spans="1:47" s="64" customFormat="1" x14ac:dyDescent="0.25">
      <c r="A536" s="63"/>
      <c r="U536" s="64" t="str">
        <f t="shared" si="32"/>
        <v>Exclude</v>
      </c>
      <c r="W536" s="65" t="str">
        <f t="shared" si="33"/>
        <v>Exclude</v>
      </c>
      <c r="Y536" s="63"/>
      <c r="AS536" s="64" t="str">
        <f t="shared" si="34"/>
        <v>Exclude</v>
      </c>
      <c r="AU536" s="65" t="str">
        <f t="shared" si="35"/>
        <v>Exclude</v>
      </c>
    </row>
    <row r="537" spans="1:47" s="64" customFormat="1" x14ac:dyDescent="0.25">
      <c r="A537" s="63"/>
      <c r="U537" s="64" t="str">
        <f t="shared" si="32"/>
        <v>Exclude</v>
      </c>
      <c r="W537" s="65" t="str">
        <f t="shared" si="33"/>
        <v>Exclude</v>
      </c>
      <c r="Y537" s="63"/>
      <c r="AS537" s="64" t="str">
        <f t="shared" si="34"/>
        <v>Exclude</v>
      </c>
      <c r="AU537" s="65" t="str">
        <f t="shared" si="35"/>
        <v>Exclude</v>
      </c>
    </row>
    <row r="538" spans="1:47" s="64" customFormat="1" x14ac:dyDescent="0.25">
      <c r="A538" s="63"/>
      <c r="U538" s="64" t="str">
        <f t="shared" ref="U538" si="36">IF(OR(R538="TruePositive",R538="TrueNegative"),IF(R537&lt;&gt;"Anticipatory",(N538),"Exclude"),"Exclude")</f>
        <v>Exclude</v>
      </c>
      <c r="W538" s="65"/>
      <c r="Y538" s="63"/>
      <c r="AS538" s="64" t="str">
        <f t="shared" ref="AS538" si="37">IF(OR(AP538="TruePositive",AP538="TrueNegative"),IF(AP537&lt;&gt;"Anticipatory",(AL538),"Exclude"),"Exclude")</f>
        <v>Exclude</v>
      </c>
      <c r="AU538" s="65"/>
    </row>
    <row r="539" spans="1:47" s="64" customFormat="1" x14ac:dyDescent="0.25">
      <c r="A539" s="63"/>
      <c r="W539" s="65"/>
      <c r="Y539" s="63"/>
    </row>
    <row r="540" spans="1:47" s="64" customFormat="1" x14ac:dyDescent="0.25">
      <c r="A540" s="63"/>
      <c r="W540" s="65"/>
      <c r="Y540" s="63"/>
    </row>
    <row r="541" spans="1:47" s="64" customFormat="1" x14ac:dyDescent="0.25">
      <c r="A541" s="63"/>
      <c r="W541" s="65"/>
      <c r="Y541" s="63"/>
    </row>
    <row r="542" spans="1:47" s="64" customFormat="1" x14ac:dyDescent="0.25">
      <c r="A542" s="63"/>
      <c r="W542" s="65"/>
      <c r="Y542" s="63"/>
    </row>
    <row r="543" spans="1:47" s="64" customFormat="1" x14ac:dyDescent="0.25">
      <c r="A543" s="63"/>
      <c r="W543" s="65"/>
      <c r="Y543" s="63"/>
    </row>
    <row r="544" spans="1:47" s="64" customFormat="1" x14ac:dyDescent="0.25">
      <c r="A544" s="63"/>
      <c r="W544" s="65"/>
      <c r="Y544" s="63"/>
    </row>
    <row r="545" spans="1:25" s="64" customFormat="1" x14ac:dyDescent="0.25">
      <c r="A545" s="63"/>
      <c r="W545" s="65"/>
      <c r="Y545" s="63"/>
    </row>
    <row r="546" spans="1:25" s="64" customFormat="1" x14ac:dyDescent="0.25">
      <c r="A546" s="63"/>
      <c r="W546" s="65"/>
      <c r="Y546" s="63"/>
    </row>
    <row r="547" spans="1:25" s="64" customFormat="1" x14ac:dyDescent="0.25">
      <c r="A547" s="63"/>
      <c r="W547" s="65"/>
      <c r="Y547" s="63"/>
    </row>
    <row r="548" spans="1:25" s="64" customFormat="1" x14ac:dyDescent="0.25">
      <c r="A548" s="63"/>
      <c r="W548" s="65"/>
      <c r="Y548" s="63"/>
    </row>
    <row r="549" spans="1:25" s="64" customFormat="1" x14ac:dyDescent="0.25">
      <c r="A549" s="63"/>
      <c r="W549" s="65"/>
      <c r="Y549" s="63"/>
    </row>
    <row r="550" spans="1:25" s="64" customFormat="1" x14ac:dyDescent="0.25">
      <c r="A550" s="63"/>
      <c r="W550" s="65"/>
      <c r="Y550" s="63"/>
    </row>
    <row r="551" spans="1:25" s="64" customFormat="1" x14ac:dyDescent="0.25">
      <c r="A551" s="63"/>
      <c r="W551" s="65"/>
      <c r="Y551" s="63"/>
    </row>
    <row r="552" spans="1:25" s="64" customFormat="1" x14ac:dyDescent="0.25">
      <c r="A552" s="63"/>
      <c r="W552" s="65"/>
      <c r="Y552" s="63"/>
    </row>
    <row r="553" spans="1:25" s="64" customFormat="1" x14ac:dyDescent="0.25">
      <c r="A553" s="63"/>
      <c r="W553" s="65"/>
      <c r="Y553" s="63"/>
    </row>
    <row r="554" spans="1:25" s="64" customFormat="1" x14ac:dyDescent="0.25">
      <c r="A554" s="63"/>
      <c r="W554" s="65"/>
      <c r="Y554" s="63"/>
    </row>
    <row r="555" spans="1:25" s="64" customFormat="1" x14ac:dyDescent="0.25">
      <c r="A555" s="63"/>
      <c r="W555" s="65"/>
      <c r="Y555" s="63"/>
    </row>
    <row r="556" spans="1:25" s="64" customFormat="1" x14ac:dyDescent="0.25">
      <c r="A556" s="63"/>
      <c r="W556" s="65"/>
      <c r="Y556" s="63"/>
    </row>
    <row r="557" spans="1:25" s="64" customFormat="1" x14ac:dyDescent="0.25">
      <c r="A557" s="63"/>
      <c r="W557" s="65"/>
      <c r="Y557" s="63"/>
    </row>
    <row r="558" spans="1:25" s="64" customFormat="1" x14ac:dyDescent="0.25">
      <c r="A558" s="63"/>
      <c r="W558" s="65"/>
      <c r="Y558" s="63"/>
    </row>
    <row r="559" spans="1:25" s="64" customFormat="1" x14ac:dyDescent="0.25">
      <c r="A559" s="63"/>
      <c r="W559" s="65"/>
      <c r="Y559" s="63"/>
    </row>
    <row r="560" spans="1:25" s="64" customFormat="1" x14ac:dyDescent="0.25">
      <c r="A560" s="63"/>
      <c r="W560" s="65"/>
      <c r="Y560" s="63"/>
    </row>
    <row r="561" spans="1:25" s="64" customFormat="1" x14ac:dyDescent="0.25">
      <c r="A561" s="63"/>
      <c r="W561" s="65"/>
      <c r="Y561" s="63"/>
    </row>
    <row r="562" spans="1:25" s="64" customFormat="1" x14ac:dyDescent="0.25">
      <c r="A562" s="63"/>
      <c r="W562" s="65"/>
      <c r="Y562" s="63"/>
    </row>
    <row r="563" spans="1:25" s="64" customFormat="1" x14ac:dyDescent="0.25">
      <c r="A563" s="63"/>
      <c r="W563" s="65"/>
      <c r="Y563" s="63"/>
    </row>
    <row r="564" spans="1:25" s="64" customFormat="1" x14ac:dyDescent="0.25">
      <c r="A564" s="63"/>
      <c r="W564" s="65"/>
      <c r="Y564" s="63"/>
    </row>
    <row r="565" spans="1:25" s="64" customFormat="1" x14ac:dyDescent="0.25">
      <c r="A565" s="63"/>
      <c r="W565" s="65"/>
      <c r="Y565" s="63"/>
    </row>
    <row r="566" spans="1:25" s="64" customFormat="1" x14ac:dyDescent="0.25">
      <c r="A566" s="63"/>
      <c r="W566" s="65"/>
      <c r="Y566" s="63"/>
    </row>
    <row r="567" spans="1:25" s="64" customFormat="1" x14ac:dyDescent="0.25">
      <c r="A567" s="63"/>
      <c r="W567" s="65"/>
      <c r="Y567" s="63"/>
    </row>
    <row r="568" spans="1:25" s="64" customFormat="1" x14ac:dyDescent="0.25">
      <c r="A568" s="63"/>
      <c r="W568" s="65"/>
      <c r="Y568" s="63"/>
    </row>
    <row r="569" spans="1:25" s="64" customFormat="1" x14ac:dyDescent="0.25">
      <c r="A569" s="63"/>
      <c r="W569" s="65"/>
      <c r="Y569" s="63"/>
    </row>
    <row r="570" spans="1:25" s="64" customFormat="1" x14ac:dyDescent="0.25">
      <c r="A570" s="63"/>
      <c r="W570" s="65"/>
      <c r="Y570" s="63"/>
    </row>
    <row r="571" spans="1:25" s="64" customFormat="1" x14ac:dyDescent="0.25">
      <c r="A571" s="63"/>
      <c r="W571" s="65"/>
      <c r="Y571" s="63"/>
    </row>
    <row r="572" spans="1:25" s="64" customFormat="1" x14ac:dyDescent="0.25">
      <c r="A572" s="63"/>
      <c r="W572" s="65"/>
      <c r="Y572" s="63"/>
    </row>
    <row r="573" spans="1:25" s="64" customFormat="1" x14ac:dyDescent="0.25">
      <c r="A573" s="63"/>
      <c r="W573" s="65"/>
      <c r="Y573" s="63"/>
    </row>
    <row r="574" spans="1:25" s="64" customFormat="1" x14ac:dyDescent="0.25">
      <c r="A574" s="63"/>
      <c r="W574" s="65"/>
      <c r="Y574" s="63"/>
    </row>
    <row r="575" spans="1:25" s="64" customFormat="1" x14ac:dyDescent="0.25">
      <c r="A575" s="63"/>
      <c r="W575" s="65"/>
      <c r="Y575" s="63"/>
    </row>
    <row r="576" spans="1:25" s="64" customFormat="1" x14ac:dyDescent="0.25">
      <c r="A576" s="63"/>
      <c r="W576" s="65"/>
      <c r="Y576" s="63"/>
    </row>
    <row r="577" spans="1:25" s="64" customFormat="1" x14ac:dyDescent="0.25">
      <c r="A577" s="63"/>
      <c r="W577" s="65"/>
      <c r="Y577" s="63"/>
    </row>
    <row r="578" spans="1:25" s="64" customFormat="1" x14ac:dyDescent="0.25">
      <c r="A578" s="63"/>
      <c r="W578" s="65"/>
      <c r="Y578" s="63"/>
    </row>
    <row r="579" spans="1:25" s="64" customFormat="1" x14ac:dyDescent="0.25">
      <c r="A579" s="63"/>
      <c r="W579" s="65"/>
      <c r="Y579" s="63"/>
    </row>
    <row r="580" spans="1:25" s="64" customFormat="1" x14ac:dyDescent="0.25">
      <c r="A580" s="63"/>
      <c r="W580" s="65"/>
      <c r="Y580" s="63"/>
    </row>
    <row r="581" spans="1:25" s="64" customFormat="1" x14ac:dyDescent="0.25">
      <c r="A581" s="63"/>
      <c r="W581" s="65"/>
      <c r="Y581" s="63"/>
    </row>
    <row r="582" spans="1:25" s="64" customFormat="1" x14ac:dyDescent="0.25">
      <c r="A582" s="63"/>
      <c r="W582" s="65"/>
      <c r="Y582" s="63"/>
    </row>
    <row r="583" spans="1:25" s="64" customFormat="1" x14ac:dyDescent="0.25">
      <c r="A583" s="63"/>
      <c r="W583" s="65"/>
      <c r="Y583" s="63"/>
    </row>
    <row r="584" spans="1:25" s="64" customFormat="1" x14ac:dyDescent="0.25">
      <c r="A584" s="63"/>
      <c r="W584" s="65"/>
      <c r="Y584" s="63"/>
    </row>
    <row r="585" spans="1:25" s="64" customFormat="1" x14ac:dyDescent="0.25">
      <c r="A585" s="63"/>
      <c r="W585" s="65"/>
      <c r="Y585" s="63"/>
    </row>
    <row r="586" spans="1:25" s="64" customFormat="1" x14ac:dyDescent="0.25">
      <c r="A586" s="63"/>
      <c r="W586" s="65"/>
      <c r="Y586" s="63"/>
    </row>
    <row r="587" spans="1:25" s="64" customFormat="1" x14ac:dyDescent="0.25">
      <c r="A587" s="63"/>
      <c r="W587" s="65"/>
      <c r="Y587" s="63"/>
    </row>
    <row r="588" spans="1:25" s="64" customFormat="1" x14ac:dyDescent="0.25">
      <c r="A588" s="63"/>
      <c r="W588" s="65"/>
      <c r="Y588" s="63"/>
    </row>
    <row r="589" spans="1:25" s="64" customFormat="1" x14ac:dyDescent="0.25">
      <c r="A589" s="63"/>
      <c r="W589" s="65"/>
      <c r="Y589" s="63"/>
    </row>
    <row r="590" spans="1:25" s="64" customFormat="1" x14ac:dyDescent="0.25">
      <c r="A590" s="63"/>
      <c r="W590" s="65"/>
      <c r="Y590" s="63"/>
    </row>
    <row r="591" spans="1:25" s="64" customFormat="1" x14ac:dyDescent="0.25">
      <c r="A591" s="63"/>
      <c r="W591" s="65"/>
      <c r="Y591" s="63"/>
    </row>
    <row r="592" spans="1:25" s="64" customFormat="1" x14ac:dyDescent="0.25">
      <c r="A592" s="63"/>
      <c r="W592" s="65"/>
      <c r="Y592" s="63"/>
    </row>
    <row r="593" spans="1:25" s="64" customFormat="1" x14ac:dyDescent="0.25">
      <c r="A593" s="63"/>
      <c r="W593" s="65"/>
      <c r="Y593" s="63"/>
    </row>
    <row r="594" spans="1:25" s="64" customFormat="1" x14ac:dyDescent="0.25">
      <c r="A594" s="63"/>
      <c r="W594" s="65"/>
      <c r="Y594" s="63"/>
    </row>
    <row r="595" spans="1:25" s="64" customFormat="1" x14ac:dyDescent="0.25">
      <c r="A595" s="63"/>
      <c r="W595" s="65"/>
      <c r="Y595" s="63"/>
    </row>
    <row r="596" spans="1:25" s="64" customFormat="1" x14ac:dyDescent="0.25">
      <c r="A596" s="63"/>
      <c r="W596" s="65"/>
      <c r="Y596" s="63"/>
    </row>
    <row r="597" spans="1:25" s="64" customFormat="1" x14ac:dyDescent="0.25">
      <c r="A597" s="63"/>
      <c r="W597" s="65"/>
      <c r="Y597" s="63"/>
    </row>
    <row r="598" spans="1:25" s="64" customFormat="1" x14ac:dyDescent="0.25">
      <c r="A598" s="63"/>
      <c r="W598" s="65"/>
      <c r="Y598" s="63"/>
    </row>
    <row r="599" spans="1:25" s="64" customFormat="1" x14ac:dyDescent="0.25">
      <c r="A599" s="63"/>
      <c r="W599" s="65"/>
      <c r="Y599" s="63"/>
    </row>
    <row r="600" spans="1:25" s="64" customFormat="1" x14ac:dyDescent="0.25">
      <c r="A600" s="63"/>
      <c r="W600" s="65"/>
      <c r="Y600" s="63"/>
    </row>
    <row r="601" spans="1:25" s="64" customFormat="1" x14ac:dyDescent="0.25">
      <c r="A601" s="63"/>
      <c r="W601" s="65"/>
      <c r="Y601" s="63"/>
    </row>
    <row r="602" spans="1:25" s="64" customFormat="1" x14ac:dyDescent="0.25">
      <c r="A602" s="63"/>
      <c r="W602" s="65"/>
      <c r="Y602" s="63"/>
    </row>
    <row r="603" spans="1:25" s="64" customFormat="1" x14ac:dyDescent="0.25">
      <c r="A603" s="63"/>
      <c r="W603" s="65"/>
      <c r="Y603" s="63"/>
    </row>
    <row r="604" spans="1:25" s="64" customFormat="1" x14ac:dyDescent="0.25">
      <c r="A604" s="63"/>
      <c r="W604" s="65"/>
      <c r="Y604" s="63"/>
    </row>
    <row r="605" spans="1:25" s="64" customFormat="1" x14ac:dyDescent="0.25">
      <c r="A605" s="63"/>
      <c r="W605" s="65"/>
      <c r="Y605" s="63"/>
    </row>
    <row r="606" spans="1:25" s="64" customFormat="1" x14ac:dyDescent="0.25">
      <c r="A606" s="63"/>
      <c r="W606" s="65"/>
      <c r="Y606" s="63"/>
    </row>
    <row r="607" spans="1:25" s="64" customFormat="1" x14ac:dyDescent="0.25">
      <c r="A607" s="63"/>
      <c r="W607" s="65"/>
      <c r="Y607" s="63"/>
    </row>
    <row r="608" spans="1:25" s="64" customFormat="1" x14ac:dyDescent="0.25">
      <c r="A608" s="63"/>
      <c r="W608" s="65"/>
      <c r="Y608" s="63"/>
    </row>
    <row r="609" spans="1:25" s="64" customFormat="1" x14ac:dyDescent="0.25">
      <c r="A609" s="63"/>
      <c r="W609" s="65"/>
      <c r="Y609" s="63"/>
    </row>
    <row r="610" spans="1:25" s="64" customFormat="1" x14ac:dyDescent="0.25">
      <c r="A610" s="63"/>
      <c r="W610" s="65"/>
      <c r="Y610" s="63"/>
    </row>
    <row r="611" spans="1:25" s="64" customFormat="1" x14ac:dyDescent="0.25">
      <c r="A611" s="63"/>
      <c r="W611" s="65"/>
      <c r="Y611" s="63"/>
    </row>
    <row r="612" spans="1:25" s="64" customFormat="1" x14ac:dyDescent="0.25">
      <c r="A612" s="63"/>
      <c r="W612" s="65"/>
      <c r="Y612" s="63"/>
    </row>
    <row r="613" spans="1:25" s="64" customFormat="1" x14ac:dyDescent="0.25">
      <c r="A613" s="63"/>
      <c r="W613" s="65"/>
      <c r="Y613" s="63"/>
    </row>
    <row r="614" spans="1:25" s="64" customFormat="1" x14ac:dyDescent="0.25">
      <c r="A614" s="63"/>
      <c r="W614" s="65"/>
      <c r="Y614" s="63"/>
    </row>
    <row r="615" spans="1:25" s="64" customFormat="1" x14ac:dyDescent="0.25">
      <c r="A615" s="63"/>
      <c r="W615" s="65"/>
      <c r="Y615" s="63"/>
    </row>
    <row r="616" spans="1:25" s="64" customFormat="1" x14ac:dyDescent="0.25">
      <c r="A616" s="63"/>
      <c r="W616" s="65"/>
      <c r="Y616" s="63"/>
    </row>
    <row r="617" spans="1:25" s="64" customFormat="1" x14ac:dyDescent="0.25">
      <c r="A617" s="63"/>
      <c r="W617" s="65"/>
      <c r="Y617" s="63"/>
    </row>
    <row r="618" spans="1:25" s="64" customFormat="1" x14ac:dyDescent="0.25">
      <c r="A618" s="63"/>
      <c r="W618" s="65"/>
      <c r="Y618" s="63"/>
    </row>
    <row r="619" spans="1:25" s="64" customFormat="1" x14ac:dyDescent="0.25">
      <c r="A619" s="63"/>
      <c r="W619" s="65"/>
      <c r="Y619" s="63"/>
    </row>
    <row r="620" spans="1:25" s="64" customFormat="1" x14ac:dyDescent="0.25">
      <c r="A620" s="63"/>
      <c r="W620" s="65"/>
      <c r="Y620" s="63"/>
    </row>
    <row r="621" spans="1:25" s="64" customFormat="1" x14ac:dyDescent="0.25">
      <c r="A621" s="63"/>
      <c r="W621" s="65"/>
      <c r="Y621" s="63"/>
    </row>
    <row r="622" spans="1:25" s="64" customFormat="1" x14ac:dyDescent="0.25">
      <c r="A622" s="63"/>
      <c r="W622" s="65"/>
      <c r="Y622" s="63"/>
    </row>
    <row r="623" spans="1:25" s="64" customFormat="1" x14ac:dyDescent="0.25">
      <c r="A623" s="63"/>
      <c r="W623" s="65"/>
      <c r="Y623" s="63"/>
    </row>
    <row r="624" spans="1:25" s="64" customFormat="1" x14ac:dyDescent="0.25">
      <c r="A624" s="63"/>
      <c r="W624" s="65"/>
      <c r="Y624" s="63"/>
    </row>
    <row r="625" spans="1:25" s="64" customFormat="1" x14ac:dyDescent="0.25">
      <c r="A625" s="63"/>
      <c r="W625" s="65"/>
      <c r="Y625" s="63"/>
    </row>
    <row r="626" spans="1:25" s="64" customFormat="1" x14ac:dyDescent="0.25">
      <c r="A626" s="63"/>
      <c r="W626" s="65"/>
      <c r="Y626" s="63"/>
    </row>
    <row r="627" spans="1:25" s="64" customFormat="1" x14ac:dyDescent="0.25">
      <c r="A627" s="63"/>
      <c r="W627" s="65"/>
      <c r="Y627" s="63"/>
    </row>
    <row r="628" spans="1:25" s="64" customFormat="1" x14ac:dyDescent="0.25">
      <c r="A628" s="63"/>
      <c r="W628" s="65"/>
      <c r="Y628" s="63"/>
    </row>
    <row r="629" spans="1:25" s="64" customFormat="1" x14ac:dyDescent="0.25">
      <c r="A629" s="63"/>
      <c r="W629" s="65"/>
      <c r="Y629" s="63"/>
    </row>
    <row r="630" spans="1:25" s="64" customFormat="1" x14ac:dyDescent="0.25">
      <c r="A630" s="63"/>
      <c r="Y630" s="63"/>
    </row>
    <row r="631" spans="1:25" s="64" customFormat="1" x14ac:dyDescent="0.25">
      <c r="A631" s="63"/>
      <c r="Y631" s="63"/>
    </row>
    <row r="632" spans="1:25" s="64" customFormat="1" x14ac:dyDescent="0.25">
      <c r="A632" s="63"/>
      <c r="Y632" s="63"/>
    </row>
    <row r="633" spans="1:25" s="64" customFormat="1" x14ac:dyDescent="0.25">
      <c r="A633" s="63"/>
      <c r="Y633" s="63"/>
    </row>
    <row r="634" spans="1:25" s="64" customFormat="1" x14ac:dyDescent="0.25">
      <c r="A634" s="63"/>
      <c r="Y634" s="63"/>
    </row>
    <row r="635" spans="1:25" s="64" customFormat="1" x14ac:dyDescent="0.25">
      <c r="A635" s="63"/>
      <c r="Y635" s="63"/>
    </row>
    <row r="636" spans="1:25" s="64" customFormat="1" x14ac:dyDescent="0.25">
      <c r="A636" s="63"/>
      <c r="Y636" s="63"/>
    </row>
    <row r="637" spans="1:25" s="64" customFormat="1" x14ac:dyDescent="0.25">
      <c r="A637" s="63"/>
      <c r="Y637" s="63"/>
    </row>
    <row r="638" spans="1:25" s="64" customFormat="1" x14ac:dyDescent="0.25">
      <c r="A638" s="63"/>
      <c r="Y638" s="63"/>
    </row>
    <row r="639" spans="1:25" s="64" customFormat="1" x14ac:dyDescent="0.25">
      <c r="A639" s="63"/>
      <c r="Y639" s="63"/>
    </row>
    <row r="640" spans="1:25" s="64" customFormat="1" x14ac:dyDescent="0.25">
      <c r="A640" s="63"/>
      <c r="Y640" s="63"/>
    </row>
    <row r="641" spans="1:25" s="64" customFormat="1" x14ac:dyDescent="0.25">
      <c r="A641" s="63"/>
      <c r="Y641" s="63"/>
    </row>
    <row r="642" spans="1:25" s="64" customFormat="1" x14ac:dyDescent="0.25">
      <c r="A642" s="63"/>
      <c r="Y642" s="63"/>
    </row>
    <row r="643" spans="1:25" s="64" customFormat="1" x14ac:dyDescent="0.25">
      <c r="A643" s="63"/>
      <c r="Y643" s="63"/>
    </row>
    <row r="644" spans="1:25" s="64" customFormat="1" x14ac:dyDescent="0.25">
      <c r="A644" s="63"/>
      <c r="Y644" s="63"/>
    </row>
    <row r="645" spans="1:25" s="64" customFormat="1" x14ac:dyDescent="0.25">
      <c r="A645" s="63"/>
      <c r="Y645" s="63"/>
    </row>
    <row r="646" spans="1:25" s="64" customFormat="1" x14ac:dyDescent="0.25">
      <c r="A646" s="63"/>
      <c r="Y646" s="63"/>
    </row>
    <row r="647" spans="1:25" s="64" customFormat="1" x14ac:dyDescent="0.25">
      <c r="A647" s="63"/>
      <c r="Y647" s="63"/>
    </row>
    <row r="648" spans="1:25" s="64" customFormat="1" x14ac:dyDescent="0.25">
      <c r="A648" s="63"/>
      <c r="Y648" s="63"/>
    </row>
    <row r="649" spans="1:25" s="64" customFormat="1" x14ac:dyDescent="0.25">
      <c r="A649" s="63"/>
      <c r="Y649" s="63"/>
    </row>
    <row r="650" spans="1:25" s="64" customFormat="1" x14ac:dyDescent="0.25">
      <c r="A650" s="63"/>
      <c r="Y650" s="63"/>
    </row>
    <row r="651" spans="1:25" s="64" customFormat="1" x14ac:dyDescent="0.25">
      <c r="A651" s="63"/>
      <c r="Y651" s="63"/>
    </row>
    <row r="652" spans="1:25" s="64" customFormat="1" x14ac:dyDescent="0.25">
      <c r="A652" s="63"/>
      <c r="Y652" s="63"/>
    </row>
    <row r="653" spans="1:25" s="64" customFormat="1" x14ac:dyDescent="0.25">
      <c r="A653" s="63"/>
      <c r="Y653" s="63"/>
    </row>
    <row r="654" spans="1:25" s="64" customFormat="1" x14ac:dyDescent="0.25">
      <c r="A654" s="63"/>
      <c r="Y654" s="63"/>
    </row>
    <row r="655" spans="1:25" s="64" customFormat="1" x14ac:dyDescent="0.25">
      <c r="A655" s="63"/>
      <c r="Y655" s="63"/>
    </row>
  </sheetData>
  <conditionalFormatting sqref="X539:XFD647 X22:X538 AV22:XFD538 A22:V647">
    <cfRule type="expression" dxfId="280" priority="14">
      <formula>MOD(ROW(),2)=0</formula>
    </cfRule>
  </conditionalFormatting>
  <conditionalFormatting sqref="W22:W647">
    <cfRule type="expression" dxfId="279" priority="13">
      <formula>MOD(ROW(),2)=0</formula>
    </cfRule>
  </conditionalFormatting>
  <conditionalFormatting sqref="W1:W4 W6:W10 W16:W20 W22:W1048576">
    <cfRule type="containsText" dxfId="278" priority="12" operator="containsText" text="Exclude">
      <formula>NOT(ISERROR(SEARCH("Exclude",W1)))</formula>
    </cfRule>
  </conditionalFormatting>
  <conditionalFormatting sqref="A6:C6 H6 H15">
    <cfRule type="containsErrors" dxfId="277" priority="11">
      <formula>ISERROR(A6)</formula>
    </cfRule>
  </conditionalFormatting>
  <conditionalFormatting sqref="W21">
    <cfRule type="containsText" dxfId="276" priority="10" operator="containsText" text="Exclude">
      <formula>NOT(ISERROR(SEARCH("Exclude",W21)))</formula>
    </cfRule>
  </conditionalFormatting>
  <conditionalFormatting sqref="U1:U1048576">
    <cfRule type="containsText" dxfId="275" priority="2" operator="containsText" text="Pant">
      <formula>NOT(ISERROR(SEARCH("Pant",U1)))</formula>
    </cfRule>
    <cfRule type="containsText" dxfId="274" priority="9" operator="containsText" text="Exclude">
      <formula>NOT(ISERROR(SEARCH("Exclude",U1)))</formula>
    </cfRule>
  </conditionalFormatting>
  <conditionalFormatting sqref="Y22:AT538">
    <cfRule type="expression" dxfId="273" priority="8">
      <formula>MOD(ROW(),2)=0</formula>
    </cfRule>
  </conditionalFormatting>
  <conditionalFormatting sqref="AU22:AU538">
    <cfRule type="expression" dxfId="272" priority="7">
      <formula>MOD(ROW(),2)=0</formula>
    </cfRule>
  </conditionalFormatting>
  <conditionalFormatting sqref="AU6:AU10 AU16:AU20 AU22:AU538">
    <cfRule type="containsText" dxfId="271" priority="6" operator="containsText" text="Exclude">
      <formula>NOT(ISERROR(SEARCH("Exclude",AU6)))</formula>
    </cfRule>
  </conditionalFormatting>
  <conditionalFormatting sqref="Y6:AA6 AF6 AF15">
    <cfRule type="containsErrors" dxfId="270" priority="5">
      <formula>ISERROR(Y6)</formula>
    </cfRule>
  </conditionalFormatting>
  <conditionalFormatting sqref="AU21">
    <cfRule type="containsText" dxfId="269" priority="4" operator="containsText" text="Exclude">
      <formula>NOT(ISERROR(SEARCH("Exclude",AU21)))</formula>
    </cfRule>
  </conditionalFormatting>
  <conditionalFormatting sqref="AS5:AS538">
    <cfRule type="containsText" dxfId="268" priority="3" operator="containsText" text="Exclude">
      <formula>NOT(ISERROR(SEARCH("Exclude",AS5)))</formula>
    </cfRule>
  </conditionalFormatting>
  <conditionalFormatting sqref="AS1:AS1048576">
    <cfRule type="containsText" dxfId="267" priority="1" operator="containsText" text="Pant">
      <formula>NOT(ISERROR(SEARCH("Pant",AS1)))</formula>
    </cfRule>
  </conditionalFormatting>
  <pageMargins left="0.7" right="0.7" top="0.75" bottom="0.75" header="0.3" footer="0.3"/>
  <pageSetup paperSize="9" orientation="portrait" r:id="rId1"/>
  <ignoredErrors>
    <ignoredError sqref="H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xtToColumns">
                <anchor moveWithCells="1" sizeWithCells="1">
                  <from>
                    <xdr:col>7</xdr:col>
                    <xdr:colOff>857250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V1663"/>
  <sheetViews>
    <sheetView zoomScale="90" zoomScaleNormal="90" workbookViewId="0">
      <pane ySplit="17" topLeftCell="A18" activePane="bottomLeft" state="frozen"/>
      <selection pane="bottomLeft" activeCell="E36" sqref="E36"/>
    </sheetView>
  </sheetViews>
  <sheetFormatPr defaultColWidth="9.140625" defaultRowHeight="15" x14ac:dyDescent="0.25"/>
  <cols>
    <col min="1" max="1" width="20" style="65" customWidth="1"/>
    <col min="2" max="2" width="17.42578125" style="65" customWidth="1"/>
    <col min="3" max="3" width="17.140625" style="65" customWidth="1"/>
    <col min="4" max="4" width="16.85546875" style="65" customWidth="1"/>
    <col min="5" max="6" width="17" style="65" customWidth="1"/>
    <col min="7" max="7" width="20.7109375" style="65" customWidth="1"/>
    <col min="8" max="8" width="19.28515625" style="65" bestFit="1" customWidth="1"/>
    <col min="9" max="9" width="16.7109375" style="65" customWidth="1"/>
    <col min="10" max="11" width="14.85546875" style="65" bestFit="1" customWidth="1"/>
    <col min="12" max="12" width="15" style="65" bestFit="1" customWidth="1"/>
    <col min="13" max="13" width="12" style="65" customWidth="1"/>
    <col min="14" max="14" width="12.7109375" style="65" customWidth="1"/>
    <col min="15" max="15" width="12" style="65" customWidth="1"/>
    <col min="16" max="16" width="15.42578125" style="65" customWidth="1"/>
    <col min="17" max="17" width="12" style="65" customWidth="1"/>
    <col min="18" max="18" width="13.5703125" style="65" customWidth="1"/>
    <col min="19" max="20" width="13.7109375" style="65" customWidth="1"/>
    <col min="21" max="21" width="14.140625" style="65" customWidth="1"/>
    <col min="22" max="22" width="10" style="65" bestFit="1" customWidth="1"/>
    <col min="23" max="23" width="11.42578125" style="65" bestFit="1" customWidth="1"/>
    <col min="24" max="24" width="11.140625" style="65" bestFit="1" customWidth="1"/>
    <col min="25" max="25" width="9.42578125" style="65" customWidth="1"/>
    <col min="26" max="26" width="14.85546875" style="63" bestFit="1" customWidth="1"/>
    <col min="27" max="27" width="14.85546875" style="65" bestFit="1" customWidth="1"/>
    <col min="28" max="28" width="10.5703125" style="65" bestFit="1" customWidth="1"/>
    <col min="29" max="29" width="10.140625" style="65" bestFit="1" customWidth="1"/>
    <col min="30" max="30" width="15" style="65" bestFit="1" customWidth="1"/>
    <col min="31" max="31" width="17" style="65" customWidth="1"/>
    <col min="32" max="32" width="19.28515625" style="65" bestFit="1" customWidth="1"/>
    <col min="33" max="34" width="14.85546875" style="65" bestFit="1" customWidth="1"/>
    <col min="35" max="35" width="10.140625" style="65" bestFit="1" customWidth="1"/>
    <col min="36" max="36" width="15" style="65" bestFit="1" customWidth="1"/>
    <col min="37" max="16384" width="9.140625" style="65"/>
  </cols>
  <sheetData>
    <row r="1" spans="1:46" s="28" customFormat="1" ht="22.5" x14ac:dyDescent="0.3">
      <c r="C1" s="1" t="s">
        <v>128</v>
      </c>
      <c r="K1" s="30"/>
      <c r="L1" s="30"/>
      <c r="M1" s="30"/>
      <c r="N1" s="30"/>
      <c r="O1" s="33"/>
      <c r="P1" s="33"/>
      <c r="Q1" s="33"/>
      <c r="R1" s="33"/>
      <c r="S1" s="33"/>
      <c r="T1" s="33"/>
      <c r="U1" s="33"/>
      <c r="Z1" s="95" t="s">
        <v>135</v>
      </c>
      <c r="AA1" s="23"/>
    </row>
    <row r="2" spans="1:46" s="28" customFormat="1" x14ac:dyDescent="0.25">
      <c r="D2" s="29"/>
      <c r="K2" s="30"/>
      <c r="L2" s="30"/>
      <c r="M2" s="30"/>
      <c r="N2" s="30"/>
      <c r="O2" s="33"/>
      <c r="P2" s="33"/>
      <c r="Q2" s="33"/>
      <c r="R2" s="33"/>
      <c r="S2" s="33"/>
      <c r="T2" s="33"/>
      <c r="U2" s="33"/>
      <c r="Z2" s="24"/>
      <c r="AA2" s="23"/>
    </row>
    <row r="3" spans="1:46" s="28" customFormat="1" ht="18.75" x14ac:dyDescent="0.3">
      <c r="A3" s="69" t="s">
        <v>88</v>
      </c>
      <c r="D3" s="29"/>
      <c r="I3" s="69" t="s">
        <v>89</v>
      </c>
      <c r="L3" s="29"/>
      <c r="N3" s="33"/>
      <c r="O3" s="33"/>
      <c r="P3" s="33"/>
      <c r="Q3" s="33"/>
      <c r="R3" s="33"/>
      <c r="S3" s="33"/>
      <c r="T3" s="33"/>
      <c r="U3" s="33"/>
      <c r="Z3" s="79" t="s">
        <v>88</v>
      </c>
      <c r="AA3" s="23"/>
      <c r="AC3" s="29"/>
      <c r="AG3" s="69" t="s">
        <v>89</v>
      </c>
      <c r="AJ3" s="29"/>
    </row>
    <row r="4" spans="1:46" s="28" customFormat="1" x14ac:dyDescent="0.25">
      <c r="D4" s="29"/>
      <c r="L4" s="29"/>
      <c r="N4" s="33"/>
      <c r="O4" s="33"/>
      <c r="P4" s="33"/>
      <c r="Q4" s="33"/>
      <c r="R4" s="33"/>
      <c r="S4" s="33"/>
      <c r="T4" s="33"/>
      <c r="U4" s="33"/>
      <c r="Z4" s="24"/>
      <c r="AA4" s="23"/>
      <c r="AC4" s="29"/>
      <c r="AJ4" s="29"/>
    </row>
    <row r="5" spans="1:46" s="28" customFormat="1" x14ac:dyDescent="0.25">
      <c r="A5" s="40" t="s">
        <v>3</v>
      </c>
      <c r="B5" s="40" t="s">
        <v>2</v>
      </c>
      <c r="C5" s="40" t="s">
        <v>4</v>
      </c>
      <c r="D5" s="40" t="s">
        <v>6</v>
      </c>
      <c r="E5" s="40" t="s">
        <v>5</v>
      </c>
      <c r="F5" s="40" t="s">
        <v>84</v>
      </c>
      <c r="G5" s="40" t="s">
        <v>51</v>
      </c>
      <c r="H5" s="33"/>
      <c r="I5" s="40" t="s">
        <v>3</v>
      </c>
      <c r="J5" s="40" t="s">
        <v>2</v>
      </c>
      <c r="K5" s="40" t="s">
        <v>4</v>
      </c>
      <c r="L5" s="40" t="s">
        <v>6</v>
      </c>
      <c r="M5" s="40" t="s">
        <v>5</v>
      </c>
      <c r="N5" s="40" t="s">
        <v>84</v>
      </c>
      <c r="O5" s="40" t="s">
        <v>51</v>
      </c>
      <c r="P5" s="33"/>
      <c r="Q5" s="33"/>
      <c r="R5" s="33"/>
      <c r="S5" s="33"/>
      <c r="T5" s="33"/>
      <c r="U5" s="33"/>
      <c r="Z5" s="41" t="s">
        <v>3</v>
      </c>
      <c r="AA5" s="94" t="s">
        <v>2</v>
      </c>
      <c r="AB5" s="40" t="s">
        <v>4</v>
      </c>
      <c r="AC5" s="40" t="s">
        <v>6</v>
      </c>
      <c r="AD5" s="40" t="s">
        <v>5</v>
      </c>
      <c r="AE5" s="40" t="s">
        <v>51</v>
      </c>
      <c r="AF5" s="33"/>
      <c r="AG5" s="40" t="s">
        <v>3</v>
      </c>
      <c r="AH5" s="40" t="s">
        <v>2</v>
      </c>
      <c r="AI5" s="40" t="s">
        <v>4</v>
      </c>
      <c r="AJ5" s="40" t="s">
        <v>6</v>
      </c>
      <c r="AK5" s="40" t="s">
        <v>5</v>
      </c>
      <c r="AL5" s="40" t="s">
        <v>51</v>
      </c>
    </row>
    <row r="6" spans="1:46" s="28" customFormat="1" x14ac:dyDescent="0.25">
      <c r="A6" s="33">
        <f>COUNTIFS($B$21:$B$249,1,$U$21:$U$249,1)</f>
        <v>0</v>
      </c>
      <c r="B6" s="100" t="e">
        <f>ASIN(SQRT(A6/D6))</f>
        <v>#DIV/0!</v>
      </c>
      <c r="C6" s="33">
        <f>COUNTIFS($B$21:$B$249,1,$W$21:$W$249,1)+COUNTIFS($B$21:$B$249,1,$V$21:$V$249,1)</f>
        <v>0</v>
      </c>
      <c r="D6" s="33">
        <f>COUNTIFS($B$21:$B$249,1,$R$21:$R$249,"Display")</f>
        <v>0</v>
      </c>
      <c r="E6" s="33">
        <f>IF(COUNTIFS($B$21:$B$600,1,$R$21:$R600,"NoWordsRecalled")&gt;0,"0 Words Recalled",SUM(A6+C6))</f>
        <v>0</v>
      </c>
      <c r="F6" s="33" t="e">
        <f>SUM</f>
        <v>#NAME?</v>
      </c>
      <c r="G6" s="33" t="e">
        <f>SUM(A6/D6)</f>
        <v>#DIV/0!</v>
      </c>
      <c r="H6" s="33"/>
      <c r="I6" s="33">
        <f>COUNTIFS($B$21:$B$249,2,$U$21:$U$249,1)</f>
        <v>0</v>
      </c>
      <c r="J6" s="100" t="e">
        <f>ASIN(SQRT(I6/L6))</f>
        <v>#DIV/0!</v>
      </c>
      <c r="K6" s="33">
        <f>COUNTIFS($B$21:$B$249,2,$W$21:$W$249,1)+COUNTIFS($B$21:$B$249,2,$V$21:$V$249,1)</f>
        <v>0</v>
      </c>
      <c r="L6" s="33">
        <f>COUNTIFS($B$21:$B$249,2,$R$21:$R$249,"Display")</f>
        <v>0</v>
      </c>
      <c r="M6" s="33">
        <f>IF(COUNTIFS($B$21:$B$600,2,$R$21:R600,"NoWordsRecalled")&gt;0,"0 Words Recalled",SUM(I6+K6))</f>
        <v>0</v>
      </c>
      <c r="N6" s="33" t="e">
        <f>SUM</f>
        <v>#NAME?</v>
      </c>
      <c r="O6" s="33" t="e">
        <f>SUM(I6/L6)</f>
        <v>#DIV/0!</v>
      </c>
      <c r="P6" s="33"/>
      <c r="Q6" s="33"/>
      <c r="R6" s="33"/>
      <c r="S6" s="33"/>
      <c r="T6" s="33"/>
      <c r="U6" s="33"/>
      <c r="V6" s="29"/>
      <c r="W6" s="29"/>
      <c r="Z6" s="44">
        <f>COUNTIFS($AA$21:$AA$249,1,$AS$21:$AS$249,1)</f>
        <v>0</v>
      </c>
      <c r="AA6" s="96" t="e">
        <f>ASIN(SQRT(Z6/AC6))</f>
        <v>#DIV/0!</v>
      </c>
      <c r="AB6" s="33">
        <f>COUNTIFS($AA$21:$AA$249,1,$AU$21:$AU$249,1)+COUNTIFS($AA$21:$AA$249,1,$AT$21:$AT$249,1)</f>
        <v>0</v>
      </c>
      <c r="AC6" s="33">
        <f>COUNTIFS($AA$21:$AA$249,1,$AQ$21:$AQ$249,"Display")</f>
        <v>0</v>
      </c>
      <c r="AD6" s="33">
        <f>SUM(Z6+AB6)</f>
        <v>0</v>
      </c>
      <c r="AE6" s="33" t="e">
        <f>SUM(Z6/AC6)</f>
        <v>#DIV/0!</v>
      </c>
      <c r="AF6" s="33"/>
      <c r="AG6" s="33">
        <f>COUNTIFS($AA$21:$AA$249,2,$AS$21:$AS$249,1)</f>
        <v>0</v>
      </c>
      <c r="AH6" s="43" t="e">
        <f>ASIN(SQRT(AG6/AJ6))</f>
        <v>#DIV/0!</v>
      </c>
      <c r="AI6" s="33">
        <f>COUNTIFS($AA$21:$AA$249,2,$AU$21:$AU$249,1)+COUNTIFS($AA$21:$AA$249,2,$AT$21:$AT$249,1)</f>
        <v>0</v>
      </c>
      <c r="AJ6" s="33">
        <f>COUNTIFS($AA$21:$AA$249,2,$AQ$21:$AQ$249,"Display")</f>
        <v>0</v>
      </c>
      <c r="AK6" s="33">
        <f>SUM(AG6+AI6)</f>
        <v>0</v>
      </c>
      <c r="AL6" s="33" t="e">
        <f>SUM(AG6/AJ6)</f>
        <v>#DIV/0!</v>
      </c>
      <c r="AM6" s="33"/>
      <c r="AN6" s="33"/>
      <c r="AO6" s="33"/>
      <c r="AP6" s="33"/>
      <c r="AQ6" s="33"/>
      <c r="AR6" s="33"/>
      <c r="AS6" s="29"/>
      <c r="AT6" s="29"/>
    </row>
    <row r="7" spans="1:46" s="28" customFormat="1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Z7" s="44"/>
      <c r="AA7" s="92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</row>
    <row r="8" spans="1:46" s="28" customFormat="1" x14ac:dyDescent="0.25">
      <c r="A8" s="40"/>
      <c r="B8" s="40"/>
      <c r="C8" s="33"/>
      <c r="D8" s="33"/>
      <c r="E8" s="40"/>
      <c r="F8" s="40"/>
      <c r="G8" s="40"/>
      <c r="H8" s="40"/>
      <c r="I8" s="40"/>
      <c r="J8" s="40"/>
      <c r="K8" s="33"/>
      <c r="L8" s="33"/>
      <c r="M8" s="40"/>
      <c r="N8" s="33"/>
      <c r="O8" s="33"/>
      <c r="P8" s="33"/>
      <c r="Q8" s="33"/>
      <c r="R8" s="33"/>
      <c r="S8" s="33"/>
      <c r="T8" s="33"/>
      <c r="U8" s="33"/>
      <c r="Z8" s="41"/>
      <c r="AA8" s="94"/>
      <c r="AB8" s="33"/>
      <c r="AC8" s="33"/>
      <c r="AD8" s="40"/>
      <c r="AE8" s="40"/>
      <c r="AF8" s="40"/>
      <c r="AG8" s="40"/>
      <c r="AH8" s="40"/>
      <c r="AI8" s="33"/>
      <c r="AJ8" s="33"/>
      <c r="AK8" s="40"/>
      <c r="AL8" s="33"/>
      <c r="AM8" s="33"/>
      <c r="AN8" s="33"/>
      <c r="AO8" s="33"/>
      <c r="AP8" s="33"/>
      <c r="AQ8" s="33"/>
      <c r="AR8" s="33"/>
    </row>
    <row r="9" spans="1:46" s="28" customForma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Z9" s="44"/>
      <c r="AA9" s="92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</row>
    <row r="10" spans="1:46" s="28" customFormat="1" ht="18.75" x14ac:dyDescent="0.3">
      <c r="A10" s="81" t="s">
        <v>90</v>
      </c>
      <c r="B10" s="33"/>
      <c r="C10" s="33"/>
      <c r="D10" s="40"/>
      <c r="E10" s="33"/>
      <c r="F10" s="33"/>
      <c r="G10" s="33"/>
      <c r="H10" s="33"/>
      <c r="I10" s="81" t="s">
        <v>91</v>
      </c>
      <c r="J10" s="33"/>
      <c r="K10" s="33"/>
      <c r="L10" s="40"/>
      <c r="M10" s="33"/>
      <c r="N10" s="33"/>
      <c r="O10" s="33"/>
      <c r="P10" s="33"/>
      <c r="Q10" s="33"/>
      <c r="R10" s="33"/>
      <c r="S10" s="33"/>
      <c r="T10" s="33"/>
      <c r="U10" s="33"/>
      <c r="Z10" s="82" t="s">
        <v>90</v>
      </c>
      <c r="AA10" s="92"/>
      <c r="AB10" s="33"/>
      <c r="AC10" s="40"/>
      <c r="AD10" s="33"/>
      <c r="AE10" s="33"/>
      <c r="AF10" s="33"/>
      <c r="AG10" s="81" t="s">
        <v>91</v>
      </c>
      <c r="AH10" s="33"/>
      <c r="AI10" s="33"/>
      <c r="AJ10" s="40"/>
      <c r="AK10" s="33"/>
      <c r="AL10" s="33"/>
      <c r="AM10" s="33"/>
      <c r="AN10" s="33"/>
      <c r="AO10" s="33"/>
      <c r="AP10" s="33"/>
      <c r="AQ10" s="33"/>
      <c r="AR10" s="33"/>
    </row>
    <row r="11" spans="1:46" s="28" customFormat="1" x14ac:dyDescent="0.25">
      <c r="A11" s="33"/>
      <c r="B11" s="33"/>
      <c r="C11" s="33"/>
      <c r="D11" s="40"/>
      <c r="E11" s="33"/>
      <c r="F11" s="33"/>
      <c r="G11" s="33"/>
      <c r="H11" s="33"/>
      <c r="I11" s="33"/>
      <c r="J11" s="33"/>
      <c r="K11" s="33"/>
      <c r="L11" s="40"/>
      <c r="M11" s="33"/>
      <c r="N11" s="33"/>
      <c r="O11" s="33"/>
      <c r="P11" s="33"/>
      <c r="Q11" s="33"/>
      <c r="R11" s="33"/>
      <c r="S11" s="33"/>
      <c r="T11" s="84"/>
      <c r="U11" s="84"/>
      <c r="V11" s="84"/>
      <c r="W11" s="84"/>
      <c r="Z11" s="44"/>
      <c r="AA11" s="92"/>
      <c r="AB11" s="33"/>
      <c r="AC11" s="40"/>
      <c r="AD11" s="33"/>
      <c r="AE11" s="33"/>
      <c r="AF11" s="33"/>
      <c r="AG11" s="33"/>
      <c r="AH11" s="33"/>
      <c r="AI11" s="33"/>
      <c r="AJ11" s="40"/>
      <c r="AK11" s="33"/>
      <c r="AL11" s="33"/>
      <c r="AM11" s="33"/>
      <c r="AN11" s="33"/>
      <c r="AO11" s="33"/>
      <c r="AP11" s="33"/>
      <c r="AQ11" s="33"/>
      <c r="AR11" s="33"/>
    </row>
    <row r="12" spans="1:46" s="28" customFormat="1" x14ac:dyDescent="0.25">
      <c r="A12" s="40" t="s">
        <v>3</v>
      </c>
      <c r="B12" s="40" t="s">
        <v>2</v>
      </c>
      <c r="C12" s="40" t="s">
        <v>4</v>
      </c>
      <c r="D12" s="40" t="s">
        <v>6</v>
      </c>
      <c r="E12" s="40" t="s">
        <v>5</v>
      </c>
      <c r="F12" s="40" t="s">
        <v>84</v>
      </c>
      <c r="G12" s="40" t="s">
        <v>51</v>
      </c>
      <c r="H12" s="33"/>
      <c r="I12" s="40" t="s">
        <v>3</v>
      </c>
      <c r="J12" s="40" t="s">
        <v>2</v>
      </c>
      <c r="K12" s="40" t="s">
        <v>4</v>
      </c>
      <c r="L12" s="40" t="s">
        <v>6</v>
      </c>
      <c r="M12" s="40" t="s">
        <v>5</v>
      </c>
      <c r="N12" s="40" t="s">
        <v>84</v>
      </c>
      <c r="O12" s="40" t="s">
        <v>51</v>
      </c>
      <c r="P12" s="33"/>
      <c r="Q12" s="33"/>
      <c r="R12" s="33"/>
      <c r="S12" s="33"/>
      <c r="T12" s="83" t="s">
        <v>106</v>
      </c>
      <c r="U12" s="33"/>
      <c r="Z12" s="41" t="s">
        <v>3</v>
      </c>
      <c r="AA12" s="94" t="s">
        <v>2</v>
      </c>
      <c r="AB12" s="40" t="s">
        <v>4</v>
      </c>
      <c r="AC12" s="40" t="s">
        <v>6</v>
      </c>
      <c r="AD12" s="40" t="s">
        <v>5</v>
      </c>
      <c r="AE12" s="40" t="s">
        <v>51</v>
      </c>
      <c r="AF12" s="33"/>
      <c r="AG12" s="40" t="s">
        <v>3</v>
      </c>
      <c r="AH12" s="40" t="s">
        <v>2</v>
      </c>
      <c r="AI12" s="40" t="s">
        <v>4</v>
      </c>
      <c r="AJ12" s="40" t="s">
        <v>6</v>
      </c>
      <c r="AK12" s="40" t="s">
        <v>5</v>
      </c>
      <c r="AL12" s="40" t="s">
        <v>51</v>
      </c>
      <c r="AM12" s="33"/>
      <c r="AN12" s="33"/>
      <c r="AO12" s="33"/>
      <c r="AP12" s="33"/>
      <c r="AQ12" s="33"/>
      <c r="AR12" s="33"/>
    </row>
    <row r="13" spans="1:46" s="28" customFormat="1" x14ac:dyDescent="0.25">
      <c r="A13" s="33">
        <f>COUNTIFS($B$21:$B$249,3,$U$21:$U$249,1)</f>
        <v>0</v>
      </c>
      <c r="B13" s="100" t="e">
        <f>ASIN(SQRT(A13/D13))</f>
        <v>#DIV/0!</v>
      </c>
      <c r="C13" s="33">
        <f>COUNTIFS($B$21:$B$249,3,$W$21:$W$249,1)+COUNTIFS($B$21:$B$249,3,$V$21:$V$249,1)</f>
        <v>0</v>
      </c>
      <c r="D13" s="33">
        <f>COUNTIFS($B$21:$B$249,3,$R$21:$R$249,"Display")</f>
        <v>0</v>
      </c>
      <c r="E13" s="33">
        <f>IF(COUNTIFS($B$21:$B$600,3,$R$21:$R600,"NoWordsRecalled")&gt;0,"0 Words Recalled",SUM(A13+C13))</f>
        <v>0</v>
      </c>
      <c r="F13" s="33" t="e">
        <f>SUM</f>
        <v>#NAME?</v>
      </c>
      <c r="G13" s="33" t="e">
        <f>SUM(A13/D13)</f>
        <v>#DIV/0!</v>
      </c>
      <c r="H13" s="33"/>
      <c r="I13" s="33">
        <f>SUM(A6+I6+A13)</f>
        <v>0</v>
      </c>
      <c r="J13" s="100" t="e">
        <f>ASIN(SQRT((I13/L13)))</f>
        <v>#DIV/0!</v>
      </c>
      <c r="K13" s="33">
        <f>SUM(C6+K6+C13)</f>
        <v>0</v>
      </c>
      <c r="L13" s="33">
        <f>SUM(D6+L6+D13)</f>
        <v>0</v>
      </c>
      <c r="M13" s="33">
        <f>SUM(A6,C6,I6,K6,A13,C13)</f>
        <v>0</v>
      </c>
      <c r="N13" s="33" t="e">
        <f>SUM(F13+N6+F6)</f>
        <v>#NAME?</v>
      </c>
      <c r="O13" s="33" t="e">
        <f>SUM(I13/L13)</f>
        <v>#DIV/0!</v>
      </c>
      <c r="P13" s="33"/>
      <c r="Q13" s="33"/>
      <c r="R13" s="33"/>
      <c r="S13" s="33"/>
      <c r="T13" s="33"/>
      <c r="U13" s="33"/>
      <c r="Z13" s="44">
        <f>COUNTIFS($AA$21:$AA$249,3,$AS$21:$AS$249,1)</f>
        <v>0</v>
      </c>
      <c r="AA13" s="96" t="e">
        <f>ASIN(SQRT(Z13/AC13))</f>
        <v>#DIV/0!</v>
      </c>
      <c r="AB13" s="33">
        <f>COUNTIFS($AA$21:$AA$249,3,$AU$21:$AU$249,1)+COUNTIFS($AA$21:$AA$249,3,$AT$21:$AT$249,1)</f>
        <v>0</v>
      </c>
      <c r="AC13" s="33">
        <f>COUNTIFS($AA$21:$AA$249,3,$AQ$21:$AQ$249,"Display")</f>
        <v>0</v>
      </c>
      <c r="AD13" s="33">
        <f>SUM(Z13+AB13)</f>
        <v>0</v>
      </c>
      <c r="AE13" s="33" t="e">
        <f>SUM(Z13/AC13)</f>
        <v>#DIV/0!</v>
      </c>
      <c r="AF13" s="33"/>
      <c r="AG13" s="33">
        <f>SUM(Z6+AG6+Z13)</f>
        <v>0</v>
      </c>
      <c r="AH13" s="43" t="e">
        <f>ASIN(SQRT((AG13/AJ13)))</f>
        <v>#DIV/0!</v>
      </c>
      <c r="AI13" s="33">
        <f>SUM(AB6+AI6+AB13)</f>
        <v>0</v>
      </c>
      <c r="AJ13" s="33">
        <f>SUM(AC6+AJ6+AC13)</f>
        <v>0</v>
      </c>
      <c r="AK13" s="33">
        <f>SUM(AD6+AK6+AD13)</f>
        <v>0</v>
      </c>
      <c r="AL13" s="33" t="e">
        <f>SUM(AG13/AJ13)</f>
        <v>#DIV/0!</v>
      </c>
      <c r="AM13" s="33"/>
      <c r="AN13" s="33"/>
      <c r="AO13" s="33"/>
      <c r="AP13" s="33"/>
      <c r="AQ13" s="33"/>
      <c r="AR13" s="33"/>
    </row>
    <row r="14" spans="1:46" s="28" customFormat="1" x14ac:dyDescent="0.25">
      <c r="A14" s="33"/>
      <c r="B14" s="33"/>
      <c r="C14" s="33"/>
      <c r="D14" s="33"/>
      <c r="E14" s="33"/>
      <c r="F14" s="33"/>
      <c r="G14" s="68"/>
      <c r="H14" s="68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Z14" s="44"/>
      <c r="AA14" s="92"/>
      <c r="AB14" s="33"/>
      <c r="AC14" s="33"/>
      <c r="AD14" s="33"/>
      <c r="AE14" s="33"/>
      <c r="AF14" s="68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</row>
    <row r="15" spans="1:46" s="28" customFormat="1" x14ac:dyDescent="0.25">
      <c r="A15" s="40"/>
      <c r="B15" s="40"/>
      <c r="C15" s="40"/>
      <c r="D15" s="40"/>
      <c r="E15" s="40"/>
      <c r="F15" s="40"/>
      <c r="G15" s="33"/>
      <c r="H15" s="33"/>
      <c r="I15" s="40" t="s">
        <v>63</v>
      </c>
      <c r="J15" s="40" t="s">
        <v>65</v>
      </c>
      <c r="K15" s="40" t="s">
        <v>68</v>
      </c>
      <c r="L15" s="40"/>
      <c r="M15" s="40"/>
      <c r="N15" s="33"/>
      <c r="O15" s="33"/>
      <c r="P15" s="33"/>
      <c r="Q15" s="33"/>
      <c r="R15" s="33"/>
      <c r="S15" s="33"/>
      <c r="T15" s="33"/>
      <c r="U15" s="33"/>
      <c r="Z15" s="41"/>
      <c r="AA15" s="94"/>
      <c r="AB15" s="40"/>
      <c r="AC15" s="40"/>
      <c r="AD15" s="40"/>
      <c r="AE15" s="40"/>
      <c r="AF15" s="33"/>
      <c r="AG15" s="40" t="s">
        <v>63</v>
      </c>
      <c r="AH15" s="40" t="s">
        <v>65</v>
      </c>
      <c r="AI15" s="40" t="s">
        <v>68</v>
      </c>
      <c r="AJ15" s="40"/>
      <c r="AK15" s="40"/>
      <c r="AL15" s="33"/>
      <c r="AM15" s="33"/>
      <c r="AN15" s="33"/>
      <c r="AO15" s="33"/>
      <c r="AP15" s="33"/>
      <c r="AQ15" s="33"/>
      <c r="AR15" s="33"/>
    </row>
    <row r="16" spans="1:46" s="28" customFormat="1" x14ac:dyDescent="0.25">
      <c r="A16" s="33"/>
      <c r="B16" s="33"/>
      <c r="C16" s="33"/>
      <c r="D16" s="33"/>
      <c r="E16" s="33"/>
      <c r="F16" s="33"/>
      <c r="G16" s="33"/>
      <c r="H16" s="33"/>
      <c r="I16" s="33" t="str">
        <f>IF(L13=36,IF(E6&gt;0,IF(M6&gt;0,IF(E13&gt;0,"Yes","No"),"No"),"No"),"No")</f>
        <v>No</v>
      </c>
      <c r="J16" s="33" t="str">
        <f>IF($I$16="No","",(I13-VLOOKUP(Detection!$E$2,Norms!A94:D100,2,TRUE))/VLOOKUP(Detection!$E$2,Norms!A94:D100,3,TRUE))</f>
        <v/>
      </c>
      <c r="K16" s="33" t="str">
        <f>IF($I$16="No","",SUM(J16*10)+100)</f>
        <v/>
      </c>
      <c r="L16" s="33"/>
      <c r="M16" s="33"/>
      <c r="N16" s="33"/>
      <c r="O16" s="33"/>
      <c r="P16" s="33"/>
      <c r="Q16" s="33"/>
      <c r="R16" s="33"/>
      <c r="S16" s="33"/>
      <c r="T16" s="33"/>
      <c r="U16" s="33"/>
      <c r="Z16" s="44"/>
      <c r="AA16" s="92"/>
      <c r="AB16" s="33"/>
      <c r="AC16" s="33"/>
      <c r="AD16" s="33"/>
      <c r="AE16" s="33"/>
      <c r="AF16" s="33"/>
      <c r="AG16" s="33" t="str">
        <f>IF(AJ13=36,IF(AK13&gt;0,"Yes"),"No")</f>
        <v>No</v>
      </c>
      <c r="AH16" s="33" t="str">
        <f>IF($I$16="No","",(AG13-VLOOKUP(Detection!$E$2,Norms!A94:D100,2,TRUE))/VLOOKUP(Detection!$E$2,Norms!A94:D100,3,TRUE))</f>
        <v/>
      </c>
      <c r="AI16" s="33" t="str">
        <f>IF($I$16="No","",SUM(AH16*10)+100)</f>
        <v/>
      </c>
      <c r="AJ16" s="33"/>
      <c r="AK16" s="33"/>
      <c r="AL16" s="33"/>
      <c r="AM16" s="33"/>
      <c r="AN16" s="33"/>
      <c r="AO16" s="33"/>
      <c r="AP16" s="33"/>
      <c r="AQ16" s="33"/>
      <c r="AR16" s="33"/>
    </row>
    <row r="17" spans="1:48" s="28" customFormat="1" x14ac:dyDescent="0.25">
      <c r="M17" s="33"/>
      <c r="N17" s="33"/>
      <c r="O17" s="33"/>
      <c r="P17" s="33"/>
      <c r="Q17" s="33"/>
      <c r="R17" s="33"/>
      <c r="S17" s="33"/>
      <c r="T17" s="33"/>
      <c r="U17" s="78" t="s">
        <v>127</v>
      </c>
      <c r="V17" s="29" t="s">
        <v>103</v>
      </c>
      <c r="W17" s="29" t="s">
        <v>104</v>
      </c>
      <c r="X17" s="29" t="s">
        <v>105</v>
      </c>
      <c r="Y17" s="29"/>
      <c r="Z17" s="80"/>
      <c r="AA17" s="2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S17" s="78" t="s">
        <v>127</v>
      </c>
      <c r="AT17" s="29" t="s">
        <v>103</v>
      </c>
      <c r="AU17" s="29" t="s">
        <v>104</v>
      </c>
      <c r="AV17" s="29" t="s">
        <v>105</v>
      </c>
    </row>
    <row r="18" spans="1:48" s="76" customFormat="1" x14ac:dyDescent="0.25">
      <c r="Z18" s="77"/>
      <c r="AA18" s="75"/>
    </row>
    <row r="19" spans="1:48" s="75" customFormat="1" x14ac:dyDescent="0.25">
      <c r="Z19" s="36"/>
    </row>
    <row r="20" spans="1:48" s="74" customFormat="1" ht="18.75" x14ac:dyDescent="0.3">
      <c r="A20" s="73" t="s">
        <v>60</v>
      </c>
      <c r="U20" s="19"/>
      <c r="V20" s="19"/>
      <c r="W20" s="19"/>
      <c r="X20" s="19"/>
      <c r="Y20" s="19"/>
      <c r="Z20" s="73" t="s">
        <v>61</v>
      </c>
    </row>
    <row r="21" spans="1:48" s="28" customFormat="1" x14ac:dyDescent="0.25">
      <c r="U21" s="87"/>
      <c r="V21" s="87"/>
      <c r="W21" s="87"/>
      <c r="X21" s="87"/>
      <c r="Y21" s="97"/>
    </row>
    <row r="22" spans="1:48" s="28" customFormat="1" x14ac:dyDescent="0.25">
      <c r="Y22" s="98"/>
    </row>
    <row r="23" spans="1:48" s="28" customFormat="1" x14ac:dyDescent="0.25">
      <c r="Y23" s="98"/>
    </row>
    <row r="24" spans="1:48" s="28" customFormat="1" x14ac:dyDescent="0.25">
      <c r="Y24" s="98"/>
    </row>
    <row r="25" spans="1:48" s="28" customFormat="1" x14ac:dyDescent="0.25">
      <c r="Y25" s="98"/>
    </row>
    <row r="26" spans="1:48" s="28" customFormat="1" x14ac:dyDescent="0.25">
      <c r="Y26" s="98"/>
    </row>
    <row r="27" spans="1:48" s="28" customFormat="1" x14ac:dyDescent="0.25">
      <c r="Y27" s="98"/>
    </row>
    <row r="28" spans="1:48" s="28" customFormat="1" x14ac:dyDescent="0.25">
      <c r="Y28" s="98"/>
    </row>
    <row r="29" spans="1:48" s="28" customFormat="1" x14ac:dyDescent="0.25">
      <c r="Y29" s="98"/>
    </row>
    <row r="30" spans="1:48" s="28" customFormat="1" x14ac:dyDescent="0.25">
      <c r="Y30" s="98"/>
    </row>
    <row r="31" spans="1:48" s="28" customFormat="1" x14ac:dyDescent="0.25">
      <c r="Y31" s="98"/>
    </row>
    <row r="32" spans="1:48" s="28" customFormat="1" ht="15.75" customHeight="1" x14ac:dyDescent="0.25">
      <c r="Y32" s="98"/>
    </row>
    <row r="33" spans="25:25" s="28" customFormat="1" x14ac:dyDescent="0.25">
      <c r="Y33" s="98"/>
    </row>
    <row r="34" spans="25:25" s="28" customFormat="1" x14ac:dyDescent="0.25">
      <c r="Y34" s="98"/>
    </row>
    <row r="35" spans="25:25" s="28" customFormat="1" x14ac:dyDescent="0.25">
      <c r="Y35" s="98"/>
    </row>
    <row r="36" spans="25:25" s="28" customFormat="1" x14ac:dyDescent="0.25">
      <c r="Y36" s="98"/>
    </row>
    <row r="37" spans="25:25" s="28" customFormat="1" x14ac:dyDescent="0.25">
      <c r="Y37" s="98"/>
    </row>
    <row r="38" spans="25:25" s="28" customFormat="1" x14ac:dyDescent="0.25">
      <c r="Y38" s="98"/>
    </row>
    <row r="39" spans="25:25" s="28" customFormat="1" x14ac:dyDescent="0.25">
      <c r="Y39" s="98"/>
    </row>
    <row r="40" spans="25:25" s="28" customFormat="1" x14ac:dyDescent="0.25">
      <c r="Y40" s="98"/>
    </row>
    <row r="41" spans="25:25" s="28" customFormat="1" x14ac:dyDescent="0.25">
      <c r="Y41" s="98"/>
    </row>
    <row r="42" spans="25:25" s="28" customFormat="1" x14ac:dyDescent="0.25">
      <c r="Y42" s="98"/>
    </row>
    <row r="43" spans="25:25" s="28" customFormat="1" x14ac:dyDescent="0.25">
      <c r="Y43" s="98"/>
    </row>
    <row r="44" spans="25:25" s="28" customFormat="1" x14ac:dyDescent="0.25">
      <c r="Y44" s="98"/>
    </row>
    <row r="45" spans="25:25" s="28" customFormat="1" x14ac:dyDescent="0.25">
      <c r="Y45" s="98"/>
    </row>
    <row r="46" spans="25:25" s="28" customFormat="1" x14ac:dyDescent="0.25">
      <c r="Y46" s="98"/>
    </row>
    <row r="47" spans="25:25" s="28" customFormat="1" x14ac:dyDescent="0.25">
      <c r="Y47" s="98"/>
    </row>
    <row r="48" spans="25:25" s="28" customFormat="1" x14ac:dyDescent="0.25">
      <c r="Y48" s="98"/>
    </row>
    <row r="49" spans="25:25" s="28" customFormat="1" x14ac:dyDescent="0.25">
      <c r="Y49" s="98"/>
    </row>
    <row r="50" spans="25:25" s="28" customFormat="1" x14ac:dyDescent="0.25">
      <c r="Y50" s="98"/>
    </row>
    <row r="51" spans="25:25" s="28" customFormat="1" x14ac:dyDescent="0.25">
      <c r="Y51" s="98"/>
    </row>
    <row r="52" spans="25:25" s="28" customFormat="1" x14ac:dyDescent="0.25">
      <c r="Y52" s="98"/>
    </row>
    <row r="53" spans="25:25" s="28" customFormat="1" x14ac:dyDescent="0.25">
      <c r="Y53" s="98"/>
    </row>
    <row r="54" spans="25:25" s="28" customFormat="1" x14ac:dyDescent="0.25">
      <c r="Y54" s="98"/>
    </row>
    <row r="55" spans="25:25" s="28" customFormat="1" x14ac:dyDescent="0.25">
      <c r="Y55" s="98"/>
    </row>
    <row r="56" spans="25:25" s="28" customFormat="1" x14ac:dyDescent="0.25">
      <c r="Y56" s="98"/>
    </row>
    <row r="57" spans="25:25" s="28" customFormat="1" x14ac:dyDescent="0.25">
      <c r="Y57" s="98"/>
    </row>
    <row r="58" spans="25:25" s="28" customFormat="1" x14ac:dyDescent="0.25">
      <c r="Y58" s="98"/>
    </row>
    <row r="59" spans="25:25" s="28" customFormat="1" x14ac:dyDescent="0.25">
      <c r="Y59" s="98"/>
    </row>
    <row r="60" spans="25:25" s="28" customFormat="1" x14ac:dyDescent="0.25">
      <c r="Y60" s="98"/>
    </row>
    <row r="61" spans="25:25" s="28" customFormat="1" x14ac:dyDescent="0.25">
      <c r="Y61" s="98"/>
    </row>
    <row r="62" spans="25:25" s="28" customFormat="1" x14ac:dyDescent="0.25">
      <c r="Y62" s="98"/>
    </row>
    <row r="63" spans="25:25" s="28" customFormat="1" x14ac:dyDescent="0.25">
      <c r="Y63" s="98"/>
    </row>
    <row r="64" spans="25:25" s="28" customFormat="1" x14ac:dyDescent="0.25">
      <c r="Y64" s="98"/>
    </row>
    <row r="65" spans="25:25" s="28" customFormat="1" x14ac:dyDescent="0.25">
      <c r="Y65" s="98"/>
    </row>
    <row r="66" spans="25:25" s="28" customFormat="1" x14ac:dyDescent="0.25">
      <c r="Y66" s="98"/>
    </row>
    <row r="67" spans="25:25" s="28" customFormat="1" x14ac:dyDescent="0.25">
      <c r="Y67" s="98"/>
    </row>
    <row r="68" spans="25:25" s="28" customFormat="1" x14ac:dyDescent="0.25">
      <c r="Y68" s="98"/>
    </row>
    <row r="69" spans="25:25" s="28" customFormat="1" x14ac:dyDescent="0.25">
      <c r="Y69" s="98"/>
    </row>
    <row r="70" spans="25:25" s="28" customFormat="1" x14ac:dyDescent="0.25">
      <c r="Y70" s="98"/>
    </row>
    <row r="71" spans="25:25" s="28" customFormat="1" x14ac:dyDescent="0.25">
      <c r="Y71" s="98"/>
    </row>
    <row r="72" spans="25:25" s="28" customFormat="1" x14ac:dyDescent="0.25">
      <c r="Y72" s="98"/>
    </row>
    <row r="73" spans="25:25" s="28" customFormat="1" x14ac:dyDescent="0.25">
      <c r="Y73" s="98"/>
    </row>
    <row r="74" spans="25:25" s="28" customFormat="1" x14ac:dyDescent="0.25">
      <c r="Y74" s="98"/>
    </row>
    <row r="75" spans="25:25" s="28" customFormat="1" x14ac:dyDescent="0.25">
      <c r="Y75" s="98"/>
    </row>
    <row r="76" spans="25:25" s="28" customFormat="1" x14ac:dyDescent="0.25">
      <c r="Y76" s="98"/>
    </row>
    <row r="77" spans="25:25" s="28" customFormat="1" x14ac:dyDescent="0.25">
      <c r="Y77" s="98"/>
    </row>
    <row r="78" spans="25:25" s="28" customFormat="1" x14ac:dyDescent="0.25">
      <c r="Y78" s="98"/>
    </row>
    <row r="79" spans="25:25" s="28" customFormat="1" x14ac:dyDescent="0.25">
      <c r="Y79" s="98"/>
    </row>
    <row r="80" spans="25:25" s="28" customFormat="1" x14ac:dyDescent="0.25">
      <c r="Y80" s="98"/>
    </row>
    <row r="81" spans="25:25" s="28" customFormat="1" x14ac:dyDescent="0.25">
      <c r="Y81" s="98"/>
    </row>
    <row r="82" spans="25:25" s="28" customFormat="1" x14ac:dyDescent="0.25">
      <c r="Y82" s="98"/>
    </row>
    <row r="83" spans="25:25" s="28" customFormat="1" x14ac:dyDescent="0.25">
      <c r="Y83" s="98"/>
    </row>
    <row r="84" spans="25:25" s="28" customFormat="1" x14ac:dyDescent="0.25">
      <c r="Y84" s="98"/>
    </row>
    <row r="85" spans="25:25" s="28" customFormat="1" x14ac:dyDescent="0.25">
      <c r="Y85" s="98"/>
    </row>
    <row r="86" spans="25:25" s="28" customFormat="1" x14ac:dyDescent="0.25">
      <c r="Y86" s="98"/>
    </row>
    <row r="87" spans="25:25" s="28" customFormat="1" x14ac:dyDescent="0.25">
      <c r="Y87" s="98"/>
    </row>
    <row r="88" spans="25:25" s="28" customFormat="1" x14ac:dyDescent="0.25">
      <c r="Y88" s="98"/>
    </row>
    <row r="89" spans="25:25" s="28" customFormat="1" x14ac:dyDescent="0.25">
      <c r="Y89" s="98"/>
    </row>
    <row r="90" spans="25:25" s="28" customFormat="1" x14ac:dyDescent="0.25">
      <c r="Y90" s="98"/>
    </row>
    <row r="91" spans="25:25" s="28" customFormat="1" x14ac:dyDescent="0.25">
      <c r="Y91" s="98"/>
    </row>
    <row r="92" spans="25:25" s="28" customFormat="1" x14ac:dyDescent="0.25">
      <c r="Y92" s="98"/>
    </row>
    <row r="93" spans="25:25" s="28" customFormat="1" x14ac:dyDescent="0.25">
      <c r="Y93" s="98"/>
    </row>
    <row r="94" spans="25:25" s="28" customFormat="1" x14ac:dyDescent="0.25">
      <c r="Y94" s="98"/>
    </row>
    <row r="95" spans="25:25" s="28" customFormat="1" x14ac:dyDescent="0.25">
      <c r="Y95" s="98"/>
    </row>
    <row r="96" spans="25:25" s="28" customFormat="1" x14ac:dyDescent="0.25">
      <c r="Y96" s="98"/>
    </row>
    <row r="97" spans="25:25" s="28" customFormat="1" x14ac:dyDescent="0.25">
      <c r="Y97" s="98"/>
    </row>
    <row r="98" spans="25:25" s="28" customFormat="1" x14ac:dyDescent="0.25">
      <c r="Y98" s="98"/>
    </row>
    <row r="99" spans="25:25" s="28" customFormat="1" x14ac:dyDescent="0.25">
      <c r="Y99" s="98"/>
    </row>
    <row r="100" spans="25:25" s="28" customFormat="1" x14ac:dyDescent="0.25">
      <c r="Y100" s="98"/>
    </row>
    <row r="101" spans="25:25" s="28" customFormat="1" x14ac:dyDescent="0.25">
      <c r="Y101" s="98"/>
    </row>
    <row r="102" spans="25:25" s="28" customFormat="1" x14ac:dyDescent="0.25">
      <c r="Y102" s="98"/>
    </row>
    <row r="103" spans="25:25" s="28" customFormat="1" x14ac:dyDescent="0.25">
      <c r="Y103" s="98"/>
    </row>
    <row r="104" spans="25:25" s="28" customFormat="1" x14ac:dyDescent="0.25">
      <c r="Y104" s="98"/>
    </row>
    <row r="105" spans="25:25" s="28" customFormat="1" x14ac:dyDescent="0.25">
      <c r="Y105" s="98"/>
    </row>
    <row r="106" spans="25:25" s="28" customFormat="1" x14ac:dyDescent="0.25">
      <c r="Y106" s="98"/>
    </row>
    <row r="107" spans="25:25" s="28" customFormat="1" x14ac:dyDescent="0.25">
      <c r="Y107" s="98"/>
    </row>
    <row r="108" spans="25:25" s="28" customFormat="1" x14ac:dyDescent="0.25">
      <c r="Y108" s="98"/>
    </row>
    <row r="109" spans="25:25" s="28" customFormat="1" x14ac:dyDescent="0.25">
      <c r="Y109" s="98"/>
    </row>
    <row r="110" spans="25:25" s="28" customFormat="1" x14ac:dyDescent="0.25">
      <c r="Y110" s="98"/>
    </row>
    <row r="111" spans="25:25" s="28" customFormat="1" x14ac:dyDescent="0.25">
      <c r="Y111" s="98"/>
    </row>
    <row r="112" spans="25:25" s="28" customFormat="1" x14ac:dyDescent="0.25">
      <c r="Y112" s="98"/>
    </row>
    <row r="113" spans="25:25" s="28" customFormat="1" x14ac:dyDescent="0.25">
      <c r="Y113" s="98"/>
    </row>
    <row r="114" spans="25:25" s="28" customFormat="1" x14ac:dyDescent="0.25">
      <c r="Y114" s="98"/>
    </row>
    <row r="115" spans="25:25" s="28" customFormat="1" x14ac:dyDescent="0.25">
      <c r="Y115" s="98"/>
    </row>
    <row r="116" spans="25:25" s="28" customFormat="1" x14ac:dyDescent="0.25">
      <c r="Y116" s="98"/>
    </row>
    <row r="117" spans="25:25" s="28" customFormat="1" x14ac:dyDescent="0.25">
      <c r="Y117" s="98"/>
    </row>
    <row r="118" spans="25:25" s="28" customFormat="1" x14ac:dyDescent="0.25">
      <c r="Y118" s="98"/>
    </row>
    <row r="119" spans="25:25" s="28" customFormat="1" x14ac:dyDescent="0.25">
      <c r="Y119" s="98"/>
    </row>
    <row r="120" spans="25:25" s="28" customFormat="1" x14ac:dyDescent="0.25">
      <c r="Y120" s="98"/>
    </row>
    <row r="121" spans="25:25" s="28" customFormat="1" x14ac:dyDescent="0.25">
      <c r="Y121" s="98"/>
    </row>
    <row r="122" spans="25:25" s="28" customFormat="1" x14ac:dyDescent="0.25">
      <c r="Y122" s="98"/>
    </row>
    <row r="123" spans="25:25" s="28" customFormat="1" x14ac:dyDescent="0.25">
      <c r="Y123" s="98"/>
    </row>
    <row r="124" spans="25:25" s="28" customFormat="1" x14ac:dyDescent="0.25">
      <c r="Y124" s="98"/>
    </row>
    <row r="125" spans="25:25" s="28" customFormat="1" x14ac:dyDescent="0.25">
      <c r="Y125" s="98"/>
    </row>
    <row r="126" spans="25:25" s="28" customFormat="1" x14ac:dyDescent="0.25">
      <c r="Y126" s="98"/>
    </row>
    <row r="127" spans="25:25" s="28" customFormat="1" x14ac:dyDescent="0.25">
      <c r="Y127" s="98"/>
    </row>
    <row r="128" spans="25:25" s="28" customFormat="1" x14ac:dyDescent="0.25">
      <c r="Y128" s="98"/>
    </row>
    <row r="129" spans="25:25" s="28" customFormat="1" x14ac:dyDescent="0.25">
      <c r="Y129" s="98"/>
    </row>
    <row r="130" spans="25:25" s="28" customFormat="1" x14ac:dyDescent="0.25">
      <c r="Y130" s="98"/>
    </row>
    <row r="131" spans="25:25" s="28" customFormat="1" x14ac:dyDescent="0.25">
      <c r="Y131" s="98"/>
    </row>
    <row r="132" spans="25:25" s="28" customFormat="1" x14ac:dyDescent="0.25">
      <c r="Y132" s="98"/>
    </row>
    <row r="133" spans="25:25" s="28" customFormat="1" x14ac:dyDescent="0.25">
      <c r="Y133" s="98"/>
    </row>
    <row r="134" spans="25:25" s="28" customFormat="1" x14ac:dyDescent="0.25">
      <c r="Y134" s="98"/>
    </row>
    <row r="135" spans="25:25" s="28" customFormat="1" x14ac:dyDescent="0.25">
      <c r="Y135" s="98"/>
    </row>
    <row r="136" spans="25:25" s="28" customFormat="1" x14ac:dyDescent="0.25">
      <c r="Y136" s="98"/>
    </row>
    <row r="137" spans="25:25" s="28" customFormat="1" x14ac:dyDescent="0.25">
      <c r="Y137" s="98"/>
    </row>
    <row r="138" spans="25:25" s="28" customFormat="1" x14ac:dyDescent="0.25">
      <c r="Y138" s="98"/>
    </row>
    <row r="139" spans="25:25" s="28" customFormat="1" x14ac:dyDescent="0.25">
      <c r="Y139" s="98"/>
    </row>
    <row r="140" spans="25:25" s="28" customFormat="1" x14ac:dyDescent="0.25">
      <c r="Y140" s="98"/>
    </row>
    <row r="141" spans="25:25" s="28" customFormat="1" x14ac:dyDescent="0.25">
      <c r="Y141" s="98"/>
    </row>
    <row r="142" spans="25:25" s="28" customFormat="1" x14ac:dyDescent="0.25">
      <c r="Y142" s="98"/>
    </row>
    <row r="143" spans="25:25" s="28" customFormat="1" x14ac:dyDescent="0.25">
      <c r="Y143" s="98"/>
    </row>
    <row r="144" spans="25:25" s="28" customFormat="1" x14ac:dyDescent="0.25">
      <c r="Y144" s="98"/>
    </row>
    <row r="145" spans="25:25" s="28" customFormat="1" x14ac:dyDescent="0.25">
      <c r="Y145" s="98"/>
    </row>
    <row r="146" spans="25:25" s="28" customFormat="1" x14ac:dyDescent="0.25">
      <c r="Y146" s="98"/>
    </row>
    <row r="147" spans="25:25" s="28" customFormat="1" x14ac:dyDescent="0.25">
      <c r="Y147" s="98"/>
    </row>
    <row r="148" spans="25:25" s="28" customFormat="1" x14ac:dyDescent="0.25">
      <c r="Y148" s="98"/>
    </row>
    <row r="149" spans="25:25" s="28" customFormat="1" x14ac:dyDescent="0.25">
      <c r="Y149" s="98"/>
    </row>
    <row r="150" spans="25:25" s="28" customFormat="1" x14ac:dyDescent="0.25">
      <c r="Y150" s="98"/>
    </row>
    <row r="151" spans="25:25" s="28" customFormat="1" x14ac:dyDescent="0.25">
      <c r="Y151" s="98"/>
    </row>
    <row r="152" spans="25:25" s="28" customFormat="1" x14ac:dyDescent="0.25">
      <c r="Y152" s="98"/>
    </row>
    <row r="153" spans="25:25" s="28" customFormat="1" x14ac:dyDescent="0.25">
      <c r="Y153" s="98"/>
    </row>
    <row r="154" spans="25:25" s="28" customFormat="1" x14ac:dyDescent="0.25">
      <c r="Y154" s="98"/>
    </row>
    <row r="155" spans="25:25" s="28" customFormat="1" x14ac:dyDescent="0.25">
      <c r="Y155" s="98"/>
    </row>
    <row r="156" spans="25:25" s="28" customFormat="1" x14ac:dyDescent="0.25">
      <c r="Y156" s="98"/>
    </row>
    <row r="157" spans="25:25" s="28" customFormat="1" x14ac:dyDescent="0.25">
      <c r="Y157" s="98"/>
    </row>
    <row r="158" spans="25:25" s="28" customFormat="1" x14ac:dyDescent="0.25">
      <c r="Y158" s="98"/>
    </row>
    <row r="159" spans="25:25" s="28" customFormat="1" x14ac:dyDescent="0.25">
      <c r="Y159" s="98"/>
    </row>
    <row r="160" spans="25:25" s="28" customFormat="1" x14ac:dyDescent="0.25">
      <c r="Y160" s="98"/>
    </row>
    <row r="161" spans="25:25" s="28" customFormat="1" x14ac:dyDescent="0.25">
      <c r="Y161" s="98"/>
    </row>
    <row r="162" spans="25:25" s="28" customFormat="1" x14ac:dyDescent="0.25">
      <c r="Y162" s="98"/>
    </row>
    <row r="163" spans="25:25" s="28" customFormat="1" x14ac:dyDescent="0.25">
      <c r="Y163" s="98"/>
    </row>
    <row r="164" spans="25:25" s="28" customFormat="1" x14ac:dyDescent="0.25">
      <c r="Y164" s="98"/>
    </row>
    <row r="165" spans="25:25" s="28" customFormat="1" x14ac:dyDescent="0.25">
      <c r="Y165" s="98"/>
    </row>
    <row r="166" spans="25:25" s="28" customFormat="1" x14ac:dyDescent="0.25">
      <c r="Y166" s="98"/>
    </row>
    <row r="167" spans="25:25" s="28" customFormat="1" x14ac:dyDescent="0.25">
      <c r="Y167" s="98"/>
    </row>
    <row r="168" spans="25:25" s="28" customFormat="1" x14ac:dyDescent="0.25">
      <c r="Y168" s="98"/>
    </row>
    <row r="169" spans="25:25" s="28" customFormat="1" x14ac:dyDescent="0.25">
      <c r="Y169" s="98"/>
    </row>
    <row r="170" spans="25:25" s="28" customFormat="1" x14ac:dyDescent="0.25">
      <c r="Y170" s="98"/>
    </row>
    <row r="171" spans="25:25" s="28" customFormat="1" x14ac:dyDescent="0.25">
      <c r="Y171" s="98"/>
    </row>
    <row r="172" spans="25:25" s="28" customFormat="1" x14ac:dyDescent="0.25">
      <c r="Y172" s="98"/>
    </row>
    <row r="173" spans="25:25" s="28" customFormat="1" x14ac:dyDescent="0.25">
      <c r="Y173" s="98"/>
    </row>
    <row r="174" spans="25:25" s="28" customFormat="1" x14ac:dyDescent="0.25">
      <c r="Y174" s="98"/>
    </row>
    <row r="175" spans="25:25" s="28" customFormat="1" x14ac:dyDescent="0.25">
      <c r="Y175" s="98"/>
    </row>
    <row r="176" spans="25:25" s="28" customFormat="1" x14ac:dyDescent="0.25">
      <c r="Y176" s="98"/>
    </row>
    <row r="177" spans="25:25" s="28" customFormat="1" x14ac:dyDescent="0.25">
      <c r="Y177" s="98"/>
    </row>
    <row r="178" spans="25:25" s="28" customFormat="1" x14ac:dyDescent="0.25">
      <c r="Y178" s="98"/>
    </row>
    <row r="179" spans="25:25" s="28" customFormat="1" x14ac:dyDescent="0.25">
      <c r="Y179" s="98"/>
    </row>
    <row r="180" spans="25:25" s="28" customFormat="1" x14ac:dyDescent="0.25">
      <c r="Y180" s="98"/>
    </row>
    <row r="181" spans="25:25" s="28" customFormat="1" x14ac:dyDescent="0.25">
      <c r="Y181" s="98"/>
    </row>
    <row r="182" spans="25:25" s="28" customFormat="1" x14ac:dyDescent="0.25">
      <c r="Y182" s="98"/>
    </row>
    <row r="183" spans="25:25" s="28" customFormat="1" x14ac:dyDescent="0.25">
      <c r="Y183" s="98"/>
    </row>
    <row r="184" spans="25:25" s="28" customFormat="1" x14ac:dyDescent="0.25">
      <c r="Y184" s="98"/>
    </row>
    <row r="185" spans="25:25" s="28" customFormat="1" x14ac:dyDescent="0.25">
      <c r="Y185" s="98"/>
    </row>
    <row r="186" spans="25:25" s="28" customFormat="1" x14ac:dyDescent="0.25">
      <c r="Y186" s="98"/>
    </row>
    <row r="187" spans="25:25" s="28" customFormat="1" x14ac:dyDescent="0.25">
      <c r="Y187" s="98"/>
    </row>
    <row r="188" spans="25:25" s="28" customFormat="1" x14ac:dyDescent="0.25">
      <c r="Y188" s="98"/>
    </row>
    <row r="189" spans="25:25" s="28" customFormat="1" x14ac:dyDescent="0.25">
      <c r="Y189" s="98"/>
    </row>
    <row r="190" spans="25:25" s="28" customFormat="1" x14ac:dyDescent="0.25">
      <c r="Y190" s="98"/>
    </row>
    <row r="191" spans="25:25" s="28" customFormat="1" x14ac:dyDescent="0.25">
      <c r="Y191" s="98"/>
    </row>
    <row r="192" spans="25:25" s="28" customFormat="1" x14ac:dyDescent="0.25">
      <c r="Y192" s="98"/>
    </row>
    <row r="193" spans="25:25" s="28" customFormat="1" x14ac:dyDescent="0.25">
      <c r="Y193" s="98"/>
    </row>
    <row r="194" spans="25:25" s="28" customFormat="1" x14ac:dyDescent="0.25">
      <c r="Y194" s="98"/>
    </row>
    <row r="195" spans="25:25" s="28" customFormat="1" x14ac:dyDescent="0.25">
      <c r="Y195" s="98"/>
    </row>
    <row r="196" spans="25:25" s="28" customFormat="1" x14ac:dyDescent="0.25">
      <c r="Y196" s="98"/>
    </row>
    <row r="197" spans="25:25" s="28" customFormat="1" x14ac:dyDescent="0.25">
      <c r="Y197" s="98"/>
    </row>
    <row r="198" spans="25:25" s="28" customFormat="1" x14ac:dyDescent="0.25">
      <c r="Y198" s="98"/>
    </row>
    <row r="199" spans="25:25" s="28" customFormat="1" x14ac:dyDescent="0.25">
      <c r="Y199" s="98"/>
    </row>
    <row r="200" spans="25:25" s="28" customFormat="1" x14ac:dyDescent="0.25">
      <c r="Y200" s="98"/>
    </row>
    <row r="201" spans="25:25" s="28" customFormat="1" x14ac:dyDescent="0.25">
      <c r="Y201" s="98"/>
    </row>
    <row r="202" spans="25:25" s="28" customFormat="1" x14ac:dyDescent="0.25">
      <c r="Y202" s="98"/>
    </row>
    <row r="203" spans="25:25" s="28" customFormat="1" x14ac:dyDescent="0.25">
      <c r="Y203" s="98"/>
    </row>
    <row r="204" spans="25:25" s="28" customFormat="1" x14ac:dyDescent="0.25">
      <c r="Y204" s="98"/>
    </row>
    <row r="205" spans="25:25" s="28" customFormat="1" x14ac:dyDescent="0.25">
      <c r="Y205" s="98"/>
    </row>
    <row r="206" spans="25:25" s="28" customFormat="1" x14ac:dyDescent="0.25">
      <c r="Y206" s="98"/>
    </row>
    <row r="207" spans="25:25" s="28" customFormat="1" x14ac:dyDescent="0.25">
      <c r="Y207" s="98"/>
    </row>
    <row r="208" spans="25:25" s="28" customFormat="1" x14ac:dyDescent="0.25">
      <c r="Y208" s="98"/>
    </row>
    <row r="209" spans="25:25" s="28" customFormat="1" x14ac:dyDescent="0.25">
      <c r="Y209" s="98"/>
    </row>
    <row r="210" spans="25:25" s="28" customFormat="1" x14ac:dyDescent="0.25">
      <c r="Y210" s="98"/>
    </row>
    <row r="211" spans="25:25" s="28" customFormat="1" x14ac:dyDescent="0.25">
      <c r="Y211" s="98"/>
    </row>
    <row r="212" spans="25:25" s="28" customFormat="1" x14ac:dyDescent="0.25">
      <c r="Y212" s="98"/>
    </row>
    <row r="213" spans="25:25" s="28" customFormat="1" x14ac:dyDescent="0.25">
      <c r="Y213" s="98"/>
    </row>
    <row r="214" spans="25:25" s="28" customFormat="1" x14ac:dyDescent="0.25">
      <c r="Y214" s="98"/>
    </row>
    <row r="215" spans="25:25" s="28" customFormat="1" x14ac:dyDescent="0.25">
      <c r="Y215" s="98"/>
    </row>
    <row r="216" spans="25:25" s="28" customFormat="1" x14ac:dyDescent="0.25">
      <c r="Y216" s="98"/>
    </row>
    <row r="217" spans="25:25" s="28" customFormat="1" x14ac:dyDescent="0.25">
      <c r="Y217" s="98"/>
    </row>
    <row r="218" spans="25:25" s="28" customFormat="1" x14ac:dyDescent="0.25">
      <c r="Y218" s="98"/>
    </row>
    <row r="219" spans="25:25" s="28" customFormat="1" x14ac:dyDescent="0.25">
      <c r="Y219" s="98"/>
    </row>
    <row r="220" spans="25:25" s="28" customFormat="1" x14ac:dyDescent="0.25">
      <c r="Y220" s="98"/>
    </row>
    <row r="221" spans="25:25" s="28" customFormat="1" x14ac:dyDescent="0.25">
      <c r="Y221" s="98"/>
    </row>
    <row r="222" spans="25:25" s="28" customFormat="1" x14ac:dyDescent="0.25">
      <c r="Y222" s="98"/>
    </row>
    <row r="223" spans="25:25" s="28" customFormat="1" x14ac:dyDescent="0.25">
      <c r="Y223" s="98"/>
    </row>
    <row r="224" spans="25:25" s="28" customFormat="1" x14ac:dyDescent="0.25">
      <c r="Y224" s="98"/>
    </row>
    <row r="225" spans="25:25" s="28" customFormat="1" x14ac:dyDescent="0.25">
      <c r="Y225" s="98"/>
    </row>
    <row r="226" spans="25:25" s="28" customFormat="1" x14ac:dyDescent="0.25">
      <c r="Y226" s="98"/>
    </row>
    <row r="227" spans="25:25" s="28" customFormat="1" x14ac:dyDescent="0.25">
      <c r="Y227" s="98"/>
    </row>
    <row r="228" spans="25:25" s="28" customFormat="1" x14ac:dyDescent="0.25">
      <c r="Y228" s="98"/>
    </row>
    <row r="229" spans="25:25" s="28" customFormat="1" x14ac:dyDescent="0.25">
      <c r="Y229" s="98"/>
    </row>
    <row r="230" spans="25:25" s="28" customFormat="1" x14ac:dyDescent="0.25">
      <c r="Y230" s="98"/>
    </row>
    <row r="231" spans="25:25" s="28" customFormat="1" x14ac:dyDescent="0.25">
      <c r="Y231" s="98"/>
    </row>
    <row r="232" spans="25:25" s="28" customFormat="1" x14ac:dyDescent="0.25">
      <c r="Y232" s="98"/>
    </row>
    <row r="233" spans="25:25" s="28" customFormat="1" x14ac:dyDescent="0.25">
      <c r="Y233" s="98"/>
    </row>
    <row r="234" spans="25:25" s="28" customFormat="1" x14ac:dyDescent="0.25">
      <c r="Y234" s="98"/>
    </row>
    <row r="235" spans="25:25" s="28" customFormat="1" x14ac:dyDescent="0.25">
      <c r="Y235" s="98"/>
    </row>
    <row r="236" spans="25:25" s="28" customFormat="1" x14ac:dyDescent="0.25">
      <c r="Y236" s="98"/>
    </row>
    <row r="237" spans="25:25" s="28" customFormat="1" x14ac:dyDescent="0.25">
      <c r="Y237" s="98"/>
    </row>
    <row r="238" spans="25:25" s="28" customFormat="1" x14ac:dyDescent="0.25">
      <c r="Y238" s="98"/>
    </row>
    <row r="239" spans="25:25" s="28" customFormat="1" x14ac:dyDescent="0.25">
      <c r="Y239" s="98"/>
    </row>
    <row r="240" spans="25:25" s="28" customFormat="1" x14ac:dyDescent="0.25">
      <c r="Y240" s="98"/>
    </row>
    <row r="241" spans="25:25" s="28" customFormat="1" x14ac:dyDescent="0.25">
      <c r="Y241" s="98"/>
    </row>
    <row r="242" spans="25:25" s="28" customFormat="1" x14ac:dyDescent="0.25">
      <c r="Y242" s="98"/>
    </row>
    <row r="243" spans="25:25" s="28" customFormat="1" x14ac:dyDescent="0.25">
      <c r="Y243" s="98"/>
    </row>
    <row r="244" spans="25:25" s="28" customFormat="1" x14ac:dyDescent="0.25">
      <c r="Y244" s="98"/>
    </row>
    <row r="245" spans="25:25" s="28" customFormat="1" x14ac:dyDescent="0.25">
      <c r="Y245" s="98"/>
    </row>
    <row r="246" spans="25:25" s="28" customFormat="1" x14ac:dyDescent="0.25">
      <c r="Y246" s="98"/>
    </row>
    <row r="247" spans="25:25" s="28" customFormat="1" x14ac:dyDescent="0.25">
      <c r="Y247" s="98"/>
    </row>
    <row r="248" spans="25:25" s="28" customFormat="1" x14ac:dyDescent="0.25">
      <c r="Y248" s="98"/>
    </row>
    <row r="249" spans="25:25" s="28" customFormat="1" x14ac:dyDescent="0.25">
      <c r="Y249" s="98"/>
    </row>
    <row r="250" spans="25:25" s="28" customFormat="1" x14ac:dyDescent="0.25">
      <c r="Y250" s="98"/>
    </row>
    <row r="251" spans="25:25" s="28" customFormat="1" x14ac:dyDescent="0.25">
      <c r="Y251" s="98"/>
    </row>
    <row r="252" spans="25:25" s="28" customFormat="1" x14ac:dyDescent="0.25">
      <c r="Y252" s="98"/>
    </row>
    <row r="253" spans="25:25" s="28" customFormat="1" x14ac:dyDescent="0.25">
      <c r="Y253" s="98"/>
    </row>
    <row r="254" spans="25:25" s="28" customFormat="1" x14ac:dyDescent="0.25">
      <c r="Y254" s="98"/>
    </row>
    <row r="255" spans="25:25" s="28" customFormat="1" x14ac:dyDescent="0.25">
      <c r="Y255" s="98"/>
    </row>
    <row r="256" spans="25:25" s="28" customFormat="1" x14ac:dyDescent="0.25">
      <c r="Y256" s="98"/>
    </row>
    <row r="257" spans="25:25" s="28" customFormat="1" x14ac:dyDescent="0.25">
      <c r="Y257" s="98"/>
    </row>
    <row r="258" spans="25:25" s="28" customFormat="1" x14ac:dyDescent="0.25">
      <c r="Y258" s="98"/>
    </row>
    <row r="259" spans="25:25" s="28" customFormat="1" x14ac:dyDescent="0.25">
      <c r="Y259" s="98"/>
    </row>
    <row r="260" spans="25:25" s="28" customFormat="1" x14ac:dyDescent="0.25">
      <c r="Y260" s="98"/>
    </row>
    <row r="261" spans="25:25" s="28" customFormat="1" x14ac:dyDescent="0.25">
      <c r="Y261" s="98"/>
    </row>
    <row r="262" spans="25:25" s="28" customFormat="1" x14ac:dyDescent="0.25">
      <c r="Y262" s="98"/>
    </row>
    <row r="263" spans="25:25" s="28" customFormat="1" x14ac:dyDescent="0.25">
      <c r="Y263" s="98"/>
    </row>
    <row r="264" spans="25:25" s="28" customFormat="1" x14ac:dyDescent="0.25">
      <c r="Y264" s="98"/>
    </row>
    <row r="265" spans="25:25" s="28" customFormat="1" x14ac:dyDescent="0.25">
      <c r="Y265" s="98"/>
    </row>
    <row r="266" spans="25:25" s="28" customFormat="1" x14ac:dyDescent="0.25">
      <c r="Y266" s="98"/>
    </row>
    <row r="267" spans="25:25" s="28" customFormat="1" x14ac:dyDescent="0.25">
      <c r="Y267" s="98"/>
    </row>
    <row r="268" spans="25:25" s="28" customFormat="1" x14ac:dyDescent="0.25">
      <c r="Y268" s="98"/>
    </row>
    <row r="269" spans="25:25" s="28" customFormat="1" x14ac:dyDescent="0.25">
      <c r="Y269" s="98"/>
    </row>
    <row r="270" spans="25:25" s="28" customFormat="1" x14ac:dyDescent="0.25">
      <c r="Y270" s="98"/>
    </row>
    <row r="271" spans="25:25" s="28" customFormat="1" x14ac:dyDescent="0.25">
      <c r="Y271" s="98"/>
    </row>
    <row r="272" spans="25:25" s="28" customFormat="1" x14ac:dyDescent="0.25">
      <c r="Y272" s="98"/>
    </row>
    <row r="273" spans="25:25" s="28" customFormat="1" x14ac:dyDescent="0.25">
      <c r="Y273" s="98"/>
    </row>
    <row r="274" spans="25:25" s="28" customFormat="1" x14ac:dyDescent="0.25">
      <c r="Y274" s="98"/>
    </row>
    <row r="275" spans="25:25" s="28" customFormat="1" x14ac:dyDescent="0.25">
      <c r="Y275" s="98"/>
    </row>
    <row r="276" spans="25:25" s="28" customFormat="1" x14ac:dyDescent="0.25">
      <c r="Y276" s="98"/>
    </row>
    <row r="277" spans="25:25" s="28" customFormat="1" x14ac:dyDescent="0.25">
      <c r="Y277" s="98"/>
    </row>
    <row r="278" spans="25:25" s="28" customFormat="1" x14ac:dyDescent="0.25">
      <c r="Y278" s="98"/>
    </row>
    <row r="279" spans="25:25" s="28" customFormat="1" x14ac:dyDescent="0.25">
      <c r="Y279" s="98"/>
    </row>
    <row r="280" spans="25:25" s="28" customFormat="1" x14ac:dyDescent="0.25">
      <c r="Y280" s="98"/>
    </row>
    <row r="281" spans="25:25" s="28" customFormat="1" x14ac:dyDescent="0.25">
      <c r="Y281" s="98"/>
    </row>
    <row r="282" spans="25:25" s="28" customFormat="1" x14ac:dyDescent="0.25">
      <c r="Y282" s="98"/>
    </row>
    <row r="283" spans="25:25" s="28" customFormat="1" x14ac:dyDescent="0.25">
      <c r="Y283" s="98"/>
    </row>
    <row r="284" spans="25:25" s="28" customFormat="1" x14ac:dyDescent="0.25">
      <c r="Y284" s="98"/>
    </row>
    <row r="285" spans="25:25" s="28" customFormat="1" x14ac:dyDescent="0.25">
      <c r="Y285" s="98"/>
    </row>
    <row r="286" spans="25:25" s="28" customFormat="1" x14ac:dyDescent="0.25">
      <c r="Y286" s="98"/>
    </row>
    <row r="287" spans="25:25" s="28" customFormat="1" x14ac:dyDescent="0.25">
      <c r="Y287" s="98"/>
    </row>
    <row r="288" spans="25:25" s="28" customFormat="1" x14ac:dyDescent="0.25">
      <c r="Y288" s="98"/>
    </row>
    <row r="289" spans="25:25" s="28" customFormat="1" x14ac:dyDescent="0.25">
      <c r="Y289" s="98"/>
    </row>
    <row r="290" spans="25:25" s="28" customFormat="1" x14ac:dyDescent="0.25">
      <c r="Y290" s="98"/>
    </row>
    <row r="291" spans="25:25" s="28" customFormat="1" x14ac:dyDescent="0.25">
      <c r="Y291" s="98"/>
    </row>
    <row r="292" spans="25:25" s="28" customFormat="1" x14ac:dyDescent="0.25">
      <c r="Y292" s="98"/>
    </row>
    <row r="293" spans="25:25" s="28" customFormat="1" x14ac:dyDescent="0.25">
      <c r="Y293" s="98"/>
    </row>
    <row r="294" spans="25:25" s="28" customFormat="1" x14ac:dyDescent="0.25">
      <c r="Y294" s="98"/>
    </row>
    <row r="295" spans="25:25" s="28" customFormat="1" x14ac:dyDescent="0.25">
      <c r="Y295" s="98"/>
    </row>
    <row r="296" spans="25:25" s="28" customFormat="1" x14ac:dyDescent="0.25">
      <c r="Y296" s="98"/>
    </row>
    <row r="297" spans="25:25" s="28" customFormat="1" x14ac:dyDescent="0.25">
      <c r="Y297" s="98"/>
    </row>
    <row r="298" spans="25:25" s="28" customFormat="1" x14ac:dyDescent="0.25">
      <c r="Y298" s="98"/>
    </row>
    <row r="299" spans="25:25" s="28" customFormat="1" x14ac:dyDescent="0.25">
      <c r="Y299" s="98"/>
    </row>
    <row r="300" spans="25:25" s="28" customFormat="1" x14ac:dyDescent="0.25">
      <c r="Y300" s="98"/>
    </row>
    <row r="301" spans="25:25" s="28" customFormat="1" x14ac:dyDescent="0.25">
      <c r="Y301" s="98"/>
    </row>
    <row r="302" spans="25:25" s="28" customFormat="1" x14ac:dyDescent="0.25">
      <c r="Y302" s="98"/>
    </row>
    <row r="303" spans="25:25" s="28" customFormat="1" x14ac:dyDescent="0.25">
      <c r="Y303" s="98"/>
    </row>
    <row r="304" spans="25:25" s="28" customFormat="1" x14ac:dyDescent="0.25">
      <c r="Y304" s="98"/>
    </row>
    <row r="305" spans="25:25" s="28" customFormat="1" x14ac:dyDescent="0.25">
      <c r="Y305" s="98"/>
    </row>
    <row r="306" spans="25:25" s="28" customFormat="1" x14ac:dyDescent="0.25">
      <c r="Y306" s="98"/>
    </row>
    <row r="307" spans="25:25" s="28" customFormat="1" x14ac:dyDescent="0.25">
      <c r="Y307" s="98"/>
    </row>
    <row r="308" spans="25:25" s="28" customFormat="1" x14ac:dyDescent="0.25">
      <c r="Y308" s="98"/>
    </row>
    <row r="309" spans="25:25" s="28" customFormat="1" x14ac:dyDescent="0.25">
      <c r="Y309" s="98"/>
    </row>
    <row r="310" spans="25:25" s="28" customFormat="1" x14ac:dyDescent="0.25">
      <c r="Y310" s="98"/>
    </row>
    <row r="311" spans="25:25" s="28" customFormat="1" x14ac:dyDescent="0.25">
      <c r="Y311" s="98"/>
    </row>
    <row r="312" spans="25:25" s="28" customFormat="1" x14ac:dyDescent="0.25">
      <c r="Y312" s="98"/>
    </row>
    <row r="313" spans="25:25" s="28" customFormat="1" x14ac:dyDescent="0.25">
      <c r="Y313" s="98"/>
    </row>
    <row r="314" spans="25:25" s="28" customFormat="1" x14ac:dyDescent="0.25">
      <c r="Y314" s="98"/>
    </row>
    <row r="315" spans="25:25" s="28" customFormat="1" x14ac:dyDescent="0.25">
      <c r="Y315" s="98"/>
    </row>
    <row r="316" spans="25:25" s="28" customFormat="1" x14ac:dyDescent="0.25">
      <c r="Y316" s="98"/>
    </row>
    <row r="317" spans="25:25" s="28" customFormat="1" x14ac:dyDescent="0.25">
      <c r="Y317" s="98"/>
    </row>
    <row r="318" spans="25:25" s="28" customFormat="1" x14ac:dyDescent="0.25">
      <c r="Y318" s="98"/>
    </row>
    <row r="319" spans="25:25" s="28" customFormat="1" x14ac:dyDescent="0.25">
      <c r="Y319" s="98"/>
    </row>
    <row r="320" spans="25:25" s="28" customFormat="1" x14ac:dyDescent="0.25">
      <c r="Y320" s="98"/>
    </row>
    <row r="321" spans="25:25" s="28" customFormat="1" x14ac:dyDescent="0.25">
      <c r="Y321" s="98"/>
    </row>
    <row r="322" spans="25:25" s="28" customFormat="1" x14ac:dyDescent="0.25">
      <c r="Y322" s="98"/>
    </row>
    <row r="323" spans="25:25" s="28" customFormat="1" x14ac:dyDescent="0.25">
      <c r="Y323" s="98"/>
    </row>
    <row r="324" spans="25:25" s="28" customFormat="1" x14ac:dyDescent="0.25">
      <c r="Y324" s="98"/>
    </row>
    <row r="325" spans="25:25" s="28" customFormat="1" x14ac:dyDescent="0.25">
      <c r="Y325" s="98"/>
    </row>
    <row r="326" spans="25:25" s="28" customFormat="1" x14ac:dyDescent="0.25">
      <c r="Y326" s="98"/>
    </row>
    <row r="327" spans="25:25" s="28" customFormat="1" x14ac:dyDescent="0.25">
      <c r="Y327" s="98"/>
    </row>
    <row r="328" spans="25:25" s="28" customFormat="1" x14ac:dyDescent="0.25">
      <c r="Y328" s="98"/>
    </row>
    <row r="329" spans="25:25" s="28" customFormat="1" x14ac:dyDescent="0.25">
      <c r="Y329" s="98"/>
    </row>
    <row r="330" spans="25:25" s="28" customFormat="1" x14ac:dyDescent="0.25">
      <c r="Y330" s="98"/>
    </row>
    <row r="331" spans="25:25" s="28" customFormat="1" x14ac:dyDescent="0.25">
      <c r="Y331" s="98"/>
    </row>
    <row r="332" spans="25:25" s="28" customFormat="1" x14ac:dyDescent="0.25">
      <c r="Y332" s="98"/>
    </row>
    <row r="333" spans="25:25" s="28" customFormat="1" x14ac:dyDescent="0.25">
      <c r="Y333" s="98"/>
    </row>
    <row r="334" spans="25:25" s="28" customFormat="1" x14ac:dyDescent="0.25">
      <c r="Y334" s="98"/>
    </row>
    <row r="335" spans="25:25" s="28" customFormat="1" x14ac:dyDescent="0.25">
      <c r="Y335" s="98"/>
    </row>
    <row r="336" spans="25:25" s="28" customFormat="1" x14ac:dyDescent="0.25">
      <c r="Y336" s="98"/>
    </row>
    <row r="337" spans="25:25" s="28" customFormat="1" x14ac:dyDescent="0.25">
      <c r="Y337" s="98"/>
    </row>
    <row r="338" spans="25:25" s="28" customFormat="1" x14ac:dyDescent="0.25">
      <c r="Y338" s="98"/>
    </row>
    <row r="339" spans="25:25" s="28" customFormat="1" x14ac:dyDescent="0.25">
      <c r="Y339" s="98"/>
    </row>
    <row r="340" spans="25:25" s="28" customFormat="1" x14ac:dyDescent="0.25">
      <c r="Y340" s="98"/>
    </row>
    <row r="341" spans="25:25" s="28" customFormat="1" x14ac:dyDescent="0.25">
      <c r="Y341" s="98"/>
    </row>
    <row r="342" spans="25:25" s="28" customFormat="1" x14ac:dyDescent="0.25">
      <c r="Y342" s="98"/>
    </row>
    <row r="343" spans="25:25" s="28" customFormat="1" x14ac:dyDescent="0.25">
      <c r="Y343" s="98"/>
    </row>
    <row r="344" spans="25:25" s="28" customFormat="1" x14ac:dyDescent="0.25">
      <c r="Y344" s="98"/>
    </row>
    <row r="345" spans="25:25" s="28" customFormat="1" x14ac:dyDescent="0.25">
      <c r="Y345" s="98"/>
    </row>
    <row r="346" spans="25:25" s="28" customFormat="1" x14ac:dyDescent="0.25">
      <c r="Y346" s="98"/>
    </row>
    <row r="347" spans="25:25" s="28" customFormat="1" x14ac:dyDescent="0.25">
      <c r="Y347" s="98"/>
    </row>
    <row r="348" spans="25:25" s="28" customFormat="1" x14ac:dyDescent="0.25">
      <c r="Y348" s="98"/>
    </row>
    <row r="349" spans="25:25" s="28" customFormat="1" x14ac:dyDescent="0.25">
      <c r="Y349" s="98"/>
    </row>
    <row r="350" spans="25:25" s="28" customFormat="1" x14ac:dyDescent="0.25">
      <c r="Y350" s="98"/>
    </row>
    <row r="351" spans="25:25" s="28" customFormat="1" x14ac:dyDescent="0.25">
      <c r="Y351" s="98"/>
    </row>
    <row r="352" spans="25:25" s="28" customFormat="1" x14ac:dyDescent="0.25">
      <c r="Y352" s="98"/>
    </row>
    <row r="353" spans="25:25" s="28" customFormat="1" x14ac:dyDescent="0.25">
      <c r="Y353" s="98"/>
    </row>
    <row r="354" spans="25:25" s="28" customFormat="1" x14ac:dyDescent="0.25">
      <c r="Y354" s="98"/>
    </row>
    <row r="355" spans="25:25" s="28" customFormat="1" x14ac:dyDescent="0.25">
      <c r="Y355" s="98"/>
    </row>
    <row r="356" spans="25:25" s="28" customFormat="1" x14ac:dyDescent="0.25">
      <c r="Y356" s="98"/>
    </row>
    <row r="357" spans="25:25" s="28" customFormat="1" x14ac:dyDescent="0.25">
      <c r="Y357" s="98"/>
    </row>
    <row r="358" spans="25:25" s="28" customFormat="1" x14ac:dyDescent="0.25">
      <c r="Y358" s="98"/>
    </row>
    <row r="359" spans="25:25" s="28" customFormat="1" x14ac:dyDescent="0.25">
      <c r="Y359" s="98"/>
    </row>
    <row r="360" spans="25:25" s="28" customFormat="1" x14ac:dyDescent="0.25">
      <c r="Y360" s="98"/>
    </row>
    <row r="361" spans="25:25" s="28" customFormat="1" x14ac:dyDescent="0.25">
      <c r="Y361" s="98"/>
    </row>
    <row r="362" spans="25:25" s="28" customFormat="1" x14ac:dyDescent="0.25">
      <c r="Y362" s="98"/>
    </row>
    <row r="363" spans="25:25" s="28" customFormat="1" x14ac:dyDescent="0.25">
      <c r="Y363" s="98"/>
    </row>
    <row r="364" spans="25:25" s="28" customFormat="1" x14ac:dyDescent="0.25">
      <c r="Y364" s="98"/>
    </row>
    <row r="365" spans="25:25" s="28" customFormat="1" x14ac:dyDescent="0.25">
      <c r="Y365" s="98"/>
    </row>
    <row r="366" spans="25:25" s="28" customFormat="1" x14ac:dyDescent="0.25">
      <c r="Y366" s="98"/>
    </row>
    <row r="367" spans="25:25" s="28" customFormat="1" x14ac:dyDescent="0.25">
      <c r="Y367" s="98"/>
    </row>
    <row r="368" spans="25:25" s="28" customFormat="1" x14ac:dyDescent="0.25">
      <c r="Y368" s="98"/>
    </row>
    <row r="369" spans="25:25" s="28" customFormat="1" x14ac:dyDescent="0.25">
      <c r="Y369" s="98"/>
    </row>
    <row r="370" spans="25:25" s="28" customFormat="1" x14ac:dyDescent="0.25">
      <c r="Y370" s="98"/>
    </row>
    <row r="371" spans="25:25" s="28" customFormat="1" x14ac:dyDescent="0.25">
      <c r="Y371" s="98"/>
    </row>
    <row r="372" spans="25:25" s="28" customFormat="1" x14ac:dyDescent="0.25">
      <c r="Y372" s="98"/>
    </row>
    <row r="373" spans="25:25" s="28" customFormat="1" x14ac:dyDescent="0.25">
      <c r="Y373" s="98"/>
    </row>
    <row r="374" spans="25:25" s="28" customFormat="1" x14ac:dyDescent="0.25">
      <c r="Y374" s="98"/>
    </row>
    <row r="375" spans="25:25" s="28" customFormat="1" x14ac:dyDescent="0.25">
      <c r="Y375" s="98"/>
    </row>
    <row r="376" spans="25:25" s="28" customFormat="1" x14ac:dyDescent="0.25">
      <c r="Y376" s="98"/>
    </row>
    <row r="377" spans="25:25" s="28" customFormat="1" x14ac:dyDescent="0.25">
      <c r="Y377" s="98"/>
    </row>
    <row r="378" spans="25:25" s="28" customFormat="1" x14ac:dyDescent="0.25">
      <c r="Y378" s="98"/>
    </row>
    <row r="379" spans="25:25" s="28" customFormat="1" x14ac:dyDescent="0.25">
      <c r="Y379" s="98"/>
    </row>
    <row r="380" spans="25:25" s="28" customFormat="1" x14ac:dyDescent="0.25">
      <c r="Y380" s="98"/>
    </row>
    <row r="381" spans="25:25" s="28" customFormat="1" x14ac:dyDescent="0.25">
      <c r="Y381" s="98"/>
    </row>
    <row r="382" spans="25:25" s="28" customFormat="1" x14ac:dyDescent="0.25">
      <c r="Y382" s="98"/>
    </row>
    <row r="383" spans="25:25" s="28" customFormat="1" x14ac:dyDescent="0.25">
      <c r="Y383" s="98"/>
    </row>
    <row r="384" spans="25:25" s="28" customFormat="1" x14ac:dyDescent="0.25">
      <c r="Y384" s="98"/>
    </row>
    <row r="385" spans="25:25" s="28" customFormat="1" x14ac:dyDescent="0.25">
      <c r="Y385" s="98"/>
    </row>
    <row r="386" spans="25:25" s="28" customFormat="1" x14ac:dyDescent="0.25">
      <c r="Y386" s="98"/>
    </row>
    <row r="387" spans="25:25" s="28" customFormat="1" x14ac:dyDescent="0.25">
      <c r="Y387" s="98"/>
    </row>
    <row r="388" spans="25:25" s="28" customFormat="1" x14ac:dyDescent="0.25">
      <c r="Y388" s="98"/>
    </row>
    <row r="389" spans="25:25" s="28" customFormat="1" x14ac:dyDescent="0.25">
      <c r="Y389" s="98"/>
    </row>
    <row r="390" spans="25:25" s="28" customFormat="1" x14ac:dyDescent="0.25">
      <c r="Y390" s="98"/>
    </row>
    <row r="391" spans="25:25" s="28" customFormat="1" x14ac:dyDescent="0.25">
      <c r="Y391" s="98"/>
    </row>
    <row r="392" spans="25:25" s="28" customFormat="1" x14ac:dyDescent="0.25">
      <c r="Y392" s="98"/>
    </row>
    <row r="393" spans="25:25" s="28" customFormat="1" x14ac:dyDescent="0.25">
      <c r="Y393" s="98"/>
    </row>
    <row r="394" spans="25:25" s="28" customFormat="1" x14ac:dyDescent="0.25">
      <c r="Y394" s="98"/>
    </row>
    <row r="395" spans="25:25" s="28" customFormat="1" x14ac:dyDescent="0.25">
      <c r="Y395" s="98"/>
    </row>
    <row r="396" spans="25:25" s="28" customFormat="1" x14ac:dyDescent="0.25">
      <c r="Y396" s="98"/>
    </row>
    <row r="397" spans="25:25" s="28" customFormat="1" x14ac:dyDescent="0.25">
      <c r="Y397" s="98"/>
    </row>
    <row r="398" spans="25:25" s="28" customFormat="1" x14ac:dyDescent="0.25">
      <c r="Y398" s="98"/>
    </row>
    <row r="399" spans="25:25" s="28" customFormat="1" x14ac:dyDescent="0.25">
      <c r="Y399" s="98"/>
    </row>
    <row r="400" spans="25:25" s="28" customFormat="1" x14ac:dyDescent="0.25">
      <c r="Y400" s="98"/>
    </row>
    <row r="401" spans="25:25" s="28" customFormat="1" x14ac:dyDescent="0.25">
      <c r="Y401" s="98"/>
    </row>
    <row r="402" spans="25:25" s="28" customFormat="1" x14ac:dyDescent="0.25">
      <c r="Y402" s="98"/>
    </row>
    <row r="403" spans="25:25" s="28" customFormat="1" x14ac:dyDescent="0.25">
      <c r="Y403" s="98"/>
    </row>
    <row r="404" spans="25:25" s="28" customFormat="1" x14ac:dyDescent="0.25">
      <c r="Y404" s="98"/>
    </row>
    <row r="405" spans="25:25" s="28" customFormat="1" x14ac:dyDescent="0.25">
      <c r="Y405" s="98"/>
    </row>
    <row r="406" spans="25:25" s="28" customFormat="1" x14ac:dyDescent="0.25">
      <c r="Y406" s="98"/>
    </row>
    <row r="407" spans="25:25" s="28" customFormat="1" x14ac:dyDescent="0.25">
      <c r="Y407" s="98"/>
    </row>
    <row r="408" spans="25:25" s="28" customFormat="1" x14ac:dyDescent="0.25">
      <c r="Y408" s="98"/>
    </row>
    <row r="409" spans="25:25" s="28" customFormat="1" x14ac:dyDescent="0.25">
      <c r="Y409" s="98"/>
    </row>
    <row r="410" spans="25:25" s="28" customFormat="1" x14ac:dyDescent="0.25">
      <c r="Y410" s="98"/>
    </row>
    <row r="411" spans="25:25" s="28" customFormat="1" x14ac:dyDescent="0.25">
      <c r="Y411" s="98"/>
    </row>
    <row r="412" spans="25:25" s="28" customFormat="1" x14ac:dyDescent="0.25">
      <c r="Y412" s="98"/>
    </row>
    <row r="413" spans="25:25" s="28" customFormat="1" x14ac:dyDescent="0.25">
      <c r="Y413" s="98"/>
    </row>
    <row r="414" spans="25:25" s="28" customFormat="1" x14ac:dyDescent="0.25">
      <c r="Y414" s="98"/>
    </row>
    <row r="415" spans="25:25" s="28" customFormat="1" x14ac:dyDescent="0.25">
      <c r="Y415" s="98"/>
    </row>
    <row r="416" spans="25:25" s="28" customFormat="1" x14ac:dyDescent="0.25">
      <c r="Y416" s="98"/>
    </row>
    <row r="417" spans="25:25" s="28" customFormat="1" x14ac:dyDescent="0.25">
      <c r="Y417" s="98"/>
    </row>
    <row r="418" spans="25:25" s="28" customFormat="1" x14ac:dyDescent="0.25">
      <c r="Y418" s="98"/>
    </row>
    <row r="419" spans="25:25" s="28" customFormat="1" x14ac:dyDescent="0.25">
      <c r="Y419" s="98"/>
    </row>
    <row r="420" spans="25:25" s="28" customFormat="1" x14ac:dyDescent="0.25">
      <c r="Y420" s="98"/>
    </row>
    <row r="421" spans="25:25" s="28" customFormat="1" x14ac:dyDescent="0.25">
      <c r="Y421" s="98"/>
    </row>
    <row r="422" spans="25:25" s="28" customFormat="1" x14ac:dyDescent="0.25">
      <c r="Y422" s="98"/>
    </row>
    <row r="423" spans="25:25" s="28" customFormat="1" x14ac:dyDescent="0.25">
      <c r="Y423" s="98"/>
    </row>
    <row r="424" spans="25:25" s="28" customFormat="1" x14ac:dyDescent="0.25">
      <c r="Y424" s="98"/>
    </row>
    <row r="425" spans="25:25" s="28" customFormat="1" x14ac:dyDescent="0.25">
      <c r="Y425" s="98"/>
    </row>
    <row r="426" spans="25:25" s="28" customFormat="1" x14ac:dyDescent="0.25">
      <c r="Y426" s="98"/>
    </row>
    <row r="427" spans="25:25" s="28" customFormat="1" x14ac:dyDescent="0.25">
      <c r="Y427" s="98"/>
    </row>
    <row r="428" spans="25:25" s="28" customFormat="1" x14ac:dyDescent="0.25">
      <c r="Y428" s="98"/>
    </row>
    <row r="429" spans="25:25" s="28" customFormat="1" x14ac:dyDescent="0.25">
      <c r="Y429" s="98"/>
    </row>
    <row r="430" spans="25:25" s="28" customFormat="1" x14ac:dyDescent="0.25">
      <c r="Y430" s="98"/>
    </row>
    <row r="431" spans="25:25" s="28" customFormat="1" x14ac:dyDescent="0.25">
      <c r="Y431" s="98"/>
    </row>
    <row r="432" spans="25:25" s="28" customFormat="1" x14ac:dyDescent="0.25">
      <c r="Y432" s="98"/>
    </row>
    <row r="433" spans="25:25" s="28" customFormat="1" x14ac:dyDescent="0.25">
      <c r="Y433" s="98"/>
    </row>
    <row r="434" spans="25:25" s="28" customFormat="1" x14ac:dyDescent="0.25">
      <c r="Y434" s="98"/>
    </row>
    <row r="435" spans="25:25" s="28" customFormat="1" x14ac:dyDescent="0.25">
      <c r="Y435" s="98"/>
    </row>
    <row r="436" spans="25:25" s="28" customFormat="1" x14ac:dyDescent="0.25">
      <c r="Y436" s="98"/>
    </row>
    <row r="437" spans="25:25" s="28" customFormat="1" x14ac:dyDescent="0.25">
      <c r="Y437" s="98"/>
    </row>
    <row r="438" spans="25:25" s="28" customFormat="1" x14ac:dyDescent="0.25">
      <c r="Y438" s="98"/>
    </row>
    <row r="439" spans="25:25" s="28" customFormat="1" x14ac:dyDescent="0.25">
      <c r="Y439" s="98"/>
    </row>
    <row r="440" spans="25:25" s="28" customFormat="1" x14ac:dyDescent="0.25">
      <c r="Y440" s="98"/>
    </row>
    <row r="441" spans="25:25" s="28" customFormat="1" x14ac:dyDescent="0.25">
      <c r="Y441" s="98"/>
    </row>
    <row r="442" spans="25:25" s="28" customFormat="1" x14ac:dyDescent="0.25">
      <c r="Y442" s="98"/>
    </row>
    <row r="443" spans="25:25" s="28" customFormat="1" x14ac:dyDescent="0.25">
      <c r="Y443" s="98"/>
    </row>
    <row r="444" spans="25:25" s="28" customFormat="1" x14ac:dyDescent="0.25">
      <c r="Y444" s="98"/>
    </row>
    <row r="445" spans="25:25" s="28" customFormat="1" x14ac:dyDescent="0.25">
      <c r="Y445" s="98"/>
    </row>
    <row r="446" spans="25:25" s="28" customFormat="1" x14ac:dyDescent="0.25">
      <c r="Y446" s="98"/>
    </row>
    <row r="447" spans="25:25" s="28" customFormat="1" x14ac:dyDescent="0.25">
      <c r="Y447" s="98"/>
    </row>
    <row r="448" spans="25:25" s="28" customFormat="1" x14ac:dyDescent="0.25">
      <c r="Y448" s="98"/>
    </row>
    <row r="449" spans="25:25" s="28" customFormat="1" x14ac:dyDescent="0.25">
      <c r="Y449" s="98"/>
    </row>
    <row r="450" spans="25:25" s="28" customFormat="1" x14ac:dyDescent="0.25">
      <c r="Y450" s="98"/>
    </row>
    <row r="451" spans="25:25" s="28" customFormat="1" x14ac:dyDescent="0.25">
      <c r="Y451" s="98"/>
    </row>
    <row r="452" spans="25:25" s="28" customFormat="1" x14ac:dyDescent="0.25">
      <c r="Y452" s="98"/>
    </row>
    <row r="453" spans="25:25" s="28" customFormat="1" x14ac:dyDescent="0.25">
      <c r="Y453" s="98"/>
    </row>
    <row r="454" spans="25:25" s="28" customFormat="1" x14ac:dyDescent="0.25">
      <c r="Y454" s="98"/>
    </row>
    <row r="455" spans="25:25" s="28" customFormat="1" x14ac:dyDescent="0.25">
      <c r="Y455" s="98"/>
    </row>
    <row r="456" spans="25:25" s="28" customFormat="1" x14ac:dyDescent="0.25">
      <c r="Y456" s="98"/>
    </row>
    <row r="457" spans="25:25" s="28" customFormat="1" x14ac:dyDescent="0.25">
      <c r="Y457" s="98"/>
    </row>
    <row r="458" spans="25:25" s="28" customFormat="1" x14ac:dyDescent="0.25">
      <c r="Y458" s="98"/>
    </row>
    <row r="459" spans="25:25" s="28" customFormat="1" x14ac:dyDescent="0.25">
      <c r="Y459" s="98"/>
    </row>
    <row r="460" spans="25:25" s="28" customFormat="1" x14ac:dyDescent="0.25">
      <c r="Y460" s="98"/>
    </row>
    <row r="461" spans="25:25" s="28" customFormat="1" x14ac:dyDescent="0.25">
      <c r="Y461" s="98"/>
    </row>
    <row r="462" spans="25:25" s="28" customFormat="1" x14ac:dyDescent="0.25">
      <c r="Y462" s="98"/>
    </row>
    <row r="463" spans="25:25" s="28" customFormat="1" x14ac:dyDescent="0.25">
      <c r="Y463" s="98"/>
    </row>
    <row r="464" spans="25:25" s="28" customFormat="1" x14ac:dyDescent="0.25">
      <c r="Y464" s="98"/>
    </row>
    <row r="465" spans="25:25" s="28" customFormat="1" x14ac:dyDescent="0.25">
      <c r="Y465" s="98"/>
    </row>
    <row r="466" spans="25:25" s="28" customFormat="1" x14ac:dyDescent="0.25">
      <c r="Y466" s="98"/>
    </row>
    <row r="467" spans="25:25" s="28" customFormat="1" x14ac:dyDescent="0.25">
      <c r="Y467" s="98"/>
    </row>
    <row r="468" spans="25:25" s="28" customFormat="1" x14ac:dyDescent="0.25">
      <c r="Y468" s="98"/>
    </row>
    <row r="469" spans="25:25" s="28" customFormat="1" x14ac:dyDescent="0.25">
      <c r="Y469" s="98"/>
    </row>
    <row r="470" spans="25:25" s="28" customFormat="1" x14ac:dyDescent="0.25">
      <c r="Y470" s="98"/>
    </row>
    <row r="471" spans="25:25" s="28" customFormat="1" x14ac:dyDescent="0.25">
      <c r="Y471" s="98"/>
    </row>
    <row r="472" spans="25:25" s="28" customFormat="1" x14ac:dyDescent="0.25">
      <c r="Y472" s="98"/>
    </row>
    <row r="473" spans="25:25" s="28" customFormat="1" x14ac:dyDescent="0.25">
      <c r="Y473" s="98"/>
    </row>
    <row r="474" spans="25:25" s="28" customFormat="1" x14ac:dyDescent="0.25">
      <c r="Y474" s="98"/>
    </row>
    <row r="475" spans="25:25" s="28" customFormat="1" x14ac:dyDescent="0.25">
      <c r="Y475" s="98"/>
    </row>
    <row r="476" spans="25:25" s="28" customFormat="1" x14ac:dyDescent="0.25">
      <c r="Y476" s="98"/>
    </row>
    <row r="477" spans="25:25" s="28" customFormat="1" x14ac:dyDescent="0.25">
      <c r="Y477" s="98"/>
    </row>
    <row r="478" spans="25:25" s="28" customFormat="1" x14ac:dyDescent="0.25">
      <c r="Y478" s="98"/>
    </row>
    <row r="479" spans="25:25" s="28" customFormat="1" x14ac:dyDescent="0.25">
      <c r="Y479" s="98"/>
    </row>
    <row r="480" spans="25:25" s="28" customFormat="1" x14ac:dyDescent="0.25">
      <c r="Y480" s="98"/>
    </row>
    <row r="481" spans="25:25" s="28" customFormat="1" x14ac:dyDescent="0.25">
      <c r="Y481" s="98"/>
    </row>
    <row r="482" spans="25:25" s="28" customFormat="1" x14ac:dyDescent="0.25">
      <c r="Y482" s="98"/>
    </row>
    <row r="483" spans="25:25" s="28" customFormat="1" x14ac:dyDescent="0.25">
      <c r="Y483" s="98"/>
    </row>
    <row r="484" spans="25:25" s="28" customFormat="1" x14ac:dyDescent="0.25">
      <c r="Y484" s="98"/>
    </row>
    <row r="485" spans="25:25" s="28" customFormat="1" x14ac:dyDescent="0.25">
      <c r="Y485" s="98"/>
    </row>
    <row r="486" spans="25:25" s="28" customFormat="1" x14ac:dyDescent="0.25">
      <c r="Y486" s="98"/>
    </row>
    <row r="487" spans="25:25" s="28" customFormat="1" x14ac:dyDescent="0.25">
      <c r="Y487" s="98"/>
    </row>
    <row r="488" spans="25:25" s="28" customFormat="1" x14ac:dyDescent="0.25">
      <c r="Y488" s="98"/>
    </row>
    <row r="489" spans="25:25" s="28" customFormat="1" x14ac:dyDescent="0.25">
      <c r="Y489" s="98"/>
    </row>
    <row r="490" spans="25:25" s="28" customFormat="1" x14ac:dyDescent="0.25">
      <c r="Y490" s="98"/>
    </row>
    <row r="491" spans="25:25" s="28" customFormat="1" x14ac:dyDescent="0.25">
      <c r="Y491" s="98"/>
    </row>
    <row r="492" spans="25:25" s="28" customFormat="1" x14ac:dyDescent="0.25">
      <c r="Y492" s="98"/>
    </row>
    <row r="493" spans="25:25" s="28" customFormat="1" x14ac:dyDescent="0.25">
      <c r="Y493" s="98"/>
    </row>
    <row r="494" spans="25:25" s="28" customFormat="1" x14ac:dyDescent="0.25">
      <c r="Y494" s="98"/>
    </row>
    <row r="495" spans="25:25" s="28" customFormat="1" x14ac:dyDescent="0.25">
      <c r="Y495" s="98"/>
    </row>
    <row r="496" spans="25:25" s="28" customFormat="1" x14ac:dyDescent="0.25">
      <c r="Y496" s="98"/>
    </row>
    <row r="497" spans="25:25" s="28" customFormat="1" x14ac:dyDescent="0.25">
      <c r="Y497" s="98"/>
    </row>
    <row r="498" spans="25:25" s="28" customFormat="1" x14ac:dyDescent="0.25">
      <c r="Y498" s="98"/>
    </row>
    <row r="499" spans="25:25" s="28" customFormat="1" x14ac:dyDescent="0.25">
      <c r="Y499" s="98"/>
    </row>
    <row r="500" spans="25:25" s="28" customFormat="1" x14ac:dyDescent="0.25">
      <c r="Y500" s="98"/>
    </row>
    <row r="501" spans="25:25" s="28" customFormat="1" x14ac:dyDescent="0.25">
      <c r="Y501" s="98"/>
    </row>
    <row r="502" spans="25:25" s="28" customFormat="1" x14ac:dyDescent="0.25">
      <c r="Y502" s="98"/>
    </row>
    <row r="503" spans="25:25" s="28" customFormat="1" x14ac:dyDescent="0.25">
      <c r="Y503" s="98"/>
    </row>
    <row r="504" spans="25:25" s="28" customFormat="1" x14ac:dyDescent="0.25">
      <c r="Y504" s="98"/>
    </row>
    <row r="505" spans="25:25" s="28" customFormat="1" x14ac:dyDescent="0.25">
      <c r="Y505" s="98"/>
    </row>
    <row r="506" spans="25:25" s="28" customFormat="1" x14ac:dyDescent="0.25">
      <c r="Y506" s="98"/>
    </row>
    <row r="507" spans="25:25" s="28" customFormat="1" x14ac:dyDescent="0.25">
      <c r="Y507" s="98"/>
    </row>
    <row r="508" spans="25:25" s="28" customFormat="1" x14ac:dyDescent="0.25">
      <c r="Y508" s="98"/>
    </row>
    <row r="509" spans="25:25" s="28" customFormat="1" x14ac:dyDescent="0.25">
      <c r="Y509" s="98"/>
    </row>
    <row r="510" spans="25:25" s="28" customFormat="1" x14ac:dyDescent="0.25">
      <c r="Y510" s="98"/>
    </row>
    <row r="511" spans="25:25" s="28" customFormat="1" x14ac:dyDescent="0.25">
      <c r="Y511" s="98"/>
    </row>
    <row r="512" spans="25:25" s="28" customFormat="1" x14ac:dyDescent="0.25">
      <c r="Y512" s="98"/>
    </row>
    <row r="513" spans="25:25" s="28" customFormat="1" x14ac:dyDescent="0.25">
      <c r="Y513" s="98"/>
    </row>
    <row r="514" spans="25:25" s="28" customFormat="1" x14ac:dyDescent="0.25">
      <c r="Y514" s="98"/>
    </row>
    <row r="515" spans="25:25" s="28" customFormat="1" x14ac:dyDescent="0.25">
      <c r="Y515" s="98"/>
    </row>
    <row r="516" spans="25:25" s="28" customFormat="1" x14ac:dyDescent="0.25">
      <c r="Y516" s="98"/>
    </row>
    <row r="517" spans="25:25" s="28" customFormat="1" x14ac:dyDescent="0.25">
      <c r="Y517" s="98"/>
    </row>
    <row r="518" spans="25:25" s="28" customFormat="1" x14ac:dyDescent="0.25">
      <c r="Y518" s="98"/>
    </row>
    <row r="519" spans="25:25" s="28" customFormat="1" x14ac:dyDescent="0.25">
      <c r="Y519" s="98"/>
    </row>
    <row r="520" spans="25:25" s="28" customFormat="1" x14ac:dyDescent="0.25">
      <c r="Y520" s="98"/>
    </row>
    <row r="521" spans="25:25" s="28" customFormat="1" x14ac:dyDescent="0.25">
      <c r="Y521" s="98"/>
    </row>
    <row r="522" spans="25:25" s="28" customFormat="1" x14ac:dyDescent="0.25">
      <c r="Y522" s="98"/>
    </row>
    <row r="523" spans="25:25" s="28" customFormat="1" x14ac:dyDescent="0.25">
      <c r="Y523" s="98"/>
    </row>
    <row r="524" spans="25:25" s="28" customFormat="1" x14ac:dyDescent="0.25">
      <c r="Y524" s="98"/>
    </row>
    <row r="525" spans="25:25" s="28" customFormat="1" x14ac:dyDescent="0.25">
      <c r="Y525" s="98"/>
    </row>
    <row r="526" spans="25:25" s="28" customFormat="1" x14ac:dyDescent="0.25">
      <c r="Y526" s="98"/>
    </row>
    <row r="527" spans="25:25" s="28" customFormat="1" x14ac:dyDescent="0.25">
      <c r="Y527" s="98"/>
    </row>
    <row r="528" spans="25:25" s="28" customFormat="1" x14ac:dyDescent="0.25">
      <c r="Y528" s="98"/>
    </row>
    <row r="529" spans="25:25" s="28" customFormat="1" x14ac:dyDescent="0.25">
      <c r="Y529" s="98"/>
    </row>
    <row r="530" spans="25:25" s="28" customFormat="1" x14ac:dyDescent="0.25">
      <c r="Y530" s="98"/>
    </row>
    <row r="531" spans="25:25" s="28" customFormat="1" x14ac:dyDescent="0.25">
      <c r="Y531" s="98"/>
    </row>
    <row r="532" spans="25:25" s="28" customFormat="1" x14ac:dyDescent="0.25">
      <c r="Y532" s="98"/>
    </row>
    <row r="533" spans="25:25" s="28" customFormat="1" x14ac:dyDescent="0.25">
      <c r="Y533" s="98"/>
    </row>
    <row r="534" spans="25:25" s="28" customFormat="1" x14ac:dyDescent="0.25">
      <c r="Y534" s="98"/>
    </row>
    <row r="535" spans="25:25" s="28" customFormat="1" x14ac:dyDescent="0.25">
      <c r="Y535" s="98"/>
    </row>
    <row r="536" spans="25:25" s="28" customFormat="1" x14ac:dyDescent="0.25">
      <c r="Y536" s="98"/>
    </row>
    <row r="537" spans="25:25" s="28" customFormat="1" x14ac:dyDescent="0.25">
      <c r="Y537" s="98"/>
    </row>
    <row r="538" spans="25:25" s="28" customFormat="1" x14ac:dyDescent="0.25">
      <c r="Y538" s="98"/>
    </row>
    <row r="539" spans="25:25" s="28" customFormat="1" x14ac:dyDescent="0.25">
      <c r="Y539" s="98"/>
    </row>
    <row r="540" spans="25:25" s="28" customFormat="1" x14ac:dyDescent="0.25">
      <c r="Y540" s="98"/>
    </row>
    <row r="541" spans="25:25" s="28" customFormat="1" x14ac:dyDescent="0.25">
      <c r="Y541" s="98"/>
    </row>
    <row r="542" spans="25:25" s="28" customFormat="1" x14ac:dyDescent="0.25">
      <c r="Y542" s="98"/>
    </row>
    <row r="543" spans="25:25" s="28" customFormat="1" x14ac:dyDescent="0.25">
      <c r="Y543" s="98"/>
    </row>
    <row r="544" spans="25:25" s="28" customFormat="1" x14ac:dyDescent="0.25">
      <c r="Y544" s="98"/>
    </row>
    <row r="545" spans="25:25" s="28" customFormat="1" x14ac:dyDescent="0.25">
      <c r="Y545" s="98"/>
    </row>
    <row r="546" spans="25:25" s="28" customFormat="1" x14ac:dyDescent="0.25">
      <c r="Y546" s="98"/>
    </row>
    <row r="547" spans="25:25" s="28" customFormat="1" x14ac:dyDescent="0.25">
      <c r="Y547" s="98"/>
    </row>
    <row r="548" spans="25:25" s="28" customFormat="1" x14ac:dyDescent="0.25">
      <c r="Y548" s="98"/>
    </row>
    <row r="549" spans="25:25" s="28" customFormat="1" x14ac:dyDescent="0.25">
      <c r="Y549" s="98"/>
    </row>
    <row r="550" spans="25:25" s="28" customFormat="1" x14ac:dyDescent="0.25">
      <c r="Y550" s="98"/>
    </row>
    <row r="551" spans="25:25" s="28" customFormat="1" x14ac:dyDescent="0.25">
      <c r="Y551" s="98"/>
    </row>
    <row r="552" spans="25:25" s="28" customFormat="1" x14ac:dyDescent="0.25">
      <c r="Y552" s="98"/>
    </row>
    <row r="553" spans="25:25" s="28" customFormat="1" x14ac:dyDescent="0.25">
      <c r="Y553" s="98"/>
    </row>
    <row r="554" spans="25:25" s="28" customFormat="1" x14ac:dyDescent="0.25">
      <c r="Y554" s="98"/>
    </row>
    <row r="555" spans="25:25" s="28" customFormat="1" x14ac:dyDescent="0.25">
      <c r="Y555" s="98"/>
    </row>
    <row r="556" spans="25:25" s="28" customFormat="1" x14ac:dyDescent="0.25">
      <c r="Y556" s="98"/>
    </row>
    <row r="557" spans="25:25" s="28" customFormat="1" x14ac:dyDescent="0.25">
      <c r="Y557" s="98"/>
    </row>
    <row r="558" spans="25:25" s="28" customFormat="1" x14ac:dyDescent="0.25">
      <c r="Y558" s="98"/>
    </row>
    <row r="559" spans="25:25" s="28" customFormat="1" x14ac:dyDescent="0.25">
      <c r="Y559" s="98"/>
    </row>
    <row r="560" spans="25:25" s="28" customFormat="1" x14ac:dyDescent="0.25">
      <c r="Y560" s="98"/>
    </row>
    <row r="561" spans="25:25" s="28" customFormat="1" x14ac:dyDescent="0.25">
      <c r="Y561" s="98"/>
    </row>
    <row r="562" spans="25:25" s="28" customFormat="1" x14ac:dyDescent="0.25">
      <c r="Y562" s="98"/>
    </row>
    <row r="563" spans="25:25" s="28" customFormat="1" x14ac:dyDescent="0.25">
      <c r="Y563" s="98"/>
    </row>
    <row r="564" spans="25:25" s="28" customFormat="1" x14ac:dyDescent="0.25">
      <c r="Y564" s="98"/>
    </row>
    <row r="565" spans="25:25" s="28" customFormat="1" x14ac:dyDescent="0.25">
      <c r="Y565" s="98"/>
    </row>
    <row r="566" spans="25:25" s="28" customFormat="1" x14ac:dyDescent="0.25">
      <c r="Y566" s="98"/>
    </row>
    <row r="567" spans="25:25" s="28" customFormat="1" x14ac:dyDescent="0.25">
      <c r="Y567" s="98"/>
    </row>
    <row r="568" spans="25:25" s="28" customFormat="1" x14ac:dyDescent="0.25">
      <c r="Y568" s="98"/>
    </row>
    <row r="569" spans="25:25" s="28" customFormat="1" x14ac:dyDescent="0.25">
      <c r="Y569" s="98"/>
    </row>
    <row r="570" spans="25:25" s="28" customFormat="1" x14ac:dyDescent="0.25">
      <c r="Y570" s="98"/>
    </row>
    <row r="571" spans="25:25" s="28" customFormat="1" x14ac:dyDescent="0.25">
      <c r="Y571" s="98"/>
    </row>
    <row r="572" spans="25:25" s="28" customFormat="1" x14ac:dyDescent="0.25">
      <c r="Y572" s="98"/>
    </row>
    <row r="573" spans="25:25" s="28" customFormat="1" x14ac:dyDescent="0.25">
      <c r="Y573" s="98"/>
    </row>
    <row r="574" spans="25:25" s="28" customFormat="1" x14ac:dyDescent="0.25">
      <c r="Y574" s="98"/>
    </row>
    <row r="575" spans="25:25" s="28" customFormat="1" x14ac:dyDescent="0.25">
      <c r="Y575" s="98"/>
    </row>
    <row r="576" spans="25:25" s="28" customFormat="1" x14ac:dyDescent="0.25">
      <c r="Y576" s="98"/>
    </row>
    <row r="577" spans="25:25" s="28" customFormat="1" x14ac:dyDescent="0.25">
      <c r="Y577" s="98"/>
    </row>
    <row r="578" spans="25:25" s="28" customFormat="1" x14ac:dyDescent="0.25">
      <c r="Y578" s="98"/>
    </row>
    <row r="579" spans="25:25" s="28" customFormat="1" x14ac:dyDescent="0.25">
      <c r="Y579" s="98"/>
    </row>
    <row r="580" spans="25:25" s="28" customFormat="1" x14ac:dyDescent="0.25">
      <c r="Y580" s="98"/>
    </row>
    <row r="581" spans="25:25" s="28" customFormat="1" x14ac:dyDescent="0.25">
      <c r="Y581" s="98"/>
    </row>
    <row r="582" spans="25:25" s="28" customFormat="1" x14ac:dyDescent="0.25">
      <c r="Y582" s="98"/>
    </row>
    <row r="583" spans="25:25" s="28" customFormat="1" x14ac:dyDescent="0.25">
      <c r="Y583" s="98"/>
    </row>
    <row r="584" spans="25:25" s="28" customFormat="1" x14ac:dyDescent="0.25">
      <c r="Y584" s="98"/>
    </row>
    <row r="585" spans="25:25" s="28" customFormat="1" x14ac:dyDescent="0.25">
      <c r="Y585" s="98"/>
    </row>
    <row r="586" spans="25:25" s="28" customFormat="1" x14ac:dyDescent="0.25">
      <c r="Y586" s="98"/>
    </row>
    <row r="587" spans="25:25" s="28" customFormat="1" x14ac:dyDescent="0.25">
      <c r="Y587" s="98"/>
    </row>
    <row r="588" spans="25:25" s="28" customFormat="1" x14ac:dyDescent="0.25">
      <c r="Y588" s="98"/>
    </row>
    <row r="589" spans="25:25" s="28" customFormat="1" x14ac:dyDescent="0.25">
      <c r="Y589" s="98"/>
    </row>
    <row r="590" spans="25:25" s="28" customFormat="1" x14ac:dyDescent="0.25">
      <c r="Y590" s="98"/>
    </row>
    <row r="591" spans="25:25" s="28" customFormat="1" x14ac:dyDescent="0.25">
      <c r="Y591" s="98"/>
    </row>
    <row r="592" spans="25:25" s="28" customFormat="1" x14ac:dyDescent="0.25">
      <c r="Y592" s="98"/>
    </row>
    <row r="593" spans="21:25" s="28" customFormat="1" x14ac:dyDescent="0.25">
      <c r="Y593" s="98"/>
    </row>
    <row r="594" spans="21:25" s="28" customFormat="1" x14ac:dyDescent="0.25">
      <c r="Y594" s="98"/>
    </row>
    <row r="595" spans="21:25" s="28" customFormat="1" x14ac:dyDescent="0.25">
      <c r="Y595" s="98"/>
    </row>
    <row r="596" spans="21:25" s="28" customFormat="1" x14ac:dyDescent="0.25">
      <c r="Y596" s="98"/>
    </row>
    <row r="597" spans="21:25" s="28" customFormat="1" x14ac:dyDescent="0.25">
      <c r="Y597" s="98"/>
    </row>
    <row r="598" spans="21:25" s="28" customFormat="1" x14ac:dyDescent="0.25">
      <c r="Y598" s="98"/>
    </row>
    <row r="599" spans="21:25" s="28" customFormat="1" x14ac:dyDescent="0.25">
      <c r="Y599" s="98"/>
    </row>
    <row r="600" spans="21:25" s="28" customFormat="1" x14ac:dyDescent="0.25">
      <c r="U600" s="28" t="b">
        <f>IF(S1608="Display","",IF(V599,G1607,IF(W599,G1607,IF(X599,G1607))))</f>
        <v>0</v>
      </c>
      <c r="Y600" s="98"/>
    </row>
    <row r="601" spans="21:25" s="28" customFormat="1" x14ac:dyDescent="0.25">
      <c r="Y601" s="98"/>
    </row>
    <row r="602" spans="21:25" s="28" customFormat="1" x14ac:dyDescent="0.25">
      <c r="Y602" s="98"/>
    </row>
    <row r="603" spans="21:25" s="28" customFormat="1" x14ac:dyDescent="0.25">
      <c r="Y603" s="98"/>
    </row>
    <row r="604" spans="21:25" s="28" customFormat="1" x14ac:dyDescent="0.25">
      <c r="Y604" s="98"/>
    </row>
    <row r="605" spans="21:25" s="28" customFormat="1" x14ac:dyDescent="0.25">
      <c r="Y605" s="98"/>
    </row>
    <row r="606" spans="21:25" s="28" customFormat="1" x14ac:dyDescent="0.25">
      <c r="Y606" s="98"/>
    </row>
    <row r="607" spans="21:25" s="28" customFormat="1" x14ac:dyDescent="0.25">
      <c r="Y607" s="98"/>
    </row>
    <row r="608" spans="21:25" s="28" customFormat="1" x14ac:dyDescent="0.25">
      <c r="Y608" s="98"/>
    </row>
    <row r="609" spans="25:25" s="28" customFormat="1" x14ac:dyDescent="0.25">
      <c r="Y609" s="98"/>
    </row>
    <row r="610" spans="25:25" s="28" customFormat="1" x14ac:dyDescent="0.25">
      <c r="Y610" s="98"/>
    </row>
    <row r="611" spans="25:25" s="28" customFormat="1" x14ac:dyDescent="0.25">
      <c r="Y611" s="98"/>
    </row>
    <row r="612" spans="25:25" s="28" customFormat="1" x14ac:dyDescent="0.25">
      <c r="Y612" s="98"/>
    </row>
    <row r="613" spans="25:25" s="28" customFormat="1" x14ac:dyDescent="0.25">
      <c r="Y613" s="98"/>
    </row>
    <row r="614" spans="25:25" s="28" customFormat="1" x14ac:dyDescent="0.25">
      <c r="Y614" s="98"/>
    </row>
    <row r="615" spans="25:25" s="28" customFormat="1" x14ac:dyDescent="0.25">
      <c r="Y615" s="98"/>
    </row>
    <row r="616" spans="25:25" s="28" customFormat="1" x14ac:dyDescent="0.25">
      <c r="Y616" s="98"/>
    </row>
    <row r="617" spans="25:25" s="28" customFormat="1" x14ac:dyDescent="0.25">
      <c r="Y617" s="98"/>
    </row>
    <row r="618" spans="25:25" s="28" customFormat="1" x14ac:dyDescent="0.25">
      <c r="Y618" s="98"/>
    </row>
    <row r="619" spans="25:25" s="28" customFormat="1" x14ac:dyDescent="0.25">
      <c r="Y619" s="98"/>
    </row>
    <row r="620" spans="25:25" s="28" customFormat="1" x14ac:dyDescent="0.25">
      <c r="Y620" s="98"/>
    </row>
    <row r="621" spans="25:25" s="28" customFormat="1" x14ac:dyDescent="0.25">
      <c r="Y621" s="98"/>
    </row>
    <row r="622" spans="25:25" s="28" customFormat="1" x14ac:dyDescent="0.25">
      <c r="Y622" s="98"/>
    </row>
    <row r="623" spans="25:25" s="28" customFormat="1" x14ac:dyDescent="0.25">
      <c r="Y623" s="98"/>
    </row>
    <row r="624" spans="25:25" s="28" customFormat="1" x14ac:dyDescent="0.25">
      <c r="Y624" s="98"/>
    </row>
    <row r="625" spans="1:25" s="28" customFormat="1" x14ac:dyDescent="0.25">
      <c r="Y625" s="98"/>
    </row>
    <row r="626" spans="1:25" s="28" customFormat="1" x14ac:dyDescent="0.25">
      <c r="Y626" s="98"/>
    </row>
    <row r="627" spans="1:25" s="28" customFormat="1" x14ac:dyDescent="0.25">
      <c r="Y627" s="98"/>
    </row>
    <row r="628" spans="1:25" s="28" customFormat="1" x14ac:dyDescent="0.25">
      <c r="Y628" s="98"/>
    </row>
    <row r="629" spans="1:25" s="28" customFormat="1" x14ac:dyDescent="0.25">
      <c r="Y629" s="98"/>
    </row>
    <row r="630" spans="1:25" s="28" customFormat="1" x14ac:dyDescent="0.25">
      <c r="Y630" s="98"/>
    </row>
    <row r="631" spans="1:25" s="28" customFormat="1" x14ac:dyDescent="0.25">
      <c r="Y631" s="98"/>
    </row>
    <row r="632" spans="1:25" s="28" customFormat="1" x14ac:dyDescent="0.25">
      <c r="Y632" s="98"/>
    </row>
    <row r="633" spans="1:25" s="28" customFormat="1" x14ac:dyDescent="0.25">
      <c r="Y633" s="98"/>
    </row>
    <row r="634" spans="1:25" s="64" customFormat="1" x14ac:dyDescent="0.25">
      <c r="A634" s="63"/>
      <c r="S634" s="28"/>
      <c r="Y634" s="99"/>
    </row>
    <row r="635" spans="1:25" s="64" customFormat="1" x14ac:dyDescent="0.25">
      <c r="A635" s="63"/>
      <c r="S635" s="28"/>
      <c r="Y635" s="99"/>
    </row>
    <row r="636" spans="1:25" s="64" customFormat="1" x14ac:dyDescent="0.25">
      <c r="A636" s="63"/>
      <c r="S636" s="28"/>
      <c r="Y636" s="99"/>
    </row>
    <row r="637" spans="1:25" s="64" customFormat="1" x14ac:dyDescent="0.25">
      <c r="A637" s="63"/>
      <c r="S637" s="28"/>
      <c r="Y637" s="99"/>
    </row>
    <row r="638" spans="1:25" s="64" customFormat="1" x14ac:dyDescent="0.25">
      <c r="A638" s="63"/>
      <c r="S638" s="28"/>
      <c r="Y638" s="99"/>
    </row>
    <row r="639" spans="1:25" s="64" customFormat="1" x14ac:dyDescent="0.25">
      <c r="A639" s="63"/>
      <c r="S639" s="28"/>
      <c r="Y639" s="99"/>
    </row>
    <row r="640" spans="1:25" s="64" customFormat="1" x14ac:dyDescent="0.25">
      <c r="A640" s="63"/>
      <c r="S640" s="28"/>
      <c r="Y640" s="99"/>
    </row>
    <row r="641" spans="1:43" s="64" customFormat="1" x14ac:dyDescent="0.25">
      <c r="A641" s="63"/>
      <c r="S641" s="28"/>
      <c r="Y641" s="99"/>
    </row>
    <row r="642" spans="1:43" s="64" customFormat="1" x14ac:dyDescent="0.25">
      <c r="A642" s="63"/>
      <c r="S642" s="28"/>
      <c r="Y642" s="99"/>
    </row>
    <row r="643" spans="1:43" s="64" customFormat="1" x14ac:dyDescent="0.25">
      <c r="A643" s="63"/>
      <c r="S643" s="28"/>
      <c r="Y643" s="99"/>
    </row>
    <row r="644" spans="1:43" s="64" customFormat="1" x14ac:dyDescent="0.25">
      <c r="A644" s="63"/>
      <c r="S644" s="28"/>
      <c r="Y644" s="99"/>
    </row>
    <row r="645" spans="1:43" s="64" customFormat="1" x14ac:dyDescent="0.25">
      <c r="A645" s="63"/>
      <c r="S645" s="28"/>
      <c r="Y645" s="99"/>
    </row>
    <row r="646" spans="1:43" s="64" customFormat="1" x14ac:dyDescent="0.25">
      <c r="A646" s="63"/>
      <c r="S646" s="28"/>
      <c r="Y646" s="99"/>
    </row>
    <row r="647" spans="1:43" s="64" customFormat="1" x14ac:dyDescent="0.25">
      <c r="A647" s="63"/>
      <c r="S647" s="28"/>
      <c r="Y647" s="99"/>
    </row>
    <row r="648" spans="1:43" s="64" customFormat="1" x14ac:dyDescent="0.25">
      <c r="A648" s="63"/>
      <c r="S648" s="28"/>
      <c r="Y648" s="99"/>
    </row>
    <row r="649" spans="1:43" s="64" customFormat="1" x14ac:dyDescent="0.25">
      <c r="A649" s="63"/>
      <c r="S649" s="28"/>
      <c r="Y649" s="99"/>
    </row>
    <row r="650" spans="1:43" s="64" customFormat="1" x14ac:dyDescent="0.25">
      <c r="A650" s="63"/>
      <c r="S650" s="28"/>
      <c r="Y650" s="99"/>
    </row>
    <row r="651" spans="1:43" s="64" customFormat="1" x14ac:dyDescent="0.25">
      <c r="A651" s="63"/>
      <c r="S651" s="28"/>
      <c r="Y651" s="99"/>
    </row>
    <row r="652" spans="1:43" s="64" customFormat="1" x14ac:dyDescent="0.25">
      <c r="A652" s="63"/>
      <c r="S652" s="28"/>
      <c r="Y652" s="99"/>
    </row>
    <row r="653" spans="1:43" s="64" customFormat="1" x14ac:dyDescent="0.25">
      <c r="A653" s="63"/>
      <c r="S653" s="28"/>
      <c r="Y653" s="99"/>
    </row>
    <row r="654" spans="1:43" x14ac:dyDescent="0.25">
      <c r="A654" s="63"/>
      <c r="B654" s="64"/>
      <c r="C654" s="64"/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4"/>
      <c r="S654" s="28"/>
      <c r="T654" s="64"/>
      <c r="U654" s="64"/>
      <c r="Y654" s="99"/>
      <c r="Z654" s="64"/>
      <c r="AA654" s="64"/>
      <c r="AB654" s="64"/>
      <c r="AC654" s="64"/>
      <c r="AD654" s="64"/>
      <c r="AE654" s="64"/>
      <c r="AF654" s="64"/>
      <c r="AG654" s="64"/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</row>
    <row r="655" spans="1:43" x14ac:dyDescent="0.25">
      <c r="A655" s="63"/>
      <c r="B655" s="64"/>
      <c r="C655" s="64"/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4"/>
      <c r="S655" s="28"/>
      <c r="Y655" s="99"/>
      <c r="Z655" s="64"/>
    </row>
    <row r="656" spans="1:43" x14ac:dyDescent="0.25">
      <c r="A656" s="63"/>
      <c r="B656" s="64"/>
      <c r="C656" s="64"/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4"/>
      <c r="S656" s="28"/>
      <c r="Y656" s="99"/>
      <c r="Z656" s="64"/>
    </row>
    <row r="657" spans="1:26" x14ac:dyDescent="0.25">
      <c r="A657" s="63"/>
      <c r="B657" s="64"/>
      <c r="C657" s="64"/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4"/>
      <c r="S657" s="28"/>
      <c r="Y657" s="99"/>
      <c r="Z657" s="64"/>
    </row>
    <row r="658" spans="1:26" x14ac:dyDescent="0.25">
      <c r="A658" s="63"/>
      <c r="B658" s="64"/>
      <c r="C658" s="64"/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4"/>
      <c r="S658" s="28"/>
      <c r="Y658" s="99"/>
      <c r="Z658" s="64"/>
    </row>
    <row r="659" spans="1:26" x14ac:dyDescent="0.25">
      <c r="A659" s="63"/>
      <c r="B659" s="64"/>
      <c r="C659" s="64"/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4"/>
      <c r="S659" s="28"/>
      <c r="Y659" s="99"/>
      <c r="Z659" s="64"/>
    </row>
    <row r="660" spans="1:26" x14ac:dyDescent="0.25">
      <c r="A660" s="63"/>
      <c r="B660" s="64"/>
      <c r="C660" s="64"/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4"/>
      <c r="S660" s="28"/>
      <c r="Y660" s="99"/>
      <c r="Z660" s="64"/>
    </row>
    <row r="661" spans="1:26" x14ac:dyDescent="0.25">
      <c r="A661" s="63"/>
      <c r="B661" s="64"/>
      <c r="C661" s="64"/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4"/>
      <c r="S661" s="28"/>
      <c r="Y661" s="99"/>
      <c r="Z661" s="64"/>
    </row>
    <row r="662" spans="1:26" x14ac:dyDescent="0.25">
      <c r="A662" s="63"/>
      <c r="B662" s="64"/>
      <c r="C662" s="64"/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4"/>
      <c r="S662" s="28"/>
      <c r="Y662" s="99"/>
      <c r="Z662" s="64"/>
    </row>
    <row r="663" spans="1:26" x14ac:dyDescent="0.25">
      <c r="A663" s="63"/>
      <c r="B663" s="64"/>
      <c r="C663" s="64"/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4"/>
      <c r="S663" s="28"/>
      <c r="Y663" s="99"/>
      <c r="Z663" s="64"/>
    </row>
    <row r="664" spans="1:26" x14ac:dyDescent="0.25">
      <c r="A664" s="63"/>
      <c r="B664" s="64"/>
      <c r="C664" s="64"/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4"/>
      <c r="S664" s="28"/>
      <c r="Y664" s="99"/>
      <c r="Z664" s="64"/>
    </row>
    <row r="665" spans="1:26" x14ac:dyDescent="0.25">
      <c r="A665" s="63"/>
      <c r="B665" s="64"/>
      <c r="C665" s="64"/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4"/>
      <c r="S665" s="28"/>
      <c r="Y665" s="99"/>
      <c r="Z665" s="64"/>
    </row>
    <row r="666" spans="1:26" x14ac:dyDescent="0.25">
      <c r="A666" s="63"/>
      <c r="B666" s="64"/>
      <c r="C666" s="64"/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4"/>
      <c r="S666" s="28"/>
      <c r="Y666" s="99"/>
      <c r="Z666" s="64"/>
    </row>
    <row r="667" spans="1:26" x14ac:dyDescent="0.25">
      <c r="A667" s="63"/>
      <c r="B667" s="64"/>
      <c r="C667" s="64"/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4"/>
      <c r="S667" s="28"/>
      <c r="Y667" s="99"/>
      <c r="Z667" s="64"/>
    </row>
    <row r="668" spans="1:26" x14ac:dyDescent="0.25">
      <c r="A668" s="63"/>
      <c r="B668" s="64"/>
      <c r="C668" s="64"/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4"/>
      <c r="S668" s="28"/>
      <c r="Y668" s="99"/>
      <c r="Z668" s="64"/>
    </row>
    <row r="669" spans="1:26" x14ac:dyDescent="0.25">
      <c r="A669" s="63"/>
      <c r="B669" s="64"/>
      <c r="C669" s="64"/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4"/>
      <c r="S669" s="28"/>
      <c r="Y669" s="99"/>
      <c r="Z669" s="64"/>
    </row>
    <row r="670" spans="1:26" x14ac:dyDescent="0.25">
      <c r="A670" s="63"/>
      <c r="B670" s="64"/>
      <c r="C670" s="64"/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4"/>
      <c r="S670" s="28"/>
      <c r="Y670" s="99"/>
      <c r="Z670" s="64"/>
    </row>
    <row r="671" spans="1:26" x14ac:dyDescent="0.25">
      <c r="A671" s="63"/>
      <c r="B671" s="64"/>
      <c r="C671" s="64"/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4"/>
      <c r="S671" s="28"/>
      <c r="Y671" s="99"/>
      <c r="Z671" s="64"/>
    </row>
    <row r="672" spans="1:26" x14ac:dyDescent="0.25">
      <c r="A672" s="63"/>
      <c r="B672" s="64"/>
      <c r="C672" s="64"/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4"/>
      <c r="S672" s="28"/>
      <c r="Y672" s="99"/>
      <c r="Z672" s="64"/>
    </row>
    <row r="673" spans="1:26" x14ac:dyDescent="0.25">
      <c r="A673" s="63"/>
      <c r="B673" s="64"/>
      <c r="C673" s="64"/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4"/>
      <c r="S673" s="28"/>
      <c r="Y673" s="99"/>
      <c r="Z673" s="64"/>
    </row>
    <row r="674" spans="1:26" x14ac:dyDescent="0.25">
      <c r="A674" s="63"/>
      <c r="B674" s="64"/>
      <c r="C674" s="64"/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4"/>
      <c r="S674" s="28"/>
      <c r="Y674" s="99"/>
      <c r="Z674" s="64"/>
    </row>
    <row r="675" spans="1:26" x14ac:dyDescent="0.25">
      <c r="A675" s="63"/>
      <c r="B675" s="64"/>
      <c r="C675" s="64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4"/>
      <c r="S675" s="28"/>
      <c r="Y675" s="99"/>
      <c r="Z675" s="64"/>
    </row>
    <row r="676" spans="1:26" x14ac:dyDescent="0.25">
      <c r="A676" s="63"/>
      <c r="B676" s="64"/>
      <c r="C676" s="64"/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4"/>
      <c r="S676" s="28"/>
      <c r="Y676" s="99"/>
      <c r="Z676" s="64"/>
    </row>
    <row r="677" spans="1:26" x14ac:dyDescent="0.25">
      <c r="A677" s="63"/>
      <c r="B677" s="64"/>
      <c r="C677" s="64"/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4"/>
      <c r="S677" s="28"/>
      <c r="Y677" s="99"/>
      <c r="Z677" s="64"/>
    </row>
    <row r="678" spans="1:26" x14ac:dyDescent="0.25">
      <c r="A678" s="63"/>
      <c r="B678" s="64"/>
      <c r="C678" s="64"/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4"/>
      <c r="S678" s="28"/>
      <c r="Y678" s="99"/>
      <c r="Z678" s="64"/>
    </row>
    <row r="679" spans="1:26" x14ac:dyDescent="0.25">
      <c r="A679" s="63"/>
      <c r="B679" s="64"/>
      <c r="C679" s="64"/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4"/>
      <c r="S679" s="28"/>
      <c r="Y679" s="99"/>
      <c r="Z679" s="64"/>
    </row>
    <row r="680" spans="1:26" x14ac:dyDescent="0.25">
      <c r="A680" s="63"/>
      <c r="B680" s="64"/>
      <c r="C680" s="64"/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4"/>
      <c r="S680" s="28"/>
      <c r="Y680" s="99"/>
      <c r="Z680" s="64"/>
    </row>
    <row r="681" spans="1:26" x14ac:dyDescent="0.25">
      <c r="A681" s="63"/>
      <c r="B681" s="64"/>
      <c r="C681" s="64"/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4"/>
      <c r="S681" s="28"/>
      <c r="Y681" s="99"/>
      <c r="Z681" s="64"/>
    </row>
    <row r="682" spans="1:26" x14ac:dyDescent="0.25">
      <c r="A682" s="63"/>
      <c r="B682" s="64"/>
      <c r="C682" s="64"/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4"/>
      <c r="S682" s="28"/>
      <c r="Y682" s="99"/>
      <c r="Z682" s="64"/>
    </row>
    <row r="683" spans="1:26" x14ac:dyDescent="0.25">
      <c r="A683" s="63"/>
      <c r="B683" s="64"/>
      <c r="C683" s="64"/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4"/>
      <c r="S683" s="28"/>
      <c r="Y683" s="99"/>
      <c r="Z683" s="64"/>
    </row>
    <row r="684" spans="1:26" x14ac:dyDescent="0.25">
      <c r="A684" s="63"/>
      <c r="B684" s="64"/>
      <c r="C684" s="64"/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4"/>
      <c r="S684" s="28"/>
      <c r="Y684" s="99"/>
      <c r="Z684" s="64"/>
    </row>
    <row r="685" spans="1:26" x14ac:dyDescent="0.25">
      <c r="A685" s="63"/>
      <c r="B685" s="64"/>
      <c r="C685" s="64"/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4"/>
      <c r="S685" s="28"/>
      <c r="Y685" s="99"/>
      <c r="Z685" s="64"/>
    </row>
    <row r="686" spans="1:26" x14ac:dyDescent="0.25">
      <c r="A686" s="63"/>
      <c r="B686" s="64"/>
      <c r="C686" s="64"/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4"/>
      <c r="S686" s="28"/>
      <c r="Y686" s="99"/>
      <c r="Z686" s="64"/>
    </row>
    <row r="687" spans="1:26" x14ac:dyDescent="0.25">
      <c r="A687" s="63"/>
      <c r="B687" s="64"/>
      <c r="C687" s="64"/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4"/>
      <c r="S687" s="28"/>
      <c r="Y687" s="99"/>
      <c r="Z687" s="64"/>
    </row>
    <row r="688" spans="1:26" x14ac:dyDescent="0.25">
      <c r="A688" s="63"/>
      <c r="B688" s="64"/>
      <c r="C688" s="64"/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4"/>
      <c r="S688" s="28"/>
      <c r="Y688" s="99"/>
      <c r="Z688" s="64"/>
    </row>
    <row r="689" spans="1:26" x14ac:dyDescent="0.25">
      <c r="A689" s="63"/>
      <c r="B689" s="64"/>
      <c r="C689" s="64"/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4"/>
      <c r="S689" s="28"/>
      <c r="Y689" s="99"/>
      <c r="Z689" s="64"/>
    </row>
    <row r="690" spans="1:26" x14ac:dyDescent="0.25">
      <c r="A690" s="63"/>
      <c r="B690" s="64"/>
      <c r="C690" s="64"/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4"/>
      <c r="S690" s="28"/>
      <c r="Y690" s="99"/>
      <c r="Z690" s="64"/>
    </row>
    <row r="691" spans="1:26" x14ac:dyDescent="0.25">
      <c r="A691" s="63"/>
      <c r="B691" s="64"/>
      <c r="C691" s="64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4"/>
      <c r="S691" s="28"/>
      <c r="Y691" s="99"/>
      <c r="Z691" s="64"/>
    </row>
    <row r="692" spans="1:26" x14ac:dyDescent="0.25">
      <c r="A692" s="63"/>
      <c r="B692" s="64"/>
      <c r="C692" s="64"/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4"/>
      <c r="S692" s="28"/>
      <c r="Y692" s="99"/>
      <c r="Z692" s="64"/>
    </row>
    <row r="693" spans="1:26" x14ac:dyDescent="0.25">
      <c r="A693" s="63"/>
      <c r="B693" s="64"/>
      <c r="C693" s="64"/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4"/>
      <c r="S693" s="28"/>
      <c r="Y693" s="99"/>
      <c r="Z693" s="64"/>
    </row>
    <row r="694" spans="1:26" x14ac:dyDescent="0.25">
      <c r="A694" s="63"/>
      <c r="B694" s="64"/>
      <c r="C694" s="64"/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4"/>
      <c r="S694" s="28"/>
      <c r="Y694" s="99"/>
      <c r="Z694" s="64"/>
    </row>
    <row r="695" spans="1:26" x14ac:dyDescent="0.25">
      <c r="A695" s="63"/>
      <c r="B695" s="64"/>
      <c r="C695" s="64"/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4"/>
      <c r="S695" s="28"/>
      <c r="Y695" s="99"/>
      <c r="Z695" s="64"/>
    </row>
    <row r="696" spans="1:26" x14ac:dyDescent="0.25">
      <c r="A696" s="63"/>
      <c r="B696" s="64"/>
      <c r="C696" s="64"/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4"/>
      <c r="S696" s="28"/>
      <c r="Y696" s="99"/>
      <c r="Z696" s="64"/>
    </row>
    <row r="697" spans="1:26" x14ac:dyDescent="0.25">
      <c r="A697" s="63"/>
      <c r="B697" s="64"/>
      <c r="C697" s="64"/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4"/>
      <c r="S697" s="28"/>
      <c r="Y697" s="99"/>
      <c r="Z697" s="64"/>
    </row>
    <row r="698" spans="1:26" x14ac:dyDescent="0.25">
      <c r="A698" s="63"/>
      <c r="B698" s="64"/>
      <c r="C698" s="64"/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4"/>
      <c r="S698" s="28"/>
      <c r="Y698" s="99"/>
      <c r="Z698" s="64"/>
    </row>
    <row r="699" spans="1:26" x14ac:dyDescent="0.25">
      <c r="A699" s="63"/>
      <c r="B699" s="64"/>
      <c r="C699" s="64"/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4"/>
      <c r="S699" s="28"/>
      <c r="Y699" s="99"/>
      <c r="Z699" s="64"/>
    </row>
    <row r="700" spans="1:26" x14ac:dyDescent="0.25">
      <c r="A700" s="63"/>
      <c r="B700" s="64"/>
      <c r="C700" s="64"/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4"/>
      <c r="S700" s="28"/>
      <c r="Y700" s="99"/>
      <c r="Z700" s="64"/>
    </row>
    <row r="701" spans="1:26" x14ac:dyDescent="0.25">
      <c r="A701" s="63"/>
      <c r="B701" s="64"/>
      <c r="C701" s="64"/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4"/>
      <c r="S701" s="28"/>
      <c r="Y701" s="99"/>
      <c r="Z701" s="64"/>
    </row>
    <row r="702" spans="1:26" x14ac:dyDescent="0.25">
      <c r="A702" s="63"/>
      <c r="B702" s="64"/>
      <c r="C702" s="64"/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4"/>
      <c r="S702" s="28"/>
      <c r="Y702" s="99"/>
      <c r="Z702" s="64"/>
    </row>
    <row r="703" spans="1:26" x14ac:dyDescent="0.25">
      <c r="A703" s="63"/>
      <c r="B703" s="64"/>
      <c r="C703" s="64"/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4"/>
      <c r="S703" s="28"/>
      <c r="Y703" s="99"/>
      <c r="Z703" s="64"/>
    </row>
    <row r="704" spans="1:26" x14ac:dyDescent="0.25">
      <c r="A704" s="63"/>
      <c r="B704" s="64"/>
      <c r="C704" s="64"/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4"/>
      <c r="S704" s="28"/>
      <c r="Y704" s="99"/>
      <c r="Z704" s="64"/>
    </row>
    <row r="705" spans="1:26" x14ac:dyDescent="0.25">
      <c r="A705" s="63"/>
      <c r="B705" s="64"/>
      <c r="C705" s="64"/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4"/>
      <c r="S705" s="28"/>
      <c r="Y705" s="99"/>
      <c r="Z705" s="64"/>
    </row>
    <row r="706" spans="1:26" x14ac:dyDescent="0.25">
      <c r="A706" s="63"/>
      <c r="B706" s="64"/>
      <c r="C706" s="64"/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4"/>
      <c r="S706" s="28"/>
      <c r="Y706" s="99"/>
      <c r="Z706" s="64"/>
    </row>
    <row r="707" spans="1:26" x14ac:dyDescent="0.25">
      <c r="A707" s="63"/>
      <c r="B707" s="64"/>
      <c r="C707" s="64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4"/>
      <c r="S707" s="28"/>
      <c r="Y707" s="99"/>
      <c r="Z707" s="64"/>
    </row>
    <row r="708" spans="1:26" x14ac:dyDescent="0.25">
      <c r="A708" s="63"/>
      <c r="B708" s="64"/>
      <c r="C708" s="64"/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4"/>
      <c r="S708" s="28"/>
      <c r="Y708" s="99"/>
      <c r="Z708" s="64"/>
    </row>
    <row r="709" spans="1:26" x14ac:dyDescent="0.25">
      <c r="A709" s="63"/>
      <c r="B709" s="64"/>
      <c r="C709" s="64"/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4"/>
      <c r="S709" s="28"/>
      <c r="Y709" s="99"/>
      <c r="Z709" s="64"/>
    </row>
    <row r="710" spans="1:26" x14ac:dyDescent="0.25">
      <c r="A710" s="63"/>
      <c r="B710" s="64"/>
      <c r="C710" s="64"/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4"/>
      <c r="S710" s="28"/>
      <c r="Y710" s="99"/>
      <c r="Z710" s="64"/>
    </row>
    <row r="711" spans="1:26" x14ac:dyDescent="0.25">
      <c r="A711" s="63"/>
      <c r="B711" s="64"/>
      <c r="C711" s="64"/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4"/>
      <c r="S711" s="28"/>
      <c r="Y711" s="99"/>
      <c r="Z711" s="64"/>
    </row>
    <row r="712" spans="1:26" x14ac:dyDescent="0.25">
      <c r="A712" s="63"/>
      <c r="B712" s="64"/>
      <c r="C712" s="64"/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4"/>
      <c r="S712" s="28"/>
      <c r="Y712" s="99"/>
      <c r="Z712" s="64"/>
    </row>
    <row r="713" spans="1:26" x14ac:dyDescent="0.25">
      <c r="A713" s="63"/>
      <c r="B713" s="64"/>
      <c r="C713" s="64"/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4"/>
      <c r="S713" s="28"/>
      <c r="Y713" s="99"/>
      <c r="Z713" s="64"/>
    </row>
    <row r="714" spans="1:26" x14ac:dyDescent="0.25">
      <c r="A714" s="63"/>
      <c r="B714" s="64"/>
      <c r="C714" s="64"/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4"/>
      <c r="S714" s="28"/>
      <c r="Y714" s="99"/>
      <c r="Z714" s="64"/>
    </row>
    <row r="715" spans="1:26" x14ac:dyDescent="0.25">
      <c r="A715" s="63"/>
      <c r="B715" s="64"/>
      <c r="C715" s="64"/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4"/>
      <c r="S715" s="28"/>
      <c r="Y715" s="99"/>
      <c r="Z715" s="64"/>
    </row>
    <row r="716" spans="1:26" x14ac:dyDescent="0.25">
      <c r="A716" s="63"/>
      <c r="B716" s="64"/>
      <c r="C716" s="64"/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4"/>
      <c r="S716" s="28"/>
      <c r="Y716" s="99"/>
      <c r="Z716" s="64"/>
    </row>
    <row r="717" spans="1:26" x14ac:dyDescent="0.25">
      <c r="A717" s="63"/>
      <c r="B717" s="64"/>
      <c r="C717" s="64"/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4"/>
      <c r="S717" s="28"/>
      <c r="Y717" s="99"/>
      <c r="Z717" s="64"/>
    </row>
    <row r="718" spans="1:26" x14ac:dyDescent="0.25">
      <c r="A718" s="63"/>
      <c r="B718" s="64"/>
      <c r="C718" s="64"/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4"/>
      <c r="S718" s="28"/>
      <c r="Y718" s="99"/>
      <c r="Z718" s="64"/>
    </row>
    <row r="719" spans="1:26" x14ac:dyDescent="0.25">
      <c r="A719" s="63"/>
      <c r="B719" s="64"/>
      <c r="C719" s="64"/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4"/>
      <c r="S719" s="28"/>
      <c r="Y719" s="99"/>
      <c r="Z719" s="64"/>
    </row>
    <row r="720" spans="1:26" x14ac:dyDescent="0.25">
      <c r="A720" s="63"/>
      <c r="B720" s="64"/>
      <c r="C720" s="64"/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4"/>
      <c r="S720" s="28"/>
      <c r="Y720" s="99"/>
      <c r="Z720" s="64"/>
    </row>
    <row r="721" spans="1:26" x14ac:dyDescent="0.25">
      <c r="A721" s="63"/>
      <c r="B721" s="64"/>
      <c r="C721" s="64"/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4"/>
      <c r="S721" s="28"/>
      <c r="Y721" s="99"/>
      <c r="Z721" s="64"/>
    </row>
    <row r="722" spans="1:26" x14ac:dyDescent="0.25">
      <c r="A722" s="63"/>
      <c r="B722" s="64"/>
      <c r="C722" s="64"/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4"/>
      <c r="S722" s="28"/>
      <c r="Y722" s="99"/>
      <c r="Z722" s="64"/>
    </row>
    <row r="723" spans="1:26" x14ac:dyDescent="0.25">
      <c r="A723" s="63"/>
      <c r="B723" s="64"/>
      <c r="C723" s="64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4"/>
      <c r="S723" s="28"/>
      <c r="Y723" s="99"/>
      <c r="Z723" s="64"/>
    </row>
    <row r="724" spans="1:26" x14ac:dyDescent="0.25">
      <c r="A724" s="63"/>
      <c r="B724" s="64"/>
      <c r="C724" s="64"/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4"/>
      <c r="S724" s="28"/>
      <c r="Y724" s="99"/>
      <c r="Z724" s="64"/>
    </row>
    <row r="725" spans="1:26" x14ac:dyDescent="0.25">
      <c r="A725" s="63"/>
      <c r="B725" s="64"/>
      <c r="C725" s="64"/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4"/>
      <c r="S725" s="28"/>
      <c r="Y725" s="99"/>
      <c r="Z725" s="64"/>
    </row>
    <row r="726" spans="1:26" x14ac:dyDescent="0.25">
      <c r="A726" s="63"/>
      <c r="B726" s="64"/>
      <c r="C726" s="64"/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4"/>
      <c r="S726" s="28"/>
      <c r="Y726" s="99"/>
      <c r="Z726" s="64"/>
    </row>
    <row r="727" spans="1:26" x14ac:dyDescent="0.25">
      <c r="A727" s="63"/>
      <c r="B727" s="64"/>
      <c r="C727" s="64"/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4"/>
      <c r="S727" s="28"/>
      <c r="Y727" s="99"/>
      <c r="Z727" s="64"/>
    </row>
    <row r="728" spans="1:26" x14ac:dyDescent="0.25">
      <c r="A728" s="63"/>
      <c r="B728" s="64"/>
      <c r="C728" s="64"/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4"/>
      <c r="S728" s="28"/>
      <c r="Y728" s="99"/>
      <c r="Z728" s="64"/>
    </row>
    <row r="729" spans="1:26" x14ac:dyDescent="0.25">
      <c r="A729" s="63"/>
      <c r="B729" s="64"/>
      <c r="C729" s="64"/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4"/>
      <c r="S729" s="28"/>
      <c r="Y729" s="99"/>
      <c r="Z729" s="64"/>
    </row>
    <row r="730" spans="1:26" x14ac:dyDescent="0.25">
      <c r="A730" s="63"/>
      <c r="B730" s="64"/>
      <c r="C730" s="64"/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4"/>
      <c r="S730" s="28"/>
      <c r="Y730" s="99"/>
      <c r="Z730" s="64"/>
    </row>
    <row r="731" spans="1:26" x14ac:dyDescent="0.25">
      <c r="A731" s="63"/>
      <c r="B731" s="64"/>
      <c r="C731" s="64"/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4"/>
      <c r="S731" s="28"/>
      <c r="Y731" s="99"/>
      <c r="Z731" s="64"/>
    </row>
    <row r="732" spans="1:26" x14ac:dyDescent="0.25">
      <c r="A732" s="63"/>
      <c r="B732" s="64"/>
      <c r="C732" s="64"/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4"/>
      <c r="S732" s="28"/>
      <c r="Y732" s="99"/>
      <c r="Z732" s="64"/>
    </row>
    <row r="733" spans="1:26" x14ac:dyDescent="0.25">
      <c r="A733" s="63"/>
      <c r="B733" s="64"/>
      <c r="C733" s="64"/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4"/>
      <c r="S733" s="28"/>
      <c r="Y733" s="99"/>
      <c r="Z733" s="64"/>
    </row>
    <row r="734" spans="1:26" x14ac:dyDescent="0.25">
      <c r="A734" s="63"/>
      <c r="B734" s="64"/>
      <c r="C734" s="64"/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4"/>
      <c r="S734" s="28"/>
      <c r="Y734" s="99"/>
      <c r="Z734" s="64"/>
    </row>
    <row r="735" spans="1:26" x14ac:dyDescent="0.25">
      <c r="A735" s="63"/>
      <c r="B735" s="64"/>
      <c r="C735" s="64"/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4"/>
      <c r="S735" s="28"/>
      <c r="Y735" s="99"/>
      <c r="Z735" s="64"/>
    </row>
    <row r="736" spans="1:26" x14ac:dyDescent="0.25">
      <c r="A736" s="63"/>
      <c r="B736" s="64"/>
      <c r="C736" s="64"/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4"/>
      <c r="S736" s="28"/>
      <c r="Y736" s="99"/>
      <c r="Z736" s="64"/>
    </row>
    <row r="737" spans="1:26" x14ac:dyDescent="0.25">
      <c r="A737" s="63"/>
      <c r="B737" s="64"/>
      <c r="C737" s="64"/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4"/>
      <c r="S737" s="28"/>
      <c r="Y737" s="99"/>
      <c r="Z737" s="64"/>
    </row>
    <row r="738" spans="1:26" x14ac:dyDescent="0.25">
      <c r="A738" s="63"/>
      <c r="B738" s="64"/>
      <c r="C738" s="64"/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4"/>
      <c r="S738" s="28"/>
      <c r="Y738" s="99"/>
      <c r="Z738" s="64"/>
    </row>
    <row r="739" spans="1:26" x14ac:dyDescent="0.25">
      <c r="A739" s="63"/>
      <c r="B739" s="64"/>
      <c r="C739" s="64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4"/>
      <c r="S739" s="28"/>
      <c r="Y739" s="99"/>
      <c r="Z739" s="64"/>
    </row>
    <row r="740" spans="1:26" x14ac:dyDescent="0.25">
      <c r="A740" s="63"/>
      <c r="B740" s="64"/>
      <c r="C740" s="64"/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4"/>
      <c r="S740" s="28"/>
      <c r="Y740" s="99"/>
      <c r="Z740" s="64"/>
    </row>
    <row r="741" spans="1:26" x14ac:dyDescent="0.25">
      <c r="A741" s="63"/>
      <c r="B741" s="64"/>
      <c r="C741" s="64"/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4"/>
      <c r="S741" s="28"/>
      <c r="Y741" s="99"/>
      <c r="Z741" s="64"/>
    </row>
    <row r="742" spans="1:26" x14ac:dyDescent="0.25">
      <c r="A742" s="63"/>
      <c r="B742" s="64"/>
      <c r="C742" s="64"/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4"/>
      <c r="S742" s="28"/>
      <c r="Y742" s="99"/>
      <c r="Z742" s="64"/>
    </row>
    <row r="743" spans="1:26" x14ac:dyDescent="0.25">
      <c r="A743" s="63"/>
      <c r="B743" s="64"/>
      <c r="C743" s="64"/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4"/>
      <c r="S743" s="28"/>
      <c r="Y743" s="99"/>
      <c r="Z743" s="64"/>
    </row>
    <row r="744" spans="1:26" x14ac:dyDescent="0.25">
      <c r="A744" s="63"/>
      <c r="B744" s="64"/>
      <c r="C744" s="64"/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4"/>
      <c r="S744" s="28"/>
      <c r="Y744" s="99"/>
      <c r="Z744" s="64"/>
    </row>
    <row r="745" spans="1:26" x14ac:dyDescent="0.25">
      <c r="A745" s="63"/>
      <c r="B745" s="64"/>
      <c r="C745" s="64"/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4"/>
      <c r="S745" s="28"/>
      <c r="Y745" s="99"/>
      <c r="Z745" s="64"/>
    </row>
    <row r="746" spans="1:26" x14ac:dyDescent="0.25">
      <c r="A746" s="63"/>
      <c r="B746" s="64"/>
      <c r="C746" s="64"/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4"/>
      <c r="S746" s="28"/>
      <c r="Y746" s="99"/>
      <c r="Z746" s="64"/>
    </row>
    <row r="747" spans="1:26" x14ac:dyDescent="0.25">
      <c r="A747" s="63"/>
      <c r="B747" s="64"/>
      <c r="C747" s="64"/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4"/>
      <c r="S747" s="28"/>
      <c r="Y747" s="99"/>
      <c r="Z747" s="64"/>
    </row>
    <row r="748" spans="1:26" x14ac:dyDescent="0.25">
      <c r="A748" s="63"/>
      <c r="B748" s="64"/>
      <c r="C748" s="64"/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4"/>
      <c r="S748" s="28"/>
      <c r="Y748" s="99"/>
      <c r="Z748" s="64"/>
    </row>
    <row r="749" spans="1:26" x14ac:dyDescent="0.25">
      <c r="A749" s="63"/>
      <c r="B749" s="64"/>
      <c r="C749" s="64"/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4"/>
      <c r="S749" s="28"/>
      <c r="Y749" s="99"/>
      <c r="Z749" s="64"/>
    </row>
    <row r="750" spans="1:26" x14ac:dyDescent="0.25">
      <c r="A750" s="63"/>
      <c r="B750" s="64"/>
      <c r="C750" s="64"/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4"/>
      <c r="S750" s="28"/>
      <c r="Y750" s="99"/>
      <c r="Z750" s="64"/>
    </row>
    <row r="751" spans="1:26" x14ac:dyDescent="0.25">
      <c r="A751" s="63"/>
      <c r="B751" s="64"/>
      <c r="C751" s="64"/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4"/>
      <c r="S751" s="28"/>
      <c r="Y751" s="99"/>
      <c r="Z751" s="64"/>
    </row>
    <row r="752" spans="1:26" x14ac:dyDescent="0.25">
      <c r="A752" s="63"/>
      <c r="B752" s="64"/>
      <c r="C752" s="64"/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4"/>
      <c r="S752" s="28"/>
      <c r="Y752" s="99"/>
      <c r="Z752" s="64"/>
    </row>
    <row r="753" spans="1:26" x14ac:dyDescent="0.25">
      <c r="A753" s="63"/>
      <c r="B753" s="64"/>
      <c r="C753" s="64"/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4"/>
      <c r="S753" s="28"/>
      <c r="Y753" s="99"/>
      <c r="Z753" s="64"/>
    </row>
    <row r="754" spans="1:26" x14ac:dyDescent="0.25">
      <c r="A754" s="63"/>
      <c r="B754" s="64"/>
      <c r="C754" s="64"/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4"/>
      <c r="S754" s="28"/>
      <c r="Y754" s="99"/>
      <c r="Z754" s="64"/>
    </row>
    <row r="755" spans="1:26" x14ac:dyDescent="0.25">
      <c r="A755" s="63"/>
      <c r="B755" s="64"/>
      <c r="C755" s="64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4"/>
      <c r="S755" s="28"/>
      <c r="Y755" s="99"/>
      <c r="Z755" s="64"/>
    </row>
    <row r="756" spans="1:26" x14ac:dyDescent="0.25">
      <c r="A756" s="63"/>
      <c r="B756" s="64"/>
      <c r="C756" s="64"/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4"/>
      <c r="S756" s="28"/>
      <c r="Y756" s="99"/>
      <c r="Z756" s="64"/>
    </row>
    <row r="757" spans="1:26" x14ac:dyDescent="0.25">
      <c r="A757" s="63"/>
      <c r="B757" s="64"/>
      <c r="C757" s="64"/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4"/>
      <c r="S757" s="28"/>
      <c r="Y757" s="99"/>
      <c r="Z757" s="64"/>
    </row>
    <row r="758" spans="1:26" x14ac:dyDescent="0.25">
      <c r="A758" s="63"/>
      <c r="B758" s="64"/>
      <c r="C758" s="64"/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4"/>
      <c r="S758" s="28"/>
      <c r="Y758" s="99"/>
      <c r="Z758" s="64"/>
    </row>
    <row r="759" spans="1:26" x14ac:dyDescent="0.25">
      <c r="A759" s="63"/>
      <c r="B759" s="64"/>
      <c r="C759" s="64"/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4"/>
      <c r="S759" s="28"/>
      <c r="Y759" s="99"/>
      <c r="Z759" s="64"/>
    </row>
    <row r="760" spans="1:26" x14ac:dyDescent="0.25">
      <c r="A760" s="63"/>
      <c r="B760" s="64"/>
      <c r="C760" s="64"/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4"/>
      <c r="S760" s="28"/>
      <c r="Y760" s="99"/>
      <c r="Z760" s="64"/>
    </row>
    <row r="761" spans="1:26" x14ac:dyDescent="0.25">
      <c r="A761" s="63"/>
      <c r="B761" s="64"/>
      <c r="C761" s="64"/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4"/>
      <c r="S761" s="28"/>
      <c r="Y761" s="99"/>
      <c r="Z761" s="64"/>
    </row>
    <row r="762" spans="1:26" x14ac:dyDescent="0.25">
      <c r="A762" s="63"/>
      <c r="B762" s="64"/>
      <c r="C762" s="64"/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4"/>
      <c r="S762" s="28"/>
      <c r="Y762" s="99"/>
      <c r="Z762" s="64"/>
    </row>
    <row r="763" spans="1:26" x14ac:dyDescent="0.25">
      <c r="A763" s="63"/>
      <c r="B763" s="64"/>
      <c r="C763" s="64"/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4"/>
      <c r="S763" s="28"/>
      <c r="Y763" s="99"/>
      <c r="Z763" s="64"/>
    </row>
    <row r="764" spans="1:26" x14ac:dyDescent="0.25">
      <c r="A764" s="63"/>
      <c r="B764" s="64"/>
      <c r="C764" s="64"/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4"/>
      <c r="S764" s="28"/>
      <c r="Y764" s="99"/>
      <c r="Z764" s="64"/>
    </row>
    <row r="765" spans="1:26" x14ac:dyDescent="0.25">
      <c r="A765" s="63"/>
      <c r="B765" s="64"/>
      <c r="C765" s="64"/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4"/>
      <c r="S765" s="28"/>
      <c r="Y765" s="99"/>
      <c r="Z765" s="64"/>
    </row>
    <row r="766" spans="1:26" x14ac:dyDescent="0.25">
      <c r="A766" s="63"/>
      <c r="B766" s="64"/>
      <c r="C766" s="64"/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4"/>
      <c r="S766" s="28"/>
      <c r="Y766" s="99"/>
      <c r="Z766" s="64"/>
    </row>
    <row r="767" spans="1:26" x14ac:dyDescent="0.25">
      <c r="A767" s="63"/>
      <c r="B767" s="64"/>
      <c r="C767" s="64"/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4"/>
      <c r="S767" s="28"/>
      <c r="Y767" s="99"/>
      <c r="Z767" s="64"/>
    </row>
    <row r="768" spans="1:26" x14ac:dyDescent="0.25">
      <c r="A768" s="63"/>
      <c r="B768" s="64"/>
      <c r="C768" s="64"/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4"/>
      <c r="S768" s="28"/>
      <c r="Y768" s="99"/>
      <c r="Z768" s="64"/>
    </row>
    <row r="769" spans="1:26" x14ac:dyDescent="0.25">
      <c r="A769" s="63"/>
      <c r="B769" s="64"/>
      <c r="C769" s="64"/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4"/>
      <c r="S769" s="28"/>
      <c r="Y769" s="99"/>
      <c r="Z769" s="64"/>
    </row>
    <row r="770" spans="1:26" x14ac:dyDescent="0.25">
      <c r="A770" s="63"/>
      <c r="B770" s="64"/>
      <c r="C770" s="64"/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4"/>
      <c r="S770" s="28"/>
      <c r="Y770" s="99"/>
      <c r="Z770" s="64"/>
    </row>
    <row r="771" spans="1:26" x14ac:dyDescent="0.25">
      <c r="A771" s="63"/>
      <c r="B771" s="64"/>
      <c r="C771" s="64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4"/>
      <c r="S771" s="28"/>
      <c r="Y771" s="99"/>
      <c r="Z771" s="64"/>
    </row>
    <row r="772" spans="1:26" x14ac:dyDescent="0.25">
      <c r="A772" s="63"/>
      <c r="B772" s="64"/>
      <c r="C772" s="64"/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4"/>
      <c r="S772" s="28"/>
      <c r="Y772" s="99"/>
      <c r="Z772" s="64"/>
    </row>
    <row r="773" spans="1:26" x14ac:dyDescent="0.25">
      <c r="A773" s="63"/>
      <c r="B773" s="64"/>
      <c r="C773" s="64"/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4"/>
      <c r="S773" s="28"/>
      <c r="Y773" s="99"/>
      <c r="Z773" s="64"/>
    </row>
    <row r="774" spans="1:26" x14ac:dyDescent="0.25">
      <c r="A774" s="63"/>
      <c r="B774" s="64"/>
      <c r="C774" s="64"/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4"/>
      <c r="S774" s="28"/>
      <c r="Y774" s="99"/>
      <c r="Z774" s="64"/>
    </row>
    <row r="775" spans="1:26" x14ac:dyDescent="0.25">
      <c r="A775" s="63"/>
      <c r="B775" s="64"/>
      <c r="C775" s="64"/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4"/>
      <c r="S775" s="28"/>
      <c r="Y775" s="99"/>
      <c r="Z775" s="64"/>
    </row>
    <row r="776" spans="1:26" x14ac:dyDescent="0.25">
      <c r="A776" s="63"/>
      <c r="B776" s="64"/>
      <c r="C776" s="64"/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4"/>
      <c r="S776" s="28"/>
      <c r="Y776" s="99"/>
      <c r="Z776" s="64"/>
    </row>
    <row r="777" spans="1:26" x14ac:dyDescent="0.25">
      <c r="A777" s="63"/>
      <c r="B777" s="64"/>
      <c r="C777" s="64"/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4"/>
      <c r="S777" s="28"/>
      <c r="Y777" s="99"/>
      <c r="Z777" s="64"/>
    </row>
    <row r="778" spans="1:26" x14ac:dyDescent="0.25">
      <c r="A778" s="63"/>
      <c r="B778" s="64"/>
      <c r="C778" s="64"/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4"/>
      <c r="S778" s="28"/>
      <c r="Y778" s="99"/>
      <c r="Z778" s="64"/>
    </row>
    <row r="779" spans="1:26" x14ac:dyDescent="0.25">
      <c r="A779" s="63"/>
      <c r="B779" s="64"/>
      <c r="C779" s="64"/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4"/>
      <c r="S779" s="28"/>
      <c r="Y779" s="99"/>
      <c r="Z779" s="64"/>
    </row>
    <row r="780" spans="1:26" x14ac:dyDescent="0.25">
      <c r="A780" s="63"/>
      <c r="B780" s="64"/>
      <c r="C780" s="64"/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4"/>
      <c r="S780" s="28"/>
    </row>
    <row r="781" spans="1:26" x14ac:dyDescent="0.25">
      <c r="A781" s="63"/>
      <c r="B781" s="64"/>
      <c r="C781" s="64"/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4"/>
      <c r="S781" s="28"/>
    </row>
    <row r="782" spans="1:26" x14ac:dyDescent="0.25">
      <c r="A782" s="63"/>
      <c r="B782" s="64"/>
      <c r="C782" s="64"/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4"/>
      <c r="S782" s="28"/>
    </row>
    <row r="783" spans="1:26" x14ac:dyDescent="0.25">
      <c r="A783" s="63"/>
      <c r="B783" s="64"/>
      <c r="C783" s="64"/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4"/>
      <c r="S783" s="28"/>
    </row>
    <row r="784" spans="1:26" x14ac:dyDescent="0.25">
      <c r="A784" s="63"/>
      <c r="B784" s="64"/>
      <c r="C784" s="64"/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4"/>
      <c r="S784" s="28"/>
    </row>
    <row r="785" spans="1:19" x14ac:dyDescent="0.25">
      <c r="A785" s="63"/>
      <c r="B785" s="64"/>
      <c r="C785" s="64"/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4"/>
      <c r="S785" s="28"/>
    </row>
    <row r="786" spans="1:19" x14ac:dyDescent="0.25">
      <c r="A786" s="63"/>
      <c r="B786" s="64"/>
      <c r="C786" s="64"/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4"/>
      <c r="S786" s="28"/>
    </row>
    <row r="787" spans="1:19" x14ac:dyDescent="0.25">
      <c r="A787" s="63"/>
      <c r="B787" s="64"/>
      <c r="C787" s="64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4"/>
      <c r="S787" s="28"/>
    </row>
    <row r="788" spans="1:19" x14ac:dyDescent="0.25">
      <c r="A788" s="63"/>
      <c r="B788" s="64"/>
      <c r="C788" s="64"/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4"/>
      <c r="S788" s="28"/>
    </row>
    <row r="789" spans="1:19" x14ac:dyDescent="0.25">
      <c r="A789" s="63"/>
      <c r="B789" s="64"/>
      <c r="C789" s="64"/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4"/>
      <c r="S789" s="28"/>
    </row>
    <row r="790" spans="1:19" x14ac:dyDescent="0.25">
      <c r="A790" s="63"/>
      <c r="B790" s="64"/>
      <c r="C790" s="64"/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4"/>
      <c r="S790" s="28"/>
    </row>
    <row r="791" spans="1:19" x14ac:dyDescent="0.25">
      <c r="A791" s="63"/>
      <c r="B791" s="64"/>
      <c r="C791" s="64"/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4"/>
      <c r="S791" s="28"/>
    </row>
    <row r="792" spans="1:19" x14ac:dyDescent="0.25">
      <c r="A792" s="63"/>
      <c r="B792" s="64"/>
      <c r="C792" s="64"/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4"/>
      <c r="S792" s="28"/>
    </row>
    <row r="793" spans="1:19" x14ac:dyDescent="0.25">
      <c r="A793" s="63"/>
      <c r="B793" s="64"/>
      <c r="C793" s="64"/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4"/>
      <c r="S793" s="28"/>
    </row>
    <row r="794" spans="1:19" x14ac:dyDescent="0.25">
      <c r="A794" s="63"/>
      <c r="B794" s="64"/>
      <c r="C794" s="64"/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4"/>
      <c r="S794" s="28"/>
    </row>
    <row r="795" spans="1:19" x14ac:dyDescent="0.25">
      <c r="A795" s="63"/>
      <c r="B795" s="64"/>
      <c r="C795" s="64"/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4"/>
      <c r="S795" s="28"/>
    </row>
    <row r="796" spans="1:19" x14ac:dyDescent="0.25">
      <c r="A796" s="63"/>
      <c r="B796" s="64"/>
      <c r="C796" s="64"/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4"/>
      <c r="S796" s="28"/>
    </row>
    <row r="797" spans="1:19" x14ac:dyDescent="0.25">
      <c r="A797" s="63"/>
      <c r="B797" s="64"/>
      <c r="C797" s="64"/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4"/>
      <c r="S797" s="28"/>
    </row>
    <row r="798" spans="1:19" x14ac:dyDescent="0.25">
      <c r="A798" s="63"/>
      <c r="B798" s="64"/>
      <c r="C798" s="64"/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4"/>
      <c r="S798" s="28"/>
    </row>
    <row r="799" spans="1:19" x14ac:dyDescent="0.25">
      <c r="A799" s="63"/>
      <c r="B799" s="64"/>
      <c r="C799" s="64"/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4"/>
      <c r="S799" s="28"/>
    </row>
    <row r="800" spans="1:19" x14ac:dyDescent="0.25">
      <c r="A800" s="63"/>
      <c r="B800" s="64"/>
      <c r="C800" s="64"/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4"/>
      <c r="S800" s="28"/>
    </row>
    <row r="801" spans="1:19" x14ac:dyDescent="0.25">
      <c r="A801" s="63"/>
      <c r="B801" s="64"/>
      <c r="C801" s="64"/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4"/>
      <c r="S801" s="28"/>
    </row>
    <row r="802" spans="1:19" x14ac:dyDescent="0.25">
      <c r="A802" s="63"/>
      <c r="B802" s="64"/>
      <c r="C802" s="64"/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4"/>
      <c r="S802" s="28"/>
    </row>
    <row r="803" spans="1:19" x14ac:dyDescent="0.25">
      <c r="A803" s="63"/>
      <c r="B803" s="64"/>
      <c r="C803" s="64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4"/>
      <c r="S803" s="28"/>
    </row>
    <row r="804" spans="1:19" x14ac:dyDescent="0.25">
      <c r="A804" s="63"/>
      <c r="B804" s="64"/>
      <c r="C804" s="64"/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4"/>
      <c r="S804" s="28"/>
    </row>
    <row r="805" spans="1:19" x14ac:dyDescent="0.25">
      <c r="A805" s="63"/>
      <c r="B805" s="64"/>
      <c r="C805" s="64"/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4"/>
      <c r="S805" s="28"/>
    </row>
    <row r="806" spans="1:19" x14ac:dyDescent="0.25">
      <c r="A806" s="63"/>
      <c r="B806" s="64"/>
      <c r="C806" s="64"/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4"/>
      <c r="S806" s="28"/>
    </row>
    <row r="807" spans="1:19" x14ac:dyDescent="0.25">
      <c r="A807" s="63"/>
      <c r="B807" s="64"/>
      <c r="C807" s="64"/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4"/>
      <c r="S807" s="28"/>
    </row>
    <row r="808" spans="1:19" x14ac:dyDescent="0.25">
      <c r="A808" s="63"/>
      <c r="B808" s="64"/>
      <c r="C808" s="64"/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4"/>
      <c r="S808" s="28"/>
    </row>
    <row r="809" spans="1:19" x14ac:dyDescent="0.25">
      <c r="A809" s="63"/>
      <c r="B809" s="64"/>
      <c r="C809" s="64"/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4"/>
      <c r="S809" s="28"/>
    </row>
    <row r="810" spans="1:19" x14ac:dyDescent="0.25">
      <c r="A810" s="63"/>
      <c r="B810" s="64"/>
      <c r="C810" s="64"/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4"/>
      <c r="S810" s="28"/>
    </row>
    <row r="811" spans="1:19" x14ac:dyDescent="0.25">
      <c r="A811" s="63"/>
      <c r="B811" s="64"/>
      <c r="C811" s="64"/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4"/>
      <c r="S811" s="28"/>
    </row>
    <row r="812" spans="1:19" x14ac:dyDescent="0.25">
      <c r="A812" s="63"/>
      <c r="B812" s="64"/>
      <c r="C812" s="64"/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4"/>
      <c r="S812" s="28"/>
    </row>
    <row r="813" spans="1:19" x14ac:dyDescent="0.25">
      <c r="A813" s="63"/>
      <c r="B813" s="64"/>
      <c r="C813" s="64"/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4"/>
      <c r="S813" s="28"/>
    </row>
    <row r="814" spans="1:19" x14ac:dyDescent="0.25">
      <c r="A814" s="63"/>
      <c r="B814" s="64"/>
      <c r="C814" s="64"/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4"/>
      <c r="S814" s="28"/>
    </row>
    <row r="815" spans="1:19" x14ac:dyDescent="0.25">
      <c r="A815" s="63"/>
      <c r="B815" s="64"/>
      <c r="C815" s="64"/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4"/>
      <c r="S815" s="28"/>
    </row>
    <row r="816" spans="1:19" x14ac:dyDescent="0.25">
      <c r="A816" s="63"/>
      <c r="B816" s="64"/>
      <c r="C816" s="64"/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4"/>
      <c r="S816" s="28"/>
    </row>
    <row r="817" spans="1:19" x14ac:dyDescent="0.25">
      <c r="A817" s="63"/>
      <c r="B817" s="64"/>
      <c r="C817" s="64"/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4"/>
      <c r="S817" s="28"/>
    </row>
    <row r="818" spans="1:19" x14ac:dyDescent="0.25">
      <c r="A818" s="63"/>
      <c r="B818" s="64"/>
      <c r="C818" s="64"/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4"/>
      <c r="S818" s="28"/>
    </row>
    <row r="819" spans="1:19" x14ac:dyDescent="0.25">
      <c r="A819" s="63"/>
      <c r="B819" s="64"/>
      <c r="C819" s="64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4"/>
      <c r="S819" s="28"/>
    </row>
    <row r="820" spans="1:19" x14ac:dyDescent="0.25">
      <c r="A820" s="63"/>
      <c r="B820" s="64"/>
      <c r="C820" s="64"/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4"/>
      <c r="S820" s="28"/>
    </row>
    <row r="821" spans="1:19" x14ac:dyDescent="0.25">
      <c r="A821" s="63"/>
      <c r="B821" s="64"/>
      <c r="C821" s="64"/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4"/>
      <c r="S821" s="28"/>
    </row>
    <row r="822" spans="1:19" x14ac:dyDescent="0.25">
      <c r="A822" s="63"/>
      <c r="B822" s="64"/>
      <c r="C822" s="64"/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4"/>
      <c r="S822" s="28"/>
    </row>
    <row r="823" spans="1:19" x14ac:dyDescent="0.25">
      <c r="A823" s="63"/>
      <c r="B823" s="64"/>
      <c r="C823" s="64"/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4"/>
      <c r="S823" s="28"/>
    </row>
    <row r="824" spans="1:19" x14ac:dyDescent="0.25">
      <c r="A824" s="63"/>
      <c r="B824" s="64"/>
      <c r="C824" s="64"/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4"/>
      <c r="S824" s="28"/>
    </row>
    <row r="825" spans="1:19" x14ac:dyDescent="0.25">
      <c r="A825" s="63"/>
      <c r="B825" s="64"/>
      <c r="C825" s="64"/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4"/>
      <c r="S825" s="28"/>
    </row>
    <row r="826" spans="1:19" x14ac:dyDescent="0.25">
      <c r="A826" s="63"/>
      <c r="B826" s="64"/>
      <c r="C826" s="64"/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4"/>
      <c r="S826" s="28"/>
    </row>
    <row r="827" spans="1:19" x14ac:dyDescent="0.25">
      <c r="A827" s="63"/>
      <c r="B827" s="64"/>
      <c r="C827" s="64"/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4"/>
      <c r="S827" s="28"/>
    </row>
    <row r="828" spans="1:19" x14ac:dyDescent="0.25">
      <c r="A828" s="63"/>
      <c r="B828" s="64"/>
      <c r="C828" s="64"/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4"/>
      <c r="S828" s="28"/>
    </row>
    <row r="829" spans="1:19" x14ac:dyDescent="0.25">
      <c r="A829" s="63"/>
      <c r="B829" s="64"/>
      <c r="C829" s="64"/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4"/>
      <c r="S829" s="28"/>
    </row>
    <row r="830" spans="1:19" x14ac:dyDescent="0.25">
      <c r="A830" s="63"/>
      <c r="B830" s="64"/>
      <c r="C830" s="64"/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4"/>
      <c r="S830" s="28"/>
    </row>
    <row r="831" spans="1:19" x14ac:dyDescent="0.25">
      <c r="A831" s="63"/>
      <c r="B831" s="64"/>
      <c r="C831" s="64"/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4"/>
      <c r="S831" s="28"/>
    </row>
    <row r="832" spans="1:19" x14ac:dyDescent="0.25">
      <c r="A832" s="63"/>
      <c r="B832" s="64"/>
      <c r="C832" s="64"/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4"/>
      <c r="S832" s="28"/>
    </row>
    <row r="833" spans="1:19" x14ac:dyDescent="0.25">
      <c r="A833" s="63"/>
      <c r="B833" s="64"/>
      <c r="C833" s="64"/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4"/>
      <c r="S833" s="28"/>
    </row>
    <row r="834" spans="1:19" x14ac:dyDescent="0.25">
      <c r="A834" s="63"/>
      <c r="B834" s="64"/>
      <c r="C834" s="64"/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4"/>
      <c r="S834" s="28"/>
    </row>
    <row r="835" spans="1:19" x14ac:dyDescent="0.25">
      <c r="A835" s="63"/>
      <c r="B835" s="64"/>
      <c r="C835" s="64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4"/>
      <c r="S835" s="28"/>
    </row>
    <row r="836" spans="1:19" x14ac:dyDescent="0.25">
      <c r="A836" s="63"/>
      <c r="B836" s="64"/>
      <c r="C836" s="64"/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4"/>
      <c r="S836" s="28"/>
    </row>
    <row r="837" spans="1:19" x14ac:dyDescent="0.25">
      <c r="A837" s="63"/>
      <c r="B837" s="64"/>
      <c r="C837" s="64"/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4"/>
      <c r="S837" s="28"/>
    </row>
    <row r="838" spans="1:19" x14ac:dyDescent="0.25">
      <c r="A838" s="63"/>
      <c r="B838" s="64"/>
      <c r="C838" s="64"/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4"/>
      <c r="S838" s="28"/>
    </row>
    <row r="839" spans="1:19" x14ac:dyDescent="0.25">
      <c r="A839" s="63"/>
      <c r="B839" s="64"/>
      <c r="C839" s="64"/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4"/>
      <c r="S839" s="28"/>
    </row>
    <row r="840" spans="1:19" x14ac:dyDescent="0.25">
      <c r="A840" s="63"/>
      <c r="B840" s="64"/>
      <c r="C840" s="64"/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4"/>
      <c r="S840" s="28"/>
    </row>
    <row r="841" spans="1:19" x14ac:dyDescent="0.25">
      <c r="A841" s="63"/>
      <c r="B841" s="64"/>
      <c r="C841" s="64"/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4"/>
      <c r="S841" s="28"/>
    </row>
    <row r="842" spans="1:19" x14ac:dyDescent="0.25">
      <c r="A842" s="63"/>
      <c r="B842" s="64"/>
      <c r="C842" s="64"/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4"/>
      <c r="S842" s="28"/>
    </row>
    <row r="843" spans="1:19" x14ac:dyDescent="0.25">
      <c r="A843" s="63"/>
      <c r="B843" s="64"/>
      <c r="C843" s="64"/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4"/>
      <c r="S843" s="28"/>
    </row>
    <row r="844" spans="1:19" x14ac:dyDescent="0.25">
      <c r="A844" s="63"/>
      <c r="B844" s="64"/>
      <c r="C844" s="64"/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4"/>
      <c r="S844" s="28"/>
    </row>
    <row r="845" spans="1:19" x14ac:dyDescent="0.25">
      <c r="A845" s="63"/>
      <c r="B845" s="64"/>
      <c r="C845" s="64"/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4"/>
      <c r="S845" s="28"/>
    </row>
    <row r="846" spans="1:19" x14ac:dyDescent="0.25">
      <c r="A846" s="63"/>
      <c r="B846" s="64"/>
      <c r="C846" s="64"/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4"/>
      <c r="S846" s="28"/>
    </row>
    <row r="847" spans="1:19" x14ac:dyDescent="0.25">
      <c r="A847" s="63"/>
      <c r="B847" s="64"/>
      <c r="C847" s="64"/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4"/>
      <c r="S847" s="28"/>
    </row>
    <row r="848" spans="1:19" x14ac:dyDescent="0.25">
      <c r="A848" s="63"/>
      <c r="B848" s="64"/>
      <c r="C848" s="64"/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4"/>
      <c r="S848" s="28"/>
    </row>
    <row r="849" spans="1:19" x14ac:dyDescent="0.25">
      <c r="A849" s="63"/>
      <c r="B849" s="64"/>
      <c r="C849" s="64"/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4"/>
      <c r="S849" s="28"/>
    </row>
    <row r="850" spans="1:19" x14ac:dyDescent="0.25">
      <c r="A850" s="63"/>
      <c r="B850" s="64"/>
      <c r="C850" s="64"/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4"/>
      <c r="S850" s="28"/>
    </row>
    <row r="851" spans="1:19" x14ac:dyDescent="0.25">
      <c r="A851" s="63"/>
      <c r="B851" s="64"/>
      <c r="C851" s="64"/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64"/>
      <c r="S851" s="28"/>
    </row>
    <row r="852" spans="1:19" x14ac:dyDescent="0.25">
      <c r="A852" s="63"/>
      <c r="B852" s="64"/>
      <c r="C852" s="64"/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64"/>
      <c r="S852" s="28"/>
    </row>
    <row r="853" spans="1:19" x14ac:dyDescent="0.25">
      <c r="A853" s="63"/>
      <c r="B853" s="64"/>
      <c r="C853" s="64"/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64"/>
      <c r="S853" s="28"/>
    </row>
    <row r="854" spans="1:19" x14ac:dyDescent="0.25">
      <c r="A854" s="63"/>
      <c r="B854" s="64"/>
      <c r="C854" s="64"/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64"/>
      <c r="S854" s="28"/>
    </row>
    <row r="855" spans="1:19" x14ac:dyDescent="0.25">
      <c r="A855" s="63"/>
      <c r="B855" s="64"/>
      <c r="C855" s="64"/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64"/>
      <c r="S855" s="28"/>
    </row>
    <row r="856" spans="1:19" x14ac:dyDescent="0.25">
      <c r="A856" s="63"/>
      <c r="B856" s="64"/>
      <c r="C856" s="64"/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64"/>
      <c r="S856" s="28"/>
    </row>
    <row r="857" spans="1:19" x14ac:dyDescent="0.25">
      <c r="A857" s="63"/>
      <c r="B857" s="64"/>
      <c r="C857" s="64"/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64"/>
      <c r="S857" s="28"/>
    </row>
    <row r="858" spans="1:19" x14ac:dyDescent="0.25">
      <c r="A858" s="63"/>
      <c r="B858" s="64"/>
      <c r="C858" s="64"/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64"/>
      <c r="S858" s="28"/>
    </row>
    <row r="859" spans="1:19" x14ac:dyDescent="0.25">
      <c r="A859" s="63"/>
      <c r="B859" s="64"/>
      <c r="C859" s="64"/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64"/>
      <c r="S859" s="28"/>
    </row>
    <row r="860" spans="1:19" x14ac:dyDescent="0.25">
      <c r="A860" s="63"/>
      <c r="B860" s="64"/>
      <c r="C860" s="64"/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64"/>
      <c r="S860" s="28"/>
    </row>
    <row r="861" spans="1:19" x14ac:dyDescent="0.25">
      <c r="A861" s="63"/>
      <c r="B861" s="64"/>
      <c r="C861" s="64"/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64"/>
      <c r="S861" s="28"/>
    </row>
    <row r="862" spans="1:19" x14ac:dyDescent="0.25">
      <c r="A862" s="63"/>
      <c r="B862" s="64"/>
      <c r="C862" s="64"/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64"/>
      <c r="S862" s="28"/>
    </row>
    <row r="863" spans="1:19" x14ac:dyDescent="0.25">
      <c r="A863" s="63"/>
      <c r="B863" s="64"/>
      <c r="C863" s="64"/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64"/>
      <c r="S863" s="28"/>
    </row>
    <row r="864" spans="1:19" x14ac:dyDescent="0.25">
      <c r="A864" s="63"/>
      <c r="B864" s="64"/>
      <c r="C864" s="64"/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64"/>
      <c r="S864" s="28"/>
    </row>
    <row r="865" spans="1:19" x14ac:dyDescent="0.25">
      <c r="A865" s="63"/>
      <c r="B865" s="64"/>
      <c r="C865" s="64"/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64"/>
      <c r="S865" s="28"/>
    </row>
    <row r="866" spans="1:19" x14ac:dyDescent="0.25">
      <c r="A866" s="63"/>
      <c r="B866" s="64"/>
      <c r="C866" s="64"/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64"/>
      <c r="S866" s="28"/>
    </row>
    <row r="867" spans="1:19" x14ac:dyDescent="0.25">
      <c r="A867" s="63"/>
      <c r="B867" s="64"/>
      <c r="C867" s="64"/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64"/>
      <c r="S867" s="28"/>
    </row>
    <row r="868" spans="1:19" x14ac:dyDescent="0.25">
      <c r="A868" s="63"/>
      <c r="B868" s="64"/>
      <c r="C868" s="64"/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64"/>
      <c r="S868" s="28"/>
    </row>
    <row r="869" spans="1:19" x14ac:dyDescent="0.25">
      <c r="A869" s="63"/>
      <c r="B869" s="64"/>
      <c r="C869" s="64"/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64"/>
      <c r="S869" s="28"/>
    </row>
    <row r="870" spans="1:19" x14ac:dyDescent="0.25">
      <c r="A870" s="63"/>
      <c r="B870" s="64"/>
      <c r="C870" s="64"/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64"/>
      <c r="S870" s="28"/>
    </row>
    <row r="871" spans="1:19" x14ac:dyDescent="0.25">
      <c r="A871" s="63"/>
      <c r="B871" s="64"/>
      <c r="C871" s="64"/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64"/>
      <c r="S871" s="28"/>
    </row>
    <row r="872" spans="1:19" x14ac:dyDescent="0.25">
      <c r="A872" s="63"/>
      <c r="B872" s="64"/>
      <c r="C872" s="64"/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64"/>
      <c r="S872" s="28"/>
    </row>
    <row r="873" spans="1:19" x14ac:dyDescent="0.25">
      <c r="A873" s="63"/>
      <c r="B873" s="64"/>
      <c r="C873" s="64"/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64"/>
      <c r="S873" s="28"/>
    </row>
    <row r="874" spans="1:19" x14ac:dyDescent="0.25">
      <c r="A874" s="63"/>
      <c r="B874" s="64"/>
      <c r="C874" s="64"/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64"/>
      <c r="S874" s="28"/>
    </row>
    <row r="875" spans="1:19" x14ac:dyDescent="0.25">
      <c r="A875" s="63"/>
      <c r="B875" s="64"/>
      <c r="C875" s="64"/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64"/>
      <c r="S875" s="28"/>
    </row>
    <row r="876" spans="1:19" x14ac:dyDescent="0.25">
      <c r="A876" s="63"/>
      <c r="B876" s="64"/>
      <c r="C876" s="64"/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64"/>
      <c r="S876" s="28"/>
    </row>
    <row r="877" spans="1:19" x14ac:dyDescent="0.25">
      <c r="A877" s="63"/>
      <c r="B877" s="64"/>
      <c r="C877" s="64"/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64"/>
      <c r="S877" s="28"/>
    </row>
    <row r="878" spans="1:19" x14ac:dyDescent="0.25">
      <c r="A878" s="63"/>
      <c r="B878" s="64"/>
      <c r="C878" s="64"/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64"/>
      <c r="S878" s="28"/>
    </row>
    <row r="879" spans="1:19" x14ac:dyDescent="0.25">
      <c r="A879" s="63"/>
      <c r="B879" s="64"/>
      <c r="C879" s="64"/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64"/>
      <c r="S879" s="28"/>
    </row>
    <row r="880" spans="1:19" x14ac:dyDescent="0.25">
      <c r="A880" s="63"/>
      <c r="B880" s="64"/>
      <c r="C880" s="64"/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64"/>
      <c r="S880" s="28"/>
    </row>
    <row r="881" spans="1:19" x14ac:dyDescent="0.25">
      <c r="A881" s="63"/>
      <c r="B881" s="64"/>
      <c r="C881" s="64"/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64"/>
      <c r="S881" s="28"/>
    </row>
    <row r="882" spans="1:19" x14ac:dyDescent="0.25">
      <c r="A882" s="63"/>
      <c r="B882" s="64"/>
      <c r="C882" s="64"/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64"/>
      <c r="S882" s="28"/>
    </row>
    <row r="883" spans="1:19" x14ac:dyDescent="0.25">
      <c r="A883" s="63"/>
      <c r="B883" s="64"/>
      <c r="C883" s="64"/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64"/>
      <c r="S883" s="28"/>
    </row>
    <row r="884" spans="1:19" x14ac:dyDescent="0.25">
      <c r="A884" s="63"/>
      <c r="B884" s="64"/>
      <c r="C884" s="64"/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64"/>
      <c r="S884" s="28"/>
    </row>
    <row r="885" spans="1:19" x14ac:dyDescent="0.25">
      <c r="A885" s="63"/>
      <c r="B885" s="64"/>
      <c r="C885" s="64"/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64"/>
      <c r="S885" s="28"/>
    </row>
    <row r="886" spans="1:19" x14ac:dyDescent="0.25">
      <c r="A886" s="63"/>
      <c r="B886" s="64"/>
      <c r="C886" s="64"/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64"/>
      <c r="S886" s="28"/>
    </row>
    <row r="887" spans="1:19" x14ac:dyDescent="0.25">
      <c r="A887" s="63"/>
      <c r="B887" s="64"/>
      <c r="C887" s="64"/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64"/>
      <c r="S887" s="28"/>
    </row>
    <row r="888" spans="1:19" x14ac:dyDescent="0.25">
      <c r="A888" s="63"/>
      <c r="B888" s="64"/>
      <c r="C888" s="64"/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64"/>
      <c r="S888" s="28"/>
    </row>
    <row r="889" spans="1:19" x14ac:dyDescent="0.25">
      <c r="A889" s="63"/>
      <c r="B889" s="64"/>
      <c r="C889" s="64"/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64"/>
      <c r="S889" s="28"/>
    </row>
    <row r="890" spans="1:19" x14ac:dyDescent="0.25">
      <c r="A890" s="63"/>
      <c r="B890" s="64"/>
      <c r="C890" s="64"/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64"/>
      <c r="S890" s="28"/>
    </row>
    <row r="891" spans="1:19" x14ac:dyDescent="0.25">
      <c r="A891" s="63"/>
      <c r="B891" s="64"/>
      <c r="C891" s="64"/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64"/>
      <c r="S891" s="28"/>
    </row>
    <row r="892" spans="1:19" x14ac:dyDescent="0.25">
      <c r="A892" s="63"/>
      <c r="B892" s="64"/>
      <c r="C892" s="64"/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64"/>
      <c r="S892" s="28"/>
    </row>
    <row r="893" spans="1:19" x14ac:dyDescent="0.25">
      <c r="A893" s="63"/>
      <c r="B893" s="64"/>
      <c r="C893" s="64"/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64"/>
      <c r="S893" s="28"/>
    </row>
    <row r="894" spans="1:19" x14ac:dyDescent="0.25">
      <c r="A894" s="63"/>
      <c r="B894" s="64"/>
      <c r="C894" s="64"/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64"/>
      <c r="S894" s="28"/>
    </row>
    <row r="895" spans="1:19" x14ac:dyDescent="0.25">
      <c r="A895" s="63"/>
      <c r="B895" s="64"/>
      <c r="C895" s="64"/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64"/>
      <c r="S895" s="28"/>
    </row>
    <row r="896" spans="1:19" x14ac:dyDescent="0.25">
      <c r="A896" s="63"/>
      <c r="B896" s="64"/>
      <c r="C896" s="64"/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64"/>
      <c r="S896" s="28"/>
    </row>
    <row r="897" spans="1:19" x14ac:dyDescent="0.25">
      <c r="A897" s="63"/>
      <c r="B897" s="64"/>
      <c r="C897" s="64"/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64"/>
      <c r="S897" s="28"/>
    </row>
    <row r="898" spans="1:19" x14ac:dyDescent="0.25">
      <c r="A898" s="63"/>
      <c r="B898" s="64"/>
      <c r="C898" s="64"/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64"/>
      <c r="S898" s="28"/>
    </row>
    <row r="899" spans="1:19" x14ac:dyDescent="0.25">
      <c r="A899" s="63"/>
      <c r="B899" s="64"/>
      <c r="C899" s="64"/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64"/>
      <c r="S899" s="28"/>
    </row>
    <row r="900" spans="1:19" x14ac:dyDescent="0.25">
      <c r="A900" s="63"/>
      <c r="B900" s="64"/>
      <c r="C900" s="64"/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64"/>
      <c r="S900" s="28"/>
    </row>
    <row r="901" spans="1:19" x14ac:dyDescent="0.25">
      <c r="A901" s="63"/>
      <c r="B901" s="64"/>
      <c r="C901" s="64"/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64"/>
      <c r="S901" s="28"/>
    </row>
    <row r="902" spans="1:19" x14ac:dyDescent="0.25">
      <c r="A902" s="63"/>
      <c r="B902" s="64"/>
      <c r="C902" s="64"/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64"/>
      <c r="S902" s="28"/>
    </row>
    <row r="903" spans="1:19" x14ac:dyDescent="0.25">
      <c r="A903" s="63"/>
      <c r="B903" s="64"/>
      <c r="C903" s="64"/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64"/>
      <c r="S903" s="28"/>
    </row>
    <row r="904" spans="1:19" x14ac:dyDescent="0.25">
      <c r="A904" s="63"/>
      <c r="B904" s="64"/>
      <c r="C904" s="64"/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64"/>
      <c r="S904" s="28"/>
    </row>
    <row r="905" spans="1:19" x14ac:dyDescent="0.25">
      <c r="A905" s="63"/>
      <c r="B905" s="64"/>
      <c r="C905" s="64"/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64"/>
      <c r="S905" s="28"/>
    </row>
    <row r="906" spans="1:19" x14ac:dyDescent="0.25">
      <c r="A906" s="63"/>
      <c r="B906" s="64"/>
      <c r="C906" s="64"/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64"/>
      <c r="S906" s="28"/>
    </row>
    <row r="907" spans="1:19" x14ac:dyDescent="0.25">
      <c r="A907" s="63"/>
      <c r="B907" s="64"/>
      <c r="C907" s="64"/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64"/>
      <c r="S907" s="28"/>
    </row>
    <row r="908" spans="1:19" x14ac:dyDescent="0.25">
      <c r="A908" s="63"/>
      <c r="B908" s="64"/>
      <c r="C908" s="64"/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64"/>
      <c r="S908" s="28"/>
    </row>
    <row r="909" spans="1:19" x14ac:dyDescent="0.25">
      <c r="A909" s="63"/>
      <c r="B909" s="64"/>
      <c r="C909" s="64"/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64"/>
      <c r="S909" s="28"/>
    </row>
    <row r="910" spans="1:19" x14ac:dyDescent="0.25">
      <c r="A910" s="63"/>
      <c r="B910" s="64"/>
      <c r="C910" s="64"/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64"/>
      <c r="S910" s="28"/>
    </row>
    <row r="911" spans="1:19" x14ac:dyDescent="0.25">
      <c r="A911" s="63"/>
      <c r="B911" s="64"/>
      <c r="C911" s="64"/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64"/>
      <c r="S911" s="28"/>
    </row>
    <row r="912" spans="1:19" x14ac:dyDescent="0.25">
      <c r="A912" s="63"/>
      <c r="B912" s="64"/>
      <c r="C912" s="64"/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64"/>
      <c r="S912" s="28"/>
    </row>
    <row r="913" spans="1:19" x14ac:dyDescent="0.25">
      <c r="A913" s="63"/>
      <c r="B913" s="64"/>
      <c r="C913" s="64"/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64"/>
      <c r="S913" s="28"/>
    </row>
    <row r="914" spans="1:19" x14ac:dyDescent="0.25">
      <c r="A914" s="63"/>
      <c r="B914" s="64"/>
      <c r="C914" s="64"/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64"/>
      <c r="S914" s="28"/>
    </row>
    <row r="915" spans="1:19" x14ac:dyDescent="0.25">
      <c r="A915" s="63"/>
      <c r="B915" s="64"/>
      <c r="C915" s="64"/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64"/>
      <c r="S915" s="28"/>
    </row>
    <row r="916" spans="1:19" x14ac:dyDescent="0.25">
      <c r="A916" s="63"/>
      <c r="B916" s="64"/>
      <c r="C916" s="64"/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64"/>
      <c r="S916" s="28"/>
    </row>
    <row r="917" spans="1:19" x14ac:dyDescent="0.25">
      <c r="A917" s="63"/>
      <c r="B917" s="64"/>
      <c r="C917" s="64"/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64"/>
      <c r="S917" s="28"/>
    </row>
    <row r="918" spans="1:19" x14ac:dyDescent="0.25">
      <c r="A918" s="63"/>
      <c r="B918" s="64"/>
      <c r="C918" s="64"/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64"/>
      <c r="S918" s="28"/>
    </row>
    <row r="919" spans="1:19" x14ac:dyDescent="0.25">
      <c r="A919" s="63"/>
      <c r="B919" s="64"/>
      <c r="C919" s="64"/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64"/>
      <c r="S919" s="28"/>
    </row>
    <row r="920" spans="1:19" x14ac:dyDescent="0.25">
      <c r="A920" s="63"/>
      <c r="B920" s="64"/>
      <c r="C920" s="64"/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64"/>
      <c r="S920" s="28"/>
    </row>
    <row r="921" spans="1:19" x14ac:dyDescent="0.25">
      <c r="A921" s="63"/>
      <c r="B921" s="64"/>
      <c r="C921" s="64"/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64"/>
      <c r="S921" s="28"/>
    </row>
    <row r="922" spans="1:19" x14ac:dyDescent="0.25">
      <c r="A922" s="63"/>
      <c r="B922" s="64"/>
      <c r="C922" s="64"/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64"/>
      <c r="S922" s="28"/>
    </row>
    <row r="923" spans="1:19" x14ac:dyDescent="0.25">
      <c r="A923" s="63"/>
      <c r="B923" s="64"/>
      <c r="C923" s="64"/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64"/>
      <c r="S923" s="28"/>
    </row>
    <row r="924" spans="1:19" x14ac:dyDescent="0.25">
      <c r="A924" s="63"/>
      <c r="B924" s="64"/>
      <c r="C924" s="64"/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64"/>
      <c r="S924" s="28"/>
    </row>
    <row r="925" spans="1:19" x14ac:dyDescent="0.25">
      <c r="A925" s="63"/>
      <c r="B925" s="64"/>
      <c r="C925" s="64"/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64"/>
      <c r="S925" s="28"/>
    </row>
    <row r="926" spans="1:19" x14ac:dyDescent="0.25">
      <c r="A926" s="63"/>
      <c r="B926" s="64"/>
      <c r="C926" s="64"/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64"/>
      <c r="S926" s="28"/>
    </row>
    <row r="927" spans="1:19" x14ac:dyDescent="0.25">
      <c r="A927" s="63"/>
      <c r="B927" s="64"/>
      <c r="C927" s="64"/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64"/>
      <c r="S927" s="28"/>
    </row>
    <row r="928" spans="1:19" x14ac:dyDescent="0.25">
      <c r="A928" s="63"/>
      <c r="B928" s="64"/>
      <c r="C928" s="64"/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64"/>
      <c r="S928" s="28"/>
    </row>
    <row r="929" spans="1:19" x14ac:dyDescent="0.25">
      <c r="A929" s="63"/>
      <c r="B929" s="64"/>
      <c r="C929" s="64"/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64"/>
      <c r="S929" s="28"/>
    </row>
    <row r="930" spans="1:19" x14ac:dyDescent="0.25">
      <c r="A930" s="63"/>
      <c r="B930" s="64"/>
      <c r="C930" s="64"/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64"/>
      <c r="S930" s="28"/>
    </row>
    <row r="931" spans="1:19" x14ac:dyDescent="0.25">
      <c r="A931" s="63"/>
      <c r="B931" s="64"/>
      <c r="C931" s="64"/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64"/>
      <c r="S931" s="28"/>
    </row>
    <row r="932" spans="1:19" x14ac:dyDescent="0.25">
      <c r="A932" s="63"/>
      <c r="B932" s="64"/>
      <c r="C932" s="64"/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64"/>
      <c r="S932" s="28"/>
    </row>
    <row r="933" spans="1:19" x14ac:dyDescent="0.25">
      <c r="A933" s="63"/>
      <c r="B933" s="64"/>
      <c r="C933" s="64"/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64"/>
      <c r="S933" s="28"/>
    </row>
    <row r="934" spans="1:19" x14ac:dyDescent="0.25">
      <c r="A934" s="63"/>
      <c r="B934" s="64"/>
      <c r="C934" s="64"/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64"/>
      <c r="S934" s="28"/>
    </row>
    <row r="935" spans="1:19" x14ac:dyDescent="0.25">
      <c r="A935" s="63"/>
      <c r="B935" s="64"/>
      <c r="C935" s="64"/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64"/>
      <c r="S935" s="28"/>
    </row>
    <row r="936" spans="1:19" x14ac:dyDescent="0.25">
      <c r="A936" s="63"/>
      <c r="B936" s="64"/>
      <c r="C936" s="64"/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64"/>
      <c r="S936" s="28"/>
    </row>
    <row r="937" spans="1:19" x14ac:dyDescent="0.25">
      <c r="A937" s="63"/>
      <c r="B937" s="64"/>
      <c r="C937" s="64"/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64"/>
      <c r="S937" s="28"/>
    </row>
    <row r="938" spans="1:19" x14ac:dyDescent="0.25">
      <c r="A938" s="63"/>
      <c r="B938" s="64"/>
      <c r="C938" s="64"/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64"/>
      <c r="S938" s="28"/>
    </row>
    <row r="939" spans="1:19" x14ac:dyDescent="0.25">
      <c r="A939" s="63"/>
      <c r="B939" s="64"/>
      <c r="C939" s="64"/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64"/>
      <c r="S939" s="28"/>
    </row>
    <row r="940" spans="1:19" x14ac:dyDescent="0.25">
      <c r="A940" s="63"/>
      <c r="B940" s="64"/>
      <c r="C940" s="64"/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64"/>
      <c r="S940" s="28"/>
    </row>
    <row r="941" spans="1:19" x14ac:dyDescent="0.25">
      <c r="A941" s="63"/>
      <c r="B941" s="64"/>
      <c r="C941" s="64"/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64"/>
      <c r="S941" s="28"/>
    </row>
    <row r="942" spans="1:19" x14ac:dyDescent="0.25">
      <c r="A942" s="63"/>
      <c r="B942" s="64"/>
      <c r="C942" s="64"/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64"/>
      <c r="S942" s="28"/>
    </row>
    <row r="943" spans="1:19" x14ac:dyDescent="0.25">
      <c r="A943" s="63"/>
      <c r="B943" s="64"/>
      <c r="C943" s="64"/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64"/>
      <c r="S943" s="28"/>
    </row>
    <row r="944" spans="1:19" x14ac:dyDescent="0.25">
      <c r="A944" s="63"/>
      <c r="B944" s="64"/>
      <c r="C944" s="64"/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64"/>
      <c r="S944" s="28"/>
    </row>
    <row r="945" spans="1:19" x14ac:dyDescent="0.25">
      <c r="A945" s="63"/>
      <c r="B945" s="64"/>
      <c r="C945" s="64"/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64"/>
      <c r="S945" s="28"/>
    </row>
    <row r="946" spans="1:19" x14ac:dyDescent="0.25">
      <c r="A946" s="63"/>
      <c r="B946" s="64"/>
      <c r="C946" s="64"/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64"/>
      <c r="S946" s="28"/>
    </row>
    <row r="947" spans="1:19" x14ac:dyDescent="0.25">
      <c r="A947" s="63"/>
      <c r="B947" s="64"/>
      <c r="C947" s="64"/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64"/>
      <c r="S947" s="28"/>
    </row>
    <row r="948" spans="1:19" x14ac:dyDescent="0.25">
      <c r="A948" s="63"/>
      <c r="B948" s="64"/>
      <c r="C948" s="64"/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64"/>
      <c r="S948" s="28"/>
    </row>
    <row r="949" spans="1:19" x14ac:dyDescent="0.25">
      <c r="A949" s="63"/>
      <c r="B949" s="64"/>
      <c r="C949" s="64"/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64"/>
      <c r="S949" s="28"/>
    </row>
    <row r="950" spans="1:19" x14ac:dyDescent="0.25">
      <c r="A950" s="63"/>
      <c r="B950" s="64"/>
      <c r="C950" s="64"/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64"/>
      <c r="S950" s="28"/>
    </row>
    <row r="951" spans="1:19" x14ac:dyDescent="0.25">
      <c r="A951" s="63"/>
      <c r="B951" s="64"/>
      <c r="C951" s="64"/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64"/>
      <c r="S951" s="28"/>
    </row>
    <row r="952" spans="1:19" x14ac:dyDescent="0.25">
      <c r="A952" s="63"/>
      <c r="B952" s="64"/>
      <c r="C952" s="64"/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64"/>
      <c r="S952" s="28"/>
    </row>
    <row r="953" spans="1:19" x14ac:dyDescent="0.25">
      <c r="A953" s="63"/>
      <c r="B953" s="64"/>
      <c r="C953" s="64"/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64"/>
      <c r="S953" s="28"/>
    </row>
    <row r="954" spans="1:19" x14ac:dyDescent="0.25">
      <c r="A954" s="63"/>
      <c r="B954" s="64"/>
      <c r="C954" s="64"/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64"/>
      <c r="S954" s="28"/>
    </row>
    <row r="955" spans="1:19" x14ac:dyDescent="0.25">
      <c r="A955" s="63"/>
      <c r="B955" s="64"/>
      <c r="C955" s="64"/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64"/>
      <c r="S955" s="28"/>
    </row>
    <row r="956" spans="1:19" x14ac:dyDescent="0.25">
      <c r="A956" s="63"/>
      <c r="B956" s="64"/>
      <c r="C956" s="64"/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64"/>
      <c r="S956" s="28"/>
    </row>
    <row r="957" spans="1:19" x14ac:dyDescent="0.25">
      <c r="A957" s="63"/>
      <c r="B957" s="64"/>
      <c r="C957" s="64"/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64"/>
      <c r="S957" s="28"/>
    </row>
    <row r="958" spans="1:19" x14ac:dyDescent="0.25">
      <c r="A958" s="63"/>
      <c r="B958" s="64"/>
      <c r="C958" s="64"/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64"/>
      <c r="S958" s="28"/>
    </row>
    <row r="959" spans="1:19" x14ac:dyDescent="0.25">
      <c r="A959" s="63"/>
      <c r="B959" s="64"/>
      <c r="C959" s="64"/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64"/>
      <c r="S959" s="28"/>
    </row>
    <row r="960" spans="1:19" x14ac:dyDescent="0.25">
      <c r="A960" s="63"/>
      <c r="B960" s="64"/>
      <c r="C960" s="64"/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64"/>
      <c r="S960" s="28"/>
    </row>
    <row r="961" spans="1:19" x14ac:dyDescent="0.25">
      <c r="A961" s="63"/>
      <c r="B961" s="64"/>
      <c r="C961" s="64"/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64"/>
      <c r="S961" s="28"/>
    </row>
    <row r="962" spans="1:19" x14ac:dyDescent="0.25">
      <c r="A962" s="63"/>
      <c r="B962" s="64"/>
      <c r="C962" s="64"/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64"/>
      <c r="S962" s="28"/>
    </row>
    <row r="963" spans="1:19" x14ac:dyDescent="0.25">
      <c r="A963" s="63"/>
      <c r="B963" s="64"/>
      <c r="C963" s="64"/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64"/>
      <c r="S963" s="28"/>
    </row>
    <row r="964" spans="1:19" x14ac:dyDescent="0.25">
      <c r="A964" s="63"/>
      <c r="B964" s="64"/>
      <c r="C964" s="64"/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64"/>
      <c r="S964" s="28"/>
    </row>
    <row r="965" spans="1:19" x14ac:dyDescent="0.25">
      <c r="A965" s="63"/>
      <c r="B965" s="64"/>
      <c r="C965" s="64"/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64"/>
      <c r="S965" s="28"/>
    </row>
    <row r="966" spans="1:19" x14ac:dyDescent="0.25">
      <c r="A966" s="63"/>
      <c r="B966" s="64"/>
      <c r="C966" s="64"/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64"/>
      <c r="S966" s="28"/>
    </row>
    <row r="967" spans="1:19" x14ac:dyDescent="0.25">
      <c r="A967" s="63"/>
      <c r="B967" s="64"/>
      <c r="C967" s="64"/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64"/>
      <c r="S967" s="28"/>
    </row>
    <row r="968" spans="1:19" x14ac:dyDescent="0.25">
      <c r="A968" s="63"/>
      <c r="B968" s="64"/>
      <c r="C968" s="64"/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64"/>
      <c r="S968" s="28"/>
    </row>
    <row r="969" spans="1:19" x14ac:dyDescent="0.25">
      <c r="A969" s="63"/>
      <c r="B969" s="64"/>
      <c r="C969" s="64"/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64"/>
      <c r="S969" s="28"/>
    </row>
    <row r="970" spans="1:19" x14ac:dyDescent="0.25">
      <c r="A970" s="63"/>
      <c r="B970" s="64"/>
      <c r="C970" s="64"/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64"/>
      <c r="S970" s="28"/>
    </row>
    <row r="971" spans="1:19" x14ac:dyDescent="0.25">
      <c r="A971" s="63"/>
      <c r="B971" s="64"/>
      <c r="C971" s="64"/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64"/>
      <c r="S971" s="28"/>
    </row>
    <row r="972" spans="1:19" x14ac:dyDescent="0.25">
      <c r="A972" s="63"/>
      <c r="B972" s="64"/>
      <c r="C972" s="64"/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64"/>
      <c r="S972" s="28"/>
    </row>
    <row r="973" spans="1:19" x14ac:dyDescent="0.25">
      <c r="A973" s="63"/>
      <c r="B973" s="64"/>
      <c r="C973" s="64"/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64"/>
      <c r="S973" s="28"/>
    </row>
    <row r="974" spans="1:19" x14ac:dyDescent="0.25">
      <c r="A974" s="63"/>
      <c r="B974" s="64"/>
      <c r="C974" s="64"/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64"/>
      <c r="S974" s="28"/>
    </row>
    <row r="975" spans="1:19" x14ac:dyDescent="0.25">
      <c r="A975" s="63"/>
      <c r="B975" s="64"/>
      <c r="C975" s="64"/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64"/>
      <c r="S975" s="28"/>
    </row>
    <row r="976" spans="1:19" x14ac:dyDescent="0.25">
      <c r="A976" s="63"/>
      <c r="B976" s="64"/>
      <c r="C976" s="64"/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64"/>
      <c r="S976" s="28"/>
    </row>
    <row r="977" spans="1:19" x14ac:dyDescent="0.25">
      <c r="A977" s="63"/>
      <c r="B977" s="64"/>
      <c r="C977" s="64"/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64"/>
      <c r="S977" s="28"/>
    </row>
    <row r="978" spans="1:19" x14ac:dyDescent="0.25">
      <c r="A978" s="63"/>
      <c r="B978" s="64"/>
      <c r="C978" s="64"/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64"/>
      <c r="S978" s="28"/>
    </row>
    <row r="979" spans="1:19" x14ac:dyDescent="0.25">
      <c r="A979" s="63"/>
      <c r="B979" s="64"/>
      <c r="C979" s="64"/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64"/>
      <c r="S979" s="28"/>
    </row>
    <row r="980" spans="1:19" x14ac:dyDescent="0.25">
      <c r="A980" s="63"/>
      <c r="B980" s="64"/>
      <c r="C980" s="64"/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64"/>
      <c r="S980" s="28"/>
    </row>
    <row r="981" spans="1:19" x14ac:dyDescent="0.25">
      <c r="A981" s="63"/>
      <c r="B981" s="64"/>
      <c r="C981" s="64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4"/>
      <c r="S981" s="28"/>
    </row>
    <row r="982" spans="1:19" x14ac:dyDescent="0.25">
      <c r="A982" s="63"/>
      <c r="B982" s="64"/>
      <c r="C982" s="64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4"/>
      <c r="S982" s="28"/>
    </row>
    <row r="983" spans="1:19" x14ac:dyDescent="0.25">
      <c r="A983" s="63"/>
      <c r="B983" s="64"/>
      <c r="C983" s="64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4"/>
      <c r="S983" s="28"/>
    </row>
    <row r="984" spans="1:19" x14ac:dyDescent="0.25">
      <c r="A984" s="63"/>
      <c r="B984" s="64"/>
      <c r="C984" s="64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4"/>
      <c r="S984" s="28"/>
    </row>
    <row r="985" spans="1:19" x14ac:dyDescent="0.25">
      <c r="A985" s="63"/>
      <c r="B985" s="64"/>
      <c r="C985" s="64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4"/>
      <c r="S985" s="28"/>
    </row>
    <row r="986" spans="1:19" x14ac:dyDescent="0.25">
      <c r="A986" s="63"/>
      <c r="B986" s="64"/>
      <c r="C986" s="64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4"/>
      <c r="S986" s="28"/>
    </row>
    <row r="987" spans="1:19" x14ac:dyDescent="0.25">
      <c r="A987" s="63"/>
      <c r="B987" s="64"/>
      <c r="C987" s="64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4"/>
      <c r="S987" s="28"/>
    </row>
    <row r="988" spans="1:19" x14ac:dyDescent="0.25">
      <c r="A988" s="63"/>
      <c r="B988" s="64"/>
      <c r="C988" s="64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4"/>
      <c r="S988" s="28"/>
    </row>
    <row r="989" spans="1:19" x14ac:dyDescent="0.25">
      <c r="A989" s="63"/>
      <c r="B989" s="64"/>
      <c r="C989" s="64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4"/>
      <c r="S989" s="28"/>
    </row>
    <row r="990" spans="1:19" x14ac:dyDescent="0.25">
      <c r="A990" s="63"/>
      <c r="B990" s="64"/>
      <c r="C990" s="64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4"/>
      <c r="S990" s="28"/>
    </row>
    <row r="991" spans="1:19" x14ac:dyDescent="0.25">
      <c r="A991" s="63"/>
      <c r="B991" s="64"/>
      <c r="C991" s="64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4"/>
      <c r="S991" s="28"/>
    </row>
    <row r="992" spans="1:19" x14ac:dyDescent="0.25">
      <c r="A992" s="63"/>
      <c r="B992" s="64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28"/>
    </row>
    <row r="993" spans="1:19" x14ac:dyDescent="0.25">
      <c r="A993" s="63"/>
      <c r="B993" s="64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28"/>
    </row>
    <row r="994" spans="1:19" x14ac:dyDescent="0.25">
      <c r="A994" s="63"/>
      <c r="B994" s="64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28"/>
    </row>
    <row r="995" spans="1:19" x14ac:dyDescent="0.25">
      <c r="A995" s="63"/>
      <c r="B995" s="64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28"/>
    </row>
    <row r="996" spans="1:19" x14ac:dyDescent="0.25">
      <c r="A996" s="63"/>
      <c r="B996" s="64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28"/>
    </row>
    <row r="997" spans="1:19" x14ac:dyDescent="0.25">
      <c r="A997" s="63"/>
      <c r="B997" s="64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4"/>
      <c r="S997" s="28"/>
    </row>
    <row r="998" spans="1:19" x14ac:dyDescent="0.25">
      <c r="A998" s="63"/>
      <c r="B998" s="64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4"/>
      <c r="S998" s="28"/>
    </row>
    <row r="999" spans="1:19" x14ac:dyDescent="0.25">
      <c r="A999" s="63"/>
      <c r="B999" s="64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4"/>
      <c r="S999" s="28"/>
    </row>
    <row r="1000" spans="1:19" x14ac:dyDescent="0.25">
      <c r="A1000" s="63"/>
      <c r="B1000" s="64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4"/>
      <c r="S1000" s="28"/>
    </row>
    <row r="1001" spans="1:19" x14ac:dyDescent="0.25">
      <c r="A1001" s="63"/>
      <c r="B1001" s="64"/>
      <c r="C1001" s="64"/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  <c r="Q1001" s="64"/>
      <c r="R1001" s="64"/>
      <c r="S1001" s="28"/>
    </row>
    <row r="1002" spans="1:19" x14ac:dyDescent="0.25">
      <c r="A1002" s="63"/>
      <c r="B1002" s="64"/>
      <c r="C1002" s="64"/>
      <c r="D1002" s="64"/>
      <c r="E1002" s="64"/>
      <c r="F1002" s="64"/>
      <c r="G1002" s="64"/>
      <c r="H1002" s="64"/>
      <c r="I1002" s="64"/>
      <c r="J1002" s="64"/>
      <c r="K1002" s="64"/>
      <c r="L1002" s="64"/>
      <c r="M1002" s="64"/>
      <c r="N1002" s="64"/>
      <c r="O1002" s="64"/>
      <c r="P1002" s="64"/>
      <c r="Q1002" s="64"/>
      <c r="R1002" s="64"/>
      <c r="S1002" s="28"/>
    </row>
    <row r="1003" spans="1:19" x14ac:dyDescent="0.25">
      <c r="A1003" s="63"/>
      <c r="B1003" s="64"/>
      <c r="C1003" s="64"/>
      <c r="D1003" s="64"/>
      <c r="E1003" s="64"/>
      <c r="F1003" s="64"/>
      <c r="G1003" s="64"/>
      <c r="H1003" s="64"/>
      <c r="I1003" s="64"/>
      <c r="J1003" s="64"/>
      <c r="K1003" s="64"/>
      <c r="L1003" s="64"/>
      <c r="M1003" s="64"/>
      <c r="N1003" s="64"/>
      <c r="O1003" s="64"/>
      <c r="P1003" s="64"/>
      <c r="Q1003" s="64"/>
      <c r="R1003" s="64"/>
      <c r="S1003" s="28"/>
    </row>
    <row r="1004" spans="1:19" x14ac:dyDescent="0.25">
      <c r="A1004" s="63"/>
      <c r="B1004" s="64"/>
      <c r="C1004" s="64"/>
      <c r="D1004" s="64"/>
      <c r="E1004" s="64"/>
      <c r="F1004" s="64"/>
      <c r="G1004" s="64"/>
      <c r="H1004" s="64"/>
      <c r="I1004" s="64"/>
      <c r="J1004" s="64"/>
      <c r="K1004" s="64"/>
      <c r="L1004" s="64"/>
      <c r="M1004" s="64"/>
      <c r="N1004" s="64"/>
      <c r="O1004" s="64"/>
      <c r="P1004" s="64"/>
      <c r="Q1004" s="64"/>
      <c r="R1004" s="64"/>
      <c r="S1004" s="28"/>
    </row>
    <row r="1005" spans="1:19" x14ac:dyDescent="0.25">
      <c r="A1005" s="63"/>
      <c r="B1005" s="64"/>
      <c r="C1005" s="64"/>
      <c r="D1005" s="64"/>
      <c r="E1005" s="64"/>
      <c r="F1005" s="64"/>
      <c r="G1005" s="64"/>
      <c r="H1005" s="64"/>
      <c r="I1005" s="64"/>
      <c r="J1005" s="64"/>
      <c r="K1005" s="64"/>
      <c r="L1005" s="64"/>
      <c r="M1005" s="64"/>
      <c r="N1005" s="64"/>
      <c r="O1005" s="64"/>
      <c r="P1005" s="64"/>
      <c r="Q1005" s="64"/>
      <c r="R1005" s="64"/>
      <c r="S1005" s="28"/>
    </row>
    <row r="1006" spans="1:19" x14ac:dyDescent="0.25">
      <c r="A1006" s="63"/>
      <c r="B1006" s="64"/>
      <c r="C1006" s="64"/>
      <c r="D1006" s="64"/>
      <c r="E1006" s="64"/>
      <c r="F1006" s="64"/>
      <c r="G1006" s="64"/>
      <c r="H1006" s="64"/>
      <c r="I1006" s="64"/>
      <c r="J1006" s="64"/>
      <c r="K1006" s="64"/>
      <c r="L1006" s="64"/>
      <c r="M1006" s="64"/>
      <c r="N1006" s="64"/>
      <c r="O1006" s="64"/>
      <c r="P1006" s="64"/>
      <c r="Q1006" s="64"/>
      <c r="R1006" s="64"/>
      <c r="S1006" s="28"/>
    </row>
    <row r="1007" spans="1:19" x14ac:dyDescent="0.25">
      <c r="A1007" s="63"/>
      <c r="B1007" s="64"/>
      <c r="C1007" s="64"/>
      <c r="D1007" s="64"/>
      <c r="E1007" s="64"/>
      <c r="F1007" s="64"/>
      <c r="G1007" s="64"/>
      <c r="H1007" s="64"/>
      <c r="I1007" s="64"/>
      <c r="J1007" s="64"/>
      <c r="K1007" s="64"/>
      <c r="L1007" s="64"/>
      <c r="M1007" s="64"/>
      <c r="N1007" s="64"/>
      <c r="O1007" s="64"/>
      <c r="P1007" s="64"/>
      <c r="Q1007" s="64"/>
      <c r="R1007" s="64"/>
      <c r="S1007" s="28"/>
    </row>
    <row r="1008" spans="1:19" x14ac:dyDescent="0.25">
      <c r="A1008" s="63"/>
      <c r="B1008" s="64"/>
      <c r="C1008" s="64"/>
      <c r="D1008" s="64"/>
      <c r="E1008" s="64"/>
      <c r="F1008" s="64"/>
      <c r="G1008" s="64"/>
      <c r="H1008" s="64"/>
      <c r="I1008" s="64"/>
      <c r="J1008" s="64"/>
      <c r="K1008" s="64"/>
      <c r="L1008" s="64"/>
      <c r="M1008" s="64"/>
      <c r="N1008" s="64"/>
      <c r="O1008" s="64"/>
      <c r="P1008" s="64"/>
      <c r="Q1008" s="64"/>
      <c r="R1008" s="64"/>
      <c r="S1008" s="28"/>
    </row>
    <row r="1009" spans="1:19" x14ac:dyDescent="0.25">
      <c r="A1009" s="63"/>
      <c r="B1009" s="64"/>
      <c r="C1009" s="64"/>
      <c r="D1009" s="64"/>
      <c r="E1009" s="64"/>
      <c r="F1009" s="64"/>
      <c r="G1009" s="64"/>
      <c r="H1009" s="64"/>
      <c r="I1009" s="64"/>
      <c r="J1009" s="64"/>
      <c r="K1009" s="64"/>
      <c r="L1009" s="64"/>
      <c r="M1009" s="64"/>
      <c r="N1009" s="64"/>
      <c r="O1009" s="64"/>
      <c r="P1009" s="64"/>
      <c r="Q1009" s="64"/>
      <c r="R1009" s="64"/>
      <c r="S1009" s="28"/>
    </row>
    <row r="1010" spans="1:19" x14ac:dyDescent="0.25">
      <c r="A1010" s="63"/>
      <c r="B1010" s="64"/>
      <c r="C1010" s="64"/>
      <c r="D1010" s="64"/>
      <c r="E1010" s="64"/>
      <c r="F1010" s="64"/>
      <c r="G1010" s="64"/>
      <c r="H1010" s="64"/>
      <c r="I1010" s="64"/>
      <c r="J1010" s="64"/>
      <c r="K1010" s="64"/>
      <c r="L1010" s="64"/>
      <c r="M1010" s="64"/>
      <c r="N1010" s="64"/>
      <c r="O1010" s="64"/>
      <c r="P1010" s="64"/>
      <c r="Q1010" s="64"/>
      <c r="R1010" s="64"/>
      <c r="S1010" s="28"/>
    </row>
    <row r="1011" spans="1:19" x14ac:dyDescent="0.25">
      <c r="A1011" s="63"/>
      <c r="B1011" s="64"/>
      <c r="C1011" s="64"/>
      <c r="D1011" s="64"/>
      <c r="E1011" s="64"/>
      <c r="F1011" s="64"/>
      <c r="G1011" s="64"/>
      <c r="H1011" s="64"/>
      <c r="I1011" s="64"/>
      <c r="J1011" s="64"/>
      <c r="K1011" s="64"/>
      <c r="L1011" s="64"/>
      <c r="M1011" s="64"/>
      <c r="N1011" s="64"/>
      <c r="O1011" s="64"/>
      <c r="P1011" s="64"/>
      <c r="Q1011" s="64"/>
      <c r="R1011" s="64"/>
      <c r="S1011" s="28"/>
    </row>
    <row r="1012" spans="1:19" x14ac:dyDescent="0.25">
      <c r="A1012" s="63"/>
      <c r="B1012" s="64"/>
      <c r="C1012" s="64"/>
      <c r="D1012" s="64"/>
      <c r="E1012" s="64"/>
      <c r="F1012" s="64"/>
      <c r="G1012" s="64"/>
      <c r="H1012" s="64"/>
      <c r="I1012" s="64"/>
      <c r="J1012" s="64"/>
      <c r="K1012" s="64"/>
      <c r="L1012" s="64"/>
      <c r="M1012" s="64"/>
      <c r="N1012" s="64"/>
      <c r="O1012" s="64"/>
      <c r="P1012" s="64"/>
      <c r="Q1012" s="64"/>
      <c r="R1012" s="64"/>
      <c r="S1012" s="28"/>
    </row>
    <row r="1013" spans="1:19" x14ac:dyDescent="0.25">
      <c r="A1013" s="63"/>
      <c r="B1013" s="64"/>
      <c r="C1013" s="64"/>
      <c r="D1013" s="64"/>
      <c r="E1013" s="64"/>
      <c r="F1013" s="64"/>
      <c r="G1013" s="64"/>
      <c r="H1013" s="64"/>
      <c r="I1013" s="64"/>
      <c r="J1013" s="64"/>
      <c r="K1013" s="64"/>
      <c r="L1013" s="64"/>
      <c r="M1013" s="64"/>
      <c r="N1013" s="64"/>
      <c r="O1013" s="64"/>
      <c r="P1013" s="64"/>
      <c r="Q1013" s="64"/>
      <c r="R1013" s="64"/>
      <c r="S1013" s="28"/>
    </row>
    <row r="1014" spans="1:19" x14ac:dyDescent="0.25">
      <c r="A1014" s="63"/>
      <c r="B1014" s="64"/>
      <c r="C1014" s="64"/>
      <c r="D1014" s="64"/>
      <c r="E1014" s="64"/>
      <c r="F1014" s="64"/>
      <c r="G1014" s="64"/>
      <c r="H1014" s="64"/>
      <c r="I1014" s="64"/>
      <c r="J1014" s="64"/>
      <c r="K1014" s="64"/>
      <c r="L1014" s="64"/>
      <c r="M1014" s="64"/>
      <c r="N1014" s="64"/>
      <c r="O1014" s="64"/>
      <c r="P1014" s="64"/>
      <c r="Q1014" s="64"/>
      <c r="R1014" s="64"/>
      <c r="S1014" s="28"/>
    </row>
    <row r="1015" spans="1:19" x14ac:dyDescent="0.25">
      <c r="A1015" s="63"/>
      <c r="B1015" s="64"/>
      <c r="C1015" s="64"/>
      <c r="D1015" s="64"/>
      <c r="E1015" s="64"/>
      <c r="F1015" s="64"/>
      <c r="G1015" s="64"/>
      <c r="H1015" s="64"/>
      <c r="I1015" s="64"/>
      <c r="J1015" s="64"/>
      <c r="K1015" s="64"/>
      <c r="L1015" s="64"/>
      <c r="M1015" s="64"/>
      <c r="N1015" s="64"/>
      <c r="O1015" s="64"/>
      <c r="P1015" s="64"/>
      <c r="Q1015" s="64"/>
      <c r="R1015" s="64"/>
      <c r="S1015" s="28"/>
    </row>
    <row r="1016" spans="1:19" x14ac:dyDescent="0.25">
      <c r="A1016" s="63"/>
      <c r="B1016" s="64"/>
      <c r="C1016" s="64"/>
      <c r="D1016" s="64"/>
      <c r="E1016" s="64"/>
      <c r="F1016" s="64"/>
      <c r="G1016" s="64"/>
      <c r="H1016" s="64"/>
      <c r="I1016" s="64"/>
      <c r="J1016" s="64"/>
      <c r="K1016" s="64"/>
      <c r="L1016" s="64"/>
      <c r="M1016" s="64"/>
      <c r="N1016" s="64"/>
      <c r="O1016" s="64"/>
      <c r="P1016" s="64"/>
      <c r="Q1016" s="64"/>
      <c r="R1016" s="64"/>
      <c r="S1016" s="28"/>
    </row>
    <row r="1017" spans="1:19" x14ac:dyDescent="0.25">
      <c r="A1017" s="63"/>
      <c r="B1017" s="64"/>
      <c r="C1017" s="64"/>
      <c r="D1017" s="64"/>
      <c r="E1017" s="64"/>
      <c r="F1017" s="64"/>
      <c r="G1017" s="64"/>
      <c r="H1017" s="64"/>
      <c r="I1017" s="64"/>
      <c r="J1017" s="64"/>
      <c r="K1017" s="64"/>
      <c r="L1017" s="64"/>
      <c r="M1017" s="64"/>
      <c r="N1017" s="64"/>
      <c r="O1017" s="64"/>
      <c r="P1017" s="64"/>
      <c r="Q1017" s="64"/>
      <c r="R1017" s="64"/>
      <c r="S1017" s="28"/>
    </row>
    <row r="1018" spans="1:19" x14ac:dyDescent="0.25">
      <c r="A1018" s="63"/>
      <c r="B1018" s="64"/>
      <c r="C1018" s="64"/>
      <c r="D1018" s="64"/>
      <c r="E1018" s="64"/>
      <c r="F1018" s="64"/>
      <c r="G1018" s="64"/>
      <c r="H1018" s="64"/>
      <c r="I1018" s="64"/>
      <c r="J1018" s="64"/>
      <c r="K1018" s="64"/>
      <c r="L1018" s="64"/>
      <c r="M1018" s="64"/>
      <c r="N1018" s="64"/>
      <c r="O1018" s="64"/>
      <c r="P1018" s="64"/>
      <c r="Q1018" s="64"/>
      <c r="R1018" s="64"/>
      <c r="S1018" s="28"/>
    </row>
    <row r="1019" spans="1:19" x14ac:dyDescent="0.25">
      <c r="A1019" s="63"/>
      <c r="B1019" s="64"/>
      <c r="C1019" s="64"/>
      <c r="D1019" s="64"/>
      <c r="E1019" s="64"/>
      <c r="F1019" s="64"/>
      <c r="G1019" s="64"/>
      <c r="H1019" s="64"/>
      <c r="I1019" s="64"/>
      <c r="J1019" s="64"/>
      <c r="K1019" s="64"/>
      <c r="L1019" s="64"/>
      <c r="M1019" s="64"/>
      <c r="N1019" s="64"/>
      <c r="O1019" s="64"/>
      <c r="P1019" s="64"/>
      <c r="Q1019" s="64"/>
      <c r="R1019" s="64"/>
      <c r="S1019" s="28"/>
    </row>
    <row r="1020" spans="1:19" x14ac:dyDescent="0.25">
      <c r="A1020" s="63"/>
      <c r="B1020" s="64"/>
      <c r="C1020" s="64"/>
      <c r="D1020" s="64"/>
      <c r="E1020" s="64"/>
      <c r="F1020" s="64"/>
      <c r="G1020" s="64"/>
      <c r="H1020" s="64"/>
      <c r="I1020" s="64"/>
      <c r="J1020" s="64"/>
      <c r="K1020" s="64"/>
      <c r="L1020" s="64"/>
      <c r="M1020" s="64"/>
      <c r="N1020" s="64"/>
      <c r="O1020" s="64"/>
      <c r="P1020" s="64"/>
      <c r="Q1020" s="64"/>
      <c r="R1020" s="64"/>
      <c r="S1020" s="28"/>
    </row>
    <row r="1021" spans="1:19" x14ac:dyDescent="0.25">
      <c r="A1021" s="63"/>
      <c r="B1021" s="64"/>
      <c r="C1021" s="64"/>
      <c r="D1021" s="64"/>
      <c r="E1021" s="64"/>
      <c r="F1021" s="64"/>
      <c r="G1021" s="64"/>
      <c r="H1021" s="64"/>
      <c r="I1021" s="64"/>
      <c r="J1021" s="64"/>
      <c r="K1021" s="64"/>
      <c r="L1021" s="64"/>
      <c r="M1021" s="64"/>
      <c r="N1021" s="64"/>
      <c r="O1021" s="64"/>
      <c r="P1021" s="64"/>
      <c r="Q1021" s="64"/>
      <c r="R1021" s="64"/>
      <c r="S1021" s="28"/>
    </row>
    <row r="1022" spans="1:19" x14ac:dyDescent="0.25">
      <c r="A1022" s="63"/>
      <c r="B1022" s="64"/>
      <c r="C1022" s="64"/>
      <c r="D1022" s="64"/>
      <c r="E1022" s="64"/>
      <c r="F1022" s="64"/>
      <c r="G1022" s="64"/>
      <c r="H1022" s="64"/>
      <c r="I1022" s="64"/>
      <c r="J1022" s="64"/>
      <c r="K1022" s="64"/>
      <c r="L1022" s="64"/>
      <c r="M1022" s="64"/>
      <c r="N1022" s="64"/>
      <c r="O1022" s="64"/>
      <c r="P1022" s="64"/>
      <c r="Q1022" s="64"/>
      <c r="R1022" s="64"/>
      <c r="S1022" s="28"/>
    </row>
    <row r="1023" spans="1:19" x14ac:dyDescent="0.25">
      <c r="A1023" s="63"/>
      <c r="B1023" s="64"/>
      <c r="C1023" s="64"/>
      <c r="D1023" s="64"/>
      <c r="E1023" s="64"/>
      <c r="F1023" s="64"/>
      <c r="G1023" s="64"/>
      <c r="H1023" s="64"/>
      <c r="I1023" s="64"/>
      <c r="J1023" s="64"/>
      <c r="K1023" s="64"/>
      <c r="L1023" s="64"/>
      <c r="M1023" s="64"/>
      <c r="N1023" s="64"/>
      <c r="O1023" s="64"/>
      <c r="P1023" s="64"/>
      <c r="Q1023" s="64"/>
      <c r="R1023" s="64"/>
      <c r="S1023" s="28"/>
    </row>
    <row r="1024" spans="1:19" x14ac:dyDescent="0.25">
      <c r="A1024" s="63"/>
      <c r="B1024" s="64"/>
      <c r="C1024" s="64"/>
      <c r="D1024" s="64"/>
      <c r="E1024" s="64"/>
      <c r="F1024" s="64"/>
      <c r="G1024" s="64"/>
      <c r="H1024" s="64"/>
      <c r="I1024" s="64"/>
      <c r="J1024" s="64"/>
      <c r="K1024" s="64"/>
      <c r="L1024" s="64"/>
      <c r="M1024" s="64"/>
      <c r="N1024" s="64"/>
      <c r="O1024" s="64"/>
      <c r="P1024" s="64"/>
      <c r="Q1024" s="64"/>
      <c r="R1024" s="64"/>
      <c r="S1024" s="28"/>
    </row>
    <row r="1025" spans="1:19" x14ac:dyDescent="0.25">
      <c r="A1025" s="63"/>
      <c r="B1025" s="64"/>
      <c r="C1025" s="64"/>
      <c r="D1025" s="64"/>
      <c r="E1025" s="64"/>
      <c r="F1025" s="64"/>
      <c r="G1025" s="64"/>
      <c r="H1025" s="64"/>
      <c r="I1025" s="64"/>
      <c r="J1025" s="64"/>
      <c r="K1025" s="64"/>
      <c r="L1025" s="64"/>
      <c r="M1025" s="64"/>
      <c r="N1025" s="64"/>
      <c r="O1025" s="64"/>
      <c r="P1025" s="64"/>
      <c r="Q1025" s="64"/>
      <c r="R1025" s="64"/>
      <c r="S1025" s="28"/>
    </row>
    <row r="1026" spans="1:19" x14ac:dyDescent="0.25">
      <c r="A1026" s="63"/>
      <c r="B1026" s="64"/>
      <c r="C1026" s="64"/>
      <c r="D1026" s="64"/>
      <c r="E1026" s="64"/>
      <c r="F1026" s="64"/>
      <c r="G1026" s="64"/>
      <c r="H1026" s="64"/>
      <c r="I1026" s="64"/>
      <c r="J1026" s="64"/>
      <c r="K1026" s="64"/>
      <c r="L1026" s="64"/>
      <c r="M1026" s="64"/>
      <c r="N1026" s="64"/>
      <c r="O1026" s="64"/>
      <c r="P1026" s="64"/>
      <c r="Q1026" s="64"/>
      <c r="R1026" s="64"/>
      <c r="S1026" s="28"/>
    </row>
    <row r="1027" spans="1:19" x14ac:dyDescent="0.25">
      <c r="A1027" s="63"/>
      <c r="B1027" s="64"/>
      <c r="C1027" s="64"/>
      <c r="D1027" s="64"/>
      <c r="E1027" s="64"/>
      <c r="F1027" s="64"/>
      <c r="G1027" s="64"/>
      <c r="H1027" s="64"/>
      <c r="I1027" s="64"/>
      <c r="J1027" s="64"/>
      <c r="K1027" s="64"/>
      <c r="L1027" s="64"/>
      <c r="M1027" s="64"/>
      <c r="N1027" s="64"/>
      <c r="O1027" s="64"/>
      <c r="P1027" s="64"/>
      <c r="Q1027" s="64"/>
      <c r="R1027" s="64"/>
      <c r="S1027" s="28"/>
    </row>
    <row r="1028" spans="1:19" x14ac:dyDescent="0.25">
      <c r="A1028" s="63"/>
      <c r="B1028" s="64"/>
      <c r="C1028" s="64"/>
      <c r="D1028" s="64"/>
      <c r="E1028" s="64"/>
      <c r="F1028" s="64"/>
      <c r="G1028" s="64"/>
      <c r="H1028" s="64"/>
      <c r="I1028" s="64"/>
      <c r="J1028" s="64"/>
      <c r="K1028" s="64"/>
      <c r="L1028" s="64"/>
      <c r="M1028" s="64"/>
      <c r="N1028" s="64"/>
      <c r="O1028" s="64"/>
      <c r="P1028" s="64"/>
      <c r="Q1028" s="64"/>
      <c r="R1028" s="64"/>
      <c r="S1028" s="28"/>
    </row>
    <row r="1029" spans="1:19" x14ac:dyDescent="0.25">
      <c r="A1029" s="63"/>
      <c r="B1029" s="64"/>
      <c r="C1029" s="64"/>
      <c r="D1029" s="64"/>
      <c r="E1029" s="64"/>
      <c r="F1029" s="64"/>
      <c r="G1029" s="64"/>
      <c r="H1029" s="64"/>
      <c r="I1029" s="64"/>
      <c r="J1029" s="64"/>
      <c r="K1029" s="64"/>
      <c r="L1029" s="64"/>
      <c r="M1029" s="64"/>
      <c r="N1029" s="64"/>
      <c r="O1029" s="64"/>
      <c r="P1029" s="64"/>
      <c r="Q1029" s="64"/>
      <c r="R1029" s="64"/>
      <c r="S1029" s="28"/>
    </row>
    <row r="1030" spans="1:19" x14ac:dyDescent="0.25">
      <c r="A1030" s="63"/>
      <c r="B1030" s="64"/>
      <c r="C1030" s="64"/>
      <c r="D1030" s="64"/>
      <c r="E1030" s="64"/>
      <c r="F1030" s="64"/>
      <c r="G1030" s="64"/>
      <c r="H1030" s="64"/>
      <c r="I1030" s="64"/>
      <c r="J1030" s="64"/>
      <c r="K1030" s="64"/>
      <c r="L1030" s="64"/>
      <c r="M1030" s="64"/>
      <c r="N1030" s="64"/>
      <c r="O1030" s="64"/>
      <c r="P1030" s="64"/>
      <c r="Q1030" s="64"/>
      <c r="R1030" s="64"/>
      <c r="S1030" s="28"/>
    </row>
    <row r="1031" spans="1:19" x14ac:dyDescent="0.25">
      <c r="A1031" s="63"/>
      <c r="B1031" s="64"/>
      <c r="C1031" s="64"/>
      <c r="D1031" s="64"/>
      <c r="E1031" s="64"/>
      <c r="F1031" s="64"/>
      <c r="G1031" s="64"/>
      <c r="H1031" s="64"/>
      <c r="I1031" s="64"/>
      <c r="J1031" s="64"/>
      <c r="K1031" s="64"/>
      <c r="L1031" s="64"/>
      <c r="M1031" s="64"/>
      <c r="N1031" s="64"/>
      <c r="O1031" s="64"/>
      <c r="P1031" s="64"/>
      <c r="Q1031" s="64"/>
      <c r="R1031" s="64"/>
      <c r="S1031" s="28"/>
    </row>
    <row r="1032" spans="1:19" x14ac:dyDescent="0.25">
      <c r="A1032" s="63"/>
      <c r="B1032" s="64"/>
      <c r="C1032" s="64"/>
      <c r="D1032" s="64"/>
      <c r="E1032" s="64"/>
      <c r="F1032" s="64"/>
      <c r="G1032" s="64"/>
      <c r="H1032" s="64"/>
      <c r="I1032" s="64"/>
      <c r="J1032" s="64"/>
      <c r="K1032" s="64"/>
      <c r="L1032" s="64"/>
      <c r="M1032" s="64"/>
      <c r="N1032" s="64"/>
      <c r="O1032" s="64"/>
      <c r="P1032" s="64"/>
      <c r="Q1032" s="64"/>
      <c r="R1032" s="64"/>
      <c r="S1032" s="28"/>
    </row>
    <row r="1033" spans="1:19" x14ac:dyDescent="0.25">
      <c r="A1033" s="63"/>
      <c r="B1033" s="64"/>
      <c r="C1033" s="64"/>
      <c r="D1033" s="64"/>
      <c r="E1033" s="64"/>
      <c r="F1033" s="64"/>
      <c r="G1033" s="64"/>
      <c r="H1033" s="64"/>
      <c r="I1033" s="64"/>
      <c r="J1033" s="64"/>
      <c r="K1033" s="64"/>
      <c r="L1033" s="64"/>
      <c r="M1033" s="64"/>
      <c r="N1033" s="64"/>
      <c r="O1033" s="64"/>
      <c r="P1033" s="64"/>
      <c r="Q1033" s="64"/>
      <c r="R1033" s="64"/>
      <c r="S1033" s="28"/>
    </row>
    <row r="1034" spans="1:19" x14ac:dyDescent="0.25">
      <c r="A1034" s="63"/>
      <c r="B1034" s="64"/>
      <c r="C1034" s="64"/>
      <c r="D1034" s="64"/>
      <c r="E1034" s="64"/>
      <c r="F1034" s="64"/>
      <c r="G1034" s="64"/>
      <c r="H1034" s="64"/>
      <c r="I1034" s="64"/>
      <c r="J1034" s="64"/>
      <c r="K1034" s="64"/>
      <c r="L1034" s="64"/>
      <c r="M1034" s="64"/>
      <c r="N1034" s="64"/>
      <c r="O1034" s="64"/>
      <c r="P1034" s="64"/>
      <c r="Q1034" s="64"/>
      <c r="R1034" s="64"/>
      <c r="S1034" s="28"/>
    </row>
    <row r="1035" spans="1:19" x14ac:dyDescent="0.25">
      <c r="A1035" s="63"/>
      <c r="B1035" s="64"/>
      <c r="C1035" s="64"/>
      <c r="D1035" s="64"/>
      <c r="E1035" s="64"/>
      <c r="F1035" s="64"/>
      <c r="G1035" s="64"/>
      <c r="H1035" s="64"/>
      <c r="I1035" s="64"/>
      <c r="J1035" s="64"/>
      <c r="K1035" s="64"/>
      <c r="L1035" s="64"/>
      <c r="M1035" s="64"/>
      <c r="N1035" s="64"/>
      <c r="O1035" s="64"/>
      <c r="P1035" s="64"/>
      <c r="Q1035" s="64"/>
      <c r="R1035" s="64"/>
      <c r="S1035" s="28"/>
    </row>
    <row r="1036" spans="1:19" x14ac:dyDescent="0.25">
      <c r="A1036" s="63"/>
      <c r="B1036" s="64"/>
      <c r="C1036" s="64"/>
      <c r="D1036" s="64"/>
      <c r="E1036" s="64"/>
      <c r="F1036" s="64"/>
      <c r="G1036" s="64"/>
      <c r="H1036" s="64"/>
      <c r="I1036" s="64"/>
      <c r="J1036" s="64"/>
      <c r="K1036" s="64"/>
      <c r="L1036" s="64"/>
      <c r="M1036" s="64"/>
      <c r="N1036" s="64"/>
      <c r="O1036" s="64"/>
      <c r="P1036" s="64"/>
      <c r="Q1036" s="64"/>
      <c r="R1036" s="64"/>
      <c r="S1036" s="28"/>
    </row>
    <row r="1037" spans="1:19" x14ac:dyDescent="0.25">
      <c r="A1037" s="63"/>
      <c r="B1037" s="64"/>
      <c r="C1037" s="64"/>
      <c r="D1037" s="64"/>
      <c r="E1037" s="64"/>
      <c r="F1037" s="64"/>
      <c r="G1037" s="64"/>
      <c r="H1037" s="64"/>
      <c r="I1037" s="64"/>
      <c r="J1037" s="64"/>
      <c r="K1037" s="64"/>
      <c r="L1037" s="64"/>
      <c r="M1037" s="64"/>
      <c r="N1037" s="64"/>
      <c r="O1037" s="64"/>
      <c r="P1037" s="64"/>
      <c r="Q1037" s="64"/>
      <c r="R1037" s="64"/>
      <c r="S1037" s="28"/>
    </row>
    <row r="1038" spans="1:19" x14ac:dyDescent="0.25">
      <c r="A1038" s="63"/>
      <c r="B1038" s="64"/>
      <c r="C1038" s="64"/>
      <c r="D1038" s="64"/>
      <c r="E1038" s="64"/>
      <c r="F1038" s="64"/>
      <c r="G1038" s="64"/>
      <c r="H1038" s="64"/>
      <c r="I1038" s="64"/>
      <c r="J1038" s="64"/>
      <c r="K1038" s="64"/>
      <c r="L1038" s="64"/>
      <c r="M1038" s="64"/>
      <c r="N1038" s="64"/>
      <c r="O1038" s="64"/>
      <c r="P1038" s="64"/>
      <c r="Q1038" s="64"/>
      <c r="R1038" s="64"/>
      <c r="S1038" s="28"/>
    </row>
    <row r="1039" spans="1:19" x14ac:dyDescent="0.25">
      <c r="A1039" s="63"/>
      <c r="B1039" s="64"/>
      <c r="C1039" s="64"/>
      <c r="D1039" s="64"/>
      <c r="E1039" s="64"/>
      <c r="F1039" s="64"/>
      <c r="G1039" s="64"/>
      <c r="H1039" s="64"/>
      <c r="I1039" s="64"/>
      <c r="J1039" s="64"/>
      <c r="K1039" s="64"/>
      <c r="L1039" s="64"/>
      <c r="M1039" s="64"/>
      <c r="N1039" s="64"/>
      <c r="O1039" s="64"/>
      <c r="P1039" s="64"/>
      <c r="Q1039" s="64"/>
      <c r="R1039" s="64"/>
      <c r="S1039" s="28"/>
    </row>
    <row r="1040" spans="1:19" x14ac:dyDescent="0.25">
      <c r="A1040" s="63"/>
      <c r="B1040" s="64"/>
      <c r="C1040" s="64"/>
      <c r="D1040" s="64"/>
      <c r="E1040" s="64"/>
      <c r="F1040" s="64"/>
      <c r="G1040" s="64"/>
      <c r="H1040" s="64"/>
      <c r="I1040" s="64"/>
      <c r="J1040" s="64"/>
      <c r="K1040" s="64"/>
      <c r="L1040" s="64"/>
      <c r="M1040" s="64"/>
      <c r="N1040" s="64"/>
      <c r="O1040" s="64"/>
      <c r="P1040" s="64"/>
      <c r="Q1040" s="64"/>
      <c r="R1040" s="64"/>
      <c r="S1040" s="28"/>
    </row>
    <row r="1041" spans="1:19" x14ac:dyDescent="0.25">
      <c r="A1041" s="63"/>
      <c r="B1041" s="64"/>
      <c r="C1041" s="64"/>
      <c r="D1041" s="64"/>
      <c r="E1041" s="64"/>
      <c r="F1041" s="64"/>
      <c r="G1041" s="64"/>
      <c r="H1041" s="64"/>
      <c r="I1041" s="64"/>
      <c r="J1041" s="64"/>
      <c r="K1041" s="64"/>
      <c r="L1041" s="64"/>
      <c r="M1041" s="64"/>
      <c r="N1041" s="64"/>
      <c r="O1041" s="64"/>
      <c r="P1041" s="64"/>
      <c r="Q1041" s="64"/>
      <c r="R1041" s="64"/>
      <c r="S1041" s="28"/>
    </row>
    <row r="1042" spans="1:19" x14ac:dyDescent="0.25">
      <c r="A1042" s="63"/>
      <c r="B1042" s="64"/>
      <c r="C1042" s="64"/>
      <c r="D1042" s="64"/>
      <c r="E1042" s="64"/>
      <c r="F1042" s="64"/>
      <c r="G1042" s="64"/>
      <c r="H1042" s="64"/>
      <c r="I1042" s="64"/>
      <c r="J1042" s="64"/>
      <c r="K1042" s="64"/>
      <c r="L1042" s="64"/>
      <c r="M1042" s="64"/>
      <c r="N1042" s="64"/>
      <c r="O1042" s="64"/>
      <c r="P1042" s="64"/>
      <c r="Q1042" s="64"/>
      <c r="R1042" s="64"/>
      <c r="S1042" s="28"/>
    </row>
    <row r="1043" spans="1:19" x14ac:dyDescent="0.25">
      <c r="A1043" s="63"/>
      <c r="B1043" s="64"/>
      <c r="C1043" s="64"/>
      <c r="D1043" s="64"/>
      <c r="E1043" s="64"/>
      <c r="F1043" s="64"/>
      <c r="G1043" s="64"/>
      <c r="H1043" s="64"/>
      <c r="I1043" s="64"/>
      <c r="J1043" s="64"/>
      <c r="K1043" s="64"/>
      <c r="L1043" s="64"/>
      <c r="M1043" s="64"/>
      <c r="N1043" s="64"/>
      <c r="O1043" s="64"/>
      <c r="P1043" s="64"/>
      <c r="Q1043" s="64"/>
      <c r="R1043" s="64"/>
      <c r="S1043" s="28"/>
    </row>
    <row r="1044" spans="1:19" x14ac:dyDescent="0.25">
      <c r="A1044" s="63"/>
      <c r="B1044" s="64"/>
      <c r="C1044" s="64"/>
      <c r="D1044" s="64"/>
      <c r="E1044" s="64"/>
      <c r="F1044" s="64"/>
      <c r="G1044" s="64"/>
      <c r="H1044" s="64"/>
      <c r="I1044" s="64"/>
      <c r="J1044" s="64"/>
      <c r="K1044" s="64"/>
      <c r="L1044" s="64"/>
      <c r="M1044" s="64"/>
      <c r="N1044" s="64"/>
      <c r="O1044" s="64"/>
      <c r="P1044" s="64"/>
      <c r="Q1044" s="64"/>
      <c r="R1044" s="64"/>
      <c r="S1044" s="28"/>
    </row>
    <row r="1045" spans="1:19" x14ac:dyDescent="0.25">
      <c r="A1045" s="63"/>
      <c r="B1045" s="64"/>
      <c r="C1045" s="64"/>
      <c r="D1045" s="64"/>
      <c r="E1045" s="64"/>
      <c r="F1045" s="64"/>
      <c r="G1045" s="64"/>
      <c r="H1045" s="64"/>
      <c r="I1045" s="64"/>
      <c r="J1045" s="64"/>
      <c r="K1045" s="64"/>
      <c r="L1045" s="64"/>
      <c r="M1045" s="64"/>
      <c r="N1045" s="64"/>
      <c r="O1045" s="64"/>
      <c r="P1045" s="64"/>
      <c r="Q1045" s="64"/>
      <c r="R1045" s="64"/>
      <c r="S1045" s="28"/>
    </row>
    <row r="1046" spans="1:19" x14ac:dyDescent="0.25">
      <c r="A1046" s="63"/>
      <c r="B1046" s="64"/>
      <c r="C1046" s="64"/>
      <c r="D1046" s="64"/>
      <c r="E1046" s="64"/>
      <c r="F1046" s="64"/>
      <c r="G1046" s="64"/>
      <c r="H1046" s="64"/>
      <c r="I1046" s="64"/>
      <c r="J1046" s="64"/>
      <c r="K1046" s="64"/>
      <c r="L1046" s="64"/>
      <c r="M1046" s="64"/>
      <c r="N1046" s="64"/>
      <c r="O1046" s="64"/>
      <c r="P1046" s="64"/>
      <c r="Q1046" s="64"/>
      <c r="R1046" s="64"/>
      <c r="S1046" s="28"/>
    </row>
    <row r="1047" spans="1:19" x14ac:dyDescent="0.25">
      <c r="A1047" s="63"/>
      <c r="B1047" s="64"/>
      <c r="C1047" s="64"/>
      <c r="D1047" s="64"/>
      <c r="E1047" s="64"/>
      <c r="F1047" s="64"/>
      <c r="G1047" s="64"/>
      <c r="H1047" s="64"/>
      <c r="I1047" s="64"/>
      <c r="J1047" s="64"/>
      <c r="K1047" s="64"/>
      <c r="L1047" s="64"/>
      <c r="M1047" s="64"/>
      <c r="N1047" s="64"/>
      <c r="O1047" s="64"/>
      <c r="P1047" s="64"/>
      <c r="Q1047" s="64"/>
      <c r="R1047" s="64"/>
      <c r="S1047" s="28"/>
    </row>
    <row r="1048" spans="1:19" x14ac:dyDescent="0.25">
      <c r="A1048" s="63"/>
      <c r="B1048" s="64"/>
      <c r="C1048" s="64"/>
      <c r="D1048" s="64"/>
      <c r="E1048" s="64"/>
      <c r="F1048" s="64"/>
      <c r="G1048" s="64"/>
      <c r="H1048" s="64"/>
      <c r="I1048" s="64"/>
      <c r="J1048" s="64"/>
      <c r="K1048" s="64"/>
      <c r="L1048" s="64"/>
      <c r="M1048" s="64"/>
      <c r="N1048" s="64"/>
      <c r="O1048" s="64"/>
      <c r="P1048" s="64"/>
      <c r="Q1048" s="64"/>
      <c r="R1048" s="64"/>
      <c r="S1048" s="28"/>
    </row>
    <row r="1049" spans="1:19" x14ac:dyDescent="0.25">
      <c r="A1049" s="63"/>
      <c r="B1049" s="64"/>
      <c r="C1049" s="64"/>
      <c r="D1049" s="64"/>
      <c r="E1049" s="64"/>
      <c r="F1049" s="64"/>
      <c r="G1049" s="64"/>
      <c r="H1049" s="64"/>
      <c r="I1049" s="64"/>
      <c r="J1049" s="64"/>
      <c r="K1049" s="64"/>
      <c r="L1049" s="64"/>
      <c r="M1049" s="64"/>
      <c r="N1049" s="64"/>
      <c r="O1049" s="64"/>
      <c r="P1049" s="64"/>
      <c r="Q1049" s="64"/>
      <c r="R1049" s="64"/>
      <c r="S1049" s="28"/>
    </row>
    <row r="1050" spans="1:19" x14ac:dyDescent="0.25">
      <c r="A1050" s="63"/>
      <c r="B1050" s="64"/>
      <c r="C1050" s="64"/>
      <c r="D1050" s="64"/>
      <c r="E1050" s="64"/>
      <c r="F1050" s="64"/>
      <c r="G1050" s="64"/>
      <c r="H1050" s="64"/>
      <c r="I1050" s="64"/>
      <c r="J1050" s="64"/>
      <c r="K1050" s="64"/>
      <c r="L1050" s="64"/>
      <c r="M1050" s="64"/>
      <c r="N1050" s="64"/>
      <c r="O1050" s="64"/>
      <c r="P1050" s="64"/>
      <c r="Q1050" s="64"/>
      <c r="R1050" s="64"/>
      <c r="S1050" s="28"/>
    </row>
    <row r="1051" spans="1:19" x14ac:dyDescent="0.25">
      <c r="A1051" s="63"/>
      <c r="B1051" s="64"/>
      <c r="C1051" s="64"/>
      <c r="D1051" s="64"/>
      <c r="E1051" s="64"/>
      <c r="F1051" s="64"/>
      <c r="G1051" s="64"/>
      <c r="H1051" s="64"/>
      <c r="I1051" s="64"/>
      <c r="J1051" s="64"/>
      <c r="K1051" s="64"/>
      <c r="L1051" s="64"/>
      <c r="M1051" s="64"/>
      <c r="N1051" s="64"/>
      <c r="O1051" s="64"/>
      <c r="P1051" s="64"/>
      <c r="Q1051" s="64"/>
      <c r="R1051" s="64"/>
      <c r="S1051" s="28"/>
    </row>
    <row r="1052" spans="1:19" x14ac:dyDescent="0.25">
      <c r="A1052" s="63"/>
      <c r="B1052" s="64"/>
      <c r="C1052" s="64"/>
      <c r="D1052" s="64"/>
      <c r="E1052" s="64"/>
      <c r="F1052" s="64"/>
      <c r="G1052" s="64"/>
      <c r="H1052" s="64"/>
      <c r="I1052" s="64"/>
      <c r="J1052" s="64"/>
      <c r="K1052" s="64"/>
      <c r="L1052" s="64"/>
      <c r="M1052" s="64"/>
      <c r="N1052" s="64"/>
      <c r="O1052" s="64"/>
      <c r="P1052" s="64"/>
      <c r="Q1052" s="64"/>
      <c r="R1052" s="64"/>
      <c r="S1052" s="28"/>
    </row>
    <row r="1053" spans="1:19" x14ac:dyDescent="0.25">
      <c r="A1053" s="63"/>
      <c r="B1053" s="64"/>
      <c r="C1053" s="64"/>
      <c r="D1053" s="64"/>
      <c r="E1053" s="64"/>
      <c r="F1053" s="64"/>
      <c r="G1053" s="64"/>
      <c r="H1053" s="64"/>
      <c r="I1053" s="64"/>
      <c r="J1053" s="64"/>
      <c r="K1053" s="64"/>
      <c r="L1053" s="64"/>
      <c r="M1053" s="64"/>
      <c r="N1053" s="64"/>
      <c r="O1053" s="64"/>
      <c r="P1053" s="64"/>
      <c r="Q1053" s="64"/>
      <c r="R1053" s="64"/>
      <c r="S1053" s="28"/>
    </row>
    <row r="1054" spans="1:19" x14ac:dyDescent="0.25">
      <c r="A1054" s="63"/>
      <c r="B1054" s="64"/>
      <c r="C1054" s="64"/>
      <c r="D1054" s="64"/>
      <c r="E1054" s="64"/>
      <c r="F1054" s="64"/>
      <c r="G1054" s="64"/>
      <c r="H1054" s="64"/>
      <c r="I1054" s="64"/>
      <c r="J1054" s="64"/>
      <c r="K1054" s="64"/>
      <c r="L1054" s="64"/>
      <c r="M1054" s="64"/>
      <c r="N1054" s="64"/>
      <c r="O1054" s="64"/>
      <c r="P1054" s="64"/>
      <c r="Q1054" s="64"/>
      <c r="R1054" s="64"/>
      <c r="S1054" s="28"/>
    </row>
    <row r="1055" spans="1:19" x14ac:dyDescent="0.25">
      <c r="A1055" s="63"/>
      <c r="B1055" s="64"/>
      <c r="C1055" s="64"/>
      <c r="D1055" s="64"/>
      <c r="E1055" s="64"/>
      <c r="F1055" s="64"/>
      <c r="G1055" s="64"/>
      <c r="H1055" s="64"/>
      <c r="I1055" s="64"/>
      <c r="J1055" s="64"/>
      <c r="K1055" s="64"/>
      <c r="L1055" s="64"/>
      <c r="M1055" s="64"/>
      <c r="N1055" s="64"/>
      <c r="O1055" s="64"/>
      <c r="P1055" s="64"/>
      <c r="Q1055" s="64"/>
      <c r="R1055" s="64"/>
      <c r="S1055" s="28"/>
    </row>
    <row r="1056" spans="1:19" x14ac:dyDescent="0.25">
      <c r="A1056" s="63"/>
      <c r="B1056" s="64"/>
      <c r="C1056" s="64"/>
      <c r="D1056" s="64"/>
      <c r="E1056" s="64"/>
      <c r="F1056" s="64"/>
      <c r="G1056" s="64"/>
      <c r="H1056" s="64"/>
      <c r="I1056" s="64"/>
      <c r="J1056" s="64"/>
      <c r="K1056" s="64"/>
      <c r="L1056" s="64"/>
      <c r="M1056" s="64"/>
      <c r="N1056" s="64"/>
      <c r="O1056" s="64"/>
      <c r="P1056" s="64"/>
      <c r="Q1056" s="64"/>
      <c r="R1056" s="64"/>
      <c r="S1056" s="28"/>
    </row>
    <row r="1057" spans="1:19" x14ac:dyDescent="0.25">
      <c r="A1057" s="63"/>
      <c r="B1057" s="64"/>
      <c r="C1057" s="64"/>
      <c r="D1057" s="64"/>
      <c r="E1057" s="64"/>
      <c r="F1057" s="64"/>
      <c r="G1057" s="64"/>
      <c r="H1057" s="64"/>
      <c r="I1057" s="64"/>
      <c r="J1057" s="64"/>
      <c r="K1057" s="64"/>
      <c r="L1057" s="64"/>
      <c r="M1057" s="64"/>
      <c r="N1057" s="64"/>
      <c r="O1057" s="64"/>
      <c r="P1057" s="64"/>
      <c r="Q1057" s="64"/>
      <c r="R1057" s="64"/>
      <c r="S1057" s="28"/>
    </row>
    <row r="1058" spans="1:19" x14ac:dyDescent="0.25">
      <c r="A1058" s="63"/>
      <c r="B1058" s="64"/>
      <c r="C1058" s="64"/>
      <c r="D1058" s="64"/>
      <c r="E1058" s="64"/>
      <c r="F1058" s="64"/>
      <c r="G1058" s="64"/>
      <c r="H1058" s="64"/>
      <c r="I1058" s="64"/>
      <c r="J1058" s="64"/>
      <c r="K1058" s="64"/>
      <c r="L1058" s="64"/>
      <c r="M1058" s="64"/>
      <c r="N1058" s="64"/>
      <c r="O1058" s="64"/>
      <c r="P1058" s="64"/>
      <c r="Q1058" s="64"/>
      <c r="R1058" s="64"/>
      <c r="S1058" s="28"/>
    </row>
    <row r="1059" spans="1:19" x14ac:dyDescent="0.25">
      <c r="A1059" s="63"/>
      <c r="B1059" s="64"/>
      <c r="C1059" s="64"/>
      <c r="D1059" s="64"/>
      <c r="E1059" s="64"/>
      <c r="F1059" s="64"/>
      <c r="G1059" s="64"/>
      <c r="H1059" s="64"/>
      <c r="I1059" s="64"/>
      <c r="J1059" s="64"/>
      <c r="K1059" s="64"/>
      <c r="L1059" s="64"/>
      <c r="M1059" s="64"/>
      <c r="N1059" s="64"/>
      <c r="O1059" s="64"/>
      <c r="P1059" s="64"/>
      <c r="Q1059" s="64"/>
      <c r="R1059" s="64"/>
      <c r="S1059" s="28"/>
    </row>
    <row r="1060" spans="1:19" x14ac:dyDescent="0.25">
      <c r="A1060" s="63"/>
      <c r="B1060" s="64"/>
      <c r="C1060" s="64"/>
      <c r="D1060" s="64"/>
      <c r="E1060" s="64"/>
      <c r="F1060" s="64"/>
      <c r="G1060" s="64"/>
      <c r="H1060" s="64"/>
      <c r="I1060" s="64"/>
      <c r="J1060" s="64"/>
      <c r="K1060" s="64"/>
      <c r="L1060" s="64"/>
      <c r="M1060" s="64"/>
      <c r="N1060" s="64"/>
      <c r="O1060" s="64"/>
      <c r="P1060" s="64"/>
      <c r="Q1060" s="64"/>
      <c r="R1060" s="64"/>
      <c r="S1060" s="28"/>
    </row>
    <row r="1061" spans="1:19" x14ac:dyDescent="0.25">
      <c r="A1061" s="63"/>
      <c r="B1061" s="64"/>
      <c r="C1061" s="64"/>
      <c r="D1061" s="64"/>
      <c r="E1061" s="64"/>
      <c r="F1061" s="64"/>
      <c r="G1061" s="64"/>
      <c r="H1061" s="64"/>
      <c r="I1061" s="64"/>
      <c r="J1061" s="64"/>
      <c r="K1061" s="64"/>
      <c r="L1061" s="64"/>
      <c r="M1061" s="64"/>
      <c r="N1061" s="64"/>
      <c r="O1061" s="64"/>
      <c r="P1061" s="64"/>
      <c r="Q1061" s="64"/>
      <c r="R1061" s="64"/>
      <c r="S1061" s="28"/>
    </row>
    <row r="1062" spans="1:19" x14ac:dyDescent="0.25">
      <c r="A1062" s="63"/>
      <c r="B1062" s="64"/>
      <c r="C1062" s="64"/>
      <c r="D1062" s="64"/>
      <c r="E1062" s="64"/>
      <c r="F1062" s="64"/>
      <c r="G1062" s="64"/>
      <c r="H1062" s="64"/>
      <c r="I1062" s="64"/>
      <c r="J1062" s="64"/>
      <c r="K1062" s="64"/>
      <c r="L1062" s="64"/>
      <c r="M1062" s="64"/>
      <c r="N1062" s="64"/>
      <c r="O1062" s="64"/>
      <c r="P1062" s="64"/>
      <c r="Q1062" s="64"/>
      <c r="R1062" s="64"/>
      <c r="S1062" s="28"/>
    </row>
    <row r="1063" spans="1:19" x14ac:dyDescent="0.25">
      <c r="A1063" s="63"/>
      <c r="B1063" s="64"/>
      <c r="C1063" s="64"/>
      <c r="D1063" s="64"/>
      <c r="E1063" s="64"/>
      <c r="F1063" s="64"/>
      <c r="G1063" s="64"/>
      <c r="H1063" s="64"/>
      <c r="I1063" s="64"/>
      <c r="J1063" s="64"/>
      <c r="K1063" s="64"/>
      <c r="L1063" s="64"/>
      <c r="M1063" s="64"/>
      <c r="N1063" s="64"/>
      <c r="O1063" s="64"/>
      <c r="P1063" s="64"/>
      <c r="Q1063" s="64"/>
      <c r="R1063" s="64"/>
      <c r="S1063" s="28"/>
    </row>
    <row r="1064" spans="1:19" x14ac:dyDescent="0.25">
      <c r="A1064" s="63"/>
      <c r="B1064" s="64"/>
      <c r="C1064" s="64"/>
      <c r="D1064" s="64"/>
      <c r="E1064" s="64"/>
      <c r="F1064" s="64"/>
      <c r="G1064" s="64"/>
      <c r="H1064" s="64"/>
      <c r="I1064" s="64"/>
      <c r="J1064" s="64"/>
      <c r="K1064" s="64"/>
      <c r="L1064" s="64"/>
      <c r="M1064" s="64"/>
      <c r="N1064" s="64"/>
      <c r="O1064" s="64"/>
      <c r="P1064" s="64"/>
      <c r="Q1064" s="64"/>
      <c r="R1064" s="64"/>
      <c r="S1064" s="28"/>
    </row>
    <row r="1065" spans="1:19" x14ac:dyDescent="0.25">
      <c r="A1065" s="63"/>
      <c r="B1065" s="64"/>
      <c r="C1065" s="64"/>
      <c r="D1065" s="64"/>
      <c r="E1065" s="64"/>
      <c r="F1065" s="64"/>
      <c r="G1065" s="64"/>
      <c r="H1065" s="64"/>
      <c r="I1065" s="64"/>
      <c r="J1065" s="64"/>
      <c r="K1065" s="64"/>
      <c r="L1065" s="64"/>
      <c r="M1065" s="64"/>
      <c r="N1065" s="64"/>
      <c r="O1065" s="64"/>
      <c r="P1065" s="64"/>
      <c r="Q1065" s="64"/>
      <c r="R1065" s="64"/>
      <c r="S1065" s="28"/>
    </row>
    <row r="1066" spans="1:19" x14ac:dyDescent="0.25">
      <c r="A1066" s="63"/>
      <c r="B1066" s="64"/>
      <c r="C1066" s="64"/>
      <c r="D1066" s="64"/>
      <c r="E1066" s="64"/>
      <c r="F1066" s="64"/>
      <c r="G1066" s="64"/>
      <c r="H1066" s="64"/>
      <c r="I1066" s="64"/>
      <c r="J1066" s="64"/>
      <c r="K1066" s="64"/>
      <c r="L1066" s="64"/>
      <c r="M1066" s="64"/>
      <c r="N1066" s="64"/>
      <c r="O1066" s="64"/>
      <c r="P1066" s="64"/>
      <c r="Q1066" s="64"/>
      <c r="R1066" s="64"/>
      <c r="S1066" s="28"/>
    </row>
    <row r="1067" spans="1:19" x14ac:dyDescent="0.25">
      <c r="A1067" s="63"/>
      <c r="B1067" s="64"/>
      <c r="C1067" s="64"/>
      <c r="D1067" s="64"/>
      <c r="E1067" s="64"/>
      <c r="F1067" s="64"/>
      <c r="G1067" s="64"/>
      <c r="H1067" s="64"/>
      <c r="I1067" s="64"/>
      <c r="J1067" s="64"/>
      <c r="K1067" s="64"/>
      <c r="L1067" s="64"/>
      <c r="M1067" s="64"/>
      <c r="N1067" s="64"/>
      <c r="O1067" s="64"/>
      <c r="P1067" s="64"/>
      <c r="Q1067" s="64"/>
      <c r="R1067" s="64"/>
      <c r="S1067" s="28"/>
    </row>
    <row r="1068" spans="1:19" x14ac:dyDescent="0.25">
      <c r="A1068" s="63"/>
      <c r="B1068" s="64"/>
      <c r="C1068" s="64"/>
      <c r="D1068" s="64"/>
      <c r="E1068" s="64"/>
      <c r="F1068" s="64"/>
      <c r="G1068" s="64"/>
      <c r="H1068" s="64"/>
      <c r="I1068" s="64"/>
      <c r="J1068" s="64"/>
      <c r="K1068" s="64"/>
      <c r="L1068" s="64"/>
      <c r="M1068" s="64"/>
      <c r="N1068" s="64"/>
      <c r="O1068" s="64"/>
      <c r="P1068" s="64"/>
      <c r="Q1068" s="64"/>
      <c r="R1068" s="64"/>
      <c r="S1068" s="28"/>
    </row>
    <row r="1069" spans="1:19" x14ac:dyDescent="0.25">
      <c r="A1069" s="63"/>
      <c r="B1069" s="64"/>
      <c r="C1069" s="64"/>
      <c r="D1069" s="64"/>
      <c r="E1069" s="64"/>
      <c r="F1069" s="64"/>
      <c r="G1069" s="64"/>
      <c r="H1069" s="64"/>
      <c r="I1069" s="64"/>
      <c r="J1069" s="64"/>
      <c r="K1069" s="64"/>
      <c r="L1069" s="64"/>
      <c r="M1069" s="64"/>
      <c r="N1069" s="64"/>
      <c r="O1069" s="64"/>
      <c r="P1069" s="64"/>
      <c r="Q1069" s="64"/>
      <c r="R1069" s="64"/>
      <c r="S1069" s="28"/>
    </row>
    <row r="1070" spans="1:19" x14ac:dyDescent="0.25">
      <c r="A1070" s="63"/>
      <c r="B1070" s="64"/>
      <c r="C1070" s="64"/>
      <c r="D1070" s="64"/>
      <c r="E1070" s="64"/>
      <c r="F1070" s="64"/>
      <c r="G1070" s="64"/>
      <c r="H1070" s="64"/>
      <c r="I1070" s="64"/>
      <c r="J1070" s="64"/>
      <c r="K1070" s="64"/>
      <c r="L1070" s="64"/>
      <c r="M1070" s="64"/>
      <c r="N1070" s="64"/>
      <c r="O1070" s="64"/>
      <c r="P1070" s="64"/>
      <c r="Q1070" s="64"/>
      <c r="R1070" s="64"/>
      <c r="S1070" s="28"/>
    </row>
    <row r="1071" spans="1:19" x14ac:dyDescent="0.25">
      <c r="A1071" s="63"/>
      <c r="B1071" s="64"/>
      <c r="C1071" s="64"/>
      <c r="D1071" s="64"/>
      <c r="E1071" s="64"/>
      <c r="F1071" s="64"/>
      <c r="G1071" s="64"/>
      <c r="H1071" s="64"/>
      <c r="I1071" s="64"/>
      <c r="J1071" s="64"/>
      <c r="K1071" s="64"/>
      <c r="L1071" s="64"/>
      <c r="M1071" s="64"/>
      <c r="N1071" s="64"/>
      <c r="O1071" s="64"/>
      <c r="P1071" s="64"/>
      <c r="Q1071" s="64"/>
      <c r="R1071" s="64"/>
      <c r="S1071" s="28"/>
    </row>
    <row r="1072" spans="1:19" x14ac:dyDescent="0.25">
      <c r="A1072" s="63"/>
      <c r="B1072" s="64"/>
      <c r="C1072" s="64"/>
      <c r="D1072" s="64"/>
      <c r="E1072" s="64"/>
      <c r="F1072" s="64"/>
      <c r="G1072" s="64"/>
      <c r="H1072" s="64"/>
      <c r="I1072" s="64"/>
      <c r="J1072" s="64"/>
      <c r="K1072" s="64"/>
      <c r="L1072" s="64"/>
      <c r="M1072" s="64"/>
      <c r="N1072" s="64"/>
      <c r="O1072" s="64"/>
      <c r="P1072" s="64"/>
      <c r="Q1072" s="64"/>
      <c r="R1072" s="64"/>
      <c r="S1072" s="28"/>
    </row>
    <row r="1073" spans="1:19" x14ac:dyDescent="0.25">
      <c r="A1073" s="63"/>
      <c r="B1073" s="64"/>
      <c r="C1073" s="64"/>
      <c r="D1073" s="64"/>
      <c r="E1073" s="64"/>
      <c r="F1073" s="64"/>
      <c r="G1073" s="64"/>
      <c r="H1073" s="64"/>
      <c r="I1073" s="64"/>
      <c r="J1073" s="64"/>
      <c r="K1073" s="64"/>
      <c r="L1073" s="64"/>
      <c r="M1073" s="64"/>
      <c r="N1073" s="64"/>
      <c r="O1073" s="64"/>
      <c r="P1073" s="64"/>
      <c r="Q1073" s="64"/>
      <c r="R1073" s="64"/>
      <c r="S1073" s="28"/>
    </row>
    <row r="1074" spans="1:19" x14ac:dyDescent="0.25">
      <c r="A1074" s="63"/>
      <c r="B1074" s="64"/>
      <c r="C1074" s="64"/>
      <c r="D1074" s="64"/>
      <c r="E1074" s="64"/>
      <c r="F1074" s="64"/>
      <c r="G1074" s="64"/>
      <c r="H1074" s="64"/>
      <c r="I1074" s="64"/>
      <c r="J1074" s="64"/>
      <c r="K1074" s="64"/>
      <c r="L1074" s="64"/>
      <c r="M1074" s="64"/>
      <c r="N1074" s="64"/>
      <c r="O1074" s="64"/>
      <c r="P1074" s="64"/>
      <c r="Q1074" s="64"/>
      <c r="R1074" s="64"/>
      <c r="S1074" s="28"/>
    </row>
    <row r="1075" spans="1:19" x14ac:dyDescent="0.25">
      <c r="A1075" s="63"/>
      <c r="B1075" s="64"/>
      <c r="C1075" s="64"/>
      <c r="D1075" s="64"/>
      <c r="E1075" s="64"/>
      <c r="F1075" s="64"/>
      <c r="G1075" s="64"/>
      <c r="H1075" s="64"/>
      <c r="I1075" s="64"/>
      <c r="J1075" s="64"/>
      <c r="K1075" s="64"/>
      <c r="L1075" s="64"/>
      <c r="M1075" s="64"/>
      <c r="N1075" s="64"/>
      <c r="O1075" s="64"/>
      <c r="P1075" s="64"/>
      <c r="Q1075" s="64"/>
      <c r="R1075" s="64"/>
      <c r="S1075" s="28"/>
    </row>
    <row r="1076" spans="1:19" x14ac:dyDescent="0.25">
      <c r="A1076" s="63"/>
      <c r="B1076" s="64"/>
      <c r="C1076" s="64"/>
      <c r="D1076" s="64"/>
      <c r="E1076" s="64"/>
      <c r="F1076" s="64"/>
      <c r="G1076" s="64"/>
      <c r="H1076" s="64"/>
      <c r="I1076" s="64"/>
      <c r="J1076" s="64"/>
      <c r="K1076" s="64"/>
      <c r="L1076" s="64"/>
      <c r="M1076" s="64"/>
      <c r="N1076" s="64"/>
      <c r="O1076" s="64"/>
      <c r="P1076" s="64"/>
      <c r="Q1076" s="64"/>
      <c r="R1076" s="64"/>
      <c r="S1076" s="28"/>
    </row>
    <row r="1077" spans="1:19" x14ac:dyDescent="0.25">
      <c r="A1077" s="63"/>
      <c r="B1077" s="64"/>
      <c r="C1077" s="64"/>
      <c r="D1077" s="64"/>
      <c r="E1077" s="64"/>
      <c r="F1077" s="64"/>
      <c r="G1077" s="64"/>
      <c r="H1077" s="64"/>
      <c r="I1077" s="64"/>
      <c r="J1077" s="64"/>
      <c r="K1077" s="64"/>
      <c r="L1077" s="64"/>
      <c r="M1077" s="64"/>
      <c r="N1077" s="64"/>
      <c r="O1077" s="64"/>
      <c r="P1077" s="64"/>
      <c r="Q1077" s="64"/>
      <c r="R1077" s="64"/>
      <c r="S1077" s="28"/>
    </row>
    <row r="1078" spans="1:19" x14ac:dyDescent="0.25">
      <c r="A1078" s="63"/>
      <c r="B1078" s="64"/>
      <c r="C1078" s="64"/>
      <c r="D1078" s="64"/>
      <c r="E1078" s="64"/>
      <c r="F1078" s="64"/>
      <c r="G1078" s="64"/>
      <c r="H1078" s="64"/>
      <c r="I1078" s="64"/>
      <c r="J1078" s="64"/>
      <c r="K1078" s="64"/>
      <c r="L1078" s="64"/>
      <c r="M1078" s="64"/>
      <c r="N1078" s="64"/>
      <c r="O1078" s="64"/>
      <c r="P1078" s="64"/>
      <c r="Q1078" s="64"/>
      <c r="R1078" s="64"/>
      <c r="S1078" s="28"/>
    </row>
    <row r="1079" spans="1:19" x14ac:dyDescent="0.25">
      <c r="A1079" s="63"/>
      <c r="B1079" s="64"/>
      <c r="C1079" s="64"/>
      <c r="D1079" s="64"/>
      <c r="E1079" s="64"/>
      <c r="F1079" s="64"/>
      <c r="G1079" s="64"/>
      <c r="H1079" s="64"/>
      <c r="I1079" s="64"/>
      <c r="J1079" s="64"/>
      <c r="K1079" s="64"/>
      <c r="L1079" s="64"/>
      <c r="M1079" s="64"/>
      <c r="N1079" s="64"/>
      <c r="O1079" s="64"/>
      <c r="P1079" s="64"/>
      <c r="Q1079" s="64"/>
      <c r="R1079" s="64"/>
      <c r="S1079" s="28"/>
    </row>
    <row r="1080" spans="1:19" x14ac:dyDescent="0.25">
      <c r="A1080" s="63"/>
      <c r="B1080" s="64"/>
      <c r="C1080" s="64"/>
      <c r="D1080" s="64"/>
      <c r="E1080" s="64"/>
      <c r="F1080" s="64"/>
      <c r="G1080" s="64"/>
      <c r="H1080" s="64"/>
      <c r="I1080" s="64"/>
      <c r="J1080" s="64"/>
      <c r="K1080" s="64"/>
      <c r="L1080" s="64"/>
      <c r="M1080" s="64"/>
      <c r="N1080" s="64"/>
      <c r="O1080" s="64"/>
      <c r="P1080" s="64"/>
      <c r="Q1080" s="64"/>
      <c r="R1080" s="64"/>
      <c r="S1080" s="28"/>
    </row>
    <row r="1081" spans="1:19" x14ac:dyDescent="0.25">
      <c r="A1081" s="63"/>
      <c r="B1081" s="64"/>
      <c r="C1081" s="64"/>
      <c r="D1081" s="64"/>
      <c r="E1081" s="64"/>
      <c r="F1081" s="64"/>
      <c r="G1081" s="64"/>
      <c r="H1081" s="64"/>
      <c r="I1081" s="64"/>
      <c r="J1081" s="64"/>
      <c r="K1081" s="64"/>
      <c r="L1081" s="64"/>
      <c r="M1081" s="64"/>
      <c r="N1081" s="64"/>
      <c r="O1081" s="64"/>
      <c r="P1081" s="64"/>
      <c r="Q1081" s="64"/>
      <c r="R1081" s="64"/>
      <c r="S1081" s="28"/>
    </row>
    <row r="1082" spans="1:19" x14ac:dyDescent="0.25">
      <c r="A1082" s="63"/>
      <c r="B1082" s="64"/>
      <c r="C1082" s="64"/>
      <c r="D1082" s="64"/>
      <c r="E1082" s="64"/>
      <c r="F1082" s="64"/>
      <c r="G1082" s="64"/>
      <c r="H1082" s="64"/>
      <c r="I1082" s="64"/>
      <c r="J1082" s="64"/>
      <c r="K1082" s="64"/>
      <c r="L1082" s="64"/>
      <c r="M1082" s="64"/>
      <c r="N1082" s="64"/>
      <c r="O1082" s="64"/>
      <c r="P1082" s="64"/>
      <c r="Q1082" s="64"/>
      <c r="R1082" s="64"/>
      <c r="S1082" s="28"/>
    </row>
    <row r="1083" spans="1:19" x14ac:dyDescent="0.25">
      <c r="A1083" s="63"/>
      <c r="B1083" s="64"/>
      <c r="C1083" s="64"/>
      <c r="D1083" s="64"/>
      <c r="E1083" s="64"/>
      <c r="F1083" s="64"/>
      <c r="G1083" s="64"/>
      <c r="H1083" s="64"/>
      <c r="I1083" s="64"/>
      <c r="J1083" s="64"/>
      <c r="K1083" s="64"/>
      <c r="L1083" s="64"/>
      <c r="M1083" s="64"/>
      <c r="N1083" s="64"/>
      <c r="O1083" s="64"/>
      <c r="P1083" s="64"/>
      <c r="Q1083" s="64"/>
      <c r="R1083" s="64"/>
      <c r="S1083" s="28"/>
    </row>
    <row r="1084" spans="1:19" x14ac:dyDescent="0.25">
      <c r="A1084" s="63"/>
      <c r="B1084" s="64"/>
      <c r="C1084" s="64"/>
      <c r="D1084" s="64"/>
      <c r="E1084" s="64"/>
      <c r="F1084" s="64"/>
      <c r="G1084" s="64"/>
      <c r="H1084" s="64"/>
      <c r="I1084" s="64"/>
      <c r="J1084" s="64"/>
      <c r="K1084" s="64"/>
      <c r="L1084" s="64"/>
      <c r="M1084" s="64"/>
      <c r="N1084" s="64"/>
      <c r="O1084" s="64"/>
      <c r="P1084" s="64"/>
      <c r="Q1084" s="64"/>
      <c r="R1084" s="64"/>
      <c r="S1084" s="28"/>
    </row>
    <row r="1085" spans="1:19" x14ac:dyDescent="0.25">
      <c r="A1085" s="63"/>
      <c r="B1085" s="64"/>
      <c r="C1085" s="64"/>
      <c r="D1085" s="64"/>
      <c r="E1085" s="64"/>
      <c r="F1085" s="64"/>
      <c r="G1085" s="64"/>
      <c r="H1085" s="64"/>
      <c r="I1085" s="64"/>
      <c r="J1085" s="64"/>
      <c r="K1085" s="64"/>
      <c r="L1085" s="64"/>
      <c r="M1085" s="64"/>
      <c r="N1085" s="64"/>
      <c r="O1085" s="64"/>
      <c r="P1085" s="64"/>
      <c r="Q1085" s="64"/>
      <c r="R1085" s="64"/>
      <c r="S1085" s="28"/>
    </row>
    <row r="1086" spans="1:19" x14ac:dyDescent="0.25">
      <c r="A1086" s="63"/>
      <c r="B1086" s="64"/>
      <c r="C1086" s="64"/>
      <c r="D1086" s="64"/>
      <c r="E1086" s="64"/>
      <c r="F1086" s="64"/>
      <c r="G1086" s="64"/>
      <c r="H1086" s="64"/>
      <c r="I1086" s="64"/>
      <c r="J1086" s="64"/>
      <c r="K1086" s="64"/>
      <c r="L1086" s="64"/>
      <c r="M1086" s="64"/>
      <c r="N1086" s="64"/>
      <c r="O1086" s="64"/>
      <c r="P1086" s="64"/>
      <c r="Q1086" s="64"/>
      <c r="R1086" s="64"/>
      <c r="S1086" s="28"/>
    </row>
    <row r="1087" spans="1:19" x14ac:dyDescent="0.25">
      <c r="A1087" s="63"/>
      <c r="B1087" s="64"/>
      <c r="C1087" s="64"/>
      <c r="D1087" s="64"/>
      <c r="E1087" s="64"/>
      <c r="F1087" s="64"/>
      <c r="G1087" s="64"/>
      <c r="H1087" s="64"/>
      <c r="I1087" s="64"/>
      <c r="J1087" s="64"/>
      <c r="K1087" s="64"/>
      <c r="L1087" s="64"/>
      <c r="M1087" s="64"/>
      <c r="N1087" s="64"/>
      <c r="O1087" s="64"/>
      <c r="P1087" s="64"/>
      <c r="Q1087" s="64"/>
      <c r="R1087" s="64"/>
      <c r="S1087" s="28"/>
    </row>
    <row r="1088" spans="1:19" x14ac:dyDescent="0.25">
      <c r="A1088" s="63"/>
      <c r="B1088" s="64"/>
      <c r="C1088" s="64"/>
      <c r="D1088" s="64"/>
      <c r="E1088" s="64"/>
      <c r="F1088" s="64"/>
      <c r="G1088" s="64"/>
      <c r="H1088" s="64"/>
      <c r="I1088" s="64"/>
      <c r="J1088" s="64"/>
      <c r="K1088" s="64"/>
      <c r="L1088" s="64"/>
      <c r="M1088" s="64"/>
      <c r="N1088" s="64"/>
      <c r="O1088" s="64"/>
      <c r="P1088" s="64"/>
      <c r="Q1088" s="64"/>
      <c r="R1088" s="64"/>
      <c r="S1088" s="28"/>
    </row>
    <row r="1089" spans="1:19" x14ac:dyDescent="0.25">
      <c r="A1089" s="63"/>
      <c r="B1089" s="64"/>
      <c r="C1089" s="64"/>
      <c r="D1089" s="64"/>
      <c r="E1089" s="64"/>
      <c r="F1089" s="64"/>
      <c r="G1089" s="64"/>
      <c r="H1089" s="64"/>
      <c r="I1089" s="64"/>
      <c r="J1089" s="64"/>
      <c r="K1089" s="64"/>
      <c r="L1089" s="64"/>
      <c r="M1089" s="64"/>
      <c r="N1089" s="64"/>
      <c r="O1089" s="64"/>
      <c r="P1089" s="64"/>
      <c r="Q1089" s="64"/>
      <c r="R1089" s="64"/>
      <c r="S1089" s="28"/>
    </row>
    <row r="1090" spans="1:19" x14ac:dyDescent="0.25">
      <c r="A1090" s="63"/>
      <c r="B1090" s="64"/>
      <c r="C1090" s="64"/>
      <c r="D1090" s="64"/>
      <c r="E1090" s="64"/>
      <c r="F1090" s="64"/>
      <c r="G1090" s="64"/>
      <c r="H1090" s="64"/>
      <c r="I1090" s="64"/>
      <c r="J1090" s="64"/>
      <c r="K1090" s="64"/>
      <c r="L1090" s="64"/>
      <c r="M1090" s="64"/>
      <c r="N1090" s="64"/>
      <c r="O1090" s="64"/>
      <c r="P1090" s="64"/>
      <c r="Q1090" s="64"/>
      <c r="R1090" s="64"/>
      <c r="S1090" s="28"/>
    </row>
    <row r="1091" spans="1:19" x14ac:dyDescent="0.25">
      <c r="A1091" s="63"/>
      <c r="B1091" s="64"/>
      <c r="C1091" s="64"/>
      <c r="D1091" s="64"/>
      <c r="E1091" s="64"/>
      <c r="F1091" s="64"/>
      <c r="G1091" s="64"/>
      <c r="H1091" s="64"/>
      <c r="I1091" s="64"/>
      <c r="J1091" s="64"/>
      <c r="K1091" s="64"/>
      <c r="L1091" s="64"/>
      <c r="M1091" s="64"/>
      <c r="N1091" s="64"/>
      <c r="O1091" s="64"/>
      <c r="P1091" s="64"/>
      <c r="Q1091" s="64"/>
      <c r="R1091" s="64"/>
      <c r="S1091" s="28"/>
    </row>
    <row r="1092" spans="1:19" x14ac:dyDescent="0.25">
      <c r="A1092" s="63"/>
      <c r="B1092" s="64"/>
      <c r="C1092" s="64"/>
      <c r="D1092" s="64"/>
      <c r="E1092" s="64"/>
      <c r="F1092" s="64"/>
      <c r="G1092" s="64"/>
      <c r="H1092" s="64"/>
      <c r="I1092" s="64"/>
      <c r="J1092" s="64"/>
      <c r="K1092" s="64"/>
      <c r="L1092" s="64"/>
      <c r="M1092" s="64"/>
      <c r="N1092" s="64"/>
      <c r="O1092" s="64"/>
      <c r="P1092" s="64"/>
      <c r="Q1092" s="64"/>
      <c r="R1092" s="64"/>
      <c r="S1092" s="28"/>
    </row>
    <row r="1093" spans="1:19" x14ac:dyDescent="0.25">
      <c r="A1093" s="63"/>
      <c r="B1093" s="64"/>
      <c r="C1093" s="64"/>
      <c r="D1093" s="64"/>
      <c r="E1093" s="64"/>
      <c r="F1093" s="64"/>
      <c r="G1093" s="64"/>
      <c r="H1093" s="64"/>
      <c r="I1093" s="64"/>
      <c r="J1093" s="64"/>
      <c r="K1093" s="64"/>
      <c r="L1093" s="64"/>
      <c r="M1093" s="64"/>
      <c r="N1093" s="64"/>
      <c r="O1093" s="64"/>
      <c r="P1093" s="64"/>
      <c r="Q1093" s="64"/>
      <c r="R1093" s="64"/>
      <c r="S1093" s="28"/>
    </row>
    <row r="1094" spans="1:19" x14ac:dyDescent="0.25">
      <c r="A1094" s="63"/>
      <c r="B1094" s="64"/>
      <c r="C1094" s="64"/>
      <c r="D1094" s="64"/>
      <c r="E1094" s="64"/>
      <c r="F1094" s="64"/>
      <c r="G1094" s="64"/>
      <c r="H1094" s="64"/>
      <c r="I1094" s="64"/>
      <c r="J1094" s="64"/>
      <c r="K1094" s="64"/>
      <c r="L1094" s="64"/>
      <c r="M1094" s="64"/>
      <c r="N1094" s="64"/>
      <c r="O1094" s="64"/>
      <c r="P1094" s="64"/>
      <c r="Q1094" s="64"/>
      <c r="R1094" s="64"/>
      <c r="S1094" s="28"/>
    </row>
    <row r="1095" spans="1:19" x14ac:dyDescent="0.25">
      <c r="A1095" s="63"/>
      <c r="B1095" s="64"/>
      <c r="C1095" s="64"/>
      <c r="D1095" s="64"/>
      <c r="E1095" s="64"/>
      <c r="F1095" s="64"/>
      <c r="G1095" s="64"/>
      <c r="H1095" s="64"/>
      <c r="I1095" s="64"/>
      <c r="J1095" s="64"/>
      <c r="K1095" s="64"/>
      <c r="L1095" s="64"/>
      <c r="M1095" s="64"/>
      <c r="N1095" s="64"/>
      <c r="O1095" s="64"/>
      <c r="P1095" s="64"/>
      <c r="Q1095" s="64"/>
      <c r="R1095" s="64"/>
      <c r="S1095" s="28"/>
    </row>
    <row r="1096" spans="1:19" x14ac:dyDescent="0.25">
      <c r="A1096" s="63"/>
      <c r="B1096" s="64"/>
      <c r="C1096" s="64"/>
      <c r="D1096" s="64"/>
      <c r="E1096" s="64"/>
      <c r="F1096" s="64"/>
      <c r="G1096" s="64"/>
      <c r="H1096" s="64"/>
      <c r="I1096" s="64"/>
      <c r="J1096" s="64"/>
      <c r="K1096" s="64"/>
      <c r="L1096" s="64"/>
      <c r="M1096" s="64"/>
      <c r="N1096" s="64"/>
      <c r="O1096" s="64"/>
      <c r="P1096" s="64"/>
      <c r="Q1096" s="64"/>
      <c r="R1096" s="64"/>
      <c r="S1096" s="28"/>
    </row>
    <row r="1097" spans="1:19" x14ac:dyDescent="0.25">
      <c r="A1097" s="63"/>
      <c r="B1097" s="64"/>
      <c r="C1097" s="64"/>
      <c r="D1097" s="64"/>
      <c r="E1097" s="64"/>
      <c r="F1097" s="64"/>
      <c r="G1097" s="64"/>
      <c r="H1097" s="64"/>
      <c r="I1097" s="64"/>
      <c r="J1097" s="64"/>
      <c r="K1097" s="64"/>
      <c r="L1097" s="64"/>
      <c r="M1097" s="64"/>
      <c r="N1097" s="64"/>
      <c r="O1097" s="64"/>
      <c r="P1097" s="64"/>
      <c r="Q1097" s="64"/>
      <c r="R1097" s="64"/>
      <c r="S1097" s="28"/>
    </row>
    <row r="1098" spans="1:19" x14ac:dyDescent="0.25">
      <c r="A1098" s="63"/>
      <c r="B1098" s="64"/>
      <c r="C1098" s="64"/>
      <c r="D1098" s="64"/>
      <c r="E1098" s="64"/>
      <c r="F1098" s="64"/>
      <c r="G1098" s="64"/>
      <c r="H1098" s="64"/>
      <c r="I1098" s="64"/>
      <c r="J1098" s="64"/>
      <c r="K1098" s="64"/>
      <c r="L1098" s="64"/>
      <c r="M1098" s="64"/>
      <c r="N1098" s="64"/>
      <c r="O1098" s="64"/>
      <c r="P1098" s="64"/>
      <c r="Q1098" s="64"/>
      <c r="R1098" s="64"/>
      <c r="S1098" s="28"/>
    </row>
    <row r="1099" spans="1:19" x14ac:dyDescent="0.25">
      <c r="A1099" s="63"/>
      <c r="B1099" s="64"/>
      <c r="C1099" s="64"/>
      <c r="D1099" s="64"/>
      <c r="E1099" s="64"/>
      <c r="F1099" s="64"/>
      <c r="G1099" s="64"/>
      <c r="H1099" s="64"/>
      <c r="I1099" s="64"/>
      <c r="J1099" s="64"/>
      <c r="K1099" s="64"/>
      <c r="L1099" s="64"/>
      <c r="M1099" s="64"/>
      <c r="N1099" s="64"/>
      <c r="O1099" s="64"/>
      <c r="P1099" s="64"/>
      <c r="Q1099" s="64"/>
      <c r="R1099" s="64"/>
      <c r="S1099" s="28"/>
    </row>
    <row r="1100" spans="1:19" x14ac:dyDescent="0.25">
      <c r="A1100" s="63"/>
      <c r="B1100" s="64"/>
      <c r="C1100" s="64"/>
      <c r="D1100" s="64"/>
      <c r="E1100" s="64"/>
      <c r="F1100" s="64"/>
      <c r="G1100" s="64"/>
      <c r="H1100" s="64"/>
      <c r="I1100" s="64"/>
      <c r="J1100" s="64"/>
      <c r="K1100" s="64"/>
      <c r="L1100" s="64"/>
      <c r="M1100" s="64"/>
      <c r="N1100" s="64"/>
      <c r="O1100" s="64"/>
      <c r="P1100" s="64"/>
      <c r="Q1100" s="64"/>
      <c r="R1100" s="64"/>
      <c r="S1100" s="28"/>
    </row>
    <row r="1101" spans="1:19" x14ac:dyDescent="0.25">
      <c r="A1101" s="63"/>
      <c r="B1101" s="64"/>
      <c r="C1101" s="64"/>
      <c r="D1101" s="64"/>
      <c r="E1101" s="64"/>
      <c r="F1101" s="64"/>
      <c r="G1101" s="64"/>
      <c r="H1101" s="64"/>
      <c r="I1101" s="64"/>
      <c r="J1101" s="64"/>
      <c r="K1101" s="64"/>
      <c r="L1101" s="64"/>
      <c r="M1101" s="64"/>
      <c r="N1101" s="64"/>
      <c r="O1101" s="64"/>
      <c r="P1101" s="64"/>
      <c r="Q1101" s="64"/>
      <c r="R1101" s="64"/>
      <c r="S1101" s="28"/>
    </row>
    <row r="1102" spans="1:19" x14ac:dyDescent="0.25">
      <c r="A1102" s="63"/>
      <c r="B1102" s="64"/>
      <c r="C1102" s="64"/>
      <c r="D1102" s="64"/>
      <c r="E1102" s="64"/>
      <c r="F1102" s="64"/>
      <c r="G1102" s="64"/>
      <c r="H1102" s="64"/>
      <c r="I1102" s="64"/>
      <c r="J1102" s="64"/>
      <c r="K1102" s="64"/>
      <c r="L1102" s="64"/>
      <c r="M1102" s="64"/>
      <c r="N1102" s="64"/>
      <c r="O1102" s="64"/>
      <c r="P1102" s="64"/>
      <c r="Q1102" s="64"/>
      <c r="R1102" s="64"/>
      <c r="S1102" s="28"/>
    </row>
    <row r="1103" spans="1:19" x14ac:dyDescent="0.25">
      <c r="A1103" s="63"/>
      <c r="B1103" s="64"/>
      <c r="C1103" s="64"/>
      <c r="D1103" s="64"/>
      <c r="E1103" s="64"/>
      <c r="F1103" s="64"/>
      <c r="G1103" s="64"/>
      <c r="H1103" s="64"/>
      <c r="I1103" s="64"/>
      <c r="J1103" s="64"/>
      <c r="K1103" s="64"/>
      <c r="L1103" s="64"/>
      <c r="M1103" s="64"/>
      <c r="N1103" s="64"/>
      <c r="O1103" s="64"/>
      <c r="P1103" s="64"/>
      <c r="Q1103" s="64"/>
      <c r="R1103" s="64"/>
      <c r="S1103" s="28"/>
    </row>
    <row r="1104" spans="1:19" x14ac:dyDescent="0.25">
      <c r="A1104" s="63"/>
      <c r="B1104" s="64"/>
      <c r="C1104" s="64"/>
      <c r="D1104" s="64"/>
      <c r="E1104" s="64"/>
      <c r="F1104" s="64"/>
      <c r="G1104" s="64"/>
      <c r="H1104" s="64"/>
      <c r="I1104" s="64"/>
      <c r="J1104" s="64"/>
      <c r="K1104" s="64"/>
      <c r="L1104" s="64"/>
      <c r="M1104" s="64"/>
      <c r="N1104" s="64"/>
      <c r="O1104" s="64"/>
      <c r="P1104" s="64"/>
      <c r="Q1104" s="64"/>
      <c r="R1104" s="64"/>
      <c r="S1104" s="28"/>
    </row>
    <row r="1105" spans="1:19" x14ac:dyDescent="0.25">
      <c r="A1105" s="63"/>
      <c r="B1105" s="64"/>
      <c r="C1105" s="64"/>
      <c r="D1105" s="64"/>
      <c r="E1105" s="64"/>
      <c r="F1105" s="64"/>
      <c r="G1105" s="64"/>
      <c r="H1105" s="64"/>
      <c r="I1105" s="64"/>
      <c r="J1105" s="64"/>
      <c r="K1105" s="64"/>
      <c r="L1105" s="64"/>
      <c r="M1105" s="64"/>
      <c r="N1105" s="64"/>
      <c r="O1105" s="64"/>
      <c r="P1105" s="64"/>
      <c r="Q1105" s="64"/>
      <c r="R1105" s="64"/>
      <c r="S1105" s="28"/>
    </row>
    <row r="1106" spans="1:19" x14ac:dyDescent="0.25">
      <c r="A1106" s="63"/>
      <c r="B1106" s="64"/>
      <c r="C1106" s="64"/>
      <c r="D1106" s="64"/>
      <c r="E1106" s="64"/>
      <c r="F1106" s="64"/>
      <c r="G1106" s="64"/>
      <c r="H1106" s="64"/>
      <c r="I1106" s="64"/>
      <c r="J1106" s="64"/>
      <c r="K1106" s="64"/>
      <c r="L1106" s="64"/>
      <c r="M1106" s="64"/>
      <c r="N1106" s="64"/>
      <c r="O1106" s="64"/>
      <c r="P1106" s="64"/>
      <c r="Q1106" s="64"/>
      <c r="R1106" s="64"/>
      <c r="S1106" s="28"/>
    </row>
    <row r="1107" spans="1:19" x14ac:dyDescent="0.25">
      <c r="A1107" s="63"/>
      <c r="B1107" s="64"/>
      <c r="C1107" s="64"/>
      <c r="D1107" s="64"/>
      <c r="E1107" s="64"/>
      <c r="F1107" s="64"/>
      <c r="G1107" s="64"/>
      <c r="H1107" s="64"/>
      <c r="I1107" s="64"/>
      <c r="J1107" s="64"/>
      <c r="K1107" s="64"/>
      <c r="L1107" s="64"/>
      <c r="M1107" s="64"/>
      <c r="N1107" s="64"/>
      <c r="O1107" s="64"/>
      <c r="P1107" s="64"/>
      <c r="Q1107" s="64"/>
      <c r="R1107" s="64"/>
      <c r="S1107" s="28"/>
    </row>
    <row r="1108" spans="1:19" x14ac:dyDescent="0.25">
      <c r="A1108" s="63"/>
      <c r="B1108" s="64"/>
      <c r="C1108" s="64"/>
      <c r="D1108" s="64"/>
      <c r="E1108" s="64"/>
      <c r="F1108" s="64"/>
      <c r="G1108" s="64"/>
      <c r="H1108" s="64"/>
      <c r="I1108" s="64"/>
      <c r="J1108" s="64"/>
      <c r="K1108" s="64"/>
      <c r="L1108" s="64"/>
      <c r="M1108" s="64"/>
      <c r="N1108" s="64"/>
      <c r="O1108" s="64"/>
      <c r="P1108" s="64"/>
      <c r="Q1108" s="64"/>
      <c r="R1108" s="64"/>
      <c r="S1108" s="28"/>
    </row>
    <row r="1109" spans="1:19" x14ac:dyDescent="0.25">
      <c r="A1109" s="63"/>
      <c r="B1109" s="64"/>
      <c r="C1109" s="64"/>
      <c r="D1109" s="64"/>
      <c r="E1109" s="64"/>
      <c r="F1109" s="64"/>
      <c r="G1109" s="64"/>
      <c r="H1109" s="64"/>
      <c r="I1109" s="64"/>
      <c r="J1109" s="64"/>
      <c r="K1109" s="64"/>
      <c r="L1109" s="64"/>
      <c r="M1109" s="64"/>
      <c r="N1109" s="64"/>
      <c r="O1109" s="64"/>
      <c r="P1109" s="64"/>
      <c r="Q1109" s="64"/>
      <c r="R1109" s="64"/>
      <c r="S1109" s="28"/>
    </row>
    <row r="1110" spans="1:19" x14ac:dyDescent="0.25">
      <c r="A1110" s="63"/>
      <c r="B1110" s="64"/>
      <c r="C1110" s="64"/>
      <c r="D1110" s="64"/>
      <c r="E1110" s="64"/>
      <c r="F1110" s="64"/>
      <c r="G1110" s="64"/>
      <c r="H1110" s="64"/>
      <c r="I1110" s="64"/>
      <c r="J1110" s="64"/>
      <c r="K1110" s="64"/>
      <c r="L1110" s="64"/>
      <c r="M1110" s="64"/>
      <c r="N1110" s="64"/>
      <c r="O1110" s="64"/>
      <c r="P1110" s="64"/>
      <c r="Q1110" s="64"/>
      <c r="R1110" s="64"/>
      <c r="S1110" s="28"/>
    </row>
    <row r="1111" spans="1:19" x14ac:dyDescent="0.25">
      <c r="A1111" s="63"/>
      <c r="B1111" s="64"/>
      <c r="C1111" s="64"/>
      <c r="D1111" s="64"/>
      <c r="E1111" s="64"/>
      <c r="F1111" s="64"/>
      <c r="G1111" s="64"/>
      <c r="H1111" s="64"/>
      <c r="I1111" s="64"/>
      <c r="J1111" s="64"/>
      <c r="K1111" s="64"/>
      <c r="L1111" s="64"/>
      <c r="M1111" s="64"/>
      <c r="N1111" s="64"/>
      <c r="O1111" s="64"/>
      <c r="P1111" s="64"/>
      <c r="Q1111" s="64"/>
      <c r="R1111" s="64"/>
      <c r="S1111" s="28"/>
    </row>
    <row r="1112" spans="1:19" x14ac:dyDescent="0.25">
      <c r="A1112" s="63"/>
      <c r="B1112" s="64"/>
      <c r="C1112" s="64"/>
      <c r="D1112" s="64"/>
      <c r="E1112" s="64"/>
      <c r="F1112" s="64"/>
      <c r="G1112" s="64"/>
      <c r="H1112" s="64"/>
      <c r="I1112" s="64"/>
      <c r="J1112" s="64"/>
      <c r="K1112" s="64"/>
      <c r="L1112" s="64"/>
      <c r="M1112" s="64"/>
      <c r="N1112" s="64"/>
      <c r="O1112" s="64"/>
      <c r="P1112" s="64"/>
      <c r="Q1112" s="64"/>
      <c r="R1112" s="64"/>
      <c r="S1112" s="28"/>
    </row>
    <row r="1113" spans="1:19" x14ac:dyDescent="0.25">
      <c r="A1113" s="63"/>
      <c r="B1113" s="64"/>
      <c r="C1113" s="64"/>
      <c r="D1113" s="64"/>
      <c r="E1113" s="64"/>
      <c r="F1113" s="64"/>
      <c r="G1113" s="64"/>
      <c r="H1113" s="64"/>
      <c r="I1113" s="64"/>
      <c r="J1113" s="64"/>
      <c r="K1113" s="64"/>
      <c r="L1113" s="64"/>
      <c r="M1113" s="64"/>
      <c r="N1113" s="64"/>
      <c r="O1113" s="64"/>
      <c r="P1113" s="64"/>
      <c r="Q1113" s="64"/>
      <c r="R1113" s="64"/>
      <c r="S1113" s="28"/>
    </row>
    <row r="1114" spans="1:19" x14ac:dyDescent="0.25">
      <c r="A1114" s="63"/>
      <c r="B1114" s="64"/>
      <c r="C1114" s="64"/>
      <c r="D1114" s="64"/>
      <c r="E1114" s="64"/>
      <c r="F1114" s="64"/>
      <c r="G1114" s="64"/>
      <c r="H1114" s="64"/>
      <c r="I1114" s="64"/>
      <c r="J1114" s="64"/>
      <c r="K1114" s="64"/>
      <c r="L1114" s="64"/>
      <c r="M1114" s="64"/>
      <c r="N1114" s="64"/>
      <c r="O1114" s="64"/>
      <c r="P1114" s="64"/>
      <c r="Q1114" s="64"/>
      <c r="R1114" s="64"/>
      <c r="S1114" s="28"/>
    </row>
    <row r="1115" spans="1:19" x14ac:dyDescent="0.25">
      <c r="A1115" s="63"/>
      <c r="B1115" s="64"/>
      <c r="C1115" s="64"/>
      <c r="D1115" s="64"/>
      <c r="E1115" s="64"/>
      <c r="F1115" s="64"/>
      <c r="G1115" s="64"/>
      <c r="H1115" s="64"/>
      <c r="I1115" s="64"/>
      <c r="J1115" s="64"/>
      <c r="K1115" s="64"/>
      <c r="L1115" s="64"/>
      <c r="M1115" s="64"/>
      <c r="N1115" s="64"/>
      <c r="O1115" s="64"/>
      <c r="P1115" s="64"/>
      <c r="Q1115" s="64"/>
      <c r="R1115" s="64"/>
      <c r="S1115" s="28"/>
    </row>
    <row r="1116" spans="1:19" x14ac:dyDescent="0.25">
      <c r="A1116" s="63"/>
      <c r="B1116" s="64"/>
      <c r="C1116" s="64"/>
      <c r="D1116" s="64"/>
      <c r="E1116" s="64"/>
      <c r="F1116" s="64"/>
      <c r="G1116" s="64"/>
      <c r="H1116" s="64"/>
      <c r="I1116" s="64"/>
      <c r="J1116" s="64"/>
      <c r="K1116" s="64"/>
      <c r="L1116" s="64"/>
      <c r="M1116" s="64"/>
      <c r="N1116" s="64"/>
      <c r="O1116" s="64"/>
      <c r="P1116" s="64"/>
      <c r="Q1116" s="64"/>
      <c r="R1116" s="64"/>
      <c r="S1116" s="28"/>
    </row>
    <row r="1117" spans="1:19" x14ac:dyDescent="0.25">
      <c r="A1117" s="63"/>
      <c r="B1117" s="64"/>
      <c r="C1117" s="64"/>
      <c r="D1117" s="64"/>
      <c r="E1117" s="64"/>
      <c r="F1117" s="64"/>
      <c r="G1117" s="64"/>
      <c r="H1117" s="64"/>
      <c r="I1117" s="64"/>
      <c r="J1117" s="64"/>
      <c r="K1117" s="64"/>
      <c r="L1117" s="64"/>
      <c r="M1117" s="64"/>
      <c r="N1117" s="64"/>
      <c r="O1117" s="64"/>
      <c r="P1117" s="64"/>
      <c r="Q1117" s="64"/>
      <c r="R1117" s="64"/>
      <c r="S1117" s="28"/>
    </row>
    <row r="1118" spans="1:19" x14ac:dyDescent="0.25">
      <c r="A1118" s="63"/>
      <c r="B1118" s="64"/>
      <c r="C1118" s="64"/>
      <c r="D1118" s="64"/>
      <c r="E1118" s="64"/>
      <c r="F1118" s="64"/>
      <c r="G1118" s="64"/>
      <c r="H1118" s="64"/>
      <c r="I1118" s="64"/>
      <c r="J1118" s="64"/>
      <c r="K1118" s="64"/>
      <c r="L1118" s="64"/>
      <c r="M1118" s="64"/>
      <c r="N1118" s="64"/>
      <c r="O1118" s="64"/>
      <c r="P1118" s="64"/>
      <c r="Q1118" s="64"/>
      <c r="R1118" s="64"/>
      <c r="S1118" s="28"/>
    </row>
    <row r="1119" spans="1:19" x14ac:dyDescent="0.25">
      <c r="A1119" s="63"/>
      <c r="B1119" s="64"/>
      <c r="C1119" s="64"/>
      <c r="D1119" s="64"/>
      <c r="E1119" s="64"/>
      <c r="F1119" s="64"/>
      <c r="G1119" s="64"/>
      <c r="H1119" s="64"/>
      <c r="I1119" s="64"/>
      <c r="J1119" s="64"/>
      <c r="K1119" s="64"/>
      <c r="L1119" s="64"/>
      <c r="M1119" s="64"/>
      <c r="N1119" s="64"/>
      <c r="O1119" s="64"/>
      <c r="P1119" s="64"/>
      <c r="Q1119" s="64"/>
      <c r="R1119" s="64"/>
      <c r="S1119" s="28"/>
    </row>
    <row r="1120" spans="1:19" x14ac:dyDescent="0.25">
      <c r="A1120" s="63"/>
      <c r="B1120" s="64"/>
      <c r="C1120" s="64"/>
      <c r="D1120" s="64"/>
      <c r="E1120" s="64"/>
      <c r="F1120" s="64"/>
      <c r="G1120" s="64"/>
      <c r="H1120" s="64"/>
      <c r="I1120" s="64"/>
      <c r="J1120" s="64"/>
      <c r="K1120" s="64"/>
      <c r="L1120" s="64"/>
      <c r="M1120" s="64"/>
      <c r="N1120" s="64"/>
      <c r="O1120" s="64"/>
      <c r="P1120" s="64"/>
      <c r="Q1120" s="64"/>
      <c r="R1120" s="64"/>
      <c r="S1120" s="28"/>
    </row>
    <row r="1121" spans="1:19" x14ac:dyDescent="0.25">
      <c r="A1121" s="63"/>
      <c r="B1121" s="64"/>
      <c r="C1121" s="64"/>
      <c r="D1121" s="64"/>
      <c r="E1121" s="64"/>
      <c r="F1121" s="64"/>
      <c r="G1121" s="64"/>
      <c r="H1121" s="64"/>
      <c r="I1121" s="64"/>
      <c r="J1121" s="64"/>
      <c r="K1121" s="64"/>
      <c r="L1121" s="64"/>
      <c r="M1121" s="64"/>
      <c r="N1121" s="64"/>
      <c r="O1121" s="64"/>
      <c r="P1121" s="64"/>
      <c r="Q1121" s="64"/>
      <c r="R1121" s="64"/>
      <c r="S1121" s="28"/>
    </row>
    <row r="1122" spans="1:19" x14ac:dyDescent="0.25">
      <c r="A1122" s="63"/>
      <c r="B1122" s="64"/>
      <c r="C1122" s="64"/>
      <c r="D1122" s="64"/>
      <c r="E1122" s="64"/>
      <c r="F1122" s="64"/>
      <c r="G1122" s="64"/>
      <c r="H1122" s="64"/>
      <c r="I1122" s="64"/>
      <c r="J1122" s="64"/>
      <c r="K1122" s="64"/>
      <c r="L1122" s="64"/>
      <c r="M1122" s="64"/>
      <c r="N1122" s="64"/>
      <c r="O1122" s="64"/>
      <c r="P1122" s="64"/>
      <c r="Q1122" s="64"/>
      <c r="R1122" s="64"/>
      <c r="S1122" s="28"/>
    </row>
    <row r="1123" spans="1:19" x14ac:dyDescent="0.25">
      <c r="A1123" s="63"/>
      <c r="B1123" s="64"/>
      <c r="C1123" s="64"/>
      <c r="D1123" s="64"/>
      <c r="E1123" s="64"/>
      <c r="F1123" s="64"/>
      <c r="G1123" s="64"/>
      <c r="H1123" s="64"/>
      <c r="I1123" s="64"/>
      <c r="J1123" s="64"/>
      <c r="K1123" s="64"/>
      <c r="L1123" s="64"/>
      <c r="M1123" s="64"/>
      <c r="N1123" s="64"/>
      <c r="O1123" s="64"/>
      <c r="P1123" s="64"/>
      <c r="Q1123" s="64"/>
      <c r="R1123" s="64"/>
      <c r="S1123" s="28"/>
    </row>
    <row r="1124" spans="1:19" x14ac:dyDescent="0.25">
      <c r="A1124" s="63"/>
      <c r="B1124" s="64"/>
      <c r="C1124" s="64"/>
      <c r="D1124" s="64"/>
      <c r="E1124" s="64"/>
      <c r="F1124" s="64"/>
      <c r="G1124" s="64"/>
      <c r="H1124" s="64"/>
      <c r="I1124" s="64"/>
      <c r="J1124" s="64"/>
      <c r="K1124" s="64"/>
      <c r="L1124" s="64"/>
      <c r="M1124" s="64"/>
      <c r="N1124" s="64"/>
      <c r="O1124" s="64"/>
      <c r="P1124" s="64"/>
      <c r="Q1124" s="64"/>
      <c r="R1124" s="64"/>
      <c r="S1124" s="28"/>
    </row>
    <row r="1125" spans="1:19" x14ac:dyDescent="0.25">
      <c r="A1125" s="63"/>
      <c r="B1125" s="64"/>
      <c r="C1125" s="64"/>
      <c r="D1125" s="64"/>
      <c r="E1125" s="64"/>
      <c r="F1125" s="64"/>
      <c r="G1125" s="64"/>
      <c r="H1125" s="64"/>
      <c r="I1125" s="64"/>
      <c r="J1125" s="64"/>
      <c r="K1125" s="64"/>
      <c r="L1125" s="64"/>
      <c r="M1125" s="64"/>
      <c r="N1125" s="64"/>
      <c r="O1125" s="64"/>
      <c r="P1125" s="64"/>
      <c r="Q1125" s="64"/>
      <c r="R1125" s="64"/>
      <c r="S1125" s="28"/>
    </row>
    <row r="1126" spans="1:19" x14ac:dyDescent="0.25">
      <c r="A1126" s="63"/>
      <c r="B1126" s="64"/>
      <c r="C1126" s="64"/>
      <c r="D1126" s="64"/>
      <c r="E1126" s="64"/>
      <c r="F1126" s="64"/>
      <c r="G1126" s="64"/>
      <c r="H1126" s="64"/>
      <c r="I1126" s="64"/>
      <c r="J1126" s="64"/>
      <c r="K1126" s="64"/>
      <c r="L1126" s="64"/>
      <c r="M1126" s="64"/>
      <c r="N1126" s="64"/>
      <c r="O1126" s="64"/>
      <c r="P1126" s="64"/>
      <c r="Q1126" s="64"/>
      <c r="R1126" s="64"/>
      <c r="S1126" s="28"/>
    </row>
    <row r="1127" spans="1:19" x14ac:dyDescent="0.25">
      <c r="A1127" s="63"/>
      <c r="B1127" s="64"/>
      <c r="C1127" s="64"/>
      <c r="D1127" s="64"/>
      <c r="E1127" s="64"/>
      <c r="F1127" s="64"/>
      <c r="G1127" s="64"/>
      <c r="H1127" s="64"/>
      <c r="I1127" s="64"/>
      <c r="J1127" s="64"/>
      <c r="K1127" s="64"/>
      <c r="L1127" s="64"/>
      <c r="M1127" s="64"/>
      <c r="N1127" s="64"/>
      <c r="O1127" s="64"/>
      <c r="P1127" s="64"/>
      <c r="Q1127" s="64"/>
      <c r="R1127" s="64"/>
      <c r="S1127" s="28"/>
    </row>
    <row r="1128" spans="1:19" x14ac:dyDescent="0.25">
      <c r="A1128" s="63"/>
      <c r="B1128" s="64"/>
      <c r="C1128" s="64"/>
      <c r="D1128" s="64"/>
      <c r="E1128" s="64"/>
      <c r="F1128" s="64"/>
      <c r="G1128" s="64"/>
      <c r="H1128" s="64"/>
      <c r="I1128" s="64"/>
      <c r="J1128" s="64"/>
      <c r="K1128" s="64"/>
      <c r="L1128" s="64"/>
      <c r="M1128" s="64"/>
      <c r="N1128" s="64"/>
      <c r="O1128" s="64"/>
      <c r="P1128" s="64"/>
      <c r="Q1128" s="64"/>
      <c r="R1128" s="64"/>
      <c r="S1128" s="28"/>
    </row>
    <row r="1129" spans="1:19" x14ac:dyDescent="0.25">
      <c r="A1129" s="63"/>
      <c r="B1129" s="64"/>
      <c r="C1129" s="64"/>
      <c r="D1129" s="64"/>
      <c r="E1129" s="64"/>
      <c r="F1129" s="64"/>
      <c r="G1129" s="64"/>
      <c r="H1129" s="64"/>
      <c r="I1129" s="64"/>
      <c r="J1129" s="64"/>
      <c r="K1129" s="64"/>
      <c r="L1129" s="64"/>
      <c r="M1129" s="64"/>
      <c r="N1129" s="64"/>
      <c r="O1129" s="64"/>
      <c r="P1129" s="64"/>
      <c r="Q1129" s="64"/>
      <c r="R1129" s="64"/>
      <c r="S1129" s="28"/>
    </row>
    <row r="1130" spans="1:19" x14ac:dyDescent="0.25">
      <c r="A1130" s="63"/>
      <c r="B1130" s="64"/>
      <c r="C1130" s="64"/>
      <c r="D1130" s="64"/>
      <c r="E1130" s="64"/>
      <c r="F1130" s="64"/>
      <c r="G1130" s="64"/>
      <c r="H1130" s="64"/>
      <c r="I1130" s="64"/>
      <c r="J1130" s="64"/>
      <c r="K1130" s="64"/>
      <c r="L1130" s="64"/>
      <c r="M1130" s="64"/>
      <c r="N1130" s="64"/>
      <c r="O1130" s="64"/>
      <c r="P1130" s="64"/>
      <c r="Q1130" s="64"/>
      <c r="R1130" s="64"/>
      <c r="S1130" s="28"/>
    </row>
    <row r="1131" spans="1:19" x14ac:dyDescent="0.25">
      <c r="A1131" s="63"/>
      <c r="B1131" s="64"/>
      <c r="C1131" s="64"/>
      <c r="D1131" s="64"/>
      <c r="E1131" s="64"/>
      <c r="F1131" s="64"/>
      <c r="G1131" s="64"/>
      <c r="H1131" s="64"/>
      <c r="I1131" s="64"/>
      <c r="J1131" s="64"/>
      <c r="K1131" s="64"/>
      <c r="L1131" s="64"/>
      <c r="M1131" s="64"/>
      <c r="N1131" s="64"/>
      <c r="O1131" s="64"/>
      <c r="P1131" s="64"/>
      <c r="Q1131" s="64"/>
      <c r="R1131" s="64"/>
      <c r="S1131" s="28"/>
    </row>
    <row r="1132" spans="1:19" x14ac:dyDescent="0.25">
      <c r="A1132" s="63"/>
      <c r="B1132" s="64"/>
      <c r="C1132" s="64"/>
      <c r="D1132" s="64"/>
      <c r="E1132" s="64"/>
      <c r="F1132" s="64"/>
      <c r="G1132" s="64"/>
      <c r="H1132" s="64"/>
      <c r="I1132" s="64"/>
      <c r="J1132" s="64"/>
      <c r="K1132" s="64"/>
      <c r="L1132" s="64"/>
      <c r="M1132" s="64"/>
      <c r="N1132" s="64"/>
      <c r="O1132" s="64"/>
      <c r="P1132" s="64"/>
      <c r="Q1132" s="64"/>
      <c r="R1132" s="64"/>
      <c r="S1132" s="28"/>
    </row>
    <row r="1133" spans="1:19" x14ac:dyDescent="0.25">
      <c r="A1133" s="63"/>
      <c r="B1133" s="64"/>
      <c r="C1133" s="64"/>
      <c r="D1133" s="64"/>
      <c r="E1133" s="64"/>
      <c r="F1133" s="64"/>
      <c r="G1133" s="64"/>
      <c r="H1133" s="64"/>
      <c r="I1133" s="64"/>
      <c r="J1133" s="64"/>
      <c r="K1133" s="64"/>
      <c r="L1133" s="64"/>
      <c r="M1133" s="64"/>
      <c r="N1133" s="64"/>
      <c r="O1133" s="64"/>
      <c r="P1133" s="64"/>
      <c r="Q1133" s="64"/>
      <c r="R1133" s="64"/>
      <c r="S1133" s="28"/>
    </row>
    <row r="1134" spans="1:19" x14ac:dyDescent="0.25">
      <c r="A1134" s="63"/>
      <c r="B1134" s="64"/>
      <c r="C1134" s="64"/>
      <c r="D1134" s="64"/>
      <c r="E1134" s="64"/>
      <c r="F1134" s="64"/>
      <c r="G1134" s="64"/>
      <c r="H1134" s="64"/>
      <c r="I1134" s="64"/>
      <c r="J1134" s="64"/>
      <c r="K1134" s="64"/>
      <c r="L1134" s="64"/>
      <c r="M1134" s="64"/>
      <c r="N1134" s="64"/>
      <c r="O1134" s="64"/>
      <c r="P1134" s="64"/>
      <c r="Q1134" s="64"/>
      <c r="R1134" s="64"/>
      <c r="S1134" s="28"/>
    </row>
    <row r="1135" spans="1:19" x14ac:dyDescent="0.25">
      <c r="A1135" s="63"/>
      <c r="B1135" s="64"/>
      <c r="C1135" s="64"/>
      <c r="D1135" s="64"/>
      <c r="E1135" s="64"/>
      <c r="F1135" s="64"/>
      <c r="G1135" s="64"/>
      <c r="H1135" s="64"/>
      <c r="I1135" s="64"/>
      <c r="J1135" s="64"/>
      <c r="K1135" s="64"/>
      <c r="L1135" s="64"/>
      <c r="M1135" s="64"/>
      <c r="N1135" s="64"/>
      <c r="O1135" s="64"/>
      <c r="P1135" s="64"/>
      <c r="Q1135" s="64"/>
      <c r="R1135" s="64"/>
      <c r="S1135" s="28"/>
    </row>
    <row r="1136" spans="1:19" x14ac:dyDescent="0.25">
      <c r="A1136" s="63"/>
      <c r="B1136" s="64"/>
      <c r="C1136" s="64"/>
      <c r="D1136" s="64"/>
      <c r="E1136" s="64"/>
      <c r="F1136" s="64"/>
      <c r="G1136" s="64"/>
      <c r="H1136" s="64"/>
      <c r="I1136" s="64"/>
      <c r="J1136" s="64"/>
      <c r="K1136" s="64"/>
      <c r="L1136" s="64"/>
      <c r="M1136" s="64"/>
      <c r="N1136" s="64"/>
      <c r="O1136" s="64"/>
      <c r="P1136" s="64"/>
      <c r="Q1136" s="64"/>
      <c r="R1136" s="64"/>
      <c r="S1136" s="28"/>
    </row>
    <row r="1137" spans="1:19" x14ac:dyDescent="0.25">
      <c r="A1137" s="63"/>
      <c r="B1137" s="64"/>
      <c r="C1137" s="64"/>
      <c r="D1137" s="64"/>
      <c r="E1137" s="64"/>
      <c r="F1137" s="64"/>
      <c r="G1137" s="64"/>
      <c r="H1137" s="64"/>
      <c r="I1137" s="64"/>
      <c r="J1137" s="64"/>
      <c r="K1137" s="64"/>
      <c r="L1137" s="64"/>
      <c r="M1137" s="64"/>
      <c r="N1137" s="64"/>
      <c r="O1137" s="64"/>
      <c r="P1137" s="64"/>
      <c r="Q1137" s="64"/>
      <c r="R1137" s="64"/>
      <c r="S1137" s="28"/>
    </row>
    <row r="1138" spans="1:19" x14ac:dyDescent="0.25">
      <c r="A1138" s="63"/>
      <c r="B1138" s="64"/>
      <c r="C1138" s="64"/>
      <c r="D1138" s="64"/>
      <c r="E1138" s="64"/>
      <c r="F1138" s="64"/>
      <c r="G1138" s="64"/>
      <c r="H1138" s="64"/>
      <c r="I1138" s="64"/>
      <c r="J1138" s="64"/>
      <c r="K1138" s="64"/>
      <c r="L1138" s="64"/>
      <c r="M1138" s="64"/>
      <c r="N1138" s="64"/>
      <c r="O1138" s="64"/>
      <c r="P1138" s="64"/>
      <c r="Q1138" s="64"/>
      <c r="R1138" s="64"/>
      <c r="S1138" s="28"/>
    </row>
    <row r="1139" spans="1:19" x14ac:dyDescent="0.25">
      <c r="A1139" s="63"/>
      <c r="B1139" s="64"/>
      <c r="C1139" s="64"/>
      <c r="D1139" s="64"/>
      <c r="E1139" s="64"/>
      <c r="F1139" s="64"/>
      <c r="G1139" s="64"/>
      <c r="H1139" s="64"/>
      <c r="I1139" s="64"/>
      <c r="J1139" s="64"/>
      <c r="K1139" s="64"/>
      <c r="L1139" s="64"/>
      <c r="M1139" s="64"/>
      <c r="N1139" s="64"/>
      <c r="O1139" s="64"/>
      <c r="P1139" s="64"/>
      <c r="Q1139" s="64"/>
      <c r="R1139" s="64"/>
      <c r="S1139" s="28"/>
    </row>
    <row r="1140" spans="1:19" x14ac:dyDescent="0.25">
      <c r="A1140" s="63"/>
      <c r="B1140" s="64"/>
      <c r="C1140" s="64"/>
      <c r="D1140" s="64"/>
      <c r="E1140" s="64"/>
      <c r="F1140" s="64"/>
      <c r="G1140" s="64"/>
      <c r="H1140" s="64"/>
      <c r="I1140" s="64"/>
      <c r="J1140" s="64"/>
      <c r="K1140" s="64"/>
      <c r="L1140" s="64"/>
      <c r="M1140" s="64"/>
      <c r="N1140" s="64"/>
      <c r="O1140" s="64"/>
      <c r="P1140" s="64"/>
      <c r="Q1140" s="64"/>
      <c r="R1140" s="64"/>
      <c r="S1140" s="28"/>
    </row>
    <row r="1141" spans="1:19" x14ac:dyDescent="0.25">
      <c r="A1141" s="63"/>
      <c r="B1141" s="64"/>
      <c r="C1141" s="64"/>
      <c r="D1141" s="64"/>
      <c r="E1141" s="64"/>
      <c r="F1141" s="64"/>
      <c r="G1141" s="64"/>
      <c r="H1141" s="64"/>
      <c r="I1141" s="64"/>
      <c r="J1141" s="64"/>
      <c r="K1141" s="64"/>
      <c r="L1141" s="64"/>
      <c r="M1141" s="64"/>
      <c r="N1141" s="64"/>
      <c r="O1141" s="64"/>
      <c r="P1141" s="64"/>
      <c r="Q1141" s="64"/>
      <c r="R1141" s="64"/>
      <c r="S1141" s="28"/>
    </row>
    <row r="1142" spans="1:19" x14ac:dyDescent="0.25">
      <c r="A1142" s="63"/>
      <c r="B1142" s="64"/>
      <c r="C1142" s="64"/>
      <c r="D1142" s="64"/>
      <c r="E1142" s="64"/>
      <c r="F1142" s="64"/>
      <c r="G1142" s="64"/>
      <c r="H1142" s="64"/>
      <c r="I1142" s="64"/>
      <c r="J1142" s="64"/>
      <c r="K1142" s="64"/>
      <c r="L1142" s="64"/>
      <c r="M1142" s="64"/>
      <c r="N1142" s="64"/>
      <c r="O1142" s="64"/>
      <c r="P1142" s="64"/>
      <c r="Q1142" s="64"/>
      <c r="R1142" s="64"/>
      <c r="S1142" s="28"/>
    </row>
    <row r="1143" spans="1:19" x14ac:dyDescent="0.25">
      <c r="A1143" s="63"/>
      <c r="B1143" s="64"/>
      <c r="C1143" s="64"/>
      <c r="D1143" s="64"/>
      <c r="E1143" s="64"/>
      <c r="F1143" s="64"/>
      <c r="G1143" s="64"/>
      <c r="H1143" s="64"/>
      <c r="I1143" s="64"/>
      <c r="J1143" s="64"/>
      <c r="K1143" s="64"/>
      <c r="L1143" s="64"/>
      <c r="M1143" s="64"/>
      <c r="N1143" s="64"/>
      <c r="O1143" s="64"/>
      <c r="P1143" s="64"/>
      <c r="Q1143" s="64"/>
      <c r="R1143" s="64"/>
      <c r="S1143" s="28"/>
    </row>
    <row r="1144" spans="1:19" x14ac:dyDescent="0.25">
      <c r="A1144" s="63"/>
      <c r="B1144" s="64"/>
      <c r="C1144" s="64"/>
      <c r="D1144" s="64"/>
      <c r="E1144" s="64"/>
      <c r="F1144" s="64"/>
      <c r="G1144" s="64"/>
      <c r="H1144" s="64"/>
      <c r="I1144" s="64"/>
      <c r="J1144" s="64"/>
      <c r="K1144" s="64"/>
      <c r="L1144" s="64"/>
      <c r="M1144" s="64"/>
      <c r="N1144" s="64"/>
      <c r="O1144" s="64"/>
      <c r="P1144" s="64"/>
      <c r="Q1144" s="64"/>
      <c r="R1144" s="64"/>
      <c r="S1144" s="28"/>
    </row>
    <row r="1145" spans="1:19" x14ac:dyDescent="0.25">
      <c r="A1145" s="63"/>
      <c r="B1145" s="64"/>
      <c r="C1145" s="64"/>
      <c r="D1145" s="64"/>
      <c r="E1145" s="64"/>
      <c r="F1145" s="64"/>
      <c r="G1145" s="64"/>
      <c r="H1145" s="64"/>
      <c r="I1145" s="64"/>
      <c r="J1145" s="64"/>
      <c r="K1145" s="64"/>
      <c r="L1145" s="64"/>
      <c r="M1145" s="64"/>
      <c r="N1145" s="64"/>
      <c r="O1145" s="64"/>
      <c r="P1145" s="64"/>
      <c r="Q1145" s="64"/>
      <c r="R1145" s="64"/>
      <c r="S1145" s="28"/>
    </row>
    <row r="1146" spans="1:19" x14ac:dyDescent="0.25">
      <c r="A1146" s="63"/>
      <c r="B1146" s="64"/>
      <c r="C1146" s="64"/>
      <c r="D1146" s="64"/>
      <c r="E1146" s="64"/>
      <c r="F1146" s="64"/>
      <c r="G1146" s="64"/>
      <c r="H1146" s="64"/>
      <c r="I1146" s="64"/>
      <c r="J1146" s="64"/>
      <c r="K1146" s="64"/>
      <c r="L1146" s="64"/>
      <c r="M1146" s="64"/>
      <c r="N1146" s="64"/>
      <c r="O1146" s="64"/>
      <c r="P1146" s="64"/>
      <c r="Q1146" s="64"/>
      <c r="R1146" s="64"/>
      <c r="S1146" s="28"/>
    </row>
    <row r="1147" spans="1:19" x14ac:dyDescent="0.25">
      <c r="A1147" s="63"/>
      <c r="B1147" s="64"/>
      <c r="C1147" s="64"/>
      <c r="D1147" s="64"/>
      <c r="E1147" s="64"/>
      <c r="F1147" s="64"/>
      <c r="G1147" s="64"/>
      <c r="H1147" s="64"/>
      <c r="I1147" s="64"/>
      <c r="J1147" s="64"/>
      <c r="K1147" s="64"/>
      <c r="L1147" s="64"/>
      <c r="M1147" s="64"/>
      <c r="N1147" s="64"/>
      <c r="O1147" s="64"/>
      <c r="P1147" s="64"/>
      <c r="Q1147" s="64"/>
      <c r="R1147" s="64"/>
      <c r="S1147" s="64"/>
    </row>
    <row r="1148" spans="1:19" x14ac:dyDescent="0.25">
      <c r="A1148" s="63"/>
      <c r="B1148" s="64"/>
      <c r="C1148" s="64"/>
      <c r="D1148" s="64"/>
      <c r="E1148" s="64"/>
      <c r="F1148" s="64"/>
      <c r="G1148" s="64"/>
      <c r="H1148" s="64"/>
      <c r="I1148" s="64"/>
      <c r="J1148" s="64"/>
      <c r="K1148" s="64"/>
      <c r="L1148" s="64"/>
      <c r="M1148" s="64"/>
      <c r="N1148" s="64"/>
      <c r="O1148" s="64"/>
      <c r="P1148" s="64"/>
      <c r="Q1148" s="64"/>
      <c r="R1148" s="64"/>
      <c r="S1148" s="64"/>
    </row>
    <row r="1149" spans="1:19" x14ac:dyDescent="0.25">
      <c r="A1149" s="63"/>
      <c r="B1149" s="64"/>
      <c r="C1149" s="64"/>
      <c r="D1149" s="64"/>
      <c r="E1149" s="64"/>
      <c r="F1149" s="64"/>
      <c r="G1149" s="64"/>
      <c r="H1149" s="64"/>
      <c r="I1149" s="64"/>
      <c r="J1149" s="64"/>
      <c r="K1149" s="64"/>
      <c r="L1149" s="64"/>
      <c r="M1149" s="64"/>
      <c r="N1149" s="64"/>
      <c r="O1149" s="64"/>
      <c r="P1149" s="64"/>
      <c r="Q1149" s="64"/>
      <c r="R1149" s="64"/>
      <c r="S1149" s="64"/>
    </row>
    <row r="1150" spans="1:19" x14ac:dyDescent="0.25">
      <c r="A1150" s="63"/>
      <c r="B1150" s="64"/>
      <c r="C1150" s="64"/>
      <c r="D1150" s="64"/>
      <c r="E1150" s="64"/>
      <c r="F1150" s="64"/>
      <c r="G1150" s="64"/>
      <c r="H1150" s="64"/>
      <c r="I1150" s="64"/>
      <c r="J1150" s="64"/>
      <c r="K1150" s="64"/>
      <c r="L1150" s="64"/>
      <c r="M1150" s="64"/>
      <c r="N1150" s="64"/>
      <c r="O1150" s="64"/>
      <c r="P1150" s="64"/>
      <c r="Q1150" s="64"/>
      <c r="R1150" s="64"/>
      <c r="S1150" s="64"/>
    </row>
    <row r="1151" spans="1:19" x14ac:dyDescent="0.25">
      <c r="A1151" s="63"/>
      <c r="B1151" s="64"/>
      <c r="C1151" s="64"/>
      <c r="D1151" s="64"/>
      <c r="E1151" s="64"/>
      <c r="F1151" s="64"/>
      <c r="G1151" s="64"/>
      <c r="H1151" s="64"/>
      <c r="I1151" s="64"/>
      <c r="J1151" s="64"/>
      <c r="K1151" s="64"/>
      <c r="L1151" s="64"/>
      <c r="M1151" s="64"/>
      <c r="N1151" s="64"/>
      <c r="O1151" s="64"/>
      <c r="P1151" s="64"/>
      <c r="Q1151" s="64"/>
      <c r="R1151" s="64"/>
      <c r="S1151" s="64"/>
    </row>
    <row r="1152" spans="1:19" x14ac:dyDescent="0.25">
      <c r="A1152" s="63"/>
      <c r="B1152" s="64"/>
      <c r="C1152" s="64"/>
      <c r="D1152" s="64"/>
      <c r="E1152" s="64"/>
      <c r="F1152" s="64"/>
      <c r="G1152" s="64"/>
      <c r="H1152" s="64"/>
      <c r="I1152" s="64"/>
      <c r="J1152" s="64"/>
      <c r="K1152" s="64"/>
      <c r="L1152" s="64"/>
      <c r="M1152" s="64"/>
      <c r="N1152" s="64"/>
      <c r="O1152" s="64"/>
      <c r="P1152" s="64"/>
      <c r="Q1152" s="64"/>
      <c r="R1152" s="64"/>
      <c r="S1152" s="64"/>
    </row>
    <row r="1153" spans="1:19" x14ac:dyDescent="0.25">
      <c r="A1153" s="63"/>
      <c r="B1153" s="64"/>
      <c r="C1153" s="64"/>
      <c r="D1153" s="64"/>
      <c r="E1153" s="64"/>
      <c r="F1153" s="64"/>
      <c r="G1153" s="64"/>
      <c r="H1153" s="64"/>
      <c r="I1153" s="64"/>
      <c r="J1153" s="64"/>
      <c r="K1153" s="64"/>
      <c r="L1153" s="64"/>
      <c r="M1153" s="64"/>
      <c r="N1153" s="64"/>
      <c r="O1153" s="64"/>
      <c r="P1153" s="64"/>
      <c r="Q1153" s="64"/>
      <c r="R1153" s="64"/>
      <c r="S1153" s="64"/>
    </row>
    <row r="1154" spans="1:19" x14ac:dyDescent="0.25">
      <c r="A1154" s="63"/>
      <c r="B1154" s="64"/>
      <c r="C1154" s="64"/>
      <c r="D1154" s="64"/>
      <c r="E1154" s="64"/>
      <c r="F1154" s="64"/>
      <c r="G1154" s="64"/>
      <c r="H1154" s="64"/>
      <c r="I1154" s="64"/>
      <c r="J1154" s="64"/>
      <c r="K1154" s="64"/>
      <c r="L1154" s="64"/>
      <c r="M1154" s="64"/>
      <c r="N1154" s="64"/>
      <c r="O1154" s="64"/>
      <c r="P1154" s="64"/>
      <c r="Q1154" s="64"/>
      <c r="R1154" s="64"/>
      <c r="S1154" s="64"/>
    </row>
    <row r="1155" spans="1:19" x14ac:dyDescent="0.25">
      <c r="A1155" s="63"/>
      <c r="B1155" s="64"/>
      <c r="C1155" s="64"/>
      <c r="D1155" s="64"/>
      <c r="E1155" s="64"/>
      <c r="F1155" s="64"/>
      <c r="G1155" s="64"/>
      <c r="H1155" s="64"/>
      <c r="I1155" s="64"/>
      <c r="J1155" s="64"/>
      <c r="K1155" s="64"/>
      <c r="L1155" s="64"/>
      <c r="M1155" s="64"/>
      <c r="N1155" s="64"/>
      <c r="O1155" s="64"/>
      <c r="P1155" s="64"/>
      <c r="Q1155" s="64"/>
      <c r="R1155" s="64"/>
      <c r="S1155" s="64"/>
    </row>
    <row r="1156" spans="1:19" x14ac:dyDescent="0.25">
      <c r="A1156" s="63"/>
      <c r="B1156" s="64"/>
      <c r="C1156" s="64"/>
      <c r="D1156" s="64"/>
      <c r="E1156" s="64"/>
      <c r="F1156" s="64"/>
      <c r="G1156" s="64"/>
      <c r="H1156" s="64"/>
      <c r="I1156" s="64"/>
      <c r="J1156" s="64"/>
      <c r="K1156" s="64"/>
      <c r="L1156" s="64"/>
      <c r="M1156" s="64"/>
      <c r="N1156" s="64"/>
      <c r="O1156" s="64"/>
      <c r="P1156" s="64"/>
      <c r="Q1156" s="64"/>
      <c r="R1156" s="64"/>
      <c r="S1156" s="64"/>
    </row>
    <row r="1157" spans="1:19" x14ac:dyDescent="0.25">
      <c r="A1157" s="63"/>
      <c r="B1157" s="64"/>
      <c r="C1157" s="64"/>
      <c r="D1157" s="64"/>
      <c r="E1157" s="64"/>
      <c r="F1157" s="64"/>
      <c r="G1157" s="64"/>
      <c r="H1157" s="64"/>
      <c r="I1157" s="64"/>
      <c r="J1157" s="64"/>
      <c r="K1157" s="64"/>
      <c r="L1157" s="64"/>
      <c r="M1157" s="64"/>
      <c r="N1157" s="64"/>
      <c r="O1157" s="64"/>
      <c r="P1157" s="64"/>
      <c r="Q1157" s="64"/>
      <c r="R1157" s="64"/>
      <c r="S1157" s="64"/>
    </row>
    <row r="1158" spans="1:19" x14ac:dyDescent="0.25">
      <c r="A1158" s="63"/>
      <c r="B1158" s="64"/>
      <c r="C1158" s="64"/>
      <c r="D1158" s="64"/>
      <c r="E1158" s="64"/>
      <c r="F1158" s="64"/>
      <c r="G1158" s="64"/>
      <c r="H1158" s="64"/>
      <c r="I1158" s="64"/>
      <c r="J1158" s="64"/>
      <c r="K1158" s="64"/>
      <c r="L1158" s="64"/>
      <c r="M1158" s="64"/>
      <c r="N1158" s="64"/>
      <c r="O1158" s="64"/>
      <c r="P1158" s="64"/>
      <c r="Q1158" s="64"/>
      <c r="R1158" s="64"/>
      <c r="S1158" s="64"/>
    </row>
    <row r="1159" spans="1:19" x14ac:dyDescent="0.25">
      <c r="A1159" s="63"/>
      <c r="B1159" s="64"/>
      <c r="C1159" s="64"/>
      <c r="D1159" s="64"/>
      <c r="E1159" s="64"/>
      <c r="F1159" s="64"/>
      <c r="G1159" s="64"/>
      <c r="H1159" s="64"/>
      <c r="I1159" s="64"/>
      <c r="J1159" s="64"/>
      <c r="K1159" s="64"/>
      <c r="L1159" s="64"/>
      <c r="M1159" s="64"/>
      <c r="N1159" s="64"/>
      <c r="O1159" s="64"/>
      <c r="P1159" s="64"/>
      <c r="Q1159" s="64"/>
      <c r="R1159" s="64"/>
      <c r="S1159" s="64"/>
    </row>
    <row r="1160" spans="1:19" x14ac:dyDescent="0.25">
      <c r="A1160" s="63"/>
      <c r="B1160" s="64"/>
      <c r="C1160" s="64"/>
      <c r="D1160" s="64"/>
      <c r="E1160" s="64"/>
      <c r="F1160" s="64"/>
      <c r="G1160" s="64"/>
      <c r="H1160" s="64"/>
      <c r="I1160" s="64"/>
      <c r="J1160" s="64"/>
      <c r="K1160" s="64"/>
      <c r="L1160" s="64"/>
      <c r="M1160" s="64"/>
      <c r="N1160" s="64"/>
      <c r="O1160" s="64"/>
      <c r="P1160" s="64"/>
      <c r="Q1160" s="64"/>
      <c r="R1160" s="64"/>
      <c r="S1160" s="64"/>
    </row>
    <row r="1161" spans="1:19" x14ac:dyDescent="0.25">
      <c r="A1161" s="63"/>
      <c r="B1161" s="64"/>
      <c r="C1161" s="64"/>
      <c r="D1161" s="64"/>
      <c r="E1161" s="64"/>
      <c r="F1161" s="64"/>
      <c r="G1161" s="64"/>
      <c r="H1161" s="64"/>
      <c r="I1161" s="64"/>
      <c r="J1161" s="64"/>
      <c r="K1161" s="64"/>
      <c r="L1161" s="64"/>
      <c r="M1161" s="64"/>
      <c r="N1161" s="64"/>
      <c r="O1161" s="64"/>
      <c r="P1161" s="64"/>
      <c r="Q1161" s="64"/>
      <c r="R1161" s="64"/>
      <c r="S1161" s="64"/>
    </row>
    <row r="1162" spans="1:19" x14ac:dyDescent="0.25">
      <c r="A1162" s="63"/>
      <c r="B1162" s="64"/>
      <c r="C1162" s="64"/>
      <c r="D1162" s="64"/>
      <c r="E1162" s="64"/>
      <c r="F1162" s="64"/>
      <c r="G1162" s="64"/>
      <c r="H1162" s="64"/>
      <c r="I1162" s="64"/>
      <c r="J1162" s="64"/>
      <c r="K1162" s="64"/>
      <c r="L1162" s="64"/>
      <c r="M1162" s="64"/>
      <c r="N1162" s="64"/>
      <c r="O1162" s="64"/>
      <c r="P1162" s="64"/>
      <c r="Q1162" s="64"/>
      <c r="R1162" s="64"/>
      <c r="S1162" s="64"/>
    </row>
    <row r="1163" spans="1:19" x14ac:dyDescent="0.25">
      <c r="A1163" s="63"/>
      <c r="B1163" s="64"/>
      <c r="C1163" s="64"/>
      <c r="D1163" s="64"/>
      <c r="E1163" s="64"/>
      <c r="F1163" s="64"/>
      <c r="G1163" s="64"/>
      <c r="H1163" s="64"/>
      <c r="I1163" s="64"/>
      <c r="J1163" s="64"/>
      <c r="K1163" s="64"/>
      <c r="L1163" s="64"/>
      <c r="M1163" s="64"/>
      <c r="N1163" s="64"/>
      <c r="O1163" s="64"/>
      <c r="P1163" s="64"/>
      <c r="Q1163" s="64"/>
      <c r="R1163" s="64"/>
      <c r="S1163" s="64"/>
    </row>
    <row r="1164" spans="1:19" x14ac:dyDescent="0.25">
      <c r="A1164" s="63"/>
      <c r="B1164" s="64"/>
      <c r="C1164" s="64"/>
      <c r="D1164" s="64"/>
      <c r="E1164" s="64"/>
      <c r="F1164" s="64"/>
      <c r="G1164" s="64"/>
      <c r="H1164" s="64"/>
      <c r="I1164" s="64"/>
      <c r="J1164" s="64"/>
      <c r="K1164" s="64"/>
      <c r="L1164" s="64"/>
      <c r="M1164" s="64"/>
      <c r="N1164" s="64"/>
      <c r="O1164" s="64"/>
      <c r="P1164" s="64"/>
      <c r="Q1164" s="64"/>
      <c r="R1164" s="64"/>
      <c r="S1164" s="64"/>
    </row>
    <row r="1165" spans="1:19" x14ac:dyDescent="0.25">
      <c r="A1165" s="63"/>
      <c r="B1165" s="64"/>
      <c r="C1165" s="64"/>
      <c r="D1165" s="64"/>
      <c r="E1165" s="64"/>
      <c r="F1165" s="64"/>
      <c r="G1165" s="64"/>
      <c r="H1165" s="64"/>
      <c r="I1165" s="64"/>
      <c r="J1165" s="64"/>
      <c r="K1165" s="64"/>
      <c r="L1165" s="64"/>
      <c r="M1165" s="64"/>
      <c r="N1165" s="64"/>
      <c r="O1165" s="64"/>
      <c r="P1165" s="64"/>
      <c r="Q1165" s="64"/>
      <c r="R1165" s="64"/>
      <c r="S1165" s="64"/>
    </row>
    <row r="1166" spans="1:19" x14ac:dyDescent="0.25">
      <c r="A1166" s="63"/>
      <c r="B1166" s="64"/>
      <c r="C1166" s="64"/>
      <c r="D1166" s="64"/>
      <c r="E1166" s="64"/>
      <c r="F1166" s="64"/>
      <c r="G1166" s="64"/>
      <c r="H1166" s="64"/>
      <c r="I1166" s="64"/>
      <c r="J1166" s="64"/>
      <c r="K1166" s="64"/>
      <c r="L1166" s="64"/>
      <c r="M1166" s="64"/>
      <c r="N1166" s="64"/>
      <c r="O1166" s="64"/>
      <c r="P1166" s="64"/>
      <c r="Q1166" s="64"/>
      <c r="R1166" s="64"/>
      <c r="S1166" s="64"/>
    </row>
    <row r="1167" spans="1:19" x14ac:dyDescent="0.25">
      <c r="A1167" s="63"/>
      <c r="B1167" s="64"/>
      <c r="C1167" s="64"/>
      <c r="D1167" s="64"/>
      <c r="E1167" s="64"/>
      <c r="F1167" s="64"/>
      <c r="G1167" s="64"/>
      <c r="H1167" s="64"/>
      <c r="I1167" s="64"/>
      <c r="J1167" s="64"/>
      <c r="K1167" s="64"/>
      <c r="L1167" s="64"/>
      <c r="M1167" s="64"/>
      <c r="N1167" s="64"/>
      <c r="O1167" s="64"/>
      <c r="P1167" s="64"/>
      <c r="Q1167" s="64"/>
      <c r="R1167" s="64"/>
      <c r="S1167" s="64"/>
    </row>
    <row r="1168" spans="1:19" x14ac:dyDescent="0.25">
      <c r="A1168" s="63"/>
      <c r="B1168" s="64"/>
      <c r="C1168" s="64"/>
      <c r="D1168" s="64"/>
      <c r="E1168" s="64"/>
      <c r="F1168" s="64"/>
      <c r="G1168" s="64"/>
      <c r="H1168" s="64"/>
      <c r="I1168" s="64"/>
      <c r="J1168" s="64"/>
      <c r="K1168" s="64"/>
      <c r="L1168" s="64"/>
      <c r="M1168" s="64"/>
      <c r="N1168" s="64"/>
      <c r="O1168" s="64"/>
      <c r="P1168" s="64"/>
      <c r="Q1168" s="64"/>
      <c r="R1168" s="64"/>
      <c r="S1168" s="64"/>
    </row>
    <row r="1169" spans="1:19" x14ac:dyDescent="0.25">
      <c r="A1169" s="63"/>
      <c r="B1169" s="64"/>
      <c r="C1169" s="64"/>
      <c r="D1169" s="64"/>
      <c r="E1169" s="64"/>
      <c r="F1169" s="64"/>
      <c r="G1169" s="64"/>
      <c r="H1169" s="64"/>
      <c r="I1169" s="64"/>
      <c r="J1169" s="64"/>
      <c r="K1169" s="64"/>
      <c r="L1169" s="64"/>
      <c r="M1169" s="64"/>
      <c r="N1169" s="64"/>
      <c r="O1169" s="64"/>
      <c r="P1169" s="64"/>
      <c r="Q1169" s="64"/>
      <c r="R1169" s="64"/>
      <c r="S1169" s="64"/>
    </row>
    <row r="1170" spans="1:19" x14ac:dyDescent="0.25">
      <c r="A1170" s="63"/>
      <c r="B1170" s="64"/>
      <c r="C1170" s="64"/>
      <c r="D1170" s="64"/>
      <c r="E1170" s="64"/>
      <c r="F1170" s="64"/>
      <c r="G1170" s="64"/>
      <c r="H1170" s="64"/>
      <c r="I1170" s="64"/>
      <c r="J1170" s="64"/>
      <c r="K1170" s="64"/>
      <c r="L1170" s="64"/>
      <c r="M1170" s="64"/>
      <c r="N1170" s="64"/>
      <c r="O1170" s="64"/>
      <c r="P1170" s="64"/>
      <c r="Q1170" s="64"/>
      <c r="R1170" s="64"/>
      <c r="S1170" s="64"/>
    </row>
    <row r="1171" spans="1:19" x14ac:dyDescent="0.25">
      <c r="A1171" s="63"/>
      <c r="B1171" s="64"/>
      <c r="C1171" s="64"/>
      <c r="D1171" s="64"/>
      <c r="E1171" s="64"/>
      <c r="F1171" s="64"/>
      <c r="G1171" s="64"/>
      <c r="H1171" s="64"/>
      <c r="I1171" s="64"/>
      <c r="J1171" s="64"/>
      <c r="K1171" s="64"/>
      <c r="L1171" s="64"/>
      <c r="M1171" s="64"/>
      <c r="N1171" s="64"/>
      <c r="O1171" s="64"/>
      <c r="P1171" s="64"/>
      <c r="Q1171" s="64"/>
      <c r="R1171" s="64"/>
      <c r="S1171" s="64"/>
    </row>
    <row r="1172" spans="1:19" x14ac:dyDescent="0.25">
      <c r="A1172" s="63"/>
      <c r="B1172" s="64"/>
      <c r="C1172" s="64"/>
      <c r="D1172" s="64"/>
      <c r="E1172" s="64"/>
      <c r="F1172" s="64"/>
      <c r="G1172" s="64"/>
      <c r="H1172" s="64"/>
      <c r="I1172" s="64"/>
      <c r="J1172" s="64"/>
      <c r="K1172" s="64"/>
      <c r="L1172" s="64"/>
      <c r="M1172" s="64"/>
      <c r="N1172" s="64"/>
      <c r="O1172" s="64"/>
      <c r="P1172" s="64"/>
      <c r="Q1172" s="64"/>
      <c r="R1172" s="64"/>
      <c r="S1172" s="64"/>
    </row>
    <row r="1173" spans="1:19" x14ac:dyDescent="0.25">
      <c r="A1173" s="63"/>
      <c r="B1173" s="64"/>
      <c r="C1173" s="64"/>
      <c r="D1173" s="64"/>
      <c r="E1173" s="64"/>
      <c r="F1173" s="64"/>
      <c r="G1173" s="64"/>
      <c r="H1173" s="64"/>
      <c r="I1173" s="64"/>
      <c r="J1173" s="64"/>
      <c r="K1173" s="64"/>
      <c r="L1173" s="64"/>
      <c r="M1173" s="64"/>
      <c r="N1173" s="64"/>
      <c r="O1173" s="64"/>
      <c r="P1173" s="64"/>
      <c r="Q1173" s="64"/>
      <c r="R1173" s="64"/>
      <c r="S1173" s="64"/>
    </row>
    <row r="1174" spans="1:19" x14ac:dyDescent="0.25">
      <c r="A1174" s="63"/>
      <c r="B1174" s="64"/>
      <c r="C1174" s="64"/>
      <c r="D1174" s="64"/>
      <c r="E1174" s="64"/>
      <c r="F1174" s="64"/>
      <c r="G1174" s="64"/>
      <c r="H1174" s="64"/>
      <c r="I1174" s="64"/>
      <c r="J1174" s="64"/>
      <c r="K1174" s="64"/>
      <c r="L1174" s="64"/>
      <c r="M1174" s="64"/>
      <c r="N1174" s="64"/>
      <c r="O1174" s="64"/>
      <c r="P1174" s="64"/>
      <c r="Q1174" s="64"/>
      <c r="R1174" s="64"/>
      <c r="S1174" s="64"/>
    </row>
    <row r="1175" spans="1:19" x14ac:dyDescent="0.25">
      <c r="A1175" s="63"/>
      <c r="B1175" s="64"/>
      <c r="C1175" s="64"/>
      <c r="D1175" s="64"/>
      <c r="E1175" s="64"/>
      <c r="F1175" s="64"/>
      <c r="G1175" s="64"/>
      <c r="H1175" s="64"/>
      <c r="I1175" s="64"/>
      <c r="J1175" s="64"/>
      <c r="K1175" s="64"/>
      <c r="L1175" s="64"/>
      <c r="M1175" s="64"/>
      <c r="N1175" s="64"/>
      <c r="O1175" s="64"/>
      <c r="P1175" s="64"/>
      <c r="Q1175" s="64"/>
      <c r="R1175" s="64"/>
      <c r="S1175" s="64"/>
    </row>
    <row r="1176" spans="1:19" x14ac:dyDescent="0.25">
      <c r="A1176" s="63"/>
      <c r="B1176" s="64"/>
      <c r="C1176" s="64"/>
      <c r="D1176" s="64"/>
      <c r="E1176" s="64"/>
      <c r="F1176" s="64"/>
      <c r="G1176" s="64"/>
      <c r="H1176" s="64"/>
      <c r="I1176" s="64"/>
      <c r="J1176" s="64"/>
      <c r="K1176" s="64"/>
      <c r="L1176" s="64"/>
      <c r="M1176" s="64"/>
      <c r="N1176" s="64"/>
      <c r="O1176" s="64"/>
      <c r="P1176" s="64"/>
      <c r="Q1176" s="64"/>
      <c r="R1176" s="64"/>
      <c r="S1176" s="64"/>
    </row>
    <row r="1177" spans="1:19" x14ac:dyDescent="0.25">
      <c r="A1177" s="63"/>
      <c r="B1177" s="64"/>
      <c r="C1177" s="64"/>
      <c r="D1177" s="64"/>
      <c r="E1177" s="64"/>
      <c r="F1177" s="64"/>
      <c r="G1177" s="64"/>
      <c r="H1177" s="64"/>
      <c r="I1177" s="64"/>
      <c r="J1177" s="64"/>
      <c r="K1177" s="64"/>
      <c r="L1177" s="64"/>
      <c r="M1177" s="64"/>
      <c r="N1177" s="64"/>
      <c r="O1177" s="64"/>
      <c r="P1177" s="64"/>
      <c r="Q1177" s="64"/>
      <c r="R1177" s="64"/>
      <c r="S1177" s="64"/>
    </row>
    <row r="1178" spans="1:19" x14ac:dyDescent="0.25">
      <c r="A1178" s="63"/>
      <c r="B1178" s="64"/>
      <c r="C1178" s="64"/>
      <c r="D1178" s="64"/>
      <c r="E1178" s="64"/>
      <c r="F1178" s="64"/>
      <c r="G1178" s="64"/>
      <c r="H1178" s="64"/>
      <c r="I1178" s="64"/>
      <c r="J1178" s="64"/>
      <c r="K1178" s="64"/>
      <c r="L1178" s="64"/>
      <c r="M1178" s="64"/>
      <c r="N1178" s="64"/>
      <c r="O1178" s="64"/>
      <c r="P1178" s="64"/>
      <c r="Q1178" s="64"/>
      <c r="R1178" s="64"/>
      <c r="S1178" s="64"/>
    </row>
    <row r="1179" spans="1:19" x14ac:dyDescent="0.25">
      <c r="A1179" s="63"/>
      <c r="B1179" s="64"/>
      <c r="C1179" s="64"/>
      <c r="D1179" s="64"/>
      <c r="E1179" s="64"/>
      <c r="F1179" s="64"/>
      <c r="G1179" s="64"/>
      <c r="H1179" s="64"/>
      <c r="I1179" s="64"/>
      <c r="J1179" s="64"/>
      <c r="K1179" s="64"/>
      <c r="L1179" s="64"/>
      <c r="M1179" s="64"/>
      <c r="N1179" s="64"/>
      <c r="O1179" s="64"/>
      <c r="P1179" s="64"/>
      <c r="Q1179" s="64"/>
      <c r="R1179" s="64"/>
      <c r="S1179" s="64"/>
    </row>
    <row r="1180" spans="1:19" x14ac:dyDescent="0.25">
      <c r="A1180" s="63"/>
      <c r="B1180" s="64"/>
      <c r="C1180" s="64"/>
      <c r="D1180" s="64"/>
      <c r="E1180" s="64"/>
      <c r="F1180" s="64"/>
      <c r="G1180" s="64"/>
      <c r="H1180" s="64"/>
      <c r="I1180" s="64"/>
      <c r="J1180" s="64"/>
      <c r="K1180" s="64"/>
      <c r="L1180" s="64"/>
      <c r="M1180" s="64"/>
      <c r="N1180" s="64"/>
      <c r="O1180" s="64"/>
      <c r="P1180" s="64"/>
      <c r="Q1180" s="64"/>
      <c r="R1180" s="64"/>
      <c r="S1180" s="64"/>
    </row>
    <row r="1181" spans="1:19" x14ac:dyDescent="0.25">
      <c r="A1181" s="63"/>
      <c r="B1181" s="64"/>
      <c r="C1181" s="64"/>
      <c r="D1181" s="64"/>
      <c r="E1181" s="64"/>
      <c r="F1181" s="64"/>
      <c r="G1181" s="64"/>
      <c r="H1181" s="64"/>
      <c r="I1181" s="64"/>
      <c r="J1181" s="64"/>
      <c r="K1181" s="64"/>
      <c r="L1181" s="64"/>
      <c r="M1181" s="64"/>
      <c r="N1181" s="64"/>
      <c r="O1181" s="64"/>
      <c r="P1181" s="64"/>
      <c r="Q1181" s="64"/>
      <c r="R1181" s="64"/>
      <c r="S1181" s="64"/>
    </row>
    <row r="1182" spans="1:19" x14ac:dyDescent="0.25">
      <c r="A1182" s="63"/>
      <c r="B1182" s="64"/>
      <c r="C1182" s="64"/>
      <c r="D1182" s="64"/>
      <c r="E1182" s="64"/>
      <c r="F1182" s="64"/>
      <c r="G1182" s="64"/>
      <c r="H1182" s="64"/>
      <c r="I1182" s="64"/>
      <c r="J1182" s="64"/>
      <c r="K1182" s="64"/>
      <c r="L1182" s="64"/>
      <c r="M1182" s="64"/>
      <c r="N1182" s="64"/>
      <c r="O1182" s="64"/>
      <c r="P1182" s="64"/>
      <c r="Q1182" s="64"/>
      <c r="R1182" s="64"/>
      <c r="S1182" s="64"/>
    </row>
    <row r="1183" spans="1:19" x14ac:dyDescent="0.25">
      <c r="A1183" s="63"/>
      <c r="B1183" s="64"/>
      <c r="C1183" s="64"/>
      <c r="D1183" s="64"/>
      <c r="E1183" s="64"/>
      <c r="F1183" s="64"/>
      <c r="G1183" s="64"/>
      <c r="H1183" s="64"/>
      <c r="I1183" s="64"/>
      <c r="J1183" s="64"/>
      <c r="K1183" s="64"/>
      <c r="L1183" s="64"/>
      <c r="M1183" s="64"/>
      <c r="N1183" s="64"/>
      <c r="O1183" s="64"/>
      <c r="P1183" s="64"/>
      <c r="Q1183" s="64"/>
      <c r="R1183" s="64"/>
      <c r="S1183" s="64"/>
    </row>
    <row r="1184" spans="1:19" x14ac:dyDescent="0.25">
      <c r="A1184" s="63"/>
      <c r="B1184" s="64"/>
      <c r="C1184" s="64"/>
      <c r="D1184" s="64"/>
      <c r="E1184" s="64"/>
      <c r="F1184" s="64"/>
      <c r="G1184" s="64"/>
      <c r="H1184" s="64"/>
      <c r="I1184" s="64"/>
      <c r="J1184" s="64"/>
      <c r="K1184" s="64"/>
      <c r="L1184" s="64"/>
      <c r="M1184" s="64"/>
      <c r="N1184" s="64"/>
      <c r="O1184" s="64"/>
      <c r="P1184" s="64"/>
      <c r="Q1184" s="64"/>
      <c r="R1184" s="64"/>
      <c r="S1184" s="64"/>
    </row>
    <row r="1185" spans="1:19" x14ac:dyDescent="0.25">
      <c r="A1185" s="63"/>
      <c r="B1185" s="64"/>
      <c r="C1185" s="64"/>
      <c r="D1185" s="64"/>
      <c r="E1185" s="64"/>
      <c r="F1185" s="64"/>
      <c r="G1185" s="64"/>
      <c r="H1185" s="64"/>
      <c r="I1185" s="64"/>
      <c r="J1185" s="64"/>
      <c r="K1185" s="64"/>
      <c r="L1185" s="64"/>
      <c r="M1185" s="64"/>
      <c r="N1185" s="64"/>
      <c r="O1185" s="64"/>
      <c r="P1185" s="64"/>
      <c r="Q1185" s="64"/>
      <c r="R1185" s="64"/>
      <c r="S1185" s="64"/>
    </row>
    <row r="1186" spans="1:19" x14ac:dyDescent="0.25">
      <c r="A1186" s="63"/>
      <c r="B1186" s="64"/>
      <c r="C1186" s="64"/>
      <c r="D1186" s="64"/>
      <c r="E1186" s="64"/>
      <c r="F1186" s="64"/>
      <c r="G1186" s="64"/>
      <c r="H1186" s="64"/>
      <c r="I1186" s="64"/>
      <c r="J1186" s="64"/>
      <c r="K1186" s="64"/>
      <c r="L1186" s="64"/>
      <c r="M1186" s="64"/>
      <c r="N1186" s="64"/>
      <c r="O1186" s="64"/>
      <c r="P1186" s="64"/>
      <c r="Q1186" s="64"/>
      <c r="R1186" s="64"/>
      <c r="S1186" s="64"/>
    </row>
    <row r="1187" spans="1:19" x14ac:dyDescent="0.25">
      <c r="A1187" s="63"/>
      <c r="B1187" s="64"/>
      <c r="C1187" s="64"/>
      <c r="D1187" s="64"/>
      <c r="E1187" s="64"/>
      <c r="F1187" s="64"/>
      <c r="G1187" s="64"/>
      <c r="H1187" s="64"/>
      <c r="I1187" s="64"/>
      <c r="J1187" s="64"/>
      <c r="K1187" s="64"/>
      <c r="L1187" s="64"/>
      <c r="M1187" s="64"/>
      <c r="N1187" s="64"/>
      <c r="O1187" s="64"/>
      <c r="P1187" s="64"/>
      <c r="Q1187" s="64"/>
      <c r="R1187" s="64"/>
      <c r="S1187" s="64"/>
    </row>
    <row r="1188" spans="1:19" x14ac:dyDescent="0.25">
      <c r="A1188" s="63"/>
      <c r="B1188" s="64"/>
      <c r="C1188" s="64"/>
      <c r="D1188" s="64"/>
      <c r="E1188" s="64"/>
      <c r="F1188" s="64"/>
      <c r="G1188" s="64"/>
      <c r="H1188" s="64"/>
      <c r="I1188" s="64"/>
      <c r="J1188" s="64"/>
      <c r="K1188" s="64"/>
      <c r="L1188" s="64"/>
      <c r="M1188" s="64"/>
      <c r="N1188" s="64"/>
      <c r="O1188" s="64"/>
      <c r="P1188" s="64"/>
      <c r="Q1188" s="64"/>
      <c r="R1188" s="64"/>
      <c r="S1188" s="64"/>
    </row>
    <row r="1189" spans="1:19" x14ac:dyDescent="0.25">
      <c r="A1189" s="63"/>
      <c r="B1189" s="64"/>
      <c r="C1189" s="64"/>
      <c r="D1189" s="64"/>
      <c r="E1189" s="64"/>
      <c r="F1189" s="64"/>
      <c r="G1189" s="64"/>
      <c r="H1189" s="64"/>
      <c r="I1189" s="64"/>
      <c r="J1189" s="64"/>
      <c r="K1189" s="64"/>
      <c r="L1189" s="64"/>
      <c r="M1189" s="64"/>
      <c r="N1189" s="64"/>
      <c r="O1189" s="64"/>
      <c r="P1189" s="64"/>
      <c r="Q1189" s="64"/>
      <c r="R1189" s="64"/>
      <c r="S1189" s="64"/>
    </row>
    <row r="1190" spans="1:19" x14ac:dyDescent="0.25">
      <c r="A1190" s="63"/>
      <c r="B1190" s="64"/>
      <c r="C1190" s="64"/>
      <c r="D1190" s="64"/>
      <c r="E1190" s="64"/>
      <c r="F1190" s="64"/>
      <c r="G1190" s="64"/>
      <c r="H1190" s="64"/>
      <c r="I1190" s="64"/>
      <c r="J1190" s="64"/>
      <c r="K1190" s="64"/>
      <c r="L1190" s="64"/>
      <c r="M1190" s="64"/>
      <c r="N1190" s="64"/>
      <c r="O1190" s="64"/>
      <c r="P1190" s="64"/>
      <c r="Q1190" s="64"/>
      <c r="R1190" s="64"/>
      <c r="S1190" s="64"/>
    </row>
    <row r="1191" spans="1:19" x14ac:dyDescent="0.25">
      <c r="A1191" s="63"/>
      <c r="B1191" s="64"/>
      <c r="C1191" s="64"/>
      <c r="D1191" s="64"/>
      <c r="E1191" s="64"/>
      <c r="F1191" s="64"/>
      <c r="G1191" s="64"/>
      <c r="H1191" s="64"/>
      <c r="I1191" s="64"/>
      <c r="J1191" s="64"/>
      <c r="K1191" s="64"/>
      <c r="L1191" s="64"/>
      <c r="M1191" s="64"/>
      <c r="N1191" s="64"/>
      <c r="O1191" s="64"/>
      <c r="P1191" s="64"/>
      <c r="Q1191" s="64"/>
      <c r="R1191" s="64"/>
      <c r="S1191" s="64"/>
    </row>
    <row r="1192" spans="1:19" x14ac:dyDescent="0.25">
      <c r="A1192" s="63"/>
      <c r="B1192" s="64"/>
      <c r="C1192" s="64"/>
      <c r="D1192" s="64"/>
      <c r="E1192" s="64"/>
      <c r="F1192" s="64"/>
      <c r="G1192" s="64"/>
      <c r="H1192" s="64"/>
      <c r="I1192" s="64"/>
      <c r="J1192" s="64"/>
      <c r="K1192" s="64"/>
      <c r="L1192" s="64"/>
      <c r="M1192" s="64"/>
      <c r="N1192" s="64"/>
      <c r="O1192" s="64"/>
      <c r="P1192" s="64"/>
      <c r="Q1192" s="64"/>
      <c r="R1192" s="64"/>
      <c r="S1192" s="64"/>
    </row>
    <row r="1193" spans="1:19" x14ac:dyDescent="0.25">
      <c r="A1193" s="63"/>
      <c r="B1193" s="64"/>
      <c r="C1193" s="64"/>
      <c r="D1193" s="64"/>
      <c r="E1193" s="64"/>
      <c r="F1193" s="64"/>
      <c r="G1193" s="64"/>
      <c r="H1193" s="64"/>
      <c r="I1193" s="64"/>
      <c r="J1193" s="64"/>
      <c r="K1193" s="64"/>
      <c r="L1193" s="64"/>
      <c r="M1193" s="64"/>
      <c r="N1193" s="64"/>
      <c r="O1193" s="64"/>
      <c r="P1193" s="64"/>
      <c r="Q1193" s="64"/>
      <c r="R1193" s="64"/>
      <c r="S1193" s="64"/>
    </row>
    <row r="1194" spans="1:19" x14ac:dyDescent="0.25">
      <c r="A1194" s="63"/>
      <c r="B1194" s="64"/>
      <c r="C1194" s="64"/>
      <c r="D1194" s="64"/>
      <c r="E1194" s="64"/>
      <c r="F1194" s="64"/>
      <c r="G1194" s="64"/>
      <c r="H1194" s="64"/>
      <c r="I1194" s="64"/>
      <c r="J1194" s="64"/>
      <c r="K1194" s="64"/>
      <c r="L1194" s="64"/>
      <c r="M1194" s="64"/>
      <c r="N1194" s="64"/>
      <c r="O1194" s="64"/>
      <c r="P1194" s="64"/>
      <c r="Q1194" s="64"/>
      <c r="R1194" s="64"/>
      <c r="S1194" s="64"/>
    </row>
    <row r="1195" spans="1:19" x14ac:dyDescent="0.25">
      <c r="A1195" s="63"/>
      <c r="B1195" s="64"/>
      <c r="C1195" s="64"/>
      <c r="D1195" s="64"/>
      <c r="E1195" s="64"/>
      <c r="F1195" s="64"/>
      <c r="G1195" s="64"/>
      <c r="H1195" s="64"/>
      <c r="I1195" s="64"/>
      <c r="J1195" s="64"/>
      <c r="K1195" s="64"/>
      <c r="L1195" s="64"/>
      <c r="M1195" s="64"/>
      <c r="N1195" s="64"/>
      <c r="O1195" s="64"/>
      <c r="P1195" s="64"/>
      <c r="Q1195" s="64"/>
      <c r="R1195" s="64"/>
      <c r="S1195" s="64"/>
    </row>
    <row r="1196" spans="1:19" x14ac:dyDescent="0.25">
      <c r="A1196" s="63"/>
      <c r="B1196" s="64"/>
      <c r="C1196" s="64"/>
      <c r="D1196" s="64"/>
      <c r="E1196" s="64"/>
      <c r="F1196" s="64"/>
      <c r="G1196" s="64"/>
      <c r="H1196" s="64"/>
      <c r="I1196" s="64"/>
      <c r="J1196" s="64"/>
      <c r="K1196" s="64"/>
      <c r="L1196" s="64"/>
      <c r="M1196" s="64"/>
      <c r="N1196" s="64"/>
      <c r="O1196" s="64"/>
      <c r="P1196" s="64"/>
      <c r="Q1196" s="64"/>
      <c r="R1196" s="64"/>
      <c r="S1196" s="64"/>
    </row>
    <row r="1197" spans="1:19" x14ac:dyDescent="0.25">
      <c r="A1197" s="63"/>
      <c r="B1197" s="64"/>
      <c r="C1197" s="64"/>
      <c r="D1197" s="64"/>
      <c r="E1197" s="64"/>
      <c r="F1197" s="64"/>
      <c r="G1197" s="64"/>
      <c r="H1197" s="64"/>
      <c r="I1197" s="64"/>
      <c r="J1197" s="64"/>
      <c r="K1197" s="64"/>
      <c r="L1197" s="64"/>
      <c r="M1197" s="64"/>
      <c r="N1197" s="64"/>
      <c r="O1197" s="64"/>
      <c r="P1197" s="64"/>
      <c r="Q1197" s="64"/>
      <c r="R1197" s="64"/>
      <c r="S1197" s="64"/>
    </row>
    <row r="1198" spans="1:19" x14ac:dyDescent="0.25">
      <c r="A1198" s="63"/>
      <c r="B1198" s="64"/>
      <c r="C1198" s="64"/>
      <c r="D1198" s="64"/>
      <c r="E1198" s="64"/>
      <c r="F1198" s="64"/>
      <c r="G1198" s="64"/>
      <c r="H1198" s="64"/>
      <c r="I1198" s="64"/>
      <c r="J1198" s="64"/>
      <c r="K1198" s="64"/>
      <c r="L1198" s="64"/>
      <c r="M1198" s="64"/>
      <c r="N1198" s="64"/>
      <c r="O1198" s="64"/>
      <c r="P1198" s="64"/>
      <c r="Q1198" s="64"/>
      <c r="R1198" s="64"/>
      <c r="S1198" s="64"/>
    </row>
    <row r="1199" spans="1:19" x14ac:dyDescent="0.25">
      <c r="A1199" s="63"/>
      <c r="B1199" s="64"/>
      <c r="C1199" s="64"/>
      <c r="D1199" s="64"/>
      <c r="E1199" s="64"/>
      <c r="F1199" s="64"/>
      <c r="G1199" s="64"/>
      <c r="H1199" s="64"/>
      <c r="I1199" s="64"/>
      <c r="J1199" s="64"/>
      <c r="K1199" s="64"/>
      <c r="L1199" s="64"/>
      <c r="M1199" s="64"/>
      <c r="N1199" s="64"/>
      <c r="O1199" s="64"/>
      <c r="P1199" s="64"/>
      <c r="Q1199" s="64"/>
      <c r="R1199" s="64"/>
      <c r="S1199" s="64"/>
    </row>
    <row r="1200" spans="1:19" x14ac:dyDescent="0.25">
      <c r="A1200" s="63"/>
      <c r="B1200" s="64"/>
      <c r="C1200" s="64"/>
      <c r="D1200" s="64"/>
      <c r="E1200" s="64"/>
      <c r="F1200" s="64"/>
      <c r="G1200" s="64"/>
      <c r="H1200" s="64"/>
      <c r="I1200" s="64"/>
      <c r="J1200" s="64"/>
      <c r="K1200" s="64"/>
      <c r="L1200" s="64"/>
      <c r="M1200" s="64"/>
      <c r="N1200" s="64"/>
      <c r="O1200" s="64"/>
      <c r="P1200" s="64"/>
      <c r="Q1200" s="64"/>
      <c r="R1200" s="64"/>
      <c r="S1200" s="64"/>
    </row>
    <row r="1201" spans="1:19" x14ac:dyDescent="0.25">
      <c r="A1201" s="63"/>
      <c r="B1201" s="64"/>
      <c r="C1201" s="64"/>
      <c r="D1201" s="64"/>
      <c r="E1201" s="64"/>
      <c r="F1201" s="64"/>
      <c r="G1201" s="64"/>
      <c r="H1201" s="64"/>
      <c r="I1201" s="64"/>
      <c r="J1201" s="64"/>
      <c r="K1201" s="64"/>
      <c r="L1201" s="64"/>
      <c r="M1201" s="64"/>
      <c r="N1201" s="64"/>
      <c r="O1201" s="64"/>
      <c r="P1201" s="64"/>
      <c r="Q1201" s="64"/>
      <c r="R1201" s="64"/>
      <c r="S1201" s="64"/>
    </row>
    <row r="1202" spans="1:19" x14ac:dyDescent="0.25">
      <c r="A1202" s="63"/>
      <c r="B1202" s="64"/>
      <c r="C1202" s="64"/>
      <c r="D1202" s="64"/>
      <c r="E1202" s="64"/>
      <c r="F1202" s="64"/>
      <c r="G1202" s="64"/>
      <c r="H1202" s="64"/>
      <c r="I1202" s="64"/>
      <c r="J1202" s="64"/>
      <c r="K1202" s="64"/>
      <c r="L1202" s="64"/>
      <c r="M1202" s="64"/>
      <c r="N1202" s="64"/>
      <c r="O1202" s="64"/>
      <c r="P1202" s="64"/>
      <c r="Q1202" s="64"/>
      <c r="R1202" s="64"/>
      <c r="S1202" s="64"/>
    </row>
    <row r="1203" spans="1:19" x14ac:dyDescent="0.25">
      <c r="A1203" s="63"/>
      <c r="B1203" s="64"/>
      <c r="C1203" s="64"/>
      <c r="D1203" s="64"/>
      <c r="E1203" s="64"/>
      <c r="F1203" s="64"/>
      <c r="G1203" s="64"/>
      <c r="H1203" s="64"/>
      <c r="I1203" s="64"/>
      <c r="J1203" s="64"/>
      <c r="K1203" s="64"/>
      <c r="L1203" s="64"/>
      <c r="M1203" s="64"/>
      <c r="N1203" s="64"/>
      <c r="O1203" s="64"/>
      <c r="P1203" s="64"/>
      <c r="Q1203" s="64"/>
      <c r="R1203" s="64"/>
      <c r="S1203" s="64"/>
    </row>
    <row r="1204" spans="1:19" x14ac:dyDescent="0.25">
      <c r="A1204" s="63"/>
      <c r="B1204" s="64"/>
      <c r="C1204" s="64"/>
      <c r="D1204" s="64"/>
      <c r="E1204" s="64"/>
      <c r="F1204" s="64"/>
      <c r="G1204" s="64"/>
      <c r="H1204" s="64"/>
      <c r="I1204" s="64"/>
      <c r="J1204" s="64"/>
      <c r="K1204" s="64"/>
      <c r="L1204" s="64"/>
      <c r="M1204" s="64"/>
      <c r="N1204" s="64"/>
      <c r="O1204" s="64"/>
      <c r="P1204" s="64"/>
      <c r="Q1204" s="64"/>
      <c r="R1204" s="64"/>
      <c r="S1204" s="64"/>
    </row>
    <row r="1205" spans="1:19" x14ac:dyDescent="0.25">
      <c r="A1205" s="63"/>
      <c r="B1205" s="64"/>
      <c r="C1205" s="64"/>
      <c r="D1205" s="64"/>
      <c r="E1205" s="64"/>
      <c r="F1205" s="64"/>
      <c r="G1205" s="64"/>
      <c r="H1205" s="64"/>
      <c r="I1205" s="64"/>
      <c r="J1205" s="64"/>
      <c r="K1205" s="64"/>
      <c r="L1205" s="64"/>
      <c r="M1205" s="64"/>
      <c r="N1205" s="64"/>
      <c r="O1205" s="64"/>
      <c r="P1205" s="64"/>
      <c r="Q1205" s="64"/>
      <c r="R1205" s="64"/>
      <c r="S1205" s="64"/>
    </row>
    <row r="1206" spans="1:19" x14ac:dyDescent="0.25">
      <c r="A1206" s="63"/>
      <c r="B1206" s="64"/>
      <c r="C1206" s="64"/>
      <c r="D1206" s="64"/>
      <c r="E1206" s="64"/>
      <c r="F1206" s="64"/>
      <c r="G1206" s="64"/>
      <c r="H1206" s="64"/>
      <c r="I1206" s="64"/>
      <c r="J1206" s="64"/>
      <c r="K1206" s="64"/>
      <c r="L1206" s="64"/>
      <c r="M1206" s="64"/>
      <c r="N1206" s="64"/>
      <c r="O1206" s="64"/>
      <c r="P1206" s="64"/>
      <c r="Q1206" s="64"/>
      <c r="R1206" s="64"/>
      <c r="S1206" s="64"/>
    </row>
    <row r="1207" spans="1:19" x14ac:dyDescent="0.25">
      <c r="A1207" s="63"/>
      <c r="B1207" s="64"/>
      <c r="C1207" s="64"/>
      <c r="D1207" s="64"/>
      <c r="E1207" s="64"/>
      <c r="F1207" s="64"/>
      <c r="G1207" s="64"/>
      <c r="H1207" s="64"/>
      <c r="I1207" s="64"/>
      <c r="J1207" s="64"/>
      <c r="K1207" s="64"/>
      <c r="L1207" s="64"/>
      <c r="M1207" s="64"/>
      <c r="N1207" s="64"/>
      <c r="O1207" s="64"/>
      <c r="P1207" s="64"/>
      <c r="Q1207" s="64"/>
      <c r="R1207" s="64"/>
      <c r="S1207" s="64"/>
    </row>
    <row r="1208" spans="1:19" x14ac:dyDescent="0.25">
      <c r="A1208" s="63"/>
      <c r="B1208" s="64"/>
      <c r="C1208" s="64"/>
      <c r="D1208" s="64"/>
      <c r="E1208" s="64"/>
      <c r="F1208" s="64"/>
      <c r="G1208" s="64"/>
      <c r="H1208" s="64"/>
      <c r="I1208" s="64"/>
      <c r="J1208" s="64"/>
      <c r="K1208" s="64"/>
      <c r="L1208" s="64"/>
      <c r="M1208" s="64"/>
      <c r="N1208" s="64"/>
      <c r="O1208" s="64"/>
      <c r="P1208" s="64"/>
      <c r="Q1208" s="64"/>
      <c r="R1208" s="64"/>
      <c r="S1208" s="64"/>
    </row>
    <row r="1209" spans="1:19" x14ac:dyDescent="0.25">
      <c r="A1209" s="63"/>
      <c r="B1209" s="64"/>
      <c r="C1209" s="64"/>
      <c r="D1209" s="64"/>
      <c r="E1209" s="64"/>
      <c r="F1209" s="64"/>
      <c r="G1209" s="64"/>
      <c r="H1209" s="64"/>
      <c r="I1209" s="64"/>
      <c r="J1209" s="64"/>
      <c r="K1209" s="64"/>
      <c r="L1209" s="64"/>
      <c r="M1209" s="64"/>
      <c r="N1209" s="64"/>
      <c r="O1209" s="64"/>
      <c r="P1209" s="64"/>
      <c r="Q1209" s="64"/>
      <c r="R1209" s="64"/>
      <c r="S1209" s="64"/>
    </row>
    <row r="1210" spans="1:19" x14ac:dyDescent="0.25">
      <c r="A1210" s="63"/>
      <c r="B1210" s="64"/>
      <c r="C1210" s="64"/>
      <c r="D1210" s="64"/>
      <c r="E1210" s="64"/>
      <c r="F1210" s="64"/>
      <c r="G1210" s="64"/>
      <c r="H1210" s="64"/>
      <c r="I1210" s="64"/>
      <c r="J1210" s="64"/>
      <c r="K1210" s="64"/>
      <c r="L1210" s="64"/>
      <c r="M1210" s="64"/>
      <c r="N1210" s="64"/>
      <c r="O1210" s="64"/>
      <c r="P1210" s="64"/>
      <c r="Q1210" s="64"/>
      <c r="R1210" s="64"/>
      <c r="S1210" s="64"/>
    </row>
    <row r="1211" spans="1:19" x14ac:dyDescent="0.25">
      <c r="A1211" s="63"/>
      <c r="B1211" s="64"/>
      <c r="C1211" s="64"/>
      <c r="D1211" s="64"/>
      <c r="E1211" s="64"/>
      <c r="F1211" s="64"/>
      <c r="G1211" s="64"/>
      <c r="H1211" s="64"/>
      <c r="I1211" s="64"/>
      <c r="J1211" s="64"/>
      <c r="K1211" s="64"/>
      <c r="L1211" s="64"/>
      <c r="M1211" s="64"/>
      <c r="N1211" s="64"/>
      <c r="O1211" s="64"/>
      <c r="P1211" s="64"/>
      <c r="Q1211" s="64"/>
      <c r="R1211" s="64"/>
      <c r="S1211" s="64"/>
    </row>
    <row r="1212" spans="1:19" x14ac:dyDescent="0.25">
      <c r="A1212" s="63"/>
      <c r="B1212" s="64"/>
      <c r="C1212" s="64"/>
      <c r="D1212" s="64"/>
      <c r="E1212" s="64"/>
      <c r="F1212" s="64"/>
      <c r="G1212" s="64"/>
      <c r="H1212" s="64"/>
      <c r="I1212" s="64"/>
      <c r="J1212" s="64"/>
      <c r="K1212" s="64"/>
      <c r="L1212" s="64"/>
      <c r="M1212" s="64"/>
      <c r="N1212" s="64"/>
      <c r="O1212" s="64"/>
      <c r="P1212" s="64"/>
      <c r="Q1212" s="64"/>
      <c r="R1212" s="64"/>
      <c r="S1212" s="64"/>
    </row>
    <row r="1213" spans="1:19" x14ac:dyDescent="0.25">
      <c r="A1213" s="63"/>
      <c r="B1213" s="64"/>
      <c r="C1213" s="64"/>
      <c r="D1213" s="64"/>
      <c r="E1213" s="64"/>
      <c r="F1213" s="64"/>
      <c r="G1213" s="64"/>
      <c r="H1213" s="64"/>
      <c r="I1213" s="64"/>
      <c r="J1213" s="64"/>
      <c r="K1213" s="64"/>
      <c r="L1213" s="64"/>
      <c r="M1213" s="64"/>
      <c r="N1213" s="64"/>
      <c r="O1213" s="64"/>
      <c r="P1213" s="64"/>
      <c r="Q1213" s="64"/>
      <c r="R1213" s="64"/>
      <c r="S1213" s="64"/>
    </row>
    <row r="1214" spans="1:19" x14ac:dyDescent="0.25">
      <c r="A1214" s="63"/>
      <c r="B1214" s="64"/>
      <c r="C1214" s="64"/>
      <c r="D1214" s="64"/>
      <c r="E1214" s="64"/>
      <c r="F1214" s="64"/>
      <c r="G1214" s="64"/>
      <c r="H1214" s="64"/>
      <c r="I1214" s="64"/>
      <c r="J1214" s="64"/>
      <c r="K1214" s="64"/>
      <c r="L1214" s="64"/>
      <c r="M1214" s="64"/>
      <c r="N1214" s="64"/>
      <c r="O1214" s="64"/>
      <c r="P1214" s="64"/>
      <c r="Q1214" s="64"/>
      <c r="R1214" s="64"/>
      <c r="S1214" s="64"/>
    </row>
    <row r="1215" spans="1:19" x14ac:dyDescent="0.25">
      <c r="A1215" s="63"/>
      <c r="B1215" s="64"/>
      <c r="C1215" s="64"/>
      <c r="D1215" s="64"/>
      <c r="E1215" s="64"/>
      <c r="F1215" s="64"/>
      <c r="G1215" s="64"/>
      <c r="H1215" s="64"/>
      <c r="I1215" s="64"/>
      <c r="J1215" s="64"/>
      <c r="K1215" s="64"/>
      <c r="L1215" s="64"/>
      <c r="M1215" s="64"/>
      <c r="N1215" s="64"/>
      <c r="O1215" s="64"/>
      <c r="P1215" s="64"/>
      <c r="Q1215" s="64"/>
      <c r="R1215" s="64"/>
      <c r="S1215" s="64"/>
    </row>
    <row r="1216" spans="1:19" x14ac:dyDescent="0.25">
      <c r="A1216" s="63"/>
      <c r="B1216" s="64"/>
      <c r="C1216" s="64"/>
      <c r="D1216" s="64"/>
      <c r="E1216" s="64"/>
      <c r="F1216" s="64"/>
      <c r="G1216" s="64"/>
      <c r="H1216" s="64"/>
      <c r="I1216" s="64"/>
      <c r="J1216" s="64"/>
      <c r="K1216" s="64"/>
      <c r="L1216" s="64"/>
      <c r="M1216" s="64"/>
      <c r="N1216" s="64"/>
      <c r="O1216" s="64"/>
      <c r="P1216" s="64"/>
      <c r="Q1216" s="64"/>
      <c r="R1216" s="64"/>
      <c r="S1216" s="64"/>
    </row>
    <row r="1217" spans="1:19" x14ac:dyDescent="0.25">
      <c r="A1217" s="63"/>
      <c r="B1217" s="64"/>
      <c r="C1217" s="64"/>
      <c r="D1217" s="64"/>
      <c r="E1217" s="64"/>
      <c r="F1217" s="64"/>
      <c r="G1217" s="64"/>
      <c r="H1217" s="64"/>
      <c r="I1217" s="64"/>
      <c r="J1217" s="64"/>
      <c r="K1217" s="64"/>
      <c r="L1217" s="64"/>
      <c r="M1217" s="64"/>
      <c r="N1217" s="64"/>
      <c r="O1217" s="64"/>
      <c r="P1217" s="64"/>
      <c r="Q1217" s="64"/>
      <c r="R1217" s="64"/>
      <c r="S1217" s="64"/>
    </row>
    <row r="1218" spans="1:19" x14ac:dyDescent="0.25">
      <c r="A1218" s="63"/>
      <c r="B1218" s="64"/>
      <c r="C1218" s="64"/>
      <c r="D1218" s="64"/>
      <c r="E1218" s="64"/>
      <c r="F1218" s="64"/>
      <c r="G1218" s="64"/>
      <c r="H1218" s="64"/>
      <c r="I1218" s="64"/>
      <c r="J1218" s="64"/>
      <c r="K1218" s="64"/>
      <c r="L1218" s="64"/>
      <c r="M1218" s="64"/>
      <c r="N1218" s="64"/>
      <c r="O1218" s="64"/>
      <c r="P1218" s="64"/>
      <c r="Q1218" s="64"/>
      <c r="R1218" s="64"/>
      <c r="S1218" s="64"/>
    </row>
    <row r="1219" spans="1:19" x14ac:dyDescent="0.25">
      <c r="A1219" s="63"/>
      <c r="B1219" s="64"/>
      <c r="C1219" s="64"/>
      <c r="D1219" s="64"/>
      <c r="E1219" s="64"/>
      <c r="F1219" s="64"/>
      <c r="G1219" s="64"/>
      <c r="H1219" s="64"/>
      <c r="I1219" s="64"/>
      <c r="J1219" s="64"/>
      <c r="K1219" s="64"/>
      <c r="L1219" s="64"/>
      <c r="M1219" s="64"/>
      <c r="N1219" s="64"/>
      <c r="O1219" s="64"/>
      <c r="P1219" s="64"/>
      <c r="Q1219" s="64"/>
      <c r="R1219" s="64"/>
      <c r="S1219" s="64"/>
    </row>
    <row r="1220" spans="1:19" x14ac:dyDescent="0.25">
      <c r="A1220" s="63"/>
      <c r="B1220" s="64"/>
      <c r="C1220" s="64"/>
      <c r="D1220" s="64"/>
      <c r="E1220" s="64"/>
      <c r="F1220" s="64"/>
      <c r="G1220" s="64"/>
      <c r="H1220" s="64"/>
      <c r="I1220" s="64"/>
      <c r="J1220" s="64"/>
      <c r="K1220" s="64"/>
      <c r="L1220" s="64"/>
      <c r="M1220" s="64"/>
      <c r="N1220" s="64"/>
      <c r="O1220" s="64"/>
      <c r="P1220" s="64"/>
      <c r="Q1220" s="64"/>
      <c r="R1220" s="64"/>
      <c r="S1220" s="64"/>
    </row>
    <row r="1221" spans="1:19" x14ac:dyDescent="0.25">
      <c r="A1221" s="63"/>
      <c r="B1221" s="64"/>
      <c r="C1221" s="64"/>
      <c r="D1221" s="64"/>
      <c r="E1221" s="64"/>
      <c r="F1221" s="64"/>
      <c r="G1221" s="64"/>
      <c r="H1221" s="64"/>
      <c r="I1221" s="64"/>
      <c r="J1221" s="64"/>
      <c r="K1221" s="64"/>
      <c r="L1221" s="64"/>
      <c r="M1221" s="64"/>
      <c r="N1221" s="64"/>
      <c r="O1221" s="64"/>
      <c r="P1221" s="64"/>
      <c r="Q1221" s="64"/>
      <c r="R1221" s="64"/>
      <c r="S1221" s="64"/>
    </row>
    <row r="1222" spans="1:19" x14ac:dyDescent="0.25">
      <c r="A1222" s="63"/>
      <c r="B1222" s="64"/>
      <c r="C1222" s="64"/>
      <c r="D1222" s="64"/>
      <c r="E1222" s="64"/>
      <c r="F1222" s="64"/>
      <c r="G1222" s="64"/>
      <c r="H1222" s="64"/>
      <c r="I1222" s="64"/>
      <c r="J1222" s="64"/>
      <c r="K1222" s="64"/>
      <c r="L1222" s="64"/>
      <c r="M1222" s="64"/>
      <c r="N1222" s="64"/>
      <c r="O1222" s="64"/>
      <c r="P1222" s="64"/>
      <c r="Q1222" s="64"/>
      <c r="R1222" s="64"/>
      <c r="S1222" s="64"/>
    </row>
    <row r="1223" spans="1:19" x14ac:dyDescent="0.25">
      <c r="A1223" s="63"/>
      <c r="B1223" s="64"/>
      <c r="C1223" s="64"/>
      <c r="D1223" s="64"/>
      <c r="E1223" s="64"/>
      <c r="F1223" s="64"/>
      <c r="G1223" s="64"/>
      <c r="H1223" s="64"/>
      <c r="I1223" s="64"/>
      <c r="J1223" s="64"/>
      <c r="K1223" s="64"/>
      <c r="L1223" s="64"/>
      <c r="M1223" s="64"/>
      <c r="N1223" s="64"/>
      <c r="O1223" s="64"/>
      <c r="P1223" s="64"/>
      <c r="Q1223" s="64"/>
      <c r="R1223" s="64"/>
      <c r="S1223" s="64"/>
    </row>
    <row r="1224" spans="1:19" x14ac:dyDescent="0.25">
      <c r="A1224" s="63"/>
      <c r="B1224" s="64"/>
      <c r="C1224" s="64"/>
      <c r="D1224" s="64"/>
      <c r="E1224" s="64"/>
      <c r="F1224" s="64"/>
      <c r="G1224" s="64"/>
      <c r="H1224" s="64"/>
      <c r="I1224" s="64"/>
      <c r="J1224" s="64"/>
      <c r="K1224" s="64"/>
      <c r="L1224" s="64"/>
      <c r="M1224" s="64"/>
      <c r="N1224" s="64"/>
      <c r="O1224" s="64"/>
      <c r="P1224" s="64"/>
      <c r="Q1224" s="64"/>
      <c r="R1224" s="64"/>
      <c r="S1224" s="64"/>
    </row>
    <row r="1225" spans="1:19" x14ac:dyDescent="0.25">
      <c r="A1225" s="63"/>
      <c r="B1225" s="64"/>
      <c r="C1225" s="64"/>
      <c r="D1225" s="64"/>
      <c r="E1225" s="64"/>
      <c r="F1225" s="64"/>
      <c r="G1225" s="64"/>
      <c r="H1225" s="64"/>
      <c r="I1225" s="64"/>
      <c r="J1225" s="64"/>
      <c r="K1225" s="64"/>
      <c r="L1225" s="64"/>
      <c r="M1225" s="64"/>
      <c r="N1225" s="64"/>
      <c r="O1225" s="64"/>
      <c r="P1225" s="64"/>
      <c r="Q1225" s="64"/>
      <c r="R1225" s="64"/>
      <c r="S1225" s="64"/>
    </row>
    <row r="1226" spans="1:19" x14ac:dyDescent="0.25">
      <c r="A1226" s="63"/>
      <c r="B1226" s="64"/>
      <c r="C1226" s="64"/>
      <c r="D1226" s="64"/>
      <c r="E1226" s="64"/>
      <c r="F1226" s="64"/>
      <c r="G1226" s="64"/>
      <c r="H1226" s="64"/>
      <c r="I1226" s="64"/>
      <c r="J1226" s="64"/>
      <c r="K1226" s="64"/>
      <c r="L1226" s="64"/>
      <c r="M1226" s="64"/>
      <c r="N1226" s="64"/>
      <c r="O1226" s="64"/>
      <c r="P1226" s="64"/>
      <c r="Q1226" s="64"/>
      <c r="R1226" s="64"/>
      <c r="S1226" s="64"/>
    </row>
    <row r="1227" spans="1:19" x14ac:dyDescent="0.25">
      <c r="A1227" s="63"/>
      <c r="B1227" s="64"/>
      <c r="C1227" s="64"/>
      <c r="D1227" s="64"/>
      <c r="E1227" s="64"/>
      <c r="F1227" s="64"/>
      <c r="G1227" s="64"/>
      <c r="H1227" s="64"/>
      <c r="I1227" s="64"/>
      <c r="J1227" s="64"/>
      <c r="K1227" s="64"/>
      <c r="L1227" s="64"/>
      <c r="M1227" s="64"/>
      <c r="N1227" s="64"/>
      <c r="O1227" s="64"/>
      <c r="P1227" s="64"/>
      <c r="Q1227" s="64"/>
      <c r="R1227" s="64"/>
      <c r="S1227" s="64"/>
    </row>
    <row r="1228" spans="1:19" x14ac:dyDescent="0.25">
      <c r="A1228" s="63"/>
      <c r="B1228" s="64"/>
      <c r="C1228" s="64"/>
      <c r="D1228" s="64"/>
      <c r="E1228" s="64"/>
      <c r="F1228" s="64"/>
      <c r="G1228" s="64"/>
      <c r="H1228" s="64"/>
      <c r="I1228" s="64"/>
      <c r="J1228" s="64"/>
      <c r="K1228" s="64"/>
      <c r="L1228" s="64"/>
      <c r="M1228" s="64"/>
      <c r="N1228" s="64"/>
      <c r="O1228" s="64"/>
      <c r="P1228" s="64"/>
      <c r="Q1228" s="64"/>
      <c r="R1228" s="64"/>
      <c r="S1228" s="64"/>
    </row>
    <row r="1229" spans="1:19" x14ac:dyDescent="0.25">
      <c r="A1229" s="63"/>
      <c r="B1229" s="64"/>
      <c r="C1229" s="64"/>
      <c r="D1229" s="64"/>
      <c r="E1229" s="64"/>
      <c r="F1229" s="64"/>
      <c r="G1229" s="64"/>
      <c r="H1229" s="64"/>
      <c r="I1229" s="64"/>
      <c r="J1229" s="64"/>
      <c r="K1229" s="64"/>
      <c r="L1229" s="64"/>
      <c r="M1229" s="64"/>
      <c r="N1229" s="64"/>
      <c r="O1229" s="64"/>
      <c r="P1229" s="64"/>
      <c r="Q1229" s="64"/>
      <c r="R1229" s="64"/>
      <c r="S1229" s="64"/>
    </row>
    <row r="1230" spans="1:19" x14ac:dyDescent="0.25">
      <c r="A1230" s="63"/>
      <c r="B1230" s="64"/>
      <c r="C1230" s="64"/>
      <c r="D1230" s="64"/>
      <c r="E1230" s="64"/>
      <c r="F1230" s="64"/>
      <c r="G1230" s="64"/>
      <c r="H1230" s="64"/>
      <c r="I1230" s="64"/>
      <c r="J1230" s="64"/>
      <c r="K1230" s="64"/>
      <c r="L1230" s="64"/>
      <c r="M1230" s="64"/>
      <c r="N1230" s="64"/>
      <c r="O1230" s="64"/>
      <c r="P1230" s="64"/>
      <c r="Q1230" s="64"/>
      <c r="R1230" s="64"/>
      <c r="S1230" s="64"/>
    </row>
    <row r="1231" spans="1:19" x14ac:dyDescent="0.25">
      <c r="A1231" s="63"/>
      <c r="B1231" s="64"/>
      <c r="C1231" s="64"/>
      <c r="D1231" s="64"/>
      <c r="E1231" s="64"/>
      <c r="F1231" s="64"/>
      <c r="G1231" s="64"/>
      <c r="H1231" s="64"/>
      <c r="I1231" s="64"/>
      <c r="J1231" s="64"/>
      <c r="K1231" s="64"/>
      <c r="L1231" s="64"/>
      <c r="M1231" s="64"/>
      <c r="N1231" s="64"/>
      <c r="O1231" s="64"/>
      <c r="P1231" s="64"/>
      <c r="Q1231" s="64"/>
      <c r="R1231" s="64"/>
      <c r="S1231" s="64"/>
    </row>
    <row r="1232" spans="1:19" x14ac:dyDescent="0.25">
      <c r="A1232" s="63"/>
      <c r="B1232" s="64"/>
      <c r="C1232" s="64"/>
      <c r="D1232" s="64"/>
      <c r="E1232" s="64"/>
      <c r="F1232" s="64"/>
      <c r="G1232" s="64"/>
      <c r="H1232" s="64"/>
      <c r="I1232" s="64"/>
      <c r="J1232" s="64"/>
      <c r="K1232" s="64"/>
      <c r="L1232" s="64"/>
      <c r="M1232" s="64"/>
      <c r="N1232" s="64"/>
      <c r="O1232" s="64"/>
      <c r="P1232" s="64"/>
      <c r="Q1232" s="64"/>
      <c r="R1232" s="64"/>
      <c r="S1232" s="64"/>
    </row>
    <row r="1233" spans="1:19" x14ac:dyDescent="0.25">
      <c r="A1233" s="63"/>
      <c r="B1233" s="64"/>
      <c r="C1233" s="64"/>
      <c r="D1233" s="64"/>
      <c r="E1233" s="64"/>
      <c r="F1233" s="64"/>
      <c r="G1233" s="64"/>
      <c r="H1233" s="64"/>
      <c r="I1233" s="64"/>
      <c r="J1233" s="64"/>
      <c r="K1233" s="64"/>
      <c r="L1233" s="64"/>
      <c r="M1233" s="64"/>
      <c r="N1233" s="64"/>
      <c r="O1233" s="64"/>
      <c r="P1233" s="64"/>
      <c r="Q1233" s="64"/>
      <c r="R1233" s="64"/>
      <c r="S1233" s="64"/>
    </row>
    <row r="1234" spans="1:19" x14ac:dyDescent="0.25">
      <c r="A1234" s="63"/>
      <c r="B1234" s="64"/>
      <c r="C1234" s="64"/>
      <c r="D1234" s="64"/>
      <c r="E1234" s="64"/>
      <c r="F1234" s="64"/>
      <c r="G1234" s="64"/>
      <c r="H1234" s="64"/>
      <c r="I1234" s="64"/>
      <c r="J1234" s="64"/>
      <c r="K1234" s="64"/>
      <c r="L1234" s="64"/>
      <c r="M1234" s="64"/>
      <c r="N1234" s="64"/>
      <c r="O1234" s="64"/>
      <c r="P1234" s="64"/>
      <c r="Q1234" s="64"/>
      <c r="R1234" s="64"/>
      <c r="S1234" s="64"/>
    </row>
    <row r="1235" spans="1:19" x14ac:dyDescent="0.25">
      <c r="A1235" s="63"/>
      <c r="B1235" s="64"/>
      <c r="C1235" s="64"/>
      <c r="D1235" s="64"/>
      <c r="E1235" s="64"/>
      <c r="F1235" s="64"/>
      <c r="G1235" s="64"/>
      <c r="H1235" s="64"/>
      <c r="I1235" s="64"/>
      <c r="J1235" s="64"/>
      <c r="K1235" s="64"/>
      <c r="L1235" s="64"/>
      <c r="M1235" s="64"/>
      <c r="N1235" s="64"/>
      <c r="O1235" s="64"/>
      <c r="P1235" s="64"/>
      <c r="Q1235" s="64"/>
      <c r="R1235" s="64"/>
      <c r="S1235" s="64"/>
    </row>
    <row r="1236" spans="1:19" x14ac:dyDescent="0.25">
      <c r="A1236" s="63"/>
      <c r="B1236" s="64"/>
      <c r="C1236" s="64"/>
      <c r="D1236" s="64"/>
      <c r="E1236" s="64"/>
      <c r="F1236" s="64"/>
      <c r="G1236" s="64"/>
      <c r="H1236" s="64"/>
      <c r="I1236" s="64"/>
      <c r="J1236" s="64"/>
      <c r="K1236" s="64"/>
      <c r="L1236" s="64"/>
      <c r="M1236" s="64"/>
      <c r="N1236" s="64"/>
      <c r="O1236" s="64"/>
      <c r="P1236" s="64"/>
      <c r="Q1236" s="64"/>
      <c r="R1236" s="64"/>
      <c r="S1236" s="64"/>
    </row>
    <row r="1237" spans="1:19" x14ac:dyDescent="0.25">
      <c r="A1237" s="63"/>
      <c r="B1237" s="64"/>
      <c r="C1237" s="64"/>
      <c r="D1237" s="64"/>
      <c r="E1237" s="64"/>
      <c r="F1237" s="64"/>
      <c r="G1237" s="64"/>
      <c r="H1237" s="64"/>
      <c r="I1237" s="64"/>
      <c r="J1237" s="64"/>
      <c r="K1237" s="64"/>
      <c r="L1237" s="64"/>
      <c r="M1237" s="64"/>
      <c r="N1237" s="64"/>
      <c r="O1237" s="64"/>
      <c r="P1237" s="64"/>
      <c r="Q1237" s="64"/>
      <c r="R1237" s="64"/>
      <c r="S1237" s="64"/>
    </row>
    <row r="1238" spans="1:19" x14ac:dyDescent="0.25">
      <c r="A1238" s="63"/>
      <c r="B1238" s="64"/>
      <c r="C1238" s="64"/>
      <c r="D1238" s="64"/>
      <c r="E1238" s="64"/>
      <c r="F1238" s="64"/>
      <c r="G1238" s="64"/>
      <c r="H1238" s="64"/>
      <c r="I1238" s="64"/>
      <c r="J1238" s="64"/>
      <c r="K1238" s="64"/>
      <c r="L1238" s="64"/>
      <c r="M1238" s="64"/>
      <c r="N1238" s="64"/>
      <c r="O1238" s="64"/>
      <c r="P1238" s="64"/>
      <c r="Q1238" s="64"/>
      <c r="R1238" s="64"/>
      <c r="S1238" s="64"/>
    </row>
    <row r="1239" spans="1:19" x14ac:dyDescent="0.25">
      <c r="A1239" s="63"/>
      <c r="B1239" s="64"/>
      <c r="C1239" s="64"/>
      <c r="D1239" s="64"/>
      <c r="E1239" s="64"/>
      <c r="F1239" s="64"/>
      <c r="G1239" s="64"/>
      <c r="H1239" s="64"/>
      <c r="I1239" s="64"/>
      <c r="J1239" s="64"/>
      <c r="K1239" s="64"/>
      <c r="L1239" s="64"/>
      <c r="M1239" s="64"/>
      <c r="N1239" s="64"/>
      <c r="O1239" s="64"/>
      <c r="P1239" s="64"/>
      <c r="Q1239" s="64"/>
      <c r="R1239" s="64"/>
      <c r="S1239" s="64"/>
    </row>
    <row r="1240" spans="1:19" x14ac:dyDescent="0.25">
      <c r="A1240" s="63"/>
      <c r="B1240" s="64"/>
      <c r="C1240" s="64"/>
      <c r="D1240" s="64"/>
      <c r="E1240" s="64"/>
      <c r="F1240" s="64"/>
      <c r="G1240" s="64"/>
      <c r="H1240" s="64"/>
      <c r="I1240" s="64"/>
      <c r="J1240" s="64"/>
      <c r="K1240" s="64"/>
      <c r="L1240" s="64"/>
      <c r="M1240" s="64"/>
      <c r="N1240" s="64"/>
      <c r="O1240" s="64"/>
      <c r="P1240" s="64"/>
      <c r="Q1240" s="64"/>
      <c r="R1240" s="64"/>
      <c r="S1240" s="64"/>
    </row>
    <row r="1241" spans="1:19" x14ac:dyDescent="0.25">
      <c r="A1241" s="63"/>
      <c r="B1241" s="64"/>
      <c r="C1241" s="64"/>
      <c r="D1241" s="64"/>
      <c r="E1241" s="64"/>
      <c r="F1241" s="64"/>
      <c r="G1241" s="64"/>
      <c r="H1241" s="64"/>
      <c r="I1241" s="64"/>
      <c r="J1241" s="64"/>
      <c r="K1241" s="64"/>
      <c r="L1241" s="64"/>
      <c r="M1241" s="64"/>
      <c r="N1241" s="64"/>
      <c r="O1241" s="64"/>
      <c r="P1241" s="64"/>
      <c r="Q1241" s="64"/>
      <c r="R1241" s="64"/>
      <c r="S1241" s="64"/>
    </row>
    <row r="1242" spans="1:19" x14ac:dyDescent="0.25">
      <c r="A1242" s="63"/>
      <c r="B1242" s="64"/>
      <c r="C1242" s="64"/>
      <c r="D1242" s="64"/>
      <c r="E1242" s="64"/>
      <c r="F1242" s="64"/>
      <c r="G1242" s="64"/>
      <c r="H1242" s="64"/>
      <c r="I1242" s="64"/>
      <c r="J1242" s="64"/>
      <c r="K1242" s="64"/>
      <c r="L1242" s="64"/>
      <c r="M1242" s="64"/>
      <c r="N1242" s="64"/>
      <c r="O1242" s="64"/>
      <c r="P1242" s="64"/>
      <c r="Q1242" s="64"/>
      <c r="R1242" s="64"/>
      <c r="S1242" s="64"/>
    </row>
    <row r="1243" spans="1:19" x14ac:dyDescent="0.25">
      <c r="A1243" s="63"/>
      <c r="B1243" s="64"/>
      <c r="C1243" s="64"/>
      <c r="D1243" s="64"/>
      <c r="E1243" s="64"/>
      <c r="F1243" s="64"/>
      <c r="G1243" s="64"/>
      <c r="H1243" s="64"/>
      <c r="I1243" s="64"/>
      <c r="J1243" s="64"/>
      <c r="K1243" s="64"/>
      <c r="L1243" s="64"/>
      <c r="M1243" s="64"/>
      <c r="N1243" s="64"/>
      <c r="O1243" s="64"/>
      <c r="P1243" s="64"/>
      <c r="Q1243" s="64"/>
      <c r="R1243" s="64"/>
      <c r="S1243" s="64"/>
    </row>
    <row r="1244" spans="1:19" x14ac:dyDescent="0.25">
      <c r="A1244" s="63"/>
      <c r="B1244" s="64"/>
      <c r="C1244" s="64"/>
      <c r="D1244" s="64"/>
      <c r="E1244" s="64"/>
      <c r="F1244" s="64"/>
      <c r="G1244" s="64"/>
      <c r="H1244" s="64"/>
      <c r="I1244" s="64"/>
      <c r="J1244" s="64"/>
      <c r="K1244" s="64"/>
      <c r="L1244" s="64"/>
      <c r="M1244" s="64"/>
      <c r="N1244" s="64"/>
      <c r="O1244" s="64"/>
      <c r="P1244" s="64"/>
      <c r="Q1244" s="64"/>
      <c r="R1244" s="64"/>
      <c r="S1244" s="64"/>
    </row>
    <row r="1245" spans="1:19" x14ac:dyDescent="0.25">
      <c r="A1245" s="63"/>
      <c r="B1245" s="64"/>
      <c r="C1245" s="64"/>
      <c r="D1245" s="64"/>
      <c r="E1245" s="64"/>
      <c r="F1245" s="64"/>
      <c r="G1245" s="64"/>
      <c r="H1245" s="64"/>
      <c r="I1245" s="64"/>
      <c r="J1245" s="64"/>
      <c r="K1245" s="64"/>
      <c r="L1245" s="64"/>
      <c r="M1245" s="64"/>
      <c r="N1245" s="64"/>
      <c r="O1245" s="64"/>
      <c r="P1245" s="64"/>
      <c r="Q1245" s="64"/>
      <c r="R1245" s="64"/>
      <c r="S1245" s="64"/>
    </row>
    <row r="1246" spans="1:19" x14ac:dyDescent="0.25">
      <c r="A1246" s="63"/>
      <c r="B1246" s="64"/>
      <c r="C1246" s="64"/>
      <c r="D1246" s="64"/>
      <c r="E1246" s="64"/>
      <c r="F1246" s="64"/>
      <c r="G1246" s="64"/>
      <c r="H1246" s="64"/>
      <c r="I1246" s="64"/>
      <c r="J1246" s="64"/>
      <c r="K1246" s="64"/>
      <c r="L1246" s="64"/>
      <c r="M1246" s="64"/>
      <c r="N1246" s="64"/>
      <c r="O1246" s="64"/>
      <c r="P1246" s="64"/>
      <c r="Q1246" s="64"/>
      <c r="R1246" s="64"/>
      <c r="S1246" s="64"/>
    </row>
    <row r="1247" spans="1:19" x14ac:dyDescent="0.25">
      <c r="A1247" s="63"/>
      <c r="B1247" s="64"/>
      <c r="C1247" s="64"/>
      <c r="D1247" s="64"/>
      <c r="E1247" s="64"/>
      <c r="F1247" s="64"/>
      <c r="G1247" s="64"/>
      <c r="H1247" s="64"/>
      <c r="I1247" s="64"/>
      <c r="J1247" s="64"/>
      <c r="K1247" s="64"/>
      <c r="L1247" s="64"/>
      <c r="M1247" s="64"/>
      <c r="N1247" s="64"/>
      <c r="O1247" s="64"/>
      <c r="P1247" s="64"/>
      <c r="Q1247" s="64"/>
      <c r="R1247" s="64"/>
      <c r="S1247" s="64"/>
    </row>
    <row r="1248" spans="1:19" x14ac:dyDescent="0.25">
      <c r="A1248" s="63"/>
      <c r="B1248" s="64"/>
      <c r="C1248" s="64"/>
      <c r="D1248" s="64"/>
      <c r="E1248" s="64"/>
      <c r="F1248" s="64"/>
      <c r="G1248" s="64"/>
      <c r="H1248" s="64"/>
      <c r="I1248" s="64"/>
      <c r="J1248" s="64"/>
      <c r="K1248" s="64"/>
      <c r="L1248" s="64"/>
      <c r="M1248" s="64"/>
      <c r="N1248" s="64"/>
      <c r="O1248" s="64"/>
      <c r="P1248" s="64"/>
      <c r="Q1248" s="64"/>
      <c r="R1248" s="64"/>
      <c r="S1248" s="64"/>
    </row>
    <row r="1249" spans="1:19" x14ac:dyDescent="0.25">
      <c r="A1249" s="63"/>
      <c r="B1249" s="64"/>
      <c r="C1249" s="64"/>
      <c r="D1249" s="64"/>
      <c r="E1249" s="64"/>
      <c r="F1249" s="64"/>
      <c r="G1249" s="64"/>
      <c r="H1249" s="64"/>
      <c r="I1249" s="64"/>
      <c r="J1249" s="64"/>
      <c r="K1249" s="64"/>
      <c r="L1249" s="64"/>
      <c r="M1249" s="64"/>
      <c r="N1249" s="64"/>
      <c r="O1249" s="64"/>
      <c r="P1249" s="64"/>
      <c r="Q1249" s="64"/>
      <c r="R1249" s="64"/>
      <c r="S1249" s="64"/>
    </row>
    <row r="1250" spans="1:19" x14ac:dyDescent="0.25">
      <c r="A1250" s="63"/>
      <c r="B1250" s="64"/>
      <c r="C1250" s="64"/>
      <c r="D1250" s="64"/>
      <c r="E1250" s="64"/>
      <c r="F1250" s="64"/>
      <c r="G1250" s="64"/>
      <c r="H1250" s="64"/>
      <c r="I1250" s="64"/>
      <c r="J1250" s="64"/>
      <c r="K1250" s="64"/>
      <c r="L1250" s="64"/>
      <c r="M1250" s="64"/>
      <c r="N1250" s="64"/>
      <c r="O1250" s="64"/>
      <c r="P1250" s="64"/>
      <c r="Q1250" s="64"/>
      <c r="R1250" s="64"/>
      <c r="S1250" s="64"/>
    </row>
    <row r="1251" spans="1:19" x14ac:dyDescent="0.25">
      <c r="A1251" s="63"/>
      <c r="B1251" s="64"/>
      <c r="C1251" s="64"/>
      <c r="D1251" s="64"/>
      <c r="E1251" s="64"/>
      <c r="F1251" s="64"/>
      <c r="G1251" s="64"/>
      <c r="H1251" s="64"/>
      <c r="I1251" s="64"/>
      <c r="J1251" s="64"/>
      <c r="K1251" s="64"/>
      <c r="L1251" s="64"/>
      <c r="M1251" s="64"/>
      <c r="N1251" s="64"/>
      <c r="O1251" s="64"/>
      <c r="P1251" s="64"/>
      <c r="Q1251" s="64"/>
      <c r="R1251" s="64"/>
      <c r="S1251" s="64"/>
    </row>
    <row r="1252" spans="1:19" x14ac:dyDescent="0.25">
      <c r="A1252" s="63"/>
      <c r="B1252" s="64"/>
      <c r="C1252" s="64"/>
      <c r="D1252" s="64"/>
      <c r="E1252" s="64"/>
      <c r="F1252" s="64"/>
      <c r="G1252" s="64"/>
      <c r="H1252" s="64"/>
      <c r="I1252" s="64"/>
      <c r="J1252" s="64"/>
      <c r="K1252" s="64"/>
      <c r="L1252" s="64"/>
      <c r="M1252" s="64"/>
      <c r="N1252" s="64"/>
      <c r="O1252" s="64"/>
      <c r="P1252" s="64"/>
      <c r="Q1252" s="64"/>
      <c r="R1252" s="64"/>
      <c r="S1252" s="64"/>
    </row>
    <row r="1253" spans="1:19" x14ac:dyDescent="0.25">
      <c r="A1253" s="63"/>
      <c r="B1253" s="64"/>
      <c r="C1253" s="64"/>
      <c r="D1253" s="64"/>
      <c r="E1253" s="64"/>
      <c r="F1253" s="64"/>
      <c r="G1253" s="64"/>
      <c r="H1253" s="64"/>
      <c r="I1253" s="64"/>
      <c r="J1253" s="64"/>
      <c r="K1253" s="64"/>
      <c r="L1253" s="64"/>
      <c r="M1253" s="64"/>
      <c r="N1253" s="64"/>
      <c r="O1253" s="64"/>
      <c r="P1253" s="64"/>
      <c r="Q1253" s="64"/>
      <c r="R1253" s="64"/>
      <c r="S1253" s="64"/>
    </row>
    <row r="1254" spans="1:19" x14ac:dyDescent="0.25">
      <c r="A1254" s="63"/>
      <c r="B1254" s="64"/>
      <c r="C1254" s="64"/>
      <c r="D1254" s="64"/>
      <c r="E1254" s="64"/>
      <c r="F1254" s="64"/>
      <c r="G1254" s="64"/>
      <c r="H1254" s="64"/>
      <c r="I1254" s="64"/>
      <c r="J1254" s="64"/>
      <c r="K1254" s="64"/>
      <c r="L1254" s="64"/>
      <c r="M1254" s="64"/>
      <c r="N1254" s="64"/>
      <c r="O1254" s="64"/>
      <c r="P1254" s="64"/>
      <c r="Q1254" s="64"/>
      <c r="R1254" s="64"/>
      <c r="S1254" s="64"/>
    </row>
    <row r="1255" spans="1:19" x14ac:dyDescent="0.25">
      <c r="A1255" s="63"/>
      <c r="B1255" s="64"/>
      <c r="C1255" s="64"/>
      <c r="D1255" s="64"/>
      <c r="E1255" s="64"/>
      <c r="F1255" s="64"/>
      <c r="G1255" s="64"/>
      <c r="H1255" s="64"/>
      <c r="I1255" s="64"/>
      <c r="J1255" s="64"/>
      <c r="K1255" s="64"/>
      <c r="L1255" s="64"/>
      <c r="M1255" s="64"/>
      <c r="N1255" s="64"/>
      <c r="O1255" s="64"/>
      <c r="P1255" s="64"/>
      <c r="Q1255" s="64"/>
      <c r="R1255" s="64"/>
      <c r="S1255" s="64"/>
    </row>
    <row r="1256" spans="1:19" x14ac:dyDescent="0.25">
      <c r="A1256" s="63"/>
      <c r="B1256" s="64"/>
      <c r="C1256" s="64"/>
      <c r="D1256" s="64"/>
      <c r="E1256" s="64"/>
      <c r="F1256" s="64"/>
      <c r="G1256" s="64"/>
      <c r="H1256" s="64"/>
      <c r="I1256" s="64"/>
      <c r="J1256" s="64"/>
      <c r="K1256" s="64"/>
      <c r="L1256" s="64"/>
      <c r="M1256" s="64"/>
      <c r="N1256" s="64"/>
      <c r="O1256" s="64"/>
      <c r="P1256" s="64"/>
      <c r="Q1256" s="64"/>
      <c r="R1256" s="64"/>
      <c r="S1256" s="64"/>
    </row>
    <row r="1257" spans="1:19" x14ac:dyDescent="0.25">
      <c r="A1257" s="63"/>
      <c r="B1257" s="64"/>
      <c r="C1257" s="64"/>
      <c r="D1257" s="64"/>
      <c r="E1257" s="64"/>
      <c r="F1257" s="64"/>
      <c r="G1257" s="64"/>
      <c r="H1257" s="64"/>
      <c r="I1257" s="64"/>
      <c r="J1257" s="64"/>
      <c r="K1257" s="64"/>
      <c r="L1257" s="64"/>
      <c r="M1257" s="64"/>
      <c r="N1257" s="64"/>
      <c r="O1257" s="64"/>
      <c r="P1257" s="64"/>
      <c r="Q1257" s="64"/>
      <c r="R1257" s="64"/>
      <c r="S1257" s="64"/>
    </row>
    <row r="1258" spans="1:19" x14ac:dyDescent="0.25">
      <c r="A1258" s="63"/>
      <c r="B1258" s="64"/>
      <c r="C1258" s="64"/>
      <c r="D1258" s="64"/>
      <c r="E1258" s="64"/>
      <c r="F1258" s="64"/>
      <c r="G1258" s="64"/>
      <c r="H1258" s="64"/>
      <c r="I1258" s="64"/>
      <c r="J1258" s="64"/>
      <c r="K1258" s="64"/>
      <c r="L1258" s="64"/>
      <c r="M1258" s="64"/>
      <c r="N1258" s="64"/>
      <c r="O1258" s="64"/>
      <c r="P1258" s="64"/>
      <c r="Q1258" s="64"/>
      <c r="R1258" s="64"/>
      <c r="S1258" s="64"/>
    </row>
    <row r="1259" spans="1:19" x14ac:dyDescent="0.25">
      <c r="A1259" s="63"/>
      <c r="B1259" s="64"/>
      <c r="C1259" s="64"/>
      <c r="D1259" s="64"/>
      <c r="E1259" s="64"/>
      <c r="F1259" s="64"/>
      <c r="G1259" s="64"/>
      <c r="H1259" s="64"/>
      <c r="I1259" s="64"/>
      <c r="J1259" s="64"/>
      <c r="K1259" s="64"/>
      <c r="L1259" s="64"/>
      <c r="M1259" s="64"/>
      <c r="N1259" s="64"/>
      <c r="O1259" s="64"/>
      <c r="P1259" s="64"/>
      <c r="Q1259" s="64"/>
      <c r="R1259" s="64"/>
      <c r="S1259" s="64"/>
    </row>
    <row r="1260" spans="1:19" x14ac:dyDescent="0.25">
      <c r="A1260" s="63"/>
      <c r="B1260" s="64"/>
      <c r="C1260" s="64"/>
      <c r="D1260" s="64"/>
      <c r="E1260" s="64"/>
      <c r="F1260" s="64"/>
      <c r="G1260" s="64"/>
      <c r="H1260" s="64"/>
      <c r="I1260" s="64"/>
      <c r="J1260" s="64"/>
      <c r="K1260" s="64"/>
      <c r="L1260" s="64"/>
      <c r="M1260" s="64"/>
      <c r="N1260" s="64"/>
      <c r="O1260" s="64"/>
      <c r="P1260" s="64"/>
      <c r="Q1260" s="64"/>
      <c r="R1260" s="64"/>
      <c r="S1260" s="64"/>
    </row>
    <row r="1261" spans="1:19" x14ac:dyDescent="0.25">
      <c r="A1261" s="63"/>
      <c r="B1261" s="64"/>
      <c r="C1261" s="64"/>
      <c r="D1261" s="64"/>
      <c r="E1261" s="64"/>
      <c r="F1261" s="64"/>
      <c r="G1261" s="64"/>
      <c r="H1261" s="64"/>
      <c r="I1261" s="64"/>
      <c r="J1261" s="64"/>
      <c r="K1261" s="64"/>
      <c r="L1261" s="64"/>
      <c r="M1261" s="64"/>
      <c r="N1261" s="64"/>
      <c r="O1261" s="64"/>
      <c r="P1261" s="64"/>
      <c r="Q1261" s="64"/>
      <c r="R1261" s="64"/>
      <c r="S1261" s="64"/>
    </row>
    <row r="1262" spans="1:19" x14ac:dyDescent="0.25">
      <c r="A1262" s="63"/>
      <c r="B1262" s="64"/>
      <c r="C1262" s="64"/>
      <c r="D1262" s="64"/>
      <c r="E1262" s="64"/>
      <c r="F1262" s="64"/>
      <c r="G1262" s="64"/>
      <c r="H1262" s="64"/>
      <c r="I1262" s="64"/>
      <c r="J1262" s="64"/>
      <c r="K1262" s="64"/>
      <c r="L1262" s="64"/>
      <c r="M1262" s="64"/>
      <c r="N1262" s="64"/>
      <c r="O1262" s="64"/>
      <c r="P1262" s="64"/>
      <c r="Q1262" s="64"/>
      <c r="R1262" s="64"/>
      <c r="S1262" s="64"/>
    </row>
    <row r="1263" spans="1:19" x14ac:dyDescent="0.25">
      <c r="A1263" s="63"/>
      <c r="B1263" s="64"/>
      <c r="C1263" s="64"/>
      <c r="D1263" s="64"/>
      <c r="E1263" s="64"/>
      <c r="F1263" s="64"/>
      <c r="G1263" s="64"/>
      <c r="H1263" s="64"/>
      <c r="I1263" s="64"/>
      <c r="J1263" s="64"/>
      <c r="K1263" s="64"/>
      <c r="L1263" s="64"/>
      <c r="M1263" s="64"/>
      <c r="N1263" s="64"/>
      <c r="O1263" s="64"/>
      <c r="P1263" s="64"/>
      <c r="Q1263" s="64"/>
      <c r="R1263" s="64"/>
      <c r="S1263" s="64"/>
    </row>
    <row r="1264" spans="1:19" x14ac:dyDescent="0.25">
      <c r="A1264" s="63"/>
      <c r="B1264" s="64"/>
      <c r="C1264" s="64"/>
      <c r="D1264" s="64"/>
      <c r="E1264" s="64"/>
      <c r="F1264" s="64"/>
      <c r="G1264" s="64"/>
      <c r="H1264" s="64"/>
      <c r="I1264" s="64"/>
      <c r="J1264" s="64"/>
      <c r="K1264" s="64"/>
      <c r="L1264" s="64"/>
      <c r="M1264" s="64"/>
      <c r="N1264" s="64"/>
      <c r="O1264" s="64"/>
      <c r="P1264" s="64"/>
      <c r="Q1264" s="64"/>
      <c r="R1264" s="64"/>
      <c r="S1264" s="64"/>
    </row>
    <row r="1265" spans="1:19" x14ac:dyDescent="0.25">
      <c r="A1265" s="63"/>
      <c r="B1265" s="64"/>
      <c r="C1265" s="64"/>
      <c r="D1265" s="64"/>
      <c r="E1265" s="64"/>
      <c r="F1265" s="64"/>
      <c r="G1265" s="64"/>
      <c r="H1265" s="64"/>
      <c r="I1265" s="64"/>
      <c r="J1265" s="64"/>
      <c r="K1265" s="64"/>
      <c r="L1265" s="64"/>
      <c r="M1265" s="64"/>
      <c r="N1265" s="64"/>
      <c r="O1265" s="64"/>
      <c r="P1265" s="64"/>
      <c r="Q1265" s="64"/>
      <c r="R1265" s="64"/>
      <c r="S1265" s="64"/>
    </row>
    <row r="1266" spans="1:19" x14ac:dyDescent="0.25">
      <c r="A1266" s="63"/>
      <c r="B1266" s="64"/>
      <c r="C1266" s="64"/>
      <c r="D1266" s="64"/>
      <c r="E1266" s="64"/>
      <c r="F1266" s="64"/>
      <c r="G1266" s="64"/>
      <c r="H1266" s="64"/>
      <c r="I1266" s="64"/>
      <c r="J1266" s="64"/>
      <c r="K1266" s="64"/>
      <c r="L1266" s="64"/>
      <c r="M1266" s="64"/>
      <c r="N1266" s="64"/>
      <c r="O1266" s="64"/>
      <c r="P1266" s="64"/>
      <c r="Q1266" s="64"/>
      <c r="R1266" s="64"/>
      <c r="S1266" s="64"/>
    </row>
    <row r="1267" spans="1:19" x14ac:dyDescent="0.25">
      <c r="A1267" s="63"/>
      <c r="B1267" s="64"/>
      <c r="C1267" s="64"/>
      <c r="D1267" s="64"/>
      <c r="E1267" s="64"/>
      <c r="F1267" s="64"/>
      <c r="G1267" s="64"/>
      <c r="H1267" s="64"/>
      <c r="I1267" s="64"/>
      <c r="J1267" s="64"/>
      <c r="K1267" s="64"/>
      <c r="L1267" s="64"/>
      <c r="M1267" s="64"/>
      <c r="N1267" s="64"/>
      <c r="O1267" s="64"/>
      <c r="P1267" s="64"/>
      <c r="Q1267" s="64"/>
      <c r="R1267" s="64"/>
      <c r="S1267" s="64"/>
    </row>
    <row r="1268" spans="1:19" x14ac:dyDescent="0.25">
      <c r="A1268" s="63"/>
      <c r="B1268" s="64"/>
      <c r="C1268" s="64"/>
      <c r="D1268" s="64"/>
      <c r="E1268" s="64"/>
      <c r="F1268" s="64"/>
      <c r="G1268" s="64"/>
      <c r="H1268" s="64"/>
      <c r="I1268" s="64"/>
      <c r="J1268" s="64"/>
      <c r="K1268" s="64"/>
      <c r="L1268" s="64"/>
      <c r="M1268" s="64"/>
      <c r="N1268" s="64"/>
      <c r="O1268" s="64"/>
      <c r="P1268" s="64"/>
      <c r="Q1268" s="64"/>
      <c r="R1268" s="64"/>
      <c r="S1268" s="64"/>
    </row>
    <row r="1269" spans="1:19" x14ac:dyDescent="0.25">
      <c r="A1269" s="63"/>
      <c r="B1269" s="64"/>
      <c r="C1269" s="64"/>
      <c r="D1269" s="64"/>
      <c r="E1269" s="64"/>
      <c r="F1269" s="64"/>
      <c r="G1269" s="64"/>
      <c r="H1269" s="64"/>
      <c r="I1269" s="64"/>
      <c r="J1269" s="64"/>
      <c r="K1269" s="64"/>
      <c r="L1269" s="64"/>
      <c r="M1269" s="64"/>
      <c r="N1269" s="64"/>
      <c r="O1269" s="64"/>
      <c r="P1269" s="64"/>
      <c r="Q1269" s="64"/>
      <c r="R1269" s="64"/>
      <c r="S1269" s="64"/>
    </row>
    <row r="1270" spans="1:19" x14ac:dyDescent="0.25">
      <c r="A1270" s="63"/>
      <c r="B1270" s="64"/>
      <c r="C1270" s="64"/>
      <c r="D1270" s="64"/>
      <c r="E1270" s="64"/>
      <c r="F1270" s="64"/>
      <c r="G1270" s="64"/>
      <c r="H1270" s="64"/>
      <c r="I1270" s="64"/>
      <c r="J1270" s="64"/>
      <c r="K1270" s="64"/>
      <c r="L1270" s="64"/>
      <c r="M1270" s="64"/>
      <c r="N1270" s="64"/>
      <c r="O1270" s="64"/>
      <c r="P1270" s="64"/>
      <c r="Q1270" s="64"/>
      <c r="R1270" s="64"/>
      <c r="S1270" s="64"/>
    </row>
    <row r="1271" spans="1:19" x14ac:dyDescent="0.25">
      <c r="A1271" s="63"/>
      <c r="B1271" s="64"/>
      <c r="C1271" s="64"/>
      <c r="D1271" s="64"/>
      <c r="E1271" s="64"/>
      <c r="F1271" s="64"/>
      <c r="G1271" s="64"/>
      <c r="H1271" s="64"/>
      <c r="I1271" s="64"/>
      <c r="J1271" s="64"/>
      <c r="K1271" s="64"/>
      <c r="L1271" s="64"/>
      <c r="M1271" s="64"/>
      <c r="N1271" s="64"/>
      <c r="O1271" s="64"/>
      <c r="P1271" s="64"/>
      <c r="Q1271" s="64"/>
      <c r="R1271" s="64"/>
      <c r="S1271" s="64"/>
    </row>
    <row r="1272" spans="1:19" x14ac:dyDescent="0.25">
      <c r="A1272" s="63"/>
      <c r="B1272" s="64"/>
      <c r="C1272" s="64"/>
      <c r="D1272" s="64"/>
      <c r="E1272" s="64"/>
      <c r="F1272" s="64"/>
      <c r="G1272" s="64"/>
      <c r="H1272" s="64"/>
      <c r="I1272" s="64"/>
      <c r="J1272" s="64"/>
      <c r="K1272" s="64"/>
      <c r="L1272" s="64"/>
      <c r="M1272" s="64"/>
      <c r="N1272" s="64"/>
      <c r="O1272" s="64"/>
      <c r="P1272" s="64"/>
      <c r="Q1272" s="64"/>
      <c r="R1272" s="64"/>
      <c r="S1272" s="64"/>
    </row>
    <row r="1273" spans="1:19" x14ac:dyDescent="0.25">
      <c r="A1273" s="63"/>
      <c r="B1273" s="64"/>
      <c r="C1273" s="64"/>
      <c r="D1273" s="64"/>
      <c r="E1273" s="64"/>
      <c r="F1273" s="64"/>
      <c r="G1273" s="64"/>
      <c r="H1273" s="64"/>
      <c r="I1273" s="64"/>
      <c r="J1273" s="64"/>
      <c r="K1273" s="64"/>
      <c r="L1273" s="64"/>
      <c r="M1273" s="64"/>
      <c r="N1273" s="64"/>
      <c r="O1273" s="64"/>
      <c r="P1273" s="64"/>
      <c r="Q1273" s="64"/>
      <c r="R1273" s="64"/>
      <c r="S1273" s="64"/>
    </row>
    <row r="1274" spans="1:19" x14ac:dyDescent="0.25">
      <c r="A1274" s="63"/>
      <c r="B1274" s="64"/>
      <c r="C1274" s="64"/>
      <c r="D1274" s="64"/>
      <c r="E1274" s="64"/>
      <c r="F1274" s="64"/>
      <c r="G1274" s="64"/>
      <c r="H1274" s="64"/>
      <c r="I1274" s="64"/>
      <c r="J1274" s="64"/>
      <c r="K1274" s="64"/>
      <c r="L1274" s="64"/>
      <c r="M1274" s="64"/>
      <c r="N1274" s="64"/>
      <c r="O1274" s="64"/>
      <c r="P1274" s="64"/>
      <c r="Q1274" s="64"/>
      <c r="R1274" s="64"/>
      <c r="S1274" s="64"/>
    </row>
    <row r="1275" spans="1:19" x14ac:dyDescent="0.25">
      <c r="A1275" s="63"/>
      <c r="B1275" s="64"/>
      <c r="C1275" s="64"/>
      <c r="D1275" s="64"/>
      <c r="E1275" s="64"/>
      <c r="F1275" s="64"/>
      <c r="G1275" s="64"/>
      <c r="H1275" s="64"/>
      <c r="I1275" s="64"/>
      <c r="J1275" s="64"/>
      <c r="K1275" s="64"/>
      <c r="L1275" s="64"/>
      <c r="M1275" s="64"/>
      <c r="N1275" s="64"/>
      <c r="O1275" s="64"/>
      <c r="P1275" s="64"/>
      <c r="Q1275" s="64"/>
      <c r="R1275" s="64"/>
      <c r="S1275" s="64"/>
    </row>
    <row r="1276" spans="1:19" x14ac:dyDescent="0.25">
      <c r="A1276" s="63"/>
      <c r="B1276" s="64"/>
      <c r="C1276" s="64"/>
      <c r="D1276" s="64"/>
      <c r="E1276" s="64"/>
      <c r="F1276" s="64"/>
      <c r="G1276" s="64"/>
      <c r="H1276" s="64"/>
      <c r="I1276" s="64"/>
      <c r="J1276" s="64"/>
      <c r="K1276" s="64"/>
      <c r="L1276" s="64"/>
      <c r="M1276" s="64"/>
      <c r="N1276" s="64"/>
      <c r="O1276" s="64"/>
      <c r="P1276" s="64"/>
      <c r="Q1276" s="64"/>
      <c r="R1276" s="64"/>
      <c r="S1276" s="64"/>
    </row>
    <row r="1277" spans="1:19" x14ac:dyDescent="0.25">
      <c r="A1277" s="63"/>
      <c r="B1277" s="64"/>
      <c r="C1277" s="64"/>
      <c r="D1277" s="64"/>
      <c r="E1277" s="64"/>
      <c r="F1277" s="64"/>
      <c r="G1277" s="64"/>
      <c r="H1277" s="64"/>
      <c r="I1277" s="64"/>
      <c r="J1277" s="64"/>
      <c r="K1277" s="64"/>
      <c r="L1277" s="64"/>
      <c r="M1277" s="64"/>
      <c r="N1277" s="64"/>
      <c r="O1277" s="64"/>
      <c r="P1277" s="64"/>
      <c r="Q1277" s="64"/>
      <c r="R1277" s="64"/>
      <c r="S1277" s="64"/>
    </row>
    <row r="1278" spans="1:19" x14ac:dyDescent="0.25">
      <c r="A1278" s="63"/>
      <c r="B1278" s="64"/>
      <c r="C1278" s="64"/>
      <c r="D1278" s="64"/>
      <c r="E1278" s="64"/>
      <c r="F1278" s="64"/>
      <c r="G1278" s="64"/>
      <c r="H1278" s="64"/>
      <c r="I1278" s="64"/>
      <c r="J1278" s="64"/>
      <c r="K1278" s="64"/>
      <c r="L1278" s="64"/>
      <c r="M1278" s="64"/>
      <c r="N1278" s="64"/>
      <c r="O1278" s="64"/>
      <c r="P1278" s="64"/>
      <c r="Q1278" s="64"/>
      <c r="R1278" s="64"/>
      <c r="S1278" s="64"/>
    </row>
    <row r="1279" spans="1:19" x14ac:dyDescent="0.25">
      <c r="A1279" s="63"/>
      <c r="B1279" s="64"/>
      <c r="C1279" s="64"/>
      <c r="D1279" s="64"/>
      <c r="E1279" s="64"/>
      <c r="F1279" s="64"/>
      <c r="G1279" s="64"/>
      <c r="H1279" s="64"/>
      <c r="I1279" s="64"/>
      <c r="J1279" s="64"/>
      <c r="K1279" s="64"/>
      <c r="L1279" s="64"/>
      <c r="M1279" s="64"/>
      <c r="N1279" s="64"/>
      <c r="O1279" s="64"/>
      <c r="P1279" s="64"/>
      <c r="Q1279" s="64"/>
      <c r="R1279" s="64"/>
      <c r="S1279" s="64"/>
    </row>
    <row r="1280" spans="1:19" x14ac:dyDescent="0.25">
      <c r="A1280" s="63"/>
      <c r="B1280" s="64"/>
      <c r="C1280" s="64"/>
      <c r="D1280" s="64"/>
      <c r="E1280" s="64"/>
      <c r="F1280" s="64"/>
      <c r="G1280" s="64"/>
      <c r="H1280" s="64"/>
      <c r="I1280" s="64"/>
      <c r="J1280" s="64"/>
      <c r="K1280" s="64"/>
      <c r="L1280" s="64"/>
      <c r="M1280" s="64"/>
      <c r="N1280" s="64"/>
      <c r="O1280" s="64"/>
      <c r="P1280" s="64"/>
      <c r="Q1280" s="64"/>
      <c r="R1280" s="64"/>
      <c r="S1280" s="64"/>
    </row>
    <row r="1281" spans="1:19" x14ac:dyDescent="0.25">
      <c r="A1281" s="63"/>
      <c r="B1281" s="64"/>
      <c r="C1281" s="64"/>
      <c r="D1281" s="64"/>
      <c r="E1281" s="64"/>
      <c r="F1281" s="64"/>
      <c r="G1281" s="64"/>
      <c r="H1281" s="64"/>
      <c r="I1281" s="64"/>
      <c r="J1281" s="64"/>
      <c r="K1281" s="64"/>
      <c r="L1281" s="64"/>
      <c r="M1281" s="64"/>
      <c r="N1281" s="64"/>
      <c r="O1281" s="64"/>
      <c r="P1281" s="64"/>
      <c r="Q1281" s="64"/>
      <c r="R1281" s="64"/>
      <c r="S1281" s="64"/>
    </row>
    <row r="1282" spans="1:19" x14ac:dyDescent="0.25">
      <c r="A1282" s="63"/>
      <c r="B1282" s="64"/>
      <c r="C1282" s="64"/>
      <c r="D1282" s="64"/>
      <c r="E1282" s="64"/>
      <c r="F1282" s="64"/>
      <c r="G1282" s="64"/>
      <c r="H1282" s="64"/>
      <c r="I1282" s="64"/>
      <c r="J1282" s="64"/>
      <c r="K1282" s="64"/>
      <c r="L1282" s="64"/>
      <c r="M1282" s="64"/>
      <c r="N1282" s="64"/>
      <c r="O1282" s="64"/>
      <c r="P1282" s="64"/>
      <c r="Q1282" s="64"/>
      <c r="R1282" s="64"/>
      <c r="S1282" s="64"/>
    </row>
    <row r="1283" spans="1:19" x14ac:dyDescent="0.25">
      <c r="A1283" s="63"/>
      <c r="B1283" s="64"/>
      <c r="C1283" s="64"/>
      <c r="D1283" s="64"/>
      <c r="E1283" s="64"/>
      <c r="F1283" s="64"/>
      <c r="G1283" s="64"/>
      <c r="H1283" s="64"/>
      <c r="I1283" s="64"/>
      <c r="J1283" s="64"/>
      <c r="K1283" s="64"/>
      <c r="L1283" s="64"/>
      <c r="M1283" s="64"/>
      <c r="N1283" s="64"/>
      <c r="O1283" s="64"/>
      <c r="P1283" s="64"/>
      <c r="Q1283" s="64"/>
      <c r="R1283" s="64"/>
      <c r="S1283" s="64"/>
    </row>
    <row r="1284" spans="1:19" x14ac:dyDescent="0.25">
      <c r="A1284" s="63"/>
      <c r="B1284" s="64"/>
      <c r="C1284" s="64"/>
      <c r="D1284" s="64"/>
      <c r="E1284" s="64"/>
      <c r="F1284" s="64"/>
      <c r="G1284" s="64"/>
      <c r="H1284" s="64"/>
      <c r="I1284" s="64"/>
      <c r="J1284" s="64"/>
      <c r="K1284" s="64"/>
      <c r="L1284" s="64"/>
      <c r="M1284" s="64"/>
      <c r="N1284" s="64"/>
      <c r="O1284" s="64"/>
      <c r="P1284" s="64"/>
      <c r="Q1284" s="64"/>
      <c r="R1284" s="64"/>
      <c r="S1284" s="64"/>
    </row>
    <row r="1285" spans="1:19" x14ac:dyDescent="0.25">
      <c r="A1285" s="63"/>
      <c r="B1285" s="64"/>
      <c r="C1285" s="64"/>
      <c r="D1285" s="64"/>
      <c r="E1285" s="64"/>
      <c r="F1285" s="64"/>
      <c r="G1285" s="64"/>
      <c r="H1285" s="64"/>
      <c r="I1285" s="64"/>
      <c r="J1285" s="64"/>
      <c r="K1285" s="64"/>
      <c r="L1285" s="64"/>
      <c r="M1285" s="64"/>
      <c r="N1285" s="64"/>
      <c r="O1285" s="64"/>
      <c r="P1285" s="64"/>
      <c r="Q1285" s="64"/>
      <c r="R1285" s="64"/>
      <c r="S1285" s="64"/>
    </row>
    <row r="1286" spans="1:19" x14ac:dyDescent="0.25">
      <c r="A1286" s="63"/>
      <c r="B1286" s="64"/>
      <c r="C1286" s="64"/>
      <c r="D1286" s="64"/>
      <c r="E1286" s="64"/>
      <c r="F1286" s="64"/>
      <c r="G1286" s="64"/>
      <c r="H1286" s="64"/>
      <c r="I1286" s="64"/>
      <c r="J1286" s="64"/>
      <c r="K1286" s="64"/>
      <c r="L1286" s="64"/>
      <c r="M1286" s="64"/>
      <c r="N1286" s="64"/>
      <c r="O1286" s="64"/>
      <c r="P1286" s="64"/>
      <c r="Q1286" s="64"/>
      <c r="R1286" s="64"/>
      <c r="S1286" s="64"/>
    </row>
    <row r="1287" spans="1:19" x14ac:dyDescent="0.25">
      <c r="A1287" s="63"/>
      <c r="B1287" s="64"/>
      <c r="C1287" s="64"/>
      <c r="D1287" s="64"/>
      <c r="E1287" s="64"/>
      <c r="F1287" s="64"/>
      <c r="G1287" s="64"/>
      <c r="H1287" s="64"/>
      <c r="I1287" s="64"/>
      <c r="J1287" s="64"/>
      <c r="K1287" s="64"/>
      <c r="L1287" s="64"/>
      <c r="M1287" s="64"/>
      <c r="N1287" s="64"/>
      <c r="O1287" s="64"/>
      <c r="P1287" s="64"/>
      <c r="Q1287" s="64"/>
      <c r="R1287" s="64"/>
      <c r="S1287" s="64"/>
    </row>
    <row r="1288" spans="1:19" x14ac:dyDescent="0.25">
      <c r="A1288" s="63"/>
      <c r="B1288" s="64"/>
      <c r="C1288" s="64"/>
      <c r="D1288" s="64"/>
      <c r="E1288" s="64"/>
      <c r="F1288" s="64"/>
      <c r="G1288" s="64"/>
      <c r="H1288" s="64"/>
      <c r="I1288" s="64"/>
      <c r="J1288" s="64"/>
      <c r="K1288" s="64"/>
      <c r="L1288" s="64"/>
      <c r="M1288" s="64"/>
      <c r="N1288" s="64"/>
      <c r="O1288" s="64"/>
      <c r="P1288" s="64"/>
      <c r="Q1288" s="64"/>
      <c r="R1288" s="64"/>
      <c r="S1288" s="64"/>
    </row>
    <row r="1289" spans="1:19" x14ac:dyDescent="0.25">
      <c r="A1289" s="63"/>
      <c r="B1289" s="64"/>
      <c r="C1289" s="64"/>
      <c r="D1289" s="64"/>
      <c r="E1289" s="64"/>
      <c r="F1289" s="64"/>
      <c r="G1289" s="64"/>
      <c r="H1289" s="64"/>
      <c r="I1289" s="64"/>
      <c r="J1289" s="64"/>
      <c r="K1289" s="64"/>
      <c r="L1289" s="64"/>
      <c r="M1289" s="64"/>
      <c r="N1289" s="64"/>
      <c r="O1289" s="64"/>
      <c r="P1289" s="64"/>
      <c r="Q1289" s="64"/>
      <c r="R1289" s="64"/>
      <c r="S1289" s="64"/>
    </row>
    <row r="1290" spans="1:19" x14ac:dyDescent="0.25">
      <c r="A1290" s="63"/>
      <c r="B1290" s="64"/>
      <c r="C1290" s="64"/>
      <c r="D1290" s="64"/>
      <c r="E1290" s="64"/>
      <c r="F1290" s="64"/>
      <c r="G1290" s="64"/>
      <c r="H1290" s="64"/>
      <c r="I1290" s="64"/>
      <c r="J1290" s="64"/>
      <c r="K1290" s="64"/>
      <c r="L1290" s="64"/>
      <c r="M1290" s="64"/>
      <c r="N1290" s="64"/>
      <c r="O1290" s="64"/>
      <c r="P1290" s="64"/>
      <c r="Q1290" s="64"/>
      <c r="R1290" s="64"/>
      <c r="S1290" s="64"/>
    </row>
    <row r="1291" spans="1:19" x14ac:dyDescent="0.25">
      <c r="A1291" s="63"/>
      <c r="B1291" s="64"/>
      <c r="C1291" s="64"/>
      <c r="D1291" s="64"/>
      <c r="E1291" s="64"/>
      <c r="F1291" s="64"/>
      <c r="G1291" s="64"/>
      <c r="H1291" s="64"/>
      <c r="I1291" s="64"/>
      <c r="J1291" s="64"/>
      <c r="K1291" s="64"/>
      <c r="L1291" s="64"/>
      <c r="M1291" s="64"/>
      <c r="N1291" s="64"/>
      <c r="O1291" s="64"/>
      <c r="P1291" s="64"/>
      <c r="Q1291" s="64"/>
      <c r="R1291" s="64"/>
      <c r="S1291" s="64"/>
    </row>
    <row r="1292" spans="1:19" x14ac:dyDescent="0.25">
      <c r="A1292" s="63"/>
      <c r="B1292" s="64"/>
      <c r="C1292" s="64"/>
      <c r="D1292" s="64"/>
      <c r="E1292" s="64"/>
      <c r="F1292" s="64"/>
      <c r="G1292" s="64"/>
      <c r="H1292" s="64"/>
      <c r="I1292" s="64"/>
      <c r="J1292" s="64"/>
      <c r="K1292" s="64"/>
      <c r="L1292" s="64"/>
      <c r="M1292" s="64"/>
      <c r="N1292" s="64"/>
      <c r="O1292" s="64"/>
      <c r="P1292" s="64"/>
      <c r="Q1292" s="64"/>
      <c r="R1292" s="64"/>
      <c r="S1292" s="64"/>
    </row>
    <row r="1293" spans="1:19" x14ac:dyDescent="0.25">
      <c r="A1293" s="63"/>
      <c r="B1293" s="64"/>
      <c r="C1293" s="64"/>
      <c r="D1293" s="64"/>
      <c r="E1293" s="64"/>
      <c r="F1293" s="64"/>
      <c r="G1293" s="64"/>
      <c r="H1293" s="64"/>
      <c r="I1293" s="64"/>
      <c r="J1293" s="64"/>
      <c r="K1293" s="64"/>
      <c r="L1293" s="64"/>
      <c r="M1293" s="64"/>
      <c r="N1293" s="64"/>
      <c r="O1293" s="64"/>
      <c r="P1293" s="64"/>
      <c r="Q1293" s="64"/>
      <c r="R1293" s="64"/>
      <c r="S1293" s="64"/>
    </row>
    <row r="1294" spans="1:19" x14ac:dyDescent="0.25">
      <c r="A1294" s="63"/>
      <c r="B1294" s="64"/>
      <c r="C1294" s="64"/>
      <c r="D1294" s="64"/>
      <c r="E1294" s="64"/>
      <c r="F1294" s="64"/>
      <c r="G1294" s="64"/>
      <c r="H1294" s="64"/>
      <c r="I1294" s="64"/>
      <c r="J1294" s="64"/>
      <c r="K1294" s="64"/>
      <c r="L1294" s="64"/>
      <c r="M1294" s="64"/>
      <c r="N1294" s="64"/>
      <c r="O1294" s="64"/>
      <c r="P1294" s="64"/>
      <c r="Q1294" s="64"/>
      <c r="R1294" s="64"/>
      <c r="S1294" s="64"/>
    </row>
    <row r="1295" spans="1:19" x14ac:dyDescent="0.25">
      <c r="A1295" s="63"/>
      <c r="B1295" s="64"/>
      <c r="C1295" s="64"/>
      <c r="D1295" s="64"/>
      <c r="E1295" s="64"/>
      <c r="F1295" s="64"/>
      <c r="G1295" s="64"/>
      <c r="H1295" s="64"/>
      <c r="I1295" s="64"/>
      <c r="J1295" s="64"/>
      <c r="K1295" s="64"/>
      <c r="L1295" s="64"/>
      <c r="M1295" s="64"/>
      <c r="N1295" s="64"/>
      <c r="O1295" s="64"/>
      <c r="P1295" s="64"/>
      <c r="Q1295" s="64"/>
      <c r="R1295" s="64"/>
      <c r="S1295" s="64"/>
    </row>
    <row r="1296" spans="1:19" x14ac:dyDescent="0.25">
      <c r="A1296" s="63"/>
      <c r="B1296" s="64"/>
      <c r="C1296" s="64"/>
      <c r="D1296" s="64"/>
      <c r="E1296" s="64"/>
      <c r="F1296" s="64"/>
      <c r="G1296" s="64"/>
      <c r="H1296" s="64"/>
      <c r="I1296" s="64"/>
      <c r="J1296" s="64"/>
      <c r="K1296" s="64"/>
      <c r="L1296" s="64"/>
      <c r="M1296" s="64"/>
      <c r="N1296" s="64"/>
      <c r="O1296" s="64"/>
      <c r="P1296" s="64"/>
      <c r="Q1296" s="64"/>
      <c r="R1296" s="64"/>
      <c r="S1296" s="64"/>
    </row>
    <row r="1297" spans="1:19" x14ac:dyDescent="0.25">
      <c r="A1297" s="63"/>
      <c r="B1297" s="64"/>
      <c r="C1297" s="64"/>
      <c r="D1297" s="64"/>
      <c r="E1297" s="64"/>
      <c r="F1297" s="64"/>
      <c r="G1297" s="64"/>
      <c r="H1297" s="64"/>
      <c r="I1297" s="64"/>
      <c r="J1297" s="64"/>
      <c r="K1297" s="64"/>
      <c r="L1297" s="64"/>
      <c r="M1297" s="64"/>
      <c r="N1297" s="64"/>
      <c r="O1297" s="64"/>
      <c r="P1297" s="64"/>
      <c r="Q1297" s="64"/>
      <c r="R1297" s="64"/>
      <c r="S1297" s="64"/>
    </row>
    <row r="1298" spans="1:19" x14ac:dyDescent="0.25">
      <c r="A1298" s="63"/>
      <c r="B1298" s="64"/>
      <c r="C1298" s="64"/>
      <c r="D1298" s="64"/>
      <c r="E1298" s="64"/>
      <c r="F1298" s="64"/>
      <c r="G1298" s="64"/>
      <c r="H1298" s="64"/>
      <c r="I1298" s="64"/>
      <c r="J1298" s="64"/>
      <c r="K1298" s="64"/>
      <c r="L1298" s="64"/>
      <c r="M1298" s="64"/>
      <c r="N1298" s="64"/>
      <c r="O1298" s="64"/>
      <c r="P1298" s="64"/>
      <c r="Q1298" s="64"/>
      <c r="R1298" s="64"/>
      <c r="S1298" s="64"/>
    </row>
    <row r="1299" spans="1:19" x14ac:dyDescent="0.25">
      <c r="A1299" s="63"/>
      <c r="B1299" s="64"/>
      <c r="C1299" s="64"/>
      <c r="D1299" s="64"/>
      <c r="E1299" s="64"/>
      <c r="F1299" s="64"/>
      <c r="G1299" s="64"/>
      <c r="H1299" s="64"/>
      <c r="I1299" s="64"/>
      <c r="J1299" s="64"/>
      <c r="K1299" s="64"/>
      <c r="L1299" s="64"/>
      <c r="M1299" s="64"/>
      <c r="N1299" s="64"/>
      <c r="O1299" s="64"/>
      <c r="P1299" s="64"/>
      <c r="Q1299" s="64"/>
      <c r="R1299" s="64"/>
      <c r="S1299" s="64"/>
    </row>
    <row r="1300" spans="1:19" x14ac:dyDescent="0.25">
      <c r="A1300" s="63"/>
      <c r="B1300" s="64"/>
      <c r="C1300" s="64"/>
      <c r="D1300" s="64"/>
      <c r="E1300" s="64"/>
      <c r="F1300" s="64"/>
      <c r="G1300" s="64"/>
      <c r="H1300" s="64"/>
      <c r="I1300" s="64"/>
      <c r="J1300" s="64"/>
      <c r="K1300" s="64"/>
      <c r="L1300" s="64"/>
      <c r="M1300" s="64"/>
      <c r="N1300" s="64"/>
      <c r="O1300" s="64"/>
      <c r="P1300" s="64"/>
      <c r="Q1300" s="64"/>
      <c r="R1300" s="64"/>
      <c r="S1300" s="64"/>
    </row>
    <row r="1301" spans="1:19" x14ac:dyDescent="0.25">
      <c r="A1301" s="63"/>
      <c r="B1301" s="64"/>
      <c r="C1301" s="64"/>
      <c r="D1301" s="64"/>
      <c r="E1301" s="64"/>
      <c r="F1301" s="64"/>
      <c r="G1301" s="64"/>
      <c r="H1301" s="64"/>
      <c r="I1301" s="64"/>
      <c r="J1301" s="64"/>
      <c r="K1301" s="64"/>
      <c r="L1301" s="64"/>
      <c r="M1301" s="64"/>
      <c r="N1301" s="64"/>
      <c r="O1301" s="64"/>
      <c r="P1301" s="64"/>
      <c r="Q1301" s="64"/>
      <c r="R1301" s="64"/>
      <c r="S1301" s="64"/>
    </row>
    <row r="1302" spans="1:19" x14ac:dyDescent="0.25">
      <c r="A1302" s="63"/>
      <c r="B1302" s="64"/>
      <c r="C1302" s="64"/>
      <c r="D1302" s="64"/>
      <c r="E1302" s="64"/>
      <c r="F1302" s="64"/>
      <c r="G1302" s="64"/>
      <c r="H1302" s="64"/>
      <c r="I1302" s="64"/>
      <c r="J1302" s="64"/>
      <c r="K1302" s="64"/>
      <c r="L1302" s="64"/>
      <c r="M1302" s="64"/>
      <c r="N1302" s="64"/>
      <c r="O1302" s="64"/>
      <c r="P1302" s="64"/>
      <c r="Q1302" s="64"/>
      <c r="R1302" s="64"/>
      <c r="S1302" s="64"/>
    </row>
    <row r="1303" spans="1:19" x14ac:dyDescent="0.25">
      <c r="A1303" s="63"/>
      <c r="B1303" s="64"/>
      <c r="C1303" s="64"/>
      <c r="D1303" s="64"/>
      <c r="E1303" s="64"/>
      <c r="F1303" s="64"/>
      <c r="G1303" s="64"/>
      <c r="H1303" s="64"/>
      <c r="I1303" s="64"/>
      <c r="J1303" s="64"/>
      <c r="K1303" s="64"/>
      <c r="L1303" s="64"/>
      <c r="M1303" s="64"/>
      <c r="N1303" s="64"/>
      <c r="O1303" s="64"/>
      <c r="P1303" s="64"/>
      <c r="Q1303" s="64"/>
      <c r="R1303" s="64"/>
      <c r="S1303" s="64"/>
    </row>
    <row r="1304" spans="1:19" x14ac:dyDescent="0.25">
      <c r="A1304" s="63"/>
      <c r="B1304" s="64"/>
      <c r="C1304" s="64"/>
      <c r="D1304" s="64"/>
      <c r="E1304" s="64"/>
      <c r="F1304" s="64"/>
      <c r="G1304" s="64"/>
      <c r="H1304" s="64"/>
      <c r="I1304" s="64"/>
      <c r="J1304" s="64"/>
      <c r="K1304" s="64"/>
      <c r="L1304" s="64"/>
      <c r="M1304" s="64"/>
      <c r="N1304" s="64"/>
      <c r="O1304" s="64"/>
      <c r="P1304" s="64"/>
      <c r="Q1304" s="64"/>
      <c r="R1304" s="64"/>
      <c r="S1304" s="64"/>
    </row>
    <row r="1305" spans="1:19" x14ac:dyDescent="0.25">
      <c r="A1305" s="63"/>
      <c r="B1305" s="64"/>
      <c r="C1305" s="64"/>
      <c r="D1305" s="64"/>
      <c r="E1305" s="64"/>
      <c r="F1305" s="64"/>
      <c r="G1305" s="64"/>
      <c r="H1305" s="64"/>
      <c r="I1305" s="64"/>
      <c r="J1305" s="64"/>
      <c r="K1305" s="64"/>
      <c r="L1305" s="64"/>
      <c r="M1305" s="64"/>
      <c r="N1305" s="64"/>
      <c r="O1305" s="64"/>
      <c r="P1305" s="64"/>
      <c r="Q1305" s="64"/>
      <c r="R1305" s="64"/>
      <c r="S1305" s="64"/>
    </row>
    <row r="1306" spans="1:19" x14ac:dyDescent="0.25">
      <c r="A1306" s="63"/>
      <c r="B1306" s="64"/>
      <c r="C1306" s="64"/>
      <c r="D1306" s="64"/>
      <c r="E1306" s="64"/>
      <c r="F1306" s="64"/>
      <c r="G1306" s="64"/>
      <c r="H1306" s="64"/>
      <c r="I1306" s="64"/>
      <c r="J1306" s="64"/>
      <c r="K1306" s="64"/>
      <c r="L1306" s="64"/>
      <c r="M1306" s="64"/>
      <c r="N1306" s="64"/>
      <c r="O1306" s="64"/>
      <c r="P1306" s="64"/>
      <c r="Q1306" s="64"/>
      <c r="R1306" s="64"/>
      <c r="S1306" s="64"/>
    </row>
    <row r="1307" spans="1:19" x14ac:dyDescent="0.25">
      <c r="A1307" s="63"/>
      <c r="B1307" s="64"/>
      <c r="C1307" s="64"/>
      <c r="D1307" s="64"/>
      <c r="E1307" s="64"/>
      <c r="F1307" s="64"/>
      <c r="G1307" s="64"/>
      <c r="H1307" s="64"/>
      <c r="I1307" s="64"/>
      <c r="J1307" s="64"/>
      <c r="K1307" s="64"/>
      <c r="L1307" s="64"/>
      <c r="M1307" s="64"/>
      <c r="N1307" s="64"/>
      <c r="O1307" s="64"/>
      <c r="P1307" s="64"/>
      <c r="Q1307" s="64"/>
      <c r="R1307" s="64"/>
      <c r="S1307" s="64"/>
    </row>
    <row r="1308" spans="1:19" x14ac:dyDescent="0.25">
      <c r="A1308" s="63"/>
      <c r="B1308" s="64"/>
      <c r="C1308" s="64"/>
      <c r="D1308" s="64"/>
      <c r="E1308" s="64"/>
      <c r="F1308" s="64"/>
      <c r="G1308" s="64"/>
      <c r="H1308" s="64"/>
      <c r="I1308" s="64"/>
      <c r="J1308" s="64"/>
      <c r="K1308" s="64"/>
      <c r="L1308" s="64"/>
      <c r="M1308" s="64"/>
      <c r="N1308" s="64"/>
      <c r="O1308" s="64"/>
      <c r="P1308" s="64"/>
      <c r="Q1308" s="64"/>
      <c r="R1308" s="64"/>
      <c r="S1308" s="64"/>
    </row>
    <row r="1309" spans="1:19" x14ac:dyDescent="0.25">
      <c r="A1309" s="63"/>
      <c r="B1309" s="64"/>
      <c r="C1309" s="64"/>
      <c r="D1309" s="64"/>
      <c r="E1309" s="64"/>
      <c r="F1309" s="64"/>
      <c r="G1309" s="64"/>
      <c r="H1309" s="64"/>
      <c r="I1309" s="64"/>
      <c r="J1309" s="64"/>
      <c r="K1309" s="64"/>
      <c r="L1309" s="64"/>
      <c r="M1309" s="64"/>
      <c r="N1309" s="64"/>
      <c r="O1309" s="64"/>
      <c r="P1309" s="64"/>
      <c r="Q1309" s="64"/>
      <c r="R1309" s="64"/>
      <c r="S1309" s="64"/>
    </row>
    <row r="1310" spans="1:19" x14ac:dyDescent="0.25">
      <c r="A1310" s="63"/>
      <c r="B1310" s="64"/>
      <c r="C1310" s="64"/>
      <c r="D1310" s="64"/>
      <c r="E1310" s="64"/>
      <c r="F1310" s="64"/>
      <c r="G1310" s="64"/>
      <c r="H1310" s="64"/>
      <c r="I1310" s="64"/>
      <c r="J1310" s="64"/>
      <c r="K1310" s="64"/>
      <c r="L1310" s="64"/>
      <c r="M1310" s="64"/>
      <c r="N1310" s="64"/>
      <c r="O1310" s="64"/>
      <c r="P1310" s="64"/>
      <c r="Q1310" s="64"/>
      <c r="R1310" s="64"/>
      <c r="S1310" s="64"/>
    </row>
    <row r="1311" spans="1:19" x14ac:dyDescent="0.25">
      <c r="A1311" s="63"/>
      <c r="B1311" s="64"/>
      <c r="C1311" s="64"/>
      <c r="D1311" s="64"/>
      <c r="E1311" s="64"/>
      <c r="F1311" s="64"/>
      <c r="G1311" s="64"/>
      <c r="H1311" s="64"/>
      <c r="I1311" s="64"/>
      <c r="J1311" s="64"/>
      <c r="K1311" s="64"/>
      <c r="L1311" s="64"/>
      <c r="M1311" s="64"/>
      <c r="N1311" s="64"/>
      <c r="O1311" s="64"/>
      <c r="P1311" s="64"/>
      <c r="Q1311" s="64"/>
      <c r="R1311" s="64"/>
      <c r="S1311" s="64"/>
    </row>
    <row r="1312" spans="1:19" x14ac:dyDescent="0.25">
      <c r="A1312" s="63"/>
      <c r="B1312" s="64"/>
      <c r="C1312" s="64"/>
      <c r="D1312" s="64"/>
      <c r="E1312" s="64"/>
      <c r="F1312" s="64"/>
      <c r="G1312" s="64"/>
      <c r="H1312" s="64"/>
      <c r="I1312" s="64"/>
      <c r="J1312" s="64"/>
      <c r="K1312" s="64"/>
      <c r="L1312" s="64"/>
      <c r="M1312" s="64"/>
      <c r="N1312" s="64"/>
      <c r="O1312" s="64"/>
      <c r="P1312" s="64"/>
      <c r="Q1312" s="64"/>
      <c r="R1312" s="64"/>
      <c r="S1312" s="64"/>
    </row>
    <row r="1313" spans="1:19" x14ac:dyDescent="0.25">
      <c r="A1313" s="63"/>
      <c r="B1313" s="64"/>
      <c r="C1313" s="64"/>
      <c r="D1313" s="64"/>
      <c r="E1313" s="64"/>
      <c r="F1313" s="64"/>
      <c r="G1313" s="64"/>
      <c r="H1313" s="64"/>
      <c r="I1313" s="64"/>
      <c r="J1313" s="64"/>
      <c r="K1313" s="64"/>
      <c r="L1313" s="64"/>
      <c r="M1313" s="64"/>
      <c r="N1313" s="64"/>
      <c r="O1313" s="64"/>
      <c r="P1313" s="64"/>
      <c r="Q1313" s="64"/>
      <c r="R1313" s="64"/>
      <c r="S1313" s="64"/>
    </row>
    <row r="1314" spans="1:19" x14ac:dyDescent="0.25">
      <c r="A1314" s="63"/>
      <c r="B1314" s="64"/>
      <c r="C1314" s="64"/>
      <c r="D1314" s="64"/>
      <c r="E1314" s="64"/>
      <c r="F1314" s="64"/>
      <c r="G1314" s="64"/>
      <c r="H1314" s="64"/>
      <c r="I1314" s="64"/>
      <c r="J1314" s="64"/>
      <c r="K1314" s="64"/>
      <c r="L1314" s="64"/>
      <c r="M1314" s="64"/>
      <c r="N1314" s="64"/>
      <c r="O1314" s="64"/>
      <c r="P1314" s="64"/>
      <c r="Q1314" s="64"/>
      <c r="R1314" s="64"/>
      <c r="S1314" s="64"/>
    </row>
    <row r="1315" spans="1:19" x14ac:dyDescent="0.25">
      <c r="A1315" s="63"/>
      <c r="B1315" s="64"/>
      <c r="C1315" s="64"/>
      <c r="D1315" s="64"/>
      <c r="E1315" s="64"/>
      <c r="F1315" s="64"/>
      <c r="G1315" s="64"/>
      <c r="H1315" s="64"/>
      <c r="I1315" s="64"/>
      <c r="J1315" s="64"/>
      <c r="K1315" s="64"/>
      <c r="L1315" s="64"/>
      <c r="M1315" s="64"/>
      <c r="N1315" s="64"/>
      <c r="O1315" s="64"/>
      <c r="P1315" s="64"/>
      <c r="Q1315" s="64"/>
      <c r="R1315" s="64"/>
      <c r="S1315" s="64"/>
    </row>
    <row r="1316" spans="1:19" x14ac:dyDescent="0.25">
      <c r="A1316" s="63"/>
      <c r="B1316" s="64"/>
      <c r="C1316" s="64"/>
      <c r="D1316" s="64"/>
      <c r="E1316" s="64"/>
      <c r="F1316" s="64"/>
      <c r="G1316" s="64"/>
      <c r="H1316" s="64"/>
      <c r="I1316" s="64"/>
      <c r="J1316" s="64"/>
      <c r="K1316" s="64"/>
      <c r="L1316" s="64"/>
      <c r="M1316" s="64"/>
      <c r="N1316" s="64"/>
      <c r="O1316" s="64"/>
      <c r="P1316" s="64"/>
      <c r="Q1316" s="64"/>
      <c r="R1316" s="64"/>
      <c r="S1316" s="64"/>
    </row>
    <row r="1317" spans="1:19" x14ac:dyDescent="0.25">
      <c r="A1317" s="63"/>
      <c r="B1317" s="64"/>
      <c r="C1317" s="64"/>
      <c r="D1317" s="64"/>
      <c r="E1317" s="64"/>
      <c r="F1317" s="64"/>
      <c r="G1317" s="64"/>
      <c r="H1317" s="64"/>
      <c r="I1317" s="64"/>
      <c r="J1317" s="64"/>
      <c r="K1317" s="64"/>
      <c r="L1317" s="64"/>
      <c r="M1317" s="64"/>
      <c r="N1317" s="64"/>
      <c r="O1317" s="64"/>
      <c r="P1317" s="64"/>
      <c r="Q1317" s="64"/>
      <c r="R1317" s="64"/>
      <c r="S1317" s="64"/>
    </row>
    <row r="1318" spans="1:19" x14ac:dyDescent="0.25">
      <c r="A1318" s="63"/>
      <c r="B1318" s="64"/>
      <c r="C1318" s="64"/>
      <c r="D1318" s="64"/>
      <c r="E1318" s="64"/>
      <c r="F1318" s="64"/>
      <c r="G1318" s="64"/>
      <c r="H1318" s="64"/>
      <c r="I1318" s="64"/>
      <c r="J1318" s="64"/>
      <c r="K1318" s="64"/>
      <c r="L1318" s="64"/>
      <c r="M1318" s="64"/>
      <c r="N1318" s="64"/>
      <c r="O1318" s="64"/>
      <c r="P1318" s="64"/>
      <c r="Q1318" s="64"/>
      <c r="R1318" s="64"/>
      <c r="S1318" s="64"/>
    </row>
    <row r="1319" spans="1:19" x14ac:dyDescent="0.25">
      <c r="A1319" s="63"/>
      <c r="B1319" s="64"/>
      <c r="C1319" s="64"/>
      <c r="D1319" s="64"/>
      <c r="E1319" s="64"/>
      <c r="F1319" s="64"/>
      <c r="G1319" s="64"/>
      <c r="H1319" s="64"/>
      <c r="I1319" s="64"/>
      <c r="J1319" s="64"/>
      <c r="K1319" s="64"/>
      <c r="L1319" s="64"/>
      <c r="M1319" s="64"/>
      <c r="N1319" s="64"/>
      <c r="O1319" s="64"/>
      <c r="P1319" s="64"/>
      <c r="Q1319" s="64"/>
      <c r="R1319" s="64"/>
      <c r="S1319" s="64"/>
    </row>
    <row r="1320" spans="1:19" x14ac:dyDescent="0.25">
      <c r="A1320" s="63"/>
      <c r="B1320" s="64"/>
      <c r="C1320" s="64"/>
      <c r="D1320" s="64"/>
      <c r="E1320" s="64"/>
      <c r="F1320" s="64"/>
      <c r="G1320" s="64"/>
      <c r="H1320" s="64"/>
      <c r="I1320" s="64"/>
      <c r="J1320" s="64"/>
      <c r="K1320" s="64"/>
      <c r="L1320" s="64"/>
      <c r="M1320" s="64"/>
      <c r="N1320" s="64"/>
      <c r="O1320" s="64"/>
      <c r="P1320" s="64"/>
      <c r="Q1320" s="64"/>
      <c r="R1320" s="64"/>
      <c r="S1320" s="64"/>
    </row>
    <row r="1321" spans="1:19" x14ac:dyDescent="0.25">
      <c r="A1321" s="63"/>
      <c r="B1321" s="64"/>
      <c r="C1321" s="64"/>
      <c r="D1321" s="64"/>
      <c r="E1321" s="64"/>
      <c r="F1321" s="64"/>
      <c r="G1321" s="64"/>
      <c r="H1321" s="64"/>
      <c r="I1321" s="64"/>
      <c r="J1321" s="64"/>
      <c r="K1321" s="64"/>
      <c r="L1321" s="64"/>
      <c r="M1321" s="64"/>
      <c r="N1321" s="64"/>
      <c r="O1321" s="64"/>
      <c r="P1321" s="64"/>
      <c r="Q1321" s="64"/>
      <c r="R1321" s="64"/>
      <c r="S1321" s="64"/>
    </row>
    <row r="1322" spans="1:19" x14ac:dyDescent="0.25">
      <c r="A1322" s="63"/>
      <c r="B1322" s="64"/>
      <c r="C1322" s="64"/>
      <c r="D1322" s="64"/>
      <c r="E1322" s="64"/>
      <c r="F1322" s="64"/>
      <c r="G1322" s="64"/>
      <c r="H1322" s="64"/>
      <c r="I1322" s="64"/>
      <c r="J1322" s="64"/>
      <c r="K1322" s="64"/>
      <c r="L1322" s="64"/>
      <c r="M1322" s="64"/>
      <c r="N1322" s="64"/>
      <c r="O1322" s="64"/>
      <c r="P1322" s="64"/>
      <c r="Q1322" s="64"/>
      <c r="R1322" s="64"/>
      <c r="S1322" s="64"/>
    </row>
    <row r="1323" spans="1:19" x14ac:dyDescent="0.25">
      <c r="A1323" s="63"/>
      <c r="B1323" s="64"/>
      <c r="C1323" s="64"/>
      <c r="D1323" s="64"/>
      <c r="E1323" s="64"/>
      <c r="F1323" s="64"/>
      <c r="G1323" s="64"/>
      <c r="H1323" s="64"/>
      <c r="I1323" s="64"/>
      <c r="J1323" s="64"/>
      <c r="K1323" s="64"/>
      <c r="L1323" s="64"/>
      <c r="M1323" s="64"/>
      <c r="N1323" s="64"/>
      <c r="O1323" s="64"/>
      <c r="P1323" s="64"/>
      <c r="Q1323" s="64"/>
      <c r="R1323" s="64"/>
      <c r="S1323" s="64"/>
    </row>
    <row r="1324" spans="1:19" x14ac:dyDescent="0.25">
      <c r="A1324" s="63"/>
      <c r="B1324" s="64"/>
      <c r="C1324" s="64"/>
      <c r="D1324" s="64"/>
      <c r="E1324" s="64"/>
      <c r="F1324" s="64"/>
      <c r="G1324" s="64"/>
      <c r="H1324" s="64"/>
      <c r="I1324" s="64"/>
      <c r="J1324" s="64"/>
      <c r="K1324" s="64"/>
      <c r="L1324" s="64"/>
      <c r="M1324" s="64"/>
      <c r="N1324" s="64"/>
      <c r="O1324" s="64"/>
      <c r="P1324" s="64"/>
      <c r="Q1324" s="64"/>
      <c r="R1324" s="64"/>
      <c r="S1324" s="64"/>
    </row>
    <row r="1325" spans="1:19" x14ac:dyDescent="0.25">
      <c r="A1325" s="63"/>
      <c r="B1325" s="64"/>
      <c r="C1325" s="64"/>
      <c r="D1325" s="64"/>
      <c r="E1325" s="64"/>
      <c r="F1325" s="64"/>
      <c r="G1325" s="64"/>
      <c r="H1325" s="64"/>
      <c r="I1325" s="64"/>
      <c r="J1325" s="64"/>
      <c r="K1325" s="64"/>
      <c r="L1325" s="64"/>
      <c r="M1325" s="64"/>
      <c r="N1325" s="64"/>
      <c r="O1325" s="64"/>
      <c r="P1325" s="64"/>
      <c r="Q1325" s="64"/>
      <c r="R1325" s="64"/>
      <c r="S1325" s="64"/>
    </row>
    <row r="1326" spans="1:19" x14ac:dyDescent="0.25">
      <c r="A1326" s="63"/>
      <c r="B1326" s="64"/>
      <c r="C1326" s="64"/>
      <c r="D1326" s="64"/>
      <c r="E1326" s="64"/>
      <c r="F1326" s="64"/>
      <c r="G1326" s="64"/>
      <c r="H1326" s="64"/>
      <c r="I1326" s="64"/>
      <c r="J1326" s="64"/>
      <c r="K1326" s="64"/>
      <c r="L1326" s="64"/>
      <c r="M1326" s="64"/>
      <c r="N1326" s="64"/>
      <c r="O1326" s="64"/>
      <c r="P1326" s="64"/>
      <c r="Q1326" s="64"/>
      <c r="R1326" s="64"/>
      <c r="S1326" s="64"/>
    </row>
    <row r="1327" spans="1:19" x14ac:dyDescent="0.25">
      <c r="A1327" s="63"/>
      <c r="B1327" s="64"/>
      <c r="C1327" s="64"/>
      <c r="D1327" s="64"/>
      <c r="E1327" s="64"/>
      <c r="F1327" s="64"/>
      <c r="G1327" s="64"/>
      <c r="H1327" s="64"/>
      <c r="I1327" s="64"/>
      <c r="J1327" s="64"/>
      <c r="K1327" s="64"/>
      <c r="L1327" s="64"/>
      <c r="M1327" s="64"/>
      <c r="N1327" s="64"/>
      <c r="O1327" s="64"/>
      <c r="P1327" s="64"/>
      <c r="Q1327" s="64"/>
      <c r="R1327" s="64"/>
      <c r="S1327" s="64"/>
    </row>
    <row r="1328" spans="1:19" x14ac:dyDescent="0.25">
      <c r="A1328" s="63"/>
      <c r="B1328" s="64"/>
      <c r="C1328" s="64"/>
      <c r="D1328" s="64"/>
      <c r="E1328" s="64"/>
      <c r="F1328" s="64"/>
      <c r="G1328" s="64"/>
      <c r="H1328" s="64"/>
      <c r="I1328" s="64"/>
      <c r="J1328" s="64"/>
      <c r="K1328" s="64"/>
      <c r="L1328" s="64"/>
      <c r="M1328" s="64"/>
      <c r="N1328" s="64"/>
      <c r="O1328" s="64"/>
      <c r="P1328" s="64"/>
      <c r="Q1328" s="64"/>
      <c r="R1328" s="64"/>
      <c r="S1328" s="64"/>
    </row>
    <row r="1329" spans="1:19" x14ac:dyDescent="0.25">
      <c r="A1329" s="63"/>
      <c r="B1329" s="64"/>
      <c r="C1329" s="64"/>
      <c r="D1329" s="64"/>
      <c r="E1329" s="64"/>
      <c r="F1329" s="64"/>
      <c r="G1329" s="64"/>
      <c r="H1329" s="64"/>
      <c r="I1329" s="64"/>
      <c r="J1329" s="64"/>
      <c r="K1329" s="64"/>
      <c r="L1329" s="64"/>
      <c r="M1329" s="64"/>
      <c r="N1329" s="64"/>
      <c r="O1329" s="64"/>
      <c r="P1329" s="64"/>
      <c r="Q1329" s="64"/>
      <c r="R1329" s="64"/>
      <c r="S1329" s="64"/>
    </row>
    <row r="1330" spans="1:19" x14ac:dyDescent="0.25">
      <c r="A1330" s="63"/>
      <c r="B1330" s="64"/>
      <c r="C1330" s="64"/>
      <c r="D1330" s="64"/>
      <c r="E1330" s="64"/>
      <c r="F1330" s="64"/>
      <c r="G1330" s="64"/>
      <c r="H1330" s="64"/>
      <c r="I1330" s="64"/>
      <c r="J1330" s="64"/>
      <c r="K1330" s="64"/>
      <c r="L1330" s="64"/>
      <c r="M1330" s="64"/>
      <c r="N1330" s="64"/>
      <c r="O1330" s="64"/>
      <c r="P1330" s="64"/>
      <c r="Q1330" s="64"/>
      <c r="R1330" s="64"/>
      <c r="S1330" s="64"/>
    </row>
    <row r="1331" spans="1:19" x14ac:dyDescent="0.25">
      <c r="A1331" s="63"/>
      <c r="B1331" s="64"/>
      <c r="C1331" s="64"/>
      <c r="D1331" s="64"/>
      <c r="E1331" s="64"/>
      <c r="F1331" s="64"/>
      <c r="G1331" s="64"/>
      <c r="H1331" s="64"/>
      <c r="I1331" s="64"/>
      <c r="J1331" s="64"/>
      <c r="K1331" s="64"/>
      <c r="L1331" s="64"/>
      <c r="M1331" s="64"/>
      <c r="N1331" s="64"/>
      <c r="O1331" s="64"/>
      <c r="P1331" s="64"/>
      <c r="Q1331" s="64"/>
      <c r="R1331" s="64"/>
      <c r="S1331" s="64"/>
    </row>
    <row r="1332" spans="1:19" x14ac:dyDescent="0.25">
      <c r="A1332" s="63"/>
      <c r="B1332" s="64"/>
      <c r="C1332" s="64"/>
      <c r="D1332" s="64"/>
      <c r="E1332" s="64"/>
      <c r="F1332" s="64"/>
      <c r="G1332" s="64"/>
      <c r="H1332" s="64"/>
      <c r="I1332" s="64"/>
      <c r="J1332" s="64"/>
      <c r="K1332" s="64"/>
      <c r="L1332" s="64"/>
      <c r="M1332" s="64"/>
      <c r="N1332" s="64"/>
      <c r="O1332" s="64"/>
      <c r="P1332" s="64"/>
      <c r="Q1332" s="64"/>
      <c r="R1332" s="64"/>
      <c r="S1332" s="64"/>
    </row>
    <row r="1333" spans="1:19" x14ac:dyDescent="0.25">
      <c r="A1333" s="63"/>
      <c r="B1333" s="64"/>
      <c r="C1333" s="64"/>
      <c r="D1333" s="64"/>
      <c r="E1333" s="64"/>
      <c r="F1333" s="64"/>
      <c r="G1333" s="64"/>
      <c r="H1333" s="64"/>
      <c r="I1333" s="64"/>
      <c r="J1333" s="64"/>
      <c r="K1333" s="64"/>
      <c r="L1333" s="64"/>
      <c r="M1333" s="64"/>
      <c r="N1333" s="64"/>
      <c r="O1333" s="64"/>
      <c r="P1333" s="64"/>
      <c r="Q1333" s="64"/>
      <c r="R1333" s="64"/>
      <c r="S1333" s="64"/>
    </row>
    <row r="1334" spans="1:19" x14ac:dyDescent="0.25">
      <c r="A1334" s="63"/>
      <c r="B1334" s="64"/>
      <c r="C1334" s="64"/>
      <c r="D1334" s="64"/>
      <c r="E1334" s="64"/>
      <c r="F1334" s="64"/>
      <c r="G1334" s="64"/>
      <c r="H1334" s="64"/>
      <c r="I1334" s="64"/>
      <c r="J1334" s="64"/>
      <c r="K1334" s="64"/>
      <c r="L1334" s="64"/>
      <c r="M1334" s="64"/>
      <c r="N1334" s="64"/>
      <c r="O1334" s="64"/>
      <c r="P1334" s="64"/>
      <c r="Q1334" s="64"/>
      <c r="R1334" s="64"/>
      <c r="S1334" s="64"/>
    </row>
    <row r="1335" spans="1:19" x14ac:dyDescent="0.25">
      <c r="A1335" s="63"/>
      <c r="B1335" s="64"/>
      <c r="C1335" s="64"/>
      <c r="D1335" s="64"/>
      <c r="E1335" s="64"/>
      <c r="F1335" s="64"/>
      <c r="G1335" s="64"/>
      <c r="H1335" s="64"/>
      <c r="I1335" s="64"/>
      <c r="J1335" s="64"/>
      <c r="K1335" s="64"/>
      <c r="L1335" s="64"/>
      <c r="M1335" s="64"/>
      <c r="N1335" s="64"/>
      <c r="O1335" s="64"/>
      <c r="P1335" s="64"/>
      <c r="Q1335" s="64"/>
      <c r="R1335" s="64"/>
      <c r="S1335" s="64"/>
    </row>
    <row r="1336" spans="1:19" x14ac:dyDescent="0.25">
      <c r="A1336" s="63"/>
      <c r="B1336" s="64"/>
      <c r="C1336" s="64"/>
      <c r="D1336" s="64"/>
      <c r="E1336" s="64"/>
      <c r="F1336" s="64"/>
      <c r="G1336" s="64"/>
      <c r="H1336" s="64"/>
      <c r="I1336" s="64"/>
      <c r="J1336" s="64"/>
      <c r="K1336" s="64"/>
      <c r="L1336" s="64"/>
      <c r="M1336" s="64"/>
      <c r="N1336" s="64"/>
      <c r="O1336" s="64"/>
      <c r="P1336" s="64"/>
      <c r="Q1336" s="64"/>
      <c r="R1336" s="64"/>
      <c r="S1336" s="64"/>
    </row>
    <row r="1337" spans="1:19" x14ac:dyDescent="0.25">
      <c r="A1337" s="63"/>
      <c r="B1337" s="64"/>
      <c r="C1337" s="64"/>
      <c r="D1337" s="64"/>
      <c r="E1337" s="64"/>
      <c r="F1337" s="64"/>
      <c r="G1337" s="64"/>
      <c r="H1337" s="64"/>
      <c r="I1337" s="64"/>
      <c r="J1337" s="64"/>
      <c r="K1337" s="64"/>
      <c r="L1337" s="64"/>
      <c r="M1337" s="64"/>
      <c r="N1337" s="64"/>
      <c r="O1337" s="64"/>
      <c r="P1337" s="64"/>
      <c r="Q1337" s="64"/>
      <c r="R1337" s="64"/>
      <c r="S1337" s="64"/>
    </row>
    <row r="1338" spans="1:19" x14ac:dyDescent="0.25">
      <c r="A1338" s="63"/>
      <c r="B1338" s="64"/>
      <c r="C1338" s="64"/>
      <c r="D1338" s="64"/>
      <c r="E1338" s="64"/>
      <c r="F1338" s="64"/>
      <c r="G1338" s="64"/>
      <c r="H1338" s="64"/>
      <c r="I1338" s="64"/>
      <c r="J1338" s="64"/>
      <c r="K1338" s="64"/>
      <c r="L1338" s="64"/>
      <c r="M1338" s="64"/>
      <c r="N1338" s="64"/>
      <c r="O1338" s="64"/>
      <c r="P1338" s="64"/>
      <c r="Q1338" s="64"/>
      <c r="R1338" s="64"/>
      <c r="S1338" s="64"/>
    </row>
    <row r="1339" spans="1:19" x14ac:dyDescent="0.25">
      <c r="A1339" s="63"/>
      <c r="B1339" s="64"/>
      <c r="C1339" s="64"/>
      <c r="D1339" s="64"/>
      <c r="E1339" s="64"/>
      <c r="F1339" s="64"/>
      <c r="G1339" s="64"/>
      <c r="H1339" s="64"/>
      <c r="I1339" s="64"/>
      <c r="J1339" s="64"/>
      <c r="K1339" s="64"/>
      <c r="L1339" s="64"/>
      <c r="M1339" s="64"/>
      <c r="N1339" s="64"/>
      <c r="O1339" s="64"/>
      <c r="P1339" s="64"/>
      <c r="Q1339" s="64"/>
      <c r="R1339" s="64"/>
      <c r="S1339" s="64"/>
    </row>
    <row r="1340" spans="1:19" x14ac:dyDescent="0.25">
      <c r="A1340" s="63"/>
      <c r="B1340" s="64"/>
      <c r="C1340" s="64"/>
      <c r="D1340" s="64"/>
      <c r="E1340" s="64"/>
      <c r="F1340" s="64"/>
      <c r="G1340" s="64"/>
      <c r="H1340" s="64"/>
      <c r="I1340" s="64"/>
      <c r="J1340" s="64"/>
      <c r="K1340" s="64"/>
      <c r="L1340" s="64"/>
      <c r="M1340" s="64"/>
      <c r="N1340" s="64"/>
      <c r="O1340" s="64"/>
      <c r="P1340" s="64"/>
      <c r="Q1340" s="64"/>
      <c r="R1340" s="64"/>
      <c r="S1340" s="64"/>
    </row>
    <row r="1341" spans="1:19" x14ac:dyDescent="0.25">
      <c r="A1341" s="63"/>
      <c r="B1341" s="64"/>
      <c r="C1341" s="64"/>
      <c r="D1341" s="64"/>
      <c r="E1341" s="64"/>
      <c r="F1341" s="64"/>
      <c r="G1341" s="64"/>
      <c r="H1341" s="64"/>
      <c r="I1341" s="64"/>
      <c r="J1341" s="64"/>
      <c r="K1341" s="64"/>
      <c r="L1341" s="64"/>
      <c r="M1341" s="64"/>
      <c r="N1341" s="64"/>
      <c r="O1341" s="64"/>
      <c r="P1341" s="64"/>
      <c r="Q1341" s="64"/>
      <c r="R1341" s="64"/>
      <c r="S1341" s="64"/>
    </row>
    <row r="1342" spans="1:19" x14ac:dyDescent="0.25">
      <c r="A1342" s="63"/>
      <c r="B1342" s="64"/>
      <c r="C1342" s="64"/>
      <c r="D1342" s="64"/>
      <c r="E1342" s="64"/>
      <c r="F1342" s="64"/>
      <c r="G1342" s="64"/>
      <c r="H1342" s="64"/>
      <c r="I1342" s="64"/>
      <c r="J1342" s="64"/>
      <c r="K1342" s="64"/>
      <c r="L1342" s="64"/>
      <c r="M1342" s="64"/>
      <c r="N1342" s="64"/>
      <c r="O1342" s="64"/>
      <c r="P1342" s="64"/>
      <c r="Q1342" s="64"/>
      <c r="R1342" s="64"/>
      <c r="S1342" s="64"/>
    </row>
    <row r="1343" spans="1:19" x14ac:dyDescent="0.25">
      <c r="A1343" s="63"/>
      <c r="B1343" s="64"/>
      <c r="C1343" s="64"/>
      <c r="D1343" s="64"/>
      <c r="E1343" s="64"/>
      <c r="F1343" s="64"/>
      <c r="G1343" s="64"/>
      <c r="H1343" s="64"/>
      <c r="I1343" s="64"/>
      <c r="J1343" s="64"/>
      <c r="K1343" s="64"/>
      <c r="L1343" s="64"/>
      <c r="M1343" s="64"/>
      <c r="N1343" s="64"/>
      <c r="O1343" s="64"/>
      <c r="P1343" s="64"/>
      <c r="Q1343" s="64"/>
      <c r="R1343" s="64"/>
      <c r="S1343" s="64"/>
    </row>
    <row r="1344" spans="1:19" x14ac:dyDescent="0.25">
      <c r="A1344" s="63"/>
      <c r="B1344" s="64"/>
      <c r="C1344" s="64"/>
      <c r="D1344" s="64"/>
      <c r="E1344" s="64"/>
      <c r="F1344" s="64"/>
      <c r="G1344" s="64"/>
      <c r="H1344" s="64"/>
      <c r="I1344" s="64"/>
      <c r="J1344" s="64"/>
      <c r="K1344" s="64"/>
      <c r="L1344" s="64"/>
      <c r="M1344" s="64"/>
      <c r="N1344" s="64"/>
      <c r="O1344" s="64"/>
      <c r="P1344" s="64"/>
      <c r="Q1344" s="64"/>
      <c r="R1344" s="64"/>
      <c r="S1344" s="64"/>
    </row>
    <row r="1345" spans="1:19" x14ac:dyDescent="0.25">
      <c r="A1345" s="63"/>
      <c r="B1345" s="64"/>
      <c r="C1345" s="64"/>
      <c r="D1345" s="64"/>
      <c r="E1345" s="64"/>
      <c r="F1345" s="64"/>
      <c r="G1345" s="64"/>
      <c r="H1345" s="64"/>
      <c r="I1345" s="64"/>
      <c r="J1345" s="64"/>
      <c r="K1345" s="64"/>
      <c r="L1345" s="64"/>
      <c r="M1345" s="64"/>
      <c r="N1345" s="64"/>
      <c r="O1345" s="64"/>
      <c r="P1345" s="64"/>
      <c r="Q1345" s="64"/>
      <c r="R1345" s="64"/>
      <c r="S1345" s="64"/>
    </row>
    <row r="1346" spans="1:19" x14ac:dyDescent="0.25">
      <c r="A1346" s="63"/>
      <c r="B1346" s="64"/>
      <c r="C1346" s="64"/>
      <c r="D1346" s="64"/>
      <c r="E1346" s="64"/>
      <c r="F1346" s="64"/>
      <c r="G1346" s="64"/>
      <c r="H1346" s="64"/>
      <c r="I1346" s="64"/>
      <c r="J1346" s="64"/>
      <c r="K1346" s="64"/>
      <c r="L1346" s="64"/>
      <c r="M1346" s="64"/>
      <c r="N1346" s="64"/>
      <c r="O1346" s="64"/>
      <c r="P1346" s="64"/>
      <c r="Q1346" s="64"/>
      <c r="R1346" s="64"/>
      <c r="S1346" s="64"/>
    </row>
    <row r="1347" spans="1:19" x14ac:dyDescent="0.25">
      <c r="A1347" s="63"/>
      <c r="B1347" s="64"/>
      <c r="C1347" s="64"/>
      <c r="D1347" s="64"/>
      <c r="E1347" s="64"/>
      <c r="F1347" s="64"/>
      <c r="G1347" s="64"/>
      <c r="H1347" s="64"/>
      <c r="I1347" s="64"/>
      <c r="J1347" s="64"/>
      <c r="K1347" s="64"/>
      <c r="L1347" s="64"/>
      <c r="M1347" s="64"/>
      <c r="N1347" s="64"/>
      <c r="O1347" s="64"/>
      <c r="P1347" s="64"/>
      <c r="Q1347" s="64"/>
      <c r="R1347" s="64"/>
      <c r="S1347" s="64"/>
    </row>
    <row r="1348" spans="1:19" x14ac:dyDescent="0.25">
      <c r="A1348" s="63"/>
      <c r="B1348" s="64"/>
      <c r="C1348" s="64"/>
      <c r="D1348" s="64"/>
      <c r="E1348" s="64"/>
      <c r="F1348" s="64"/>
      <c r="G1348" s="64"/>
      <c r="H1348" s="64"/>
      <c r="I1348" s="64"/>
      <c r="J1348" s="64"/>
      <c r="K1348" s="64"/>
      <c r="L1348" s="64"/>
      <c r="M1348" s="64"/>
      <c r="N1348" s="64"/>
      <c r="O1348" s="64"/>
      <c r="P1348" s="64"/>
      <c r="Q1348" s="64"/>
      <c r="R1348" s="64"/>
      <c r="S1348" s="64"/>
    </row>
    <row r="1349" spans="1:19" x14ac:dyDescent="0.25">
      <c r="A1349" s="63"/>
      <c r="B1349" s="64"/>
      <c r="C1349" s="64"/>
      <c r="D1349" s="64"/>
      <c r="E1349" s="64"/>
      <c r="F1349" s="64"/>
      <c r="G1349" s="64"/>
      <c r="H1349" s="64"/>
      <c r="I1349" s="64"/>
      <c r="J1349" s="64"/>
      <c r="K1349" s="64"/>
      <c r="L1349" s="64"/>
      <c r="M1349" s="64"/>
      <c r="N1349" s="64"/>
      <c r="O1349" s="64"/>
      <c r="P1349" s="64"/>
      <c r="Q1349" s="64"/>
      <c r="R1349" s="64"/>
      <c r="S1349" s="64"/>
    </row>
    <row r="1350" spans="1:19" x14ac:dyDescent="0.25">
      <c r="A1350" s="63"/>
      <c r="B1350" s="64"/>
      <c r="C1350" s="64"/>
      <c r="D1350" s="64"/>
      <c r="E1350" s="64"/>
      <c r="F1350" s="64"/>
      <c r="G1350" s="64"/>
      <c r="H1350" s="64"/>
      <c r="I1350" s="64"/>
      <c r="J1350" s="64"/>
      <c r="K1350" s="64"/>
      <c r="L1350" s="64"/>
      <c r="M1350" s="64"/>
      <c r="N1350" s="64"/>
      <c r="O1350" s="64"/>
      <c r="P1350" s="64"/>
      <c r="Q1350" s="64"/>
      <c r="R1350" s="64"/>
      <c r="S1350" s="64"/>
    </row>
    <row r="1351" spans="1:19" x14ac:dyDescent="0.25">
      <c r="A1351" s="63"/>
      <c r="B1351" s="64"/>
      <c r="C1351" s="64"/>
      <c r="D1351" s="64"/>
      <c r="E1351" s="64"/>
      <c r="F1351" s="64"/>
      <c r="G1351" s="64"/>
      <c r="H1351" s="64"/>
      <c r="I1351" s="64"/>
      <c r="J1351" s="64"/>
      <c r="K1351" s="64"/>
      <c r="L1351" s="64"/>
      <c r="M1351" s="64"/>
      <c r="N1351" s="64"/>
      <c r="O1351" s="64"/>
      <c r="P1351" s="64"/>
      <c r="Q1351" s="64"/>
      <c r="R1351" s="64"/>
      <c r="S1351" s="64"/>
    </row>
    <row r="1352" spans="1:19" x14ac:dyDescent="0.25">
      <c r="A1352" s="63"/>
      <c r="B1352" s="64"/>
      <c r="C1352" s="64"/>
      <c r="D1352" s="64"/>
      <c r="E1352" s="64"/>
      <c r="F1352" s="64"/>
      <c r="G1352" s="64"/>
      <c r="H1352" s="64"/>
      <c r="I1352" s="64"/>
      <c r="J1352" s="64"/>
      <c r="K1352" s="64"/>
      <c r="L1352" s="64"/>
      <c r="M1352" s="64"/>
      <c r="N1352" s="64"/>
      <c r="O1352" s="64"/>
      <c r="P1352" s="64"/>
      <c r="Q1352" s="64"/>
      <c r="R1352" s="64"/>
      <c r="S1352" s="64"/>
    </row>
    <row r="1353" spans="1:19" x14ac:dyDescent="0.25">
      <c r="A1353" s="63"/>
      <c r="B1353" s="64"/>
      <c r="C1353" s="64"/>
      <c r="D1353" s="64"/>
      <c r="E1353" s="64"/>
      <c r="F1353" s="64"/>
      <c r="G1353" s="64"/>
      <c r="H1353" s="64"/>
      <c r="I1353" s="64"/>
      <c r="J1353" s="64"/>
      <c r="K1353" s="64"/>
      <c r="L1353" s="64"/>
      <c r="M1353" s="64"/>
      <c r="N1353" s="64"/>
      <c r="O1353" s="64"/>
      <c r="P1353" s="64"/>
      <c r="Q1353" s="64"/>
      <c r="R1353" s="64"/>
      <c r="S1353" s="64"/>
    </row>
    <row r="1354" spans="1:19" x14ac:dyDescent="0.25">
      <c r="A1354" s="63"/>
      <c r="B1354" s="64"/>
      <c r="C1354" s="64"/>
      <c r="D1354" s="64"/>
      <c r="E1354" s="64"/>
      <c r="F1354" s="64"/>
      <c r="G1354" s="64"/>
      <c r="H1354" s="64"/>
      <c r="I1354" s="64"/>
      <c r="J1354" s="64"/>
      <c r="K1354" s="64"/>
      <c r="L1354" s="64"/>
      <c r="M1354" s="64"/>
      <c r="N1354" s="64"/>
      <c r="O1354" s="64"/>
      <c r="P1354" s="64"/>
      <c r="Q1354" s="64"/>
      <c r="R1354" s="64"/>
      <c r="S1354" s="64"/>
    </row>
    <row r="1355" spans="1:19" x14ac:dyDescent="0.25">
      <c r="A1355" s="63"/>
      <c r="B1355" s="64"/>
      <c r="C1355" s="64"/>
      <c r="D1355" s="64"/>
      <c r="E1355" s="64"/>
      <c r="F1355" s="64"/>
      <c r="G1355" s="64"/>
      <c r="H1355" s="64"/>
      <c r="I1355" s="64"/>
      <c r="J1355" s="64"/>
      <c r="K1355" s="64"/>
      <c r="L1355" s="64"/>
      <c r="M1355" s="64"/>
      <c r="N1355" s="64"/>
      <c r="O1355" s="64"/>
      <c r="P1355" s="64"/>
      <c r="Q1355" s="64"/>
      <c r="R1355" s="64"/>
      <c r="S1355" s="64"/>
    </row>
    <row r="1356" spans="1:19" x14ac:dyDescent="0.25">
      <c r="A1356" s="63"/>
      <c r="B1356" s="64"/>
      <c r="C1356" s="64"/>
      <c r="D1356" s="64"/>
      <c r="E1356" s="64"/>
      <c r="F1356" s="64"/>
      <c r="G1356" s="64"/>
      <c r="H1356" s="64"/>
      <c r="I1356" s="64"/>
      <c r="J1356" s="64"/>
      <c r="K1356" s="64"/>
      <c r="L1356" s="64"/>
      <c r="M1356" s="64"/>
      <c r="N1356" s="64"/>
      <c r="O1356" s="64"/>
      <c r="P1356" s="64"/>
      <c r="Q1356" s="64"/>
      <c r="R1356" s="64"/>
      <c r="S1356" s="64"/>
    </row>
    <row r="1357" spans="1:19" x14ac:dyDescent="0.25">
      <c r="A1357" s="63"/>
      <c r="B1357" s="64"/>
      <c r="C1357" s="64"/>
      <c r="D1357" s="64"/>
      <c r="E1357" s="64"/>
      <c r="F1357" s="64"/>
      <c r="G1357" s="64"/>
      <c r="H1357" s="64"/>
      <c r="I1357" s="64"/>
      <c r="J1357" s="64"/>
      <c r="K1357" s="64"/>
      <c r="L1357" s="64"/>
      <c r="M1357" s="64"/>
      <c r="N1357" s="64"/>
      <c r="O1357" s="64"/>
      <c r="P1357" s="64"/>
      <c r="Q1357" s="64"/>
      <c r="R1357" s="64"/>
      <c r="S1357" s="64"/>
    </row>
    <row r="1358" spans="1:19" x14ac:dyDescent="0.25">
      <c r="A1358" s="63"/>
      <c r="B1358" s="64"/>
      <c r="C1358" s="64"/>
      <c r="D1358" s="64"/>
      <c r="E1358" s="64"/>
      <c r="F1358" s="64"/>
      <c r="G1358" s="64"/>
      <c r="H1358" s="64"/>
      <c r="I1358" s="64"/>
      <c r="J1358" s="64"/>
      <c r="K1358" s="64"/>
      <c r="L1358" s="64"/>
      <c r="M1358" s="64"/>
      <c r="N1358" s="64"/>
      <c r="O1358" s="64"/>
      <c r="P1358" s="64"/>
      <c r="Q1358" s="64"/>
      <c r="R1358" s="64"/>
      <c r="S1358" s="64"/>
    </row>
    <row r="1359" spans="1:19" x14ac:dyDescent="0.25">
      <c r="A1359" s="63"/>
      <c r="B1359" s="64"/>
      <c r="C1359" s="64"/>
      <c r="D1359" s="64"/>
      <c r="E1359" s="64"/>
      <c r="F1359" s="64"/>
      <c r="G1359" s="64"/>
      <c r="H1359" s="64"/>
      <c r="I1359" s="64"/>
      <c r="J1359" s="64"/>
      <c r="K1359" s="64"/>
      <c r="L1359" s="64"/>
      <c r="M1359" s="64"/>
      <c r="N1359" s="64"/>
      <c r="O1359" s="64"/>
      <c r="P1359" s="64"/>
      <c r="Q1359" s="64"/>
      <c r="R1359" s="64"/>
      <c r="S1359" s="64"/>
    </row>
    <row r="1360" spans="1:19" x14ac:dyDescent="0.25">
      <c r="A1360" s="63"/>
      <c r="B1360" s="64"/>
      <c r="C1360" s="64"/>
      <c r="D1360" s="64"/>
      <c r="E1360" s="64"/>
      <c r="F1360" s="64"/>
      <c r="G1360" s="64"/>
      <c r="H1360" s="64"/>
      <c r="I1360" s="64"/>
      <c r="J1360" s="64"/>
      <c r="K1360" s="64"/>
      <c r="L1360" s="64"/>
      <c r="M1360" s="64"/>
      <c r="N1360" s="64"/>
      <c r="O1360" s="64"/>
      <c r="P1360" s="64"/>
      <c r="Q1360" s="64"/>
      <c r="R1360" s="64"/>
      <c r="S1360" s="64"/>
    </row>
    <row r="1361" spans="1:19" x14ac:dyDescent="0.25">
      <c r="A1361" s="63"/>
      <c r="B1361" s="64"/>
      <c r="C1361" s="64"/>
      <c r="D1361" s="64"/>
      <c r="E1361" s="64"/>
      <c r="F1361" s="64"/>
      <c r="G1361" s="64"/>
      <c r="H1361" s="64"/>
      <c r="I1361" s="64"/>
      <c r="J1361" s="64"/>
      <c r="K1361" s="64"/>
      <c r="L1361" s="64"/>
      <c r="M1361" s="64"/>
      <c r="N1361" s="64"/>
      <c r="O1361" s="64"/>
      <c r="P1361" s="64"/>
      <c r="Q1361" s="64"/>
      <c r="R1361" s="64"/>
      <c r="S1361" s="64"/>
    </row>
    <row r="1362" spans="1:19" x14ac:dyDescent="0.25">
      <c r="A1362" s="63"/>
      <c r="B1362" s="64"/>
      <c r="C1362" s="64"/>
      <c r="D1362" s="64"/>
      <c r="E1362" s="64"/>
      <c r="F1362" s="64"/>
      <c r="G1362" s="64"/>
      <c r="H1362" s="64"/>
      <c r="I1362" s="64"/>
      <c r="J1362" s="64"/>
      <c r="K1362" s="64"/>
      <c r="L1362" s="64"/>
      <c r="M1362" s="64"/>
      <c r="N1362" s="64"/>
      <c r="O1362" s="64"/>
      <c r="P1362" s="64"/>
      <c r="Q1362" s="64"/>
      <c r="R1362" s="64"/>
      <c r="S1362" s="64"/>
    </row>
    <row r="1363" spans="1:19" x14ac:dyDescent="0.25">
      <c r="A1363" s="63"/>
      <c r="B1363" s="64"/>
      <c r="C1363" s="64"/>
      <c r="D1363" s="64"/>
      <c r="E1363" s="64"/>
      <c r="F1363" s="64"/>
      <c r="G1363" s="64"/>
      <c r="H1363" s="64"/>
      <c r="I1363" s="64"/>
      <c r="J1363" s="64"/>
      <c r="K1363" s="64"/>
      <c r="L1363" s="64"/>
      <c r="M1363" s="64"/>
      <c r="N1363" s="64"/>
      <c r="O1363" s="64"/>
      <c r="P1363" s="64"/>
      <c r="Q1363" s="64"/>
      <c r="R1363" s="64"/>
      <c r="S1363" s="64"/>
    </row>
    <row r="1364" spans="1:19" x14ac:dyDescent="0.25">
      <c r="A1364" s="63"/>
      <c r="B1364" s="64"/>
      <c r="C1364" s="64"/>
      <c r="D1364" s="64"/>
      <c r="E1364" s="64"/>
      <c r="F1364" s="64"/>
      <c r="G1364" s="64"/>
      <c r="H1364" s="64"/>
      <c r="I1364" s="64"/>
      <c r="J1364" s="64"/>
      <c r="K1364" s="64"/>
      <c r="L1364" s="64"/>
      <c r="M1364" s="64"/>
      <c r="N1364" s="64"/>
      <c r="O1364" s="64"/>
      <c r="P1364" s="64"/>
      <c r="Q1364" s="64"/>
      <c r="R1364" s="64"/>
      <c r="S1364" s="64"/>
    </row>
    <row r="1365" spans="1:19" x14ac:dyDescent="0.25">
      <c r="A1365" s="63"/>
      <c r="B1365" s="64"/>
      <c r="C1365" s="64"/>
      <c r="D1365" s="64"/>
      <c r="E1365" s="64"/>
      <c r="F1365" s="64"/>
      <c r="G1365" s="64"/>
      <c r="H1365" s="64"/>
      <c r="I1365" s="64"/>
      <c r="J1365" s="64"/>
      <c r="K1365" s="64"/>
      <c r="L1365" s="64"/>
      <c r="M1365" s="64"/>
      <c r="N1365" s="64"/>
      <c r="O1365" s="64"/>
      <c r="P1365" s="64"/>
      <c r="Q1365" s="64"/>
      <c r="R1365" s="64"/>
      <c r="S1365" s="64"/>
    </row>
    <row r="1366" spans="1:19" x14ac:dyDescent="0.25">
      <c r="A1366" s="63"/>
      <c r="B1366" s="64"/>
      <c r="C1366" s="64"/>
      <c r="D1366" s="64"/>
      <c r="E1366" s="64"/>
      <c r="F1366" s="64"/>
      <c r="G1366" s="64"/>
      <c r="H1366" s="64"/>
      <c r="I1366" s="64"/>
      <c r="J1366" s="64"/>
      <c r="K1366" s="64"/>
      <c r="L1366" s="64"/>
      <c r="M1366" s="64"/>
      <c r="N1366" s="64"/>
      <c r="O1366" s="64"/>
      <c r="P1366" s="64"/>
      <c r="Q1366" s="64"/>
      <c r="R1366" s="64"/>
      <c r="S1366" s="64"/>
    </row>
    <row r="1367" spans="1:19" x14ac:dyDescent="0.25">
      <c r="A1367" s="63"/>
      <c r="B1367" s="64"/>
      <c r="C1367" s="64"/>
      <c r="D1367" s="64"/>
      <c r="E1367" s="64"/>
      <c r="F1367" s="64"/>
      <c r="G1367" s="64"/>
      <c r="H1367" s="64"/>
      <c r="I1367" s="64"/>
      <c r="J1367" s="64"/>
      <c r="K1367" s="64"/>
      <c r="L1367" s="64"/>
      <c r="M1367" s="64"/>
      <c r="N1367" s="64"/>
      <c r="O1367" s="64"/>
      <c r="P1367" s="64"/>
      <c r="Q1367" s="64"/>
      <c r="R1367" s="64"/>
      <c r="S1367" s="64"/>
    </row>
    <row r="1368" spans="1:19" x14ac:dyDescent="0.25">
      <c r="A1368" s="63"/>
      <c r="B1368" s="64"/>
      <c r="C1368" s="64"/>
      <c r="D1368" s="64"/>
      <c r="E1368" s="64"/>
      <c r="F1368" s="64"/>
      <c r="G1368" s="64"/>
      <c r="H1368" s="64"/>
      <c r="I1368" s="64"/>
      <c r="J1368" s="64"/>
      <c r="K1368" s="64"/>
      <c r="L1368" s="64"/>
      <c r="M1368" s="64"/>
      <c r="N1368" s="64"/>
      <c r="O1368" s="64"/>
      <c r="P1368" s="64"/>
      <c r="Q1368" s="64"/>
      <c r="R1368" s="64"/>
      <c r="S1368" s="64"/>
    </row>
    <row r="1369" spans="1:19" x14ac:dyDescent="0.25">
      <c r="A1369" s="63"/>
      <c r="B1369" s="64"/>
      <c r="C1369" s="64"/>
      <c r="D1369" s="64"/>
      <c r="E1369" s="64"/>
      <c r="F1369" s="64"/>
      <c r="G1369" s="64"/>
      <c r="H1369" s="64"/>
      <c r="I1369" s="64"/>
      <c r="J1369" s="64"/>
      <c r="K1369" s="64"/>
      <c r="L1369" s="64"/>
      <c r="M1369" s="64"/>
      <c r="N1369" s="64"/>
      <c r="O1369" s="64"/>
      <c r="P1369" s="64"/>
      <c r="Q1369" s="64"/>
      <c r="R1369" s="64"/>
      <c r="S1369" s="64"/>
    </row>
    <row r="1370" spans="1:19" x14ac:dyDescent="0.25">
      <c r="A1370" s="63"/>
      <c r="B1370" s="64"/>
      <c r="C1370" s="64"/>
      <c r="D1370" s="64"/>
      <c r="E1370" s="64"/>
      <c r="F1370" s="64"/>
      <c r="G1370" s="64"/>
      <c r="H1370" s="64"/>
      <c r="I1370" s="64"/>
      <c r="J1370" s="64"/>
      <c r="K1370" s="64"/>
      <c r="L1370" s="64"/>
      <c r="M1370" s="64"/>
      <c r="N1370" s="64"/>
      <c r="O1370" s="64"/>
      <c r="P1370" s="64"/>
      <c r="Q1370" s="64"/>
      <c r="R1370" s="64"/>
      <c r="S1370" s="64"/>
    </row>
    <row r="1371" spans="1:19" x14ac:dyDescent="0.25">
      <c r="A1371" s="63"/>
      <c r="B1371" s="64"/>
      <c r="C1371" s="64"/>
      <c r="D1371" s="64"/>
      <c r="E1371" s="64"/>
      <c r="F1371" s="64"/>
      <c r="G1371" s="64"/>
      <c r="H1371" s="64"/>
      <c r="I1371" s="64"/>
      <c r="J1371" s="64"/>
      <c r="K1371" s="64"/>
      <c r="L1371" s="64"/>
      <c r="M1371" s="64"/>
      <c r="N1371" s="64"/>
      <c r="O1371" s="64"/>
      <c r="P1371" s="64"/>
      <c r="Q1371" s="64"/>
      <c r="R1371" s="64"/>
      <c r="S1371" s="64"/>
    </row>
    <row r="1372" spans="1:19" x14ac:dyDescent="0.25">
      <c r="A1372" s="63"/>
      <c r="B1372" s="64"/>
      <c r="C1372" s="64"/>
      <c r="D1372" s="64"/>
      <c r="E1372" s="64"/>
      <c r="F1372" s="64"/>
      <c r="G1372" s="64"/>
      <c r="H1372" s="64"/>
      <c r="I1372" s="64"/>
      <c r="J1372" s="64"/>
      <c r="K1372" s="64"/>
      <c r="L1372" s="64"/>
      <c r="M1372" s="64"/>
      <c r="N1372" s="64"/>
      <c r="O1372" s="64"/>
      <c r="P1372" s="64"/>
      <c r="Q1372" s="64"/>
      <c r="R1372" s="64"/>
      <c r="S1372" s="64"/>
    </row>
    <row r="1373" spans="1:19" x14ac:dyDescent="0.25">
      <c r="A1373" s="63"/>
      <c r="B1373" s="64"/>
      <c r="C1373" s="64"/>
      <c r="D1373" s="64"/>
      <c r="E1373" s="64"/>
      <c r="F1373" s="64"/>
      <c r="G1373" s="64"/>
      <c r="H1373" s="64"/>
      <c r="I1373" s="64"/>
      <c r="J1373" s="64"/>
      <c r="K1373" s="64"/>
      <c r="L1373" s="64"/>
      <c r="M1373" s="64"/>
      <c r="N1373" s="64"/>
      <c r="O1373" s="64"/>
      <c r="P1373" s="64"/>
      <c r="Q1373" s="64"/>
      <c r="R1373" s="64"/>
      <c r="S1373" s="64"/>
    </row>
    <row r="1374" spans="1:19" x14ac:dyDescent="0.25">
      <c r="A1374" s="63"/>
      <c r="B1374" s="64"/>
      <c r="C1374" s="64"/>
      <c r="D1374" s="64"/>
      <c r="E1374" s="64"/>
      <c r="F1374" s="64"/>
      <c r="G1374" s="64"/>
      <c r="H1374" s="64"/>
      <c r="I1374" s="64"/>
      <c r="J1374" s="64"/>
      <c r="K1374" s="64"/>
      <c r="L1374" s="64"/>
      <c r="M1374" s="64"/>
      <c r="N1374" s="64"/>
      <c r="O1374" s="64"/>
      <c r="P1374" s="64"/>
      <c r="Q1374" s="64"/>
      <c r="R1374" s="64"/>
      <c r="S1374" s="64"/>
    </row>
    <row r="1375" spans="1:19" x14ac:dyDescent="0.25">
      <c r="A1375" s="63"/>
      <c r="B1375" s="64"/>
      <c r="C1375" s="64"/>
      <c r="D1375" s="64"/>
      <c r="E1375" s="64"/>
      <c r="F1375" s="64"/>
      <c r="G1375" s="64"/>
      <c r="H1375" s="64"/>
      <c r="I1375" s="64"/>
      <c r="J1375" s="64"/>
      <c r="K1375" s="64"/>
      <c r="L1375" s="64"/>
      <c r="M1375" s="64"/>
      <c r="N1375" s="64"/>
      <c r="O1375" s="64"/>
      <c r="P1375" s="64"/>
      <c r="Q1375" s="64"/>
      <c r="R1375" s="64"/>
      <c r="S1375" s="64"/>
    </row>
    <row r="1376" spans="1:19" x14ac:dyDescent="0.25">
      <c r="A1376" s="63"/>
      <c r="B1376" s="64"/>
      <c r="C1376" s="64"/>
      <c r="D1376" s="64"/>
      <c r="E1376" s="64"/>
      <c r="F1376" s="64"/>
      <c r="G1376" s="64"/>
      <c r="H1376" s="64"/>
      <c r="I1376" s="64"/>
      <c r="J1376" s="64"/>
      <c r="K1376" s="64"/>
      <c r="L1376" s="64"/>
      <c r="M1376" s="64"/>
      <c r="N1376" s="64"/>
      <c r="O1376" s="64"/>
      <c r="P1376" s="64"/>
      <c r="Q1376" s="64"/>
      <c r="R1376" s="64"/>
      <c r="S1376" s="64"/>
    </row>
    <row r="1377" spans="1:19" x14ac:dyDescent="0.25">
      <c r="A1377" s="63"/>
      <c r="B1377" s="64"/>
      <c r="C1377" s="64"/>
      <c r="D1377" s="64"/>
      <c r="E1377" s="64"/>
      <c r="F1377" s="64"/>
      <c r="G1377" s="64"/>
      <c r="H1377" s="64"/>
      <c r="I1377" s="64"/>
      <c r="J1377" s="64"/>
      <c r="K1377" s="64"/>
      <c r="L1377" s="64"/>
      <c r="M1377" s="64"/>
      <c r="N1377" s="64"/>
      <c r="O1377" s="64"/>
      <c r="P1377" s="64"/>
      <c r="Q1377" s="64"/>
      <c r="R1377" s="64"/>
      <c r="S1377" s="64"/>
    </row>
    <row r="1378" spans="1:19" x14ac:dyDescent="0.25">
      <c r="A1378" s="63"/>
      <c r="B1378" s="64"/>
      <c r="C1378" s="64"/>
      <c r="D1378" s="64"/>
      <c r="E1378" s="64"/>
      <c r="F1378" s="64"/>
      <c r="G1378" s="64"/>
      <c r="H1378" s="64"/>
      <c r="I1378" s="64"/>
      <c r="J1378" s="64"/>
      <c r="K1378" s="64"/>
      <c r="L1378" s="64"/>
      <c r="M1378" s="64"/>
      <c r="N1378" s="64"/>
      <c r="O1378" s="64"/>
      <c r="P1378" s="64"/>
      <c r="Q1378" s="64"/>
      <c r="R1378" s="64"/>
      <c r="S1378" s="64"/>
    </row>
    <row r="1379" spans="1:19" x14ac:dyDescent="0.25">
      <c r="A1379" s="63"/>
      <c r="B1379" s="64"/>
      <c r="C1379" s="64"/>
      <c r="D1379" s="64"/>
      <c r="E1379" s="64"/>
      <c r="F1379" s="64"/>
      <c r="G1379" s="64"/>
      <c r="H1379" s="64"/>
      <c r="I1379" s="64"/>
      <c r="J1379" s="64"/>
      <c r="K1379" s="64"/>
      <c r="L1379" s="64"/>
      <c r="M1379" s="64"/>
      <c r="N1379" s="64"/>
      <c r="O1379" s="64"/>
      <c r="P1379" s="64"/>
      <c r="Q1379" s="64"/>
      <c r="R1379" s="64"/>
      <c r="S1379" s="64"/>
    </row>
    <row r="1380" spans="1:19" x14ac:dyDescent="0.25">
      <c r="A1380" s="63"/>
      <c r="B1380" s="64"/>
      <c r="C1380" s="64"/>
      <c r="D1380" s="64"/>
      <c r="E1380" s="64"/>
      <c r="F1380" s="64"/>
      <c r="G1380" s="64"/>
      <c r="H1380" s="64"/>
      <c r="I1380" s="64"/>
      <c r="J1380" s="64"/>
      <c r="K1380" s="64"/>
      <c r="L1380" s="64"/>
      <c r="M1380" s="64"/>
      <c r="N1380" s="64"/>
      <c r="O1380" s="64"/>
      <c r="P1380" s="64"/>
      <c r="Q1380" s="64"/>
      <c r="R1380" s="64"/>
      <c r="S1380" s="64"/>
    </row>
    <row r="1381" spans="1:19" x14ac:dyDescent="0.25">
      <c r="A1381" s="63"/>
      <c r="B1381" s="64"/>
      <c r="C1381" s="64"/>
      <c r="D1381" s="64"/>
      <c r="E1381" s="64"/>
      <c r="F1381" s="64"/>
      <c r="G1381" s="64"/>
      <c r="H1381" s="64"/>
      <c r="I1381" s="64"/>
      <c r="J1381" s="64"/>
      <c r="K1381" s="64"/>
      <c r="L1381" s="64"/>
      <c r="M1381" s="64"/>
      <c r="N1381" s="64"/>
      <c r="O1381" s="64"/>
      <c r="P1381" s="64"/>
      <c r="Q1381" s="64"/>
      <c r="R1381" s="64"/>
      <c r="S1381" s="64"/>
    </row>
    <row r="1382" spans="1:19" x14ac:dyDescent="0.25">
      <c r="A1382" s="63"/>
      <c r="B1382" s="64"/>
      <c r="C1382" s="64"/>
      <c r="D1382" s="64"/>
      <c r="E1382" s="64"/>
      <c r="F1382" s="64"/>
      <c r="G1382" s="64"/>
      <c r="H1382" s="64"/>
      <c r="I1382" s="64"/>
      <c r="J1382" s="64"/>
      <c r="K1382" s="64"/>
      <c r="L1382" s="64"/>
      <c r="M1382" s="64"/>
      <c r="N1382" s="64"/>
      <c r="O1382" s="64"/>
      <c r="P1382" s="64"/>
      <c r="Q1382" s="64"/>
      <c r="R1382" s="64"/>
      <c r="S1382" s="64"/>
    </row>
    <row r="1383" spans="1:19" x14ac:dyDescent="0.25">
      <c r="A1383" s="63"/>
      <c r="B1383" s="64"/>
      <c r="C1383" s="64"/>
      <c r="D1383" s="64"/>
      <c r="E1383" s="64"/>
      <c r="F1383" s="64"/>
      <c r="G1383" s="64"/>
      <c r="H1383" s="64"/>
      <c r="I1383" s="64"/>
      <c r="J1383" s="64"/>
      <c r="K1383" s="64"/>
      <c r="L1383" s="64"/>
      <c r="M1383" s="64"/>
      <c r="N1383" s="64"/>
      <c r="O1383" s="64"/>
      <c r="P1383" s="64"/>
      <c r="Q1383" s="64"/>
      <c r="R1383" s="64"/>
      <c r="S1383" s="64"/>
    </row>
    <row r="1384" spans="1:19" x14ac:dyDescent="0.25">
      <c r="A1384" s="63"/>
      <c r="B1384" s="64"/>
      <c r="C1384" s="64"/>
      <c r="D1384" s="64"/>
      <c r="E1384" s="64"/>
      <c r="F1384" s="64"/>
      <c r="G1384" s="64"/>
      <c r="H1384" s="64"/>
      <c r="I1384" s="64"/>
      <c r="J1384" s="64"/>
      <c r="K1384" s="64"/>
      <c r="L1384" s="64"/>
      <c r="M1384" s="64"/>
      <c r="N1384" s="64"/>
      <c r="O1384" s="64"/>
      <c r="P1384" s="64"/>
      <c r="Q1384" s="64"/>
      <c r="R1384" s="64"/>
      <c r="S1384" s="64"/>
    </row>
    <row r="1385" spans="1:19" x14ac:dyDescent="0.25">
      <c r="A1385" s="63"/>
      <c r="B1385" s="64"/>
      <c r="C1385" s="64"/>
      <c r="D1385" s="64"/>
      <c r="E1385" s="64"/>
      <c r="F1385" s="64"/>
      <c r="G1385" s="64"/>
      <c r="H1385" s="64"/>
      <c r="I1385" s="64"/>
      <c r="J1385" s="64"/>
      <c r="K1385" s="64"/>
      <c r="L1385" s="64"/>
      <c r="M1385" s="64"/>
      <c r="N1385" s="64"/>
      <c r="O1385" s="64"/>
      <c r="P1385" s="64"/>
      <c r="Q1385" s="64"/>
      <c r="R1385" s="64"/>
      <c r="S1385" s="64"/>
    </row>
    <row r="1386" spans="1:19" x14ac:dyDescent="0.25">
      <c r="A1386" s="63"/>
      <c r="B1386" s="64"/>
      <c r="C1386" s="64"/>
      <c r="D1386" s="64"/>
      <c r="E1386" s="64"/>
      <c r="F1386" s="64"/>
      <c r="G1386" s="64"/>
      <c r="H1386" s="64"/>
      <c r="I1386" s="64"/>
      <c r="J1386" s="64"/>
      <c r="K1386" s="64"/>
      <c r="L1386" s="64"/>
      <c r="M1386" s="64"/>
      <c r="N1386" s="64"/>
      <c r="O1386" s="64"/>
      <c r="P1386" s="64"/>
      <c r="Q1386" s="64"/>
      <c r="R1386" s="64"/>
      <c r="S1386" s="64"/>
    </row>
    <row r="1387" spans="1:19" x14ac:dyDescent="0.25">
      <c r="A1387" s="63"/>
      <c r="B1387" s="64"/>
      <c r="C1387" s="64"/>
      <c r="D1387" s="64"/>
      <c r="E1387" s="64"/>
      <c r="F1387" s="64"/>
      <c r="G1387" s="64"/>
      <c r="H1387" s="64"/>
      <c r="I1387" s="64"/>
      <c r="J1387" s="64"/>
      <c r="K1387" s="64"/>
      <c r="L1387" s="64"/>
      <c r="M1387" s="64"/>
      <c r="N1387" s="64"/>
      <c r="O1387" s="64"/>
      <c r="P1387" s="64"/>
      <c r="Q1387" s="64"/>
      <c r="R1387" s="64"/>
      <c r="S1387" s="64"/>
    </row>
    <row r="1388" spans="1:19" x14ac:dyDescent="0.25">
      <c r="A1388" s="63"/>
      <c r="B1388" s="64"/>
      <c r="C1388" s="64"/>
      <c r="D1388" s="64"/>
      <c r="E1388" s="64"/>
      <c r="F1388" s="64"/>
      <c r="G1388" s="64"/>
      <c r="H1388" s="64"/>
      <c r="I1388" s="64"/>
      <c r="J1388" s="64"/>
      <c r="K1388" s="64"/>
      <c r="L1388" s="64"/>
      <c r="M1388" s="64"/>
      <c r="N1388" s="64"/>
      <c r="O1388" s="64"/>
      <c r="P1388" s="64"/>
      <c r="Q1388" s="64"/>
      <c r="R1388" s="64"/>
      <c r="S1388" s="64"/>
    </row>
    <row r="1389" spans="1:19" x14ac:dyDescent="0.25">
      <c r="A1389" s="63"/>
      <c r="B1389" s="64"/>
      <c r="C1389" s="64"/>
      <c r="D1389" s="64"/>
      <c r="E1389" s="64"/>
      <c r="F1389" s="64"/>
      <c r="G1389" s="64"/>
      <c r="H1389" s="64"/>
      <c r="I1389" s="64"/>
      <c r="J1389" s="64"/>
      <c r="K1389" s="64"/>
      <c r="L1389" s="64"/>
      <c r="M1389" s="64"/>
      <c r="N1389" s="64"/>
      <c r="O1389" s="64"/>
      <c r="P1389" s="64"/>
      <c r="Q1389" s="64"/>
      <c r="R1389" s="64"/>
      <c r="S1389" s="64"/>
    </row>
    <row r="1390" spans="1:19" x14ac:dyDescent="0.25">
      <c r="A1390" s="63"/>
      <c r="B1390" s="64"/>
      <c r="C1390" s="64"/>
      <c r="D1390" s="64"/>
      <c r="E1390" s="64"/>
      <c r="F1390" s="64"/>
      <c r="G1390" s="64"/>
      <c r="H1390" s="64"/>
      <c r="I1390" s="64"/>
      <c r="J1390" s="64"/>
      <c r="K1390" s="64"/>
      <c r="L1390" s="64"/>
      <c r="M1390" s="64"/>
      <c r="N1390" s="64"/>
      <c r="O1390" s="64"/>
      <c r="P1390" s="64"/>
      <c r="Q1390" s="64"/>
      <c r="R1390" s="64"/>
      <c r="S1390" s="64"/>
    </row>
    <row r="1391" spans="1:19" x14ac:dyDescent="0.25">
      <c r="A1391" s="63"/>
      <c r="B1391" s="64"/>
      <c r="C1391" s="64"/>
      <c r="D1391" s="64"/>
      <c r="E1391" s="64"/>
      <c r="F1391" s="64"/>
      <c r="G1391" s="64"/>
      <c r="H1391" s="64"/>
      <c r="I1391" s="64"/>
      <c r="J1391" s="64"/>
      <c r="K1391" s="64"/>
      <c r="L1391" s="64"/>
      <c r="M1391" s="64"/>
      <c r="N1391" s="64"/>
      <c r="O1391" s="64"/>
      <c r="P1391" s="64"/>
      <c r="Q1391" s="64"/>
      <c r="R1391" s="64"/>
      <c r="S1391" s="64"/>
    </row>
    <row r="1392" spans="1:19" x14ac:dyDescent="0.25">
      <c r="A1392" s="63"/>
      <c r="B1392" s="64"/>
      <c r="C1392" s="64"/>
      <c r="D1392" s="64"/>
      <c r="E1392" s="64"/>
      <c r="F1392" s="64"/>
      <c r="G1392" s="64"/>
      <c r="H1392" s="64"/>
      <c r="I1392" s="64"/>
      <c r="J1392" s="64"/>
      <c r="K1392" s="64"/>
      <c r="L1392" s="64"/>
      <c r="M1392" s="64"/>
      <c r="N1392" s="64"/>
      <c r="O1392" s="64"/>
      <c r="P1392" s="64"/>
      <c r="Q1392" s="64"/>
      <c r="R1392" s="64"/>
      <c r="S1392" s="64"/>
    </row>
    <row r="1393" spans="1:19" x14ac:dyDescent="0.25">
      <c r="A1393" s="63"/>
      <c r="B1393" s="64"/>
      <c r="C1393" s="64"/>
      <c r="D1393" s="64"/>
      <c r="E1393" s="64"/>
      <c r="F1393" s="64"/>
      <c r="G1393" s="64"/>
      <c r="H1393" s="64"/>
      <c r="I1393" s="64"/>
      <c r="J1393" s="64"/>
      <c r="K1393" s="64"/>
      <c r="L1393" s="64"/>
      <c r="M1393" s="64"/>
      <c r="N1393" s="64"/>
      <c r="O1393" s="64"/>
      <c r="P1393" s="64"/>
      <c r="Q1393" s="64"/>
      <c r="R1393" s="64"/>
      <c r="S1393" s="64"/>
    </row>
    <row r="1394" spans="1:19" x14ac:dyDescent="0.25">
      <c r="A1394" s="63"/>
      <c r="B1394" s="64"/>
      <c r="C1394" s="64"/>
      <c r="D1394" s="64"/>
      <c r="E1394" s="64"/>
      <c r="F1394" s="64"/>
      <c r="G1394" s="64"/>
      <c r="H1394" s="64"/>
      <c r="I1394" s="64"/>
      <c r="J1394" s="64"/>
      <c r="K1394" s="64"/>
      <c r="L1394" s="64"/>
      <c r="M1394" s="64"/>
      <c r="N1394" s="64"/>
      <c r="O1394" s="64"/>
      <c r="P1394" s="64"/>
      <c r="Q1394" s="64"/>
      <c r="R1394" s="64"/>
      <c r="S1394" s="64"/>
    </row>
    <row r="1395" spans="1:19" x14ac:dyDescent="0.25">
      <c r="A1395" s="63"/>
      <c r="B1395" s="64"/>
      <c r="C1395" s="64"/>
      <c r="D1395" s="64"/>
      <c r="E1395" s="64"/>
      <c r="F1395" s="64"/>
      <c r="G1395" s="64"/>
      <c r="H1395" s="64"/>
      <c r="I1395" s="64"/>
      <c r="J1395" s="64"/>
      <c r="K1395" s="64"/>
      <c r="L1395" s="64"/>
      <c r="M1395" s="64"/>
      <c r="N1395" s="64"/>
      <c r="O1395" s="64"/>
      <c r="P1395" s="64"/>
      <c r="Q1395" s="64"/>
      <c r="R1395" s="64"/>
      <c r="S1395" s="64"/>
    </row>
    <row r="1396" spans="1:19" x14ac:dyDescent="0.25">
      <c r="A1396" s="63"/>
      <c r="B1396" s="64"/>
      <c r="C1396" s="64"/>
      <c r="D1396" s="64"/>
      <c r="E1396" s="64"/>
      <c r="F1396" s="64"/>
      <c r="G1396" s="64"/>
      <c r="H1396" s="64"/>
      <c r="I1396" s="64"/>
      <c r="J1396" s="64"/>
      <c r="K1396" s="64"/>
      <c r="L1396" s="64"/>
      <c r="M1396" s="64"/>
      <c r="N1396" s="64"/>
      <c r="O1396" s="64"/>
      <c r="P1396" s="64"/>
      <c r="Q1396" s="64"/>
      <c r="R1396" s="64"/>
      <c r="S1396" s="64"/>
    </row>
    <row r="1397" spans="1:19" x14ac:dyDescent="0.25">
      <c r="A1397" s="63"/>
      <c r="B1397" s="64"/>
      <c r="C1397" s="64"/>
      <c r="D1397" s="64"/>
      <c r="E1397" s="64"/>
      <c r="F1397" s="64"/>
      <c r="G1397" s="64"/>
      <c r="H1397" s="64"/>
      <c r="I1397" s="64"/>
      <c r="J1397" s="64"/>
      <c r="K1397" s="64"/>
      <c r="L1397" s="64"/>
      <c r="M1397" s="64"/>
      <c r="N1397" s="64"/>
      <c r="O1397" s="64"/>
      <c r="P1397" s="64"/>
      <c r="Q1397" s="64"/>
      <c r="R1397" s="64"/>
      <c r="S1397" s="64"/>
    </row>
    <row r="1398" spans="1:19" x14ac:dyDescent="0.25">
      <c r="A1398" s="63"/>
      <c r="B1398" s="64"/>
      <c r="C1398" s="64"/>
      <c r="D1398" s="64"/>
      <c r="E1398" s="64"/>
      <c r="F1398" s="64"/>
      <c r="G1398" s="64"/>
      <c r="H1398" s="64"/>
      <c r="I1398" s="64"/>
      <c r="J1398" s="64"/>
      <c r="K1398" s="64"/>
      <c r="L1398" s="64"/>
      <c r="M1398" s="64"/>
      <c r="N1398" s="64"/>
      <c r="O1398" s="64"/>
      <c r="P1398" s="64"/>
      <c r="Q1398" s="64"/>
      <c r="R1398" s="64"/>
      <c r="S1398" s="64"/>
    </row>
    <row r="1399" spans="1:19" x14ac:dyDescent="0.25">
      <c r="A1399" s="63"/>
      <c r="B1399" s="64"/>
      <c r="C1399" s="64"/>
      <c r="D1399" s="64"/>
      <c r="E1399" s="64"/>
      <c r="F1399" s="64"/>
      <c r="G1399" s="64"/>
      <c r="H1399" s="64"/>
      <c r="I1399" s="64"/>
      <c r="J1399" s="64"/>
      <c r="K1399" s="64"/>
      <c r="L1399" s="64"/>
      <c r="M1399" s="64"/>
      <c r="N1399" s="64"/>
      <c r="O1399" s="64"/>
      <c r="P1399" s="64"/>
      <c r="Q1399" s="64"/>
      <c r="R1399" s="64"/>
      <c r="S1399" s="64"/>
    </row>
    <row r="1400" spans="1:19" x14ac:dyDescent="0.25">
      <c r="A1400" s="63"/>
      <c r="B1400" s="64"/>
      <c r="C1400" s="64"/>
      <c r="D1400" s="64"/>
      <c r="E1400" s="64"/>
      <c r="F1400" s="64"/>
      <c r="G1400" s="64"/>
      <c r="H1400" s="64"/>
      <c r="I1400" s="64"/>
      <c r="J1400" s="64"/>
      <c r="K1400" s="64"/>
      <c r="L1400" s="64"/>
      <c r="M1400" s="64"/>
      <c r="N1400" s="64"/>
      <c r="O1400" s="64"/>
      <c r="P1400" s="64"/>
      <c r="Q1400" s="64"/>
      <c r="R1400" s="64"/>
      <c r="S1400" s="64"/>
    </row>
    <row r="1401" spans="1:19" x14ac:dyDescent="0.25">
      <c r="A1401" s="63"/>
      <c r="B1401" s="64"/>
      <c r="C1401" s="64"/>
      <c r="D1401" s="64"/>
      <c r="E1401" s="64"/>
      <c r="F1401" s="64"/>
      <c r="G1401" s="64"/>
      <c r="H1401" s="64"/>
      <c r="I1401" s="64"/>
      <c r="J1401" s="64"/>
      <c r="K1401" s="64"/>
      <c r="L1401" s="64"/>
      <c r="M1401" s="64"/>
      <c r="N1401" s="64"/>
      <c r="O1401" s="64"/>
      <c r="P1401" s="64"/>
      <c r="Q1401" s="64"/>
      <c r="R1401" s="64"/>
      <c r="S1401" s="64"/>
    </row>
    <row r="1402" spans="1:19" x14ac:dyDescent="0.25">
      <c r="A1402" s="63"/>
      <c r="B1402" s="64"/>
      <c r="C1402" s="64"/>
      <c r="D1402" s="64"/>
      <c r="E1402" s="64"/>
      <c r="F1402" s="64"/>
      <c r="G1402" s="64"/>
      <c r="H1402" s="64"/>
      <c r="I1402" s="64"/>
      <c r="J1402" s="64"/>
      <c r="K1402" s="64"/>
      <c r="L1402" s="64"/>
      <c r="M1402" s="64"/>
      <c r="N1402" s="64"/>
      <c r="O1402" s="64"/>
      <c r="P1402" s="64"/>
      <c r="Q1402" s="64"/>
      <c r="R1402" s="64"/>
      <c r="S1402" s="64"/>
    </row>
    <row r="1403" spans="1:19" x14ac:dyDescent="0.25">
      <c r="A1403" s="63"/>
      <c r="B1403" s="64"/>
      <c r="C1403" s="64"/>
      <c r="D1403" s="64"/>
      <c r="E1403" s="64"/>
      <c r="F1403" s="64"/>
      <c r="G1403" s="64"/>
      <c r="H1403" s="64"/>
      <c r="I1403" s="64"/>
      <c r="J1403" s="64"/>
      <c r="K1403" s="64"/>
      <c r="L1403" s="64"/>
      <c r="M1403" s="64"/>
      <c r="N1403" s="64"/>
      <c r="O1403" s="64"/>
      <c r="P1403" s="64"/>
      <c r="Q1403" s="64"/>
      <c r="R1403" s="64"/>
      <c r="S1403" s="64"/>
    </row>
    <row r="1404" spans="1:19" x14ac:dyDescent="0.25">
      <c r="A1404" s="63"/>
      <c r="B1404" s="64"/>
      <c r="C1404" s="64"/>
      <c r="D1404" s="64"/>
      <c r="E1404" s="64"/>
      <c r="F1404" s="64"/>
      <c r="G1404" s="64"/>
      <c r="H1404" s="64"/>
      <c r="I1404" s="64"/>
      <c r="J1404" s="64"/>
      <c r="K1404" s="64"/>
      <c r="L1404" s="64"/>
      <c r="M1404" s="64"/>
      <c r="N1404" s="64"/>
      <c r="O1404" s="64"/>
      <c r="P1404" s="64"/>
      <c r="Q1404" s="64"/>
      <c r="R1404" s="64"/>
      <c r="S1404" s="64"/>
    </row>
    <row r="1405" spans="1:19" x14ac:dyDescent="0.25">
      <c r="A1405" s="63"/>
      <c r="B1405" s="64"/>
      <c r="C1405" s="64"/>
      <c r="D1405" s="64"/>
      <c r="E1405" s="64"/>
      <c r="F1405" s="64"/>
      <c r="G1405" s="64"/>
      <c r="H1405" s="64"/>
      <c r="I1405" s="64"/>
      <c r="J1405" s="64"/>
      <c r="K1405" s="64"/>
      <c r="L1405" s="64"/>
      <c r="M1405" s="64"/>
      <c r="N1405" s="64"/>
      <c r="O1405" s="64"/>
      <c r="P1405" s="64"/>
      <c r="Q1405" s="64"/>
      <c r="R1405" s="64"/>
      <c r="S1405" s="64"/>
    </row>
    <row r="1406" spans="1:19" x14ac:dyDescent="0.25">
      <c r="A1406" s="63"/>
      <c r="B1406" s="64"/>
      <c r="C1406" s="64"/>
      <c r="D1406" s="64"/>
      <c r="E1406" s="64"/>
      <c r="F1406" s="64"/>
      <c r="G1406" s="64"/>
      <c r="H1406" s="64"/>
      <c r="I1406" s="64"/>
      <c r="J1406" s="64"/>
      <c r="K1406" s="64"/>
      <c r="L1406" s="64"/>
      <c r="M1406" s="64"/>
      <c r="N1406" s="64"/>
      <c r="O1406" s="64"/>
      <c r="P1406" s="64"/>
      <c r="Q1406" s="64"/>
      <c r="R1406" s="64"/>
      <c r="S1406" s="64"/>
    </row>
    <row r="1407" spans="1:19" x14ac:dyDescent="0.25">
      <c r="A1407" s="63"/>
      <c r="B1407" s="64"/>
      <c r="C1407" s="64"/>
      <c r="D1407" s="64"/>
      <c r="E1407" s="64"/>
      <c r="F1407" s="64"/>
      <c r="G1407" s="64"/>
      <c r="H1407" s="64"/>
      <c r="I1407" s="64"/>
      <c r="J1407" s="64"/>
      <c r="K1407" s="64"/>
      <c r="L1407" s="64"/>
      <c r="M1407" s="64"/>
      <c r="N1407" s="64"/>
      <c r="O1407" s="64"/>
      <c r="P1407" s="64"/>
      <c r="Q1407" s="64"/>
      <c r="R1407" s="64"/>
      <c r="S1407" s="64"/>
    </row>
    <row r="1408" spans="1:19" x14ac:dyDescent="0.25">
      <c r="A1408" s="63"/>
      <c r="B1408" s="64"/>
      <c r="C1408" s="64"/>
      <c r="D1408" s="64"/>
      <c r="E1408" s="64"/>
      <c r="F1408" s="64"/>
      <c r="G1408" s="64"/>
      <c r="H1408" s="64"/>
      <c r="I1408" s="64"/>
      <c r="J1408" s="64"/>
      <c r="K1408" s="64"/>
      <c r="L1408" s="64"/>
      <c r="M1408" s="64"/>
      <c r="N1408" s="64"/>
      <c r="O1408" s="64"/>
      <c r="P1408" s="64"/>
      <c r="Q1408" s="64"/>
      <c r="R1408" s="64"/>
      <c r="S1408" s="64"/>
    </row>
    <row r="1409" spans="1:19" x14ac:dyDescent="0.25">
      <c r="A1409" s="63"/>
      <c r="B1409" s="64"/>
      <c r="C1409" s="64"/>
      <c r="D1409" s="64"/>
      <c r="E1409" s="64"/>
      <c r="F1409" s="64"/>
      <c r="G1409" s="64"/>
      <c r="H1409" s="64"/>
      <c r="I1409" s="64"/>
      <c r="J1409" s="64"/>
      <c r="K1409" s="64"/>
      <c r="L1409" s="64"/>
      <c r="M1409" s="64"/>
      <c r="N1409" s="64"/>
      <c r="O1409" s="64"/>
      <c r="P1409" s="64"/>
      <c r="Q1409" s="64"/>
      <c r="R1409" s="64"/>
      <c r="S1409" s="64"/>
    </row>
    <row r="1410" spans="1:19" x14ac:dyDescent="0.25">
      <c r="A1410" s="63"/>
      <c r="B1410" s="64"/>
      <c r="C1410" s="64"/>
      <c r="D1410" s="64"/>
      <c r="E1410" s="64"/>
      <c r="F1410" s="64"/>
      <c r="G1410" s="64"/>
      <c r="H1410" s="64"/>
      <c r="I1410" s="64"/>
      <c r="J1410" s="64"/>
      <c r="K1410" s="64"/>
      <c r="L1410" s="64"/>
      <c r="M1410" s="64"/>
      <c r="N1410" s="64"/>
      <c r="O1410" s="64"/>
      <c r="P1410" s="64"/>
      <c r="Q1410" s="64"/>
      <c r="R1410" s="64"/>
      <c r="S1410" s="64"/>
    </row>
    <row r="1411" spans="1:19" x14ac:dyDescent="0.25">
      <c r="A1411" s="63"/>
      <c r="B1411" s="64"/>
      <c r="C1411" s="64"/>
      <c r="D1411" s="64"/>
      <c r="E1411" s="64"/>
      <c r="F1411" s="64"/>
      <c r="G1411" s="64"/>
      <c r="H1411" s="64"/>
      <c r="I1411" s="64"/>
      <c r="J1411" s="64"/>
      <c r="K1411" s="64"/>
      <c r="L1411" s="64"/>
      <c r="M1411" s="64"/>
      <c r="N1411" s="64"/>
      <c r="O1411" s="64"/>
      <c r="P1411" s="64"/>
      <c r="Q1411" s="64"/>
      <c r="R1411" s="64"/>
      <c r="S1411" s="64"/>
    </row>
    <row r="1412" spans="1:19" x14ac:dyDescent="0.25">
      <c r="A1412" s="63"/>
      <c r="B1412" s="64"/>
      <c r="C1412" s="64"/>
      <c r="D1412" s="64"/>
      <c r="E1412" s="64"/>
      <c r="F1412" s="64"/>
      <c r="G1412" s="64"/>
      <c r="H1412" s="64"/>
      <c r="I1412" s="64"/>
      <c r="J1412" s="64"/>
      <c r="K1412" s="64"/>
      <c r="L1412" s="64"/>
      <c r="M1412" s="64"/>
      <c r="N1412" s="64"/>
      <c r="O1412" s="64"/>
      <c r="P1412" s="64"/>
      <c r="Q1412" s="64"/>
      <c r="R1412" s="64"/>
      <c r="S1412" s="64"/>
    </row>
    <row r="1413" spans="1:19" x14ac:dyDescent="0.25">
      <c r="A1413" s="63"/>
      <c r="B1413" s="64"/>
      <c r="C1413" s="64"/>
      <c r="D1413" s="64"/>
      <c r="E1413" s="64"/>
      <c r="F1413" s="64"/>
      <c r="G1413" s="64"/>
      <c r="H1413" s="64"/>
      <c r="I1413" s="64"/>
      <c r="J1413" s="64"/>
      <c r="K1413" s="64"/>
      <c r="L1413" s="64"/>
      <c r="M1413" s="64"/>
      <c r="N1413" s="64"/>
      <c r="O1413" s="64"/>
      <c r="P1413" s="64"/>
      <c r="Q1413" s="64"/>
      <c r="R1413" s="64"/>
      <c r="S1413" s="64"/>
    </row>
    <row r="1414" spans="1:19" x14ac:dyDescent="0.25">
      <c r="A1414" s="63"/>
      <c r="B1414" s="64"/>
      <c r="C1414" s="64"/>
      <c r="D1414" s="64"/>
      <c r="E1414" s="64"/>
      <c r="F1414" s="64"/>
      <c r="G1414" s="64"/>
      <c r="H1414" s="64"/>
      <c r="I1414" s="64"/>
      <c r="J1414" s="64"/>
      <c r="K1414" s="64"/>
      <c r="L1414" s="64"/>
      <c r="M1414" s="64"/>
      <c r="N1414" s="64"/>
      <c r="O1414" s="64"/>
      <c r="P1414" s="64"/>
      <c r="Q1414" s="64"/>
      <c r="R1414" s="64"/>
      <c r="S1414" s="64"/>
    </row>
    <row r="1415" spans="1:19" x14ac:dyDescent="0.25">
      <c r="A1415" s="63"/>
      <c r="B1415" s="64"/>
      <c r="C1415" s="64"/>
      <c r="D1415" s="64"/>
      <c r="E1415" s="64"/>
      <c r="F1415" s="64"/>
      <c r="G1415" s="64"/>
      <c r="H1415" s="64"/>
      <c r="I1415" s="64"/>
      <c r="J1415" s="64"/>
      <c r="K1415" s="64"/>
      <c r="L1415" s="64"/>
      <c r="M1415" s="64"/>
      <c r="N1415" s="64"/>
      <c r="O1415" s="64"/>
      <c r="P1415" s="64"/>
      <c r="Q1415" s="64"/>
      <c r="R1415" s="64"/>
      <c r="S1415" s="64"/>
    </row>
    <row r="1416" spans="1:19" x14ac:dyDescent="0.25">
      <c r="A1416" s="63"/>
      <c r="B1416" s="64"/>
      <c r="C1416" s="64"/>
      <c r="D1416" s="64"/>
      <c r="E1416" s="64"/>
      <c r="F1416" s="64"/>
      <c r="G1416" s="64"/>
      <c r="H1416" s="64"/>
      <c r="I1416" s="64"/>
      <c r="J1416" s="64"/>
      <c r="K1416" s="64"/>
      <c r="L1416" s="64"/>
      <c r="M1416" s="64"/>
      <c r="N1416" s="64"/>
      <c r="O1416" s="64"/>
      <c r="P1416" s="64"/>
      <c r="Q1416" s="64"/>
      <c r="R1416" s="64"/>
      <c r="S1416" s="64"/>
    </row>
    <row r="1417" spans="1:19" x14ac:dyDescent="0.25">
      <c r="A1417" s="63"/>
      <c r="B1417" s="64"/>
      <c r="C1417" s="64"/>
      <c r="D1417" s="64"/>
      <c r="E1417" s="64"/>
      <c r="F1417" s="64"/>
      <c r="G1417" s="64"/>
      <c r="H1417" s="64"/>
      <c r="I1417" s="64"/>
      <c r="J1417" s="64"/>
      <c r="K1417" s="64"/>
      <c r="L1417" s="64"/>
      <c r="M1417" s="64"/>
      <c r="N1417" s="64"/>
      <c r="O1417" s="64"/>
      <c r="P1417" s="64"/>
      <c r="Q1417" s="64"/>
      <c r="R1417" s="64"/>
      <c r="S1417" s="64"/>
    </row>
    <row r="1418" spans="1:19" x14ac:dyDescent="0.25">
      <c r="A1418" s="63"/>
      <c r="B1418" s="64"/>
      <c r="C1418" s="64"/>
      <c r="D1418" s="64"/>
      <c r="E1418" s="64"/>
      <c r="F1418" s="64"/>
      <c r="G1418" s="64"/>
      <c r="H1418" s="64"/>
      <c r="I1418" s="64"/>
      <c r="J1418" s="64"/>
      <c r="K1418" s="64"/>
      <c r="L1418" s="64"/>
      <c r="M1418" s="64"/>
      <c r="N1418" s="64"/>
      <c r="O1418" s="64"/>
      <c r="P1418" s="64"/>
      <c r="Q1418" s="64"/>
      <c r="R1418" s="64"/>
      <c r="S1418" s="64"/>
    </row>
    <row r="1419" spans="1:19" x14ac:dyDescent="0.25">
      <c r="A1419" s="63"/>
      <c r="B1419" s="64"/>
      <c r="C1419" s="64"/>
      <c r="D1419" s="64"/>
      <c r="E1419" s="64"/>
      <c r="F1419" s="64"/>
      <c r="G1419" s="64"/>
      <c r="H1419" s="64"/>
      <c r="I1419" s="64"/>
      <c r="J1419" s="64"/>
      <c r="K1419" s="64"/>
      <c r="L1419" s="64"/>
      <c r="M1419" s="64"/>
      <c r="N1419" s="64"/>
      <c r="O1419" s="64"/>
      <c r="P1419" s="64"/>
      <c r="Q1419" s="64"/>
      <c r="R1419" s="64"/>
      <c r="S1419" s="64"/>
    </row>
    <row r="1420" spans="1:19" x14ac:dyDescent="0.25">
      <c r="A1420" s="63"/>
      <c r="B1420" s="64"/>
      <c r="C1420" s="64"/>
      <c r="D1420" s="64"/>
      <c r="E1420" s="64"/>
      <c r="F1420" s="64"/>
      <c r="G1420" s="64"/>
      <c r="H1420" s="64"/>
      <c r="I1420" s="64"/>
      <c r="J1420" s="64"/>
      <c r="K1420" s="64"/>
      <c r="L1420" s="64"/>
      <c r="M1420" s="64"/>
      <c r="N1420" s="64"/>
      <c r="O1420" s="64"/>
      <c r="P1420" s="64"/>
      <c r="Q1420" s="64"/>
      <c r="R1420" s="64"/>
      <c r="S1420" s="64"/>
    </row>
    <row r="1421" spans="1:19" x14ac:dyDescent="0.25">
      <c r="A1421" s="63"/>
      <c r="B1421" s="64"/>
      <c r="C1421" s="64"/>
      <c r="D1421" s="64"/>
      <c r="E1421" s="64"/>
      <c r="F1421" s="64"/>
      <c r="G1421" s="64"/>
      <c r="H1421" s="64"/>
      <c r="I1421" s="64"/>
      <c r="J1421" s="64"/>
      <c r="K1421" s="64"/>
      <c r="L1421" s="64"/>
      <c r="M1421" s="64"/>
      <c r="N1421" s="64"/>
      <c r="O1421" s="64"/>
      <c r="P1421" s="64"/>
      <c r="Q1421" s="64"/>
      <c r="R1421" s="64"/>
      <c r="S1421" s="64"/>
    </row>
    <row r="1422" spans="1:19" x14ac:dyDescent="0.25">
      <c r="A1422" s="63"/>
      <c r="B1422" s="64"/>
      <c r="C1422" s="64"/>
      <c r="D1422" s="64"/>
      <c r="E1422" s="64"/>
      <c r="F1422" s="64"/>
      <c r="G1422" s="64"/>
      <c r="H1422" s="64"/>
      <c r="I1422" s="64"/>
      <c r="J1422" s="64"/>
      <c r="K1422" s="64"/>
      <c r="L1422" s="64"/>
      <c r="M1422" s="64"/>
      <c r="N1422" s="64"/>
      <c r="O1422" s="64"/>
      <c r="P1422" s="64"/>
      <c r="Q1422" s="64"/>
      <c r="R1422" s="64"/>
      <c r="S1422" s="64"/>
    </row>
    <row r="1423" spans="1:19" x14ac:dyDescent="0.25">
      <c r="A1423" s="63"/>
      <c r="B1423" s="64"/>
      <c r="C1423" s="64"/>
      <c r="D1423" s="64"/>
      <c r="E1423" s="64"/>
      <c r="F1423" s="64"/>
      <c r="G1423" s="64"/>
      <c r="H1423" s="64"/>
      <c r="I1423" s="64"/>
      <c r="J1423" s="64"/>
      <c r="K1423" s="64"/>
      <c r="L1423" s="64"/>
      <c r="M1423" s="64"/>
      <c r="N1423" s="64"/>
      <c r="O1423" s="64"/>
      <c r="P1423" s="64"/>
      <c r="Q1423" s="64"/>
      <c r="R1423" s="64"/>
      <c r="S1423" s="64"/>
    </row>
    <row r="1424" spans="1:19" x14ac:dyDescent="0.25">
      <c r="A1424" s="63"/>
      <c r="B1424" s="64"/>
      <c r="C1424" s="64"/>
      <c r="D1424" s="64"/>
      <c r="E1424" s="64"/>
      <c r="F1424" s="64"/>
      <c r="G1424" s="64"/>
      <c r="H1424" s="64"/>
      <c r="I1424" s="64"/>
      <c r="J1424" s="64"/>
      <c r="K1424" s="64"/>
      <c r="L1424" s="64"/>
      <c r="M1424" s="64"/>
      <c r="N1424" s="64"/>
      <c r="O1424" s="64"/>
      <c r="P1424" s="64"/>
      <c r="Q1424" s="64"/>
      <c r="R1424" s="64"/>
      <c r="S1424" s="64"/>
    </row>
    <row r="1425" spans="1:19" x14ac:dyDescent="0.25">
      <c r="A1425" s="63"/>
      <c r="B1425" s="64"/>
      <c r="C1425" s="64"/>
      <c r="D1425" s="64"/>
      <c r="E1425" s="64"/>
      <c r="F1425" s="64"/>
      <c r="G1425" s="64"/>
      <c r="H1425" s="64"/>
      <c r="I1425" s="64"/>
      <c r="J1425" s="64"/>
      <c r="K1425" s="64"/>
      <c r="L1425" s="64"/>
      <c r="M1425" s="64"/>
      <c r="N1425" s="64"/>
      <c r="O1425" s="64"/>
      <c r="P1425" s="64"/>
      <c r="Q1425" s="64"/>
      <c r="R1425" s="64"/>
      <c r="S1425" s="64"/>
    </row>
    <row r="1426" spans="1:19" x14ac:dyDescent="0.25">
      <c r="A1426" s="63"/>
      <c r="B1426" s="64"/>
      <c r="C1426" s="64"/>
      <c r="D1426" s="64"/>
      <c r="E1426" s="64"/>
      <c r="F1426" s="64"/>
      <c r="G1426" s="64"/>
      <c r="H1426" s="64"/>
      <c r="I1426" s="64"/>
      <c r="J1426" s="64"/>
      <c r="K1426" s="64"/>
      <c r="L1426" s="64"/>
      <c r="M1426" s="64"/>
      <c r="N1426" s="64"/>
      <c r="O1426" s="64"/>
      <c r="P1426" s="64"/>
      <c r="Q1426" s="64"/>
      <c r="R1426" s="64"/>
      <c r="S1426" s="64"/>
    </row>
    <row r="1427" spans="1:19" x14ac:dyDescent="0.25">
      <c r="A1427" s="63"/>
      <c r="B1427" s="64"/>
      <c r="C1427" s="64"/>
      <c r="D1427" s="64"/>
      <c r="E1427" s="64"/>
      <c r="F1427" s="64"/>
      <c r="G1427" s="64"/>
      <c r="H1427" s="64"/>
      <c r="I1427" s="64"/>
      <c r="J1427" s="64"/>
      <c r="K1427" s="64"/>
      <c r="L1427" s="64"/>
      <c r="M1427" s="64"/>
      <c r="N1427" s="64"/>
      <c r="O1427" s="64"/>
      <c r="P1427" s="64"/>
      <c r="Q1427" s="64"/>
      <c r="R1427" s="64"/>
      <c r="S1427" s="64"/>
    </row>
    <row r="1428" spans="1:19" x14ac:dyDescent="0.25">
      <c r="A1428" s="63"/>
      <c r="B1428" s="64"/>
      <c r="C1428" s="64"/>
      <c r="D1428" s="64"/>
      <c r="E1428" s="64"/>
      <c r="F1428" s="64"/>
      <c r="G1428" s="64"/>
      <c r="H1428" s="64"/>
      <c r="I1428" s="64"/>
      <c r="J1428" s="64"/>
      <c r="K1428" s="64"/>
      <c r="L1428" s="64"/>
      <c r="M1428" s="64"/>
      <c r="N1428" s="64"/>
      <c r="O1428" s="64"/>
      <c r="P1428" s="64"/>
      <c r="Q1428" s="64"/>
      <c r="R1428" s="64"/>
      <c r="S1428" s="64"/>
    </row>
    <row r="1429" spans="1:19" x14ac:dyDescent="0.25">
      <c r="A1429" s="63"/>
      <c r="B1429" s="64"/>
      <c r="C1429" s="64"/>
      <c r="D1429" s="64"/>
      <c r="E1429" s="64"/>
      <c r="F1429" s="64"/>
      <c r="G1429" s="64"/>
      <c r="H1429" s="64"/>
      <c r="I1429" s="64"/>
      <c r="J1429" s="64"/>
      <c r="K1429" s="64"/>
      <c r="L1429" s="64"/>
      <c r="M1429" s="64"/>
      <c r="N1429" s="64"/>
      <c r="O1429" s="64"/>
      <c r="P1429" s="64"/>
      <c r="Q1429" s="64"/>
      <c r="R1429" s="64"/>
      <c r="S1429" s="64"/>
    </row>
    <row r="1430" spans="1:19" x14ac:dyDescent="0.25">
      <c r="A1430" s="63"/>
      <c r="B1430" s="64"/>
      <c r="C1430" s="64"/>
      <c r="D1430" s="64"/>
      <c r="E1430" s="64"/>
      <c r="F1430" s="64"/>
      <c r="G1430" s="64"/>
      <c r="H1430" s="64"/>
      <c r="I1430" s="64"/>
      <c r="J1430" s="64"/>
      <c r="K1430" s="64"/>
      <c r="L1430" s="64"/>
      <c r="M1430" s="64"/>
      <c r="N1430" s="64"/>
      <c r="O1430" s="64"/>
      <c r="P1430" s="64"/>
      <c r="Q1430" s="64"/>
      <c r="R1430" s="64"/>
      <c r="S1430" s="64"/>
    </row>
    <row r="1431" spans="1:19" x14ac:dyDescent="0.25">
      <c r="A1431" s="63"/>
      <c r="B1431" s="64"/>
      <c r="C1431" s="64"/>
      <c r="D1431" s="64"/>
      <c r="E1431" s="64"/>
      <c r="F1431" s="64"/>
      <c r="G1431" s="64"/>
      <c r="H1431" s="64"/>
      <c r="I1431" s="64"/>
      <c r="J1431" s="64"/>
      <c r="K1431" s="64"/>
      <c r="L1431" s="64"/>
      <c r="M1431" s="64"/>
      <c r="N1431" s="64"/>
      <c r="O1431" s="64"/>
      <c r="P1431" s="64"/>
      <c r="Q1431" s="64"/>
      <c r="R1431" s="64"/>
      <c r="S1431" s="64"/>
    </row>
    <row r="1432" spans="1:19" x14ac:dyDescent="0.25">
      <c r="A1432" s="63"/>
      <c r="B1432" s="64"/>
      <c r="C1432" s="64"/>
      <c r="D1432" s="64"/>
      <c r="E1432" s="64"/>
      <c r="F1432" s="64"/>
      <c r="G1432" s="64"/>
      <c r="H1432" s="64"/>
      <c r="I1432" s="64"/>
      <c r="J1432" s="64"/>
      <c r="K1432" s="64"/>
      <c r="L1432" s="64"/>
      <c r="M1432" s="64"/>
      <c r="N1432" s="64"/>
      <c r="O1432" s="64"/>
      <c r="P1432" s="64"/>
      <c r="Q1432" s="64"/>
      <c r="R1432" s="64"/>
      <c r="S1432" s="64"/>
    </row>
    <row r="1433" spans="1:19" x14ac:dyDescent="0.25">
      <c r="A1433" s="63"/>
      <c r="B1433" s="64"/>
      <c r="C1433" s="64"/>
      <c r="D1433" s="64"/>
      <c r="E1433" s="64"/>
      <c r="F1433" s="64"/>
      <c r="G1433" s="64"/>
      <c r="H1433" s="64"/>
      <c r="I1433" s="64"/>
      <c r="J1433" s="64"/>
      <c r="K1433" s="64"/>
      <c r="L1433" s="64"/>
      <c r="M1433" s="64"/>
      <c r="N1433" s="64"/>
      <c r="O1433" s="64"/>
      <c r="P1433" s="64"/>
      <c r="Q1433" s="64"/>
      <c r="R1433" s="64"/>
      <c r="S1433" s="64"/>
    </row>
    <row r="1434" spans="1:19" x14ac:dyDescent="0.25">
      <c r="A1434" s="63"/>
      <c r="B1434" s="64"/>
      <c r="C1434" s="64"/>
      <c r="D1434" s="64"/>
      <c r="E1434" s="64"/>
      <c r="F1434" s="64"/>
      <c r="G1434" s="64"/>
      <c r="H1434" s="64"/>
      <c r="I1434" s="64"/>
      <c r="J1434" s="64"/>
      <c r="K1434" s="64"/>
      <c r="L1434" s="64"/>
      <c r="M1434" s="64"/>
      <c r="N1434" s="64"/>
      <c r="O1434" s="64"/>
      <c r="P1434" s="64"/>
      <c r="Q1434" s="64"/>
      <c r="R1434" s="64"/>
      <c r="S1434" s="64"/>
    </row>
    <row r="1435" spans="1:19" x14ac:dyDescent="0.25">
      <c r="A1435" s="63"/>
      <c r="B1435" s="64"/>
      <c r="C1435" s="64"/>
      <c r="D1435" s="64"/>
      <c r="E1435" s="64"/>
      <c r="F1435" s="64"/>
      <c r="G1435" s="64"/>
      <c r="H1435" s="64"/>
      <c r="I1435" s="64"/>
      <c r="J1435" s="64"/>
      <c r="K1435" s="64"/>
      <c r="L1435" s="64"/>
      <c r="M1435" s="64"/>
      <c r="N1435" s="64"/>
      <c r="O1435" s="64"/>
      <c r="P1435" s="64"/>
      <c r="Q1435" s="64"/>
      <c r="R1435" s="64"/>
      <c r="S1435" s="64"/>
    </row>
    <row r="1436" spans="1:19" x14ac:dyDescent="0.25">
      <c r="A1436" s="63"/>
      <c r="B1436" s="64"/>
      <c r="C1436" s="64"/>
      <c r="D1436" s="64"/>
      <c r="E1436" s="64"/>
      <c r="F1436" s="64"/>
      <c r="G1436" s="64"/>
      <c r="H1436" s="64"/>
      <c r="I1436" s="64"/>
      <c r="J1436" s="64"/>
      <c r="K1436" s="64"/>
      <c r="L1436" s="64"/>
      <c r="M1436" s="64"/>
      <c r="N1436" s="64"/>
      <c r="O1436" s="64"/>
      <c r="P1436" s="64"/>
      <c r="Q1436" s="64"/>
      <c r="R1436" s="64"/>
      <c r="S1436" s="64"/>
    </row>
    <row r="1437" spans="1:19" x14ac:dyDescent="0.25">
      <c r="A1437" s="63"/>
      <c r="B1437" s="64"/>
      <c r="C1437" s="64"/>
      <c r="D1437" s="64"/>
      <c r="E1437" s="64"/>
      <c r="F1437" s="64"/>
      <c r="G1437" s="64"/>
      <c r="H1437" s="64"/>
      <c r="I1437" s="64"/>
      <c r="J1437" s="64"/>
      <c r="K1437" s="64"/>
      <c r="L1437" s="64"/>
      <c r="M1437" s="64"/>
      <c r="N1437" s="64"/>
      <c r="O1437" s="64"/>
      <c r="P1437" s="64"/>
      <c r="Q1437" s="64"/>
      <c r="R1437" s="64"/>
      <c r="S1437" s="64"/>
    </row>
    <row r="1438" spans="1:19" x14ac:dyDescent="0.25">
      <c r="A1438" s="63"/>
      <c r="B1438" s="64"/>
      <c r="C1438" s="64"/>
      <c r="D1438" s="64"/>
      <c r="E1438" s="64"/>
      <c r="F1438" s="64"/>
      <c r="G1438" s="64"/>
      <c r="H1438" s="64"/>
      <c r="I1438" s="64"/>
      <c r="J1438" s="64"/>
      <c r="K1438" s="64"/>
      <c r="L1438" s="64"/>
      <c r="M1438" s="64"/>
      <c r="N1438" s="64"/>
      <c r="O1438" s="64"/>
      <c r="P1438" s="64"/>
      <c r="Q1438" s="64"/>
      <c r="R1438" s="64"/>
      <c r="S1438" s="64"/>
    </row>
    <row r="1439" spans="1:19" x14ac:dyDescent="0.25">
      <c r="A1439" s="63"/>
      <c r="B1439" s="64"/>
      <c r="C1439" s="64"/>
      <c r="D1439" s="64"/>
      <c r="E1439" s="64"/>
      <c r="F1439" s="64"/>
      <c r="G1439" s="64"/>
      <c r="H1439" s="64"/>
      <c r="I1439" s="64"/>
      <c r="J1439" s="64"/>
      <c r="K1439" s="64"/>
      <c r="L1439" s="64"/>
      <c r="M1439" s="64"/>
      <c r="N1439" s="64"/>
      <c r="O1439" s="64"/>
      <c r="P1439" s="64"/>
      <c r="Q1439" s="64"/>
      <c r="R1439" s="64"/>
      <c r="S1439" s="64"/>
    </row>
    <row r="1440" spans="1:19" x14ac:dyDescent="0.25">
      <c r="A1440" s="63"/>
      <c r="B1440" s="64"/>
      <c r="C1440" s="64"/>
      <c r="D1440" s="64"/>
      <c r="E1440" s="64"/>
      <c r="F1440" s="64"/>
      <c r="G1440" s="64"/>
      <c r="H1440" s="64"/>
      <c r="I1440" s="64"/>
      <c r="J1440" s="64"/>
      <c r="K1440" s="64"/>
      <c r="L1440" s="64"/>
      <c r="M1440" s="64"/>
      <c r="N1440" s="64"/>
      <c r="O1440" s="64"/>
      <c r="P1440" s="64"/>
      <c r="Q1440" s="64"/>
      <c r="R1440" s="64"/>
      <c r="S1440" s="64"/>
    </row>
    <row r="1441" spans="1:19" x14ac:dyDescent="0.25">
      <c r="A1441" s="63"/>
      <c r="B1441" s="64"/>
      <c r="C1441" s="64"/>
      <c r="D1441" s="64"/>
      <c r="E1441" s="64"/>
      <c r="F1441" s="64"/>
      <c r="G1441" s="64"/>
      <c r="H1441" s="64"/>
      <c r="I1441" s="64"/>
      <c r="J1441" s="64"/>
      <c r="K1441" s="64"/>
      <c r="L1441" s="64"/>
      <c r="M1441" s="64"/>
      <c r="N1441" s="64"/>
      <c r="O1441" s="64"/>
      <c r="P1441" s="64"/>
      <c r="Q1441" s="64"/>
      <c r="R1441" s="64"/>
      <c r="S1441" s="64"/>
    </row>
    <row r="1442" spans="1:19" x14ac:dyDescent="0.25">
      <c r="A1442" s="63"/>
      <c r="B1442" s="64"/>
      <c r="C1442" s="64"/>
      <c r="D1442" s="64"/>
      <c r="E1442" s="64"/>
      <c r="F1442" s="64"/>
      <c r="G1442" s="64"/>
      <c r="H1442" s="64"/>
      <c r="I1442" s="64"/>
      <c r="J1442" s="64"/>
      <c r="K1442" s="64"/>
      <c r="L1442" s="64"/>
      <c r="M1442" s="64"/>
      <c r="N1442" s="64"/>
      <c r="O1442" s="64"/>
      <c r="P1442" s="64"/>
      <c r="Q1442" s="64"/>
      <c r="R1442" s="64"/>
      <c r="S1442" s="64"/>
    </row>
    <row r="1443" spans="1:19" x14ac:dyDescent="0.25">
      <c r="A1443" s="63"/>
      <c r="B1443" s="64"/>
      <c r="C1443" s="64"/>
      <c r="D1443" s="64"/>
      <c r="E1443" s="64"/>
      <c r="F1443" s="64"/>
      <c r="G1443" s="64"/>
      <c r="H1443" s="64"/>
      <c r="I1443" s="64"/>
      <c r="J1443" s="64"/>
      <c r="K1443" s="64"/>
      <c r="L1443" s="64"/>
      <c r="M1443" s="64"/>
      <c r="N1443" s="64"/>
      <c r="O1443" s="64"/>
      <c r="P1443" s="64"/>
      <c r="Q1443" s="64"/>
      <c r="R1443" s="64"/>
      <c r="S1443" s="64"/>
    </row>
    <row r="1444" spans="1:19" x14ac:dyDescent="0.25">
      <c r="A1444" s="63"/>
      <c r="B1444" s="64"/>
      <c r="C1444" s="64"/>
      <c r="D1444" s="64"/>
      <c r="E1444" s="64"/>
      <c r="F1444" s="64"/>
      <c r="G1444" s="64"/>
      <c r="H1444" s="64"/>
      <c r="I1444" s="64"/>
      <c r="J1444" s="64"/>
      <c r="K1444" s="64"/>
      <c r="L1444" s="64"/>
      <c r="M1444" s="64"/>
      <c r="N1444" s="64"/>
      <c r="O1444" s="64"/>
      <c r="P1444" s="64"/>
      <c r="Q1444" s="64"/>
      <c r="R1444" s="64"/>
      <c r="S1444" s="64"/>
    </row>
    <row r="1445" spans="1:19" x14ac:dyDescent="0.25">
      <c r="A1445" s="63"/>
      <c r="B1445" s="64"/>
      <c r="C1445" s="64"/>
      <c r="D1445" s="64"/>
      <c r="E1445" s="64"/>
      <c r="F1445" s="64"/>
      <c r="G1445" s="64"/>
      <c r="H1445" s="64"/>
      <c r="I1445" s="64"/>
      <c r="J1445" s="64"/>
      <c r="K1445" s="64"/>
      <c r="L1445" s="64"/>
      <c r="M1445" s="64"/>
      <c r="N1445" s="64"/>
      <c r="O1445" s="64"/>
      <c r="P1445" s="64"/>
      <c r="Q1445" s="64"/>
      <c r="R1445" s="64"/>
      <c r="S1445" s="64"/>
    </row>
    <row r="1446" spans="1:19" x14ac:dyDescent="0.25">
      <c r="A1446" s="63"/>
      <c r="B1446" s="64"/>
      <c r="C1446" s="64"/>
      <c r="D1446" s="64"/>
      <c r="E1446" s="64"/>
      <c r="F1446" s="64"/>
      <c r="G1446" s="64"/>
      <c r="H1446" s="64"/>
      <c r="I1446" s="64"/>
      <c r="J1446" s="64"/>
      <c r="K1446" s="64"/>
      <c r="L1446" s="64"/>
      <c r="M1446" s="64"/>
      <c r="N1446" s="64"/>
      <c r="O1446" s="64"/>
      <c r="P1446" s="64"/>
      <c r="Q1446" s="64"/>
      <c r="R1446" s="64"/>
      <c r="S1446" s="64"/>
    </row>
    <row r="1447" spans="1:19" x14ac:dyDescent="0.25">
      <c r="A1447" s="63"/>
      <c r="B1447" s="64"/>
      <c r="C1447" s="64"/>
      <c r="D1447" s="64"/>
      <c r="E1447" s="64"/>
      <c r="F1447" s="64"/>
      <c r="G1447" s="64"/>
      <c r="H1447" s="64"/>
      <c r="I1447" s="64"/>
      <c r="J1447" s="64"/>
      <c r="K1447" s="64"/>
      <c r="L1447" s="64"/>
      <c r="M1447" s="64"/>
      <c r="N1447" s="64"/>
      <c r="O1447" s="64"/>
      <c r="P1447" s="64"/>
      <c r="Q1447" s="64"/>
      <c r="R1447" s="64"/>
      <c r="S1447" s="64"/>
    </row>
    <row r="1448" spans="1:19" x14ac:dyDescent="0.25">
      <c r="A1448" s="63"/>
      <c r="B1448" s="64"/>
      <c r="C1448" s="64"/>
      <c r="D1448" s="64"/>
      <c r="E1448" s="64"/>
      <c r="F1448" s="64"/>
      <c r="G1448" s="64"/>
      <c r="H1448" s="64"/>
      <c r="I1448" s="64"/>
      <c r="J1448" s="64"/>
      <c r="K1448" s="64"/>
      <c r="L1448" s="64"/>
      <c r="M1448" s="64"/>
      <c r="N1448" s="64"/>
      <c r="O1448" s="64"/>
      <c r="P1448" s="64"/>
      <c r="Q1448" s="64"/>
      <c r="R1448" s="64"/>
      <c r="S1448" s="64"/>
    </row>
    <row r="1449" spans="1:19" x14ac:dyDescent="0.25">
      <c r="A1449" s="63"/>
      <c r="B1449" s="64"/>
      <c r="C1449" s="64"/>
      <c r="D1449" s="64"/>
      <c r="E1449" s="64"/>
      <c r="F1449" s="64"/>
      <c r="G1449" s="64"/>
      <c r="H1449" s="64"/>
      <c r="I1449" s="64"/>
      <c r="J1449" s="64"/>
      <c r="K1449" s="64"/>
      <c r="L1449" s="64"/>
      <c r="M1449" s="64"/>
      <c r="N1449" s="64"/>
      <c r="O1449" s="64"/>
      <c r="P1449" s="64"/>
      <c r="Q1449" s="64"/>
      <c r="R1449" s="64"/>
      <c r="S1449" s="64"/>
    </row>
    <row r="1450" spans="1:19" x14ac:dyDescent="0.25">
      <c r="A1450" s="63"/>
      <c r="B1450" s="64"/>
      <c r="C1450" s="64"/>
      <c r="D1450" s="64"/>
      <c r="E1450" s="64"/>
      <c r="F1450" s="64"/>
      <c r="G1450" s="64"/>
      <c r="H1450" s="64"/>
      <c r="I1450" s="64"/>
      <c r="J1450" s="64"/>
      <c r="K1450" s="64"/>
      <c r="L1450" s="64"/>
      <c r="M1450" s="64"/>
      <c r="N1450" s="64"/>
      <c r="O1450" s="64"/>
      <c r="P1450" s="64"/>
      <c r="Q1450" s="64"/>
      <c r="R1450" s="64"/>
      <c r="S1450" s="64"/>
    </row>
    <row r="1451" spans="1:19" x14ac:dyDescent="0.25">
      <c r="A1451" s="63"/>
      <c r="B1451" s="64"/>
      <c r="C1451" s="64"/>
      <c r="D1451" s="64"/>
      <c r="E1451" s="64"/>
      <c r="F1451" s="64"/>
      <c r="G1451" s="64"/>
      <c r="H1451" s="64"/>
      <c r="I1451" s="64"/>
      <c r="J1451" s="64"/>
      <c r="K1451" s="64"/>
      <c r="L1451" s="64"/>
      <c r="M1451" s="64"/>
      <c r="N1451" s="64"/>
      <c r="O1451" s="64"/>
      <c r="P1451" s="64"/>
      <c r="Q1451" s="64"/>
      <c r="R1451" s="64"/>
      <c r="S1451" s="64"/>
    </row>
    <row r="1452" spans="1:19" x14ac:dyDescent="0.25">
      <c r="A1452" s="63"/>
      <c r="B1452" s="64"/>
      <c r="C1452" s="64"/>
      <c r="D1452" s="64"/>
      <c r="E1452" s="64"/>
      <c r="F1452" s="64"/>
      <c r="G1452" s="64"/>
      <c r="H1452" s="64"/>
      <c r="I1452" s="64"/>
      <c r="J1452" s="64"/>
      <c r="K1452" s="64"/>
      <c r="L1452" s="64"/>
      <c r="M1452" s="64"/>
      <c r="N1452" s="64"/>
      <c r="O1452" s="64"/>
      <c r="P1452" s="64"/>
      <c r="Q1452" s="64"/>
      <c r="R1452" s="64"/>
      <c r="S1452" s="64"/>
    </row>
    <row r="1453" spans="1:19" x14ac:dyDescent="0.25">
      <c r="A1453" s="63"/>
      <c r="B1453" s="64"/>
      <c r="C1453" s="64"/>
      <c r="D1453" s="64"/>
      <c r="E1453" s="64"/>
      <c r="F1453" s="64"/>
      <c r="G1453" s="64"/>
      <c r="H1453" s="64"/>
      <c r="I1453" s="64"/>
      <c r="J1453" s="64"/>
      <c r="K1453" s="64"/>
      <c r="L1453" s="64"/>
      <c r="M1453" s="64"/>
      <c r="N1453" s="64"/>
      <c r="O1453" s="64"/>
      <c r="P1453" s="64"/>
      <c r="Q1453" s="64"/>
      <c r="R1453" s="64"/>
      <c r="S1453" s="64"/>
    </row>
    <row r="1454" spans="1:19" x14ac:dyDescent="0.25">
      <c r="A1454" s="63"/>
      <c r="B1454" s="64"/>
      <c r="C1454" s="64"/>
      <c r="D1454" s="64"/>
      <c r="E1454" s="64"/>
      <c r="F1454" s="64"/>
      <c r="G1454" s="64"/>
      <c r="H1454" s="64"/>
      <c r="I1454" s="64"/>
      <c r="J1454" s="64"/>
      <c r="K1454" s="64"/>
      <c r="L1454" s="64"/>
      <c r="M1454" s="64"/>
      <c r="N1454" s="64"/>
      <c r="O1454" s="64"/>
      <c r="P1454" s="64"/>
      <c r="Q1454" s="64"/>
      <c r="R1454" s="64"/>
      <c r="S1454" s="64"/>
    </row>
    <row r="1455" spans="1:19" x14ac:dyDescent="0.25">
      <c r="A1455" s="63"/>
      <c r="B1455" s="64"/>
      <c r="C1455" s="64"/>
      <c r="D1455" s="64"/>
      <c r="E1455" s="64"/>
      <c r="F1455" s="64"/>
      <c r="G1455" s="64"/>
      <c r="H1455" s="64"/>
      <c r="I1455" s="64"/>
      <c r="J1455" s="64"/>
      <c r="K1455" s="64"/>
      <c r="L1455" s="64"/>
      <c r="M1455" s="64"/>
      <c r="N1455" s="64"/>
      <c r="O1455" s="64"/>
      <c r="P1455" s="64"/>
      <c r="Q1455" s="64"/>
      <c r="R1455" s="64"/>
      <c r="S1455" s="64"/>
    </row>
    <row r="1456" spans="1:19" x14ac:dyDescent="0.25">
      <c r="A1456" s="63"/>
      <c r="B1456" s="64"/>
      <c r="C1456" s="64"/>
      <c r="D1456" s="64"/>
      <c r="E1456" s="64"/>
      <c r="F1456" s="64"/>
      <c r="G1456" s="64"/>
      <c r="H1456" s="64"/>
      <c r="I1456" s="64"/>
      <c r="J1456" s="64"/>
      <c r="K1456" s="64"/>
      <c r="L1456" s="64"/>
      <c r="M1456" s="64"/>
      <c r="N1456" s="64"/>
      <c r="O1456" s="64"/>
      <c r="P1456" s="64"/>
      <c r="Q1456" s="64"/>
      <c r="R1456" s="64"/>
      <c r="S1456" s="64"/>
    </row>
    <row r="1457" spans="1:19" x14ac:dyDescent="0.25">
      <c r="A1457" s="63"/>
      <c r="B1457" s="64"/>
      <c r="C1457" s="64"/>
      <c r="D1457" s="64"/>
      <c r="E1457" s="64"/>
      <c r="F1457" s="64"/>
      <c r="G1457" s="64"/>
      <c r="H1457" s="64"/>
      <c r="I1457" s="64"/>
      <c r="J1457" s="64"/>
      <c r="K1457" s="64"/>
      <c r="L1457" s="64"/>
      <c r="M1457" s="64"/>
      <c r="N1457" s="64"/>
      <c r="O1457" s="64"/>
      <c r="P1457" s="64"/>
      <c r="Q1457" s="64"/>
      <c r="R1457" s="64"/>
      <c r="S1457" s="64"/>
    </row>
    <row r="1458" spans="1:19" x14ac:dyDescent="0.25">
      <c r="A1458" s="63"/>
      <c r="B1458" s="64"/>
      <c r="C1458" s="64"/>
      <c r="D1458" s="64"/>
      <c r="E1458" s="64"/>
      <c r="F1458" s="64"/>
      <c r="G1458" s="64"/>
      <c r="H1458" s="64"/>
      <c r="I1458" s="64"/>
      <c r="J1458" s="64"/>
      <c r="K1458" s="64"/>
      <c r="L1458" s="64"/>
      <c r="M1458" s="64"/>
      <c r="N1458" s="64"/>
      <c r="O1458" s="64"/>
      <c r="P1458" s="64"/>
      <c r="Q1458" s="64"/>
      <c r="R1458" s="64"/>
      <c r="S1458" s="64"/>
    </row>
    <row r="1459" spans="1:19" x14ac:dyDescent="0.25">
      <c r="A1459" s="63"/>
      <c r="B1459" s="64"/>
      <c r="C1459" s="64"/>
      <c r="D1459" s="64"/>
      <c r="E1459" s="64"/>
      <c r="F1459" s="64"/>
      <c r="G1459" s="64"/>
      <c r="H1459" s="64"/>
      <c r="I1459" s="64"/>
      <c r="J1459" s="64"/>
      <c r="K1459" s="64"/>
      <c r="L1459" s="64"/>
      <c r="M1459" s="64"/>
      <c r="N1459" s="64"/>
      <c r="O1459" s="64"/>
      <c r="P1459" s="64"/>
      <c r="Q1459" s="64"/>
      <c r="R1459" s="64"/>
      <c r="S1459" s="64"/>
    </row>
    <row r="1460" spans="1:19" x14ac:dyDescent="0.25">
      <c r="A1460" s="63"/>
      <c r="B1460" s="64"/>
      <c r="C1460" s="64"/>
      <c r="D1460" s="64"/>
      <c r="E1460" s="64"/>
      <c r="F1460" s="64"/>
      <c r="G1460" s="64"/>
      <c r="H1460" s="64"/>
      <c r="I1460" s="64"/>
      <c r="J1460" s="64"/>
      <c r="K1460" s="64"/>
      <c r="L1460" s="64"/>
      <c r="M1460" s="64"/>
      <c r="N1460" s="64"/>
      <c r="O1460" s="64"/>
      <c r="P1460" s="64"/>
      <c r="Q1460" s="64"/>
      <c r="R1460" s="64"/>
      <c r="S1460" s="64"/>
    </row>
    <row r="1461" spans="1:19" x14ac:dyDescent="0.25">
      <c r="A1461" s="63"/>
      <c r="B1461" s="64"/>
      <c r="C1461" s="64"/>
      <c r="D1461" s="64"/>
      <c r="E1461" s="64"/>
      <c r="F1461" s="64"/>
      <c r="G1461" s="64"/>
      <c r="H1461" s="64"/>
      <c r="I1461" s="64"/>
      <c r="J1461" s="64"/>
      <c r="K1461" s="64"/>
      <c r="L1461" s="64"/>
      <c r="M1461" s="64"/>
      <c r="N1461" s="64"/>
      <c r="O1461" s="64"/>
      <c r="P1461" s="64"/>
      <c r="Q1461" s="64"/>
      <c r="R1461" s="64"/>
      <c r="S1461" s="64"/>
    </row>
    <row r="1462" spans="1:19" x14ac:dyDescent="0.25">
      <c r="A1462" s="63"/>
      <c r="B1462" s="64"/>
      <c r="C1462" s="64"/>
      <c r="D1462" s="64"/>
      <c r="E1462" s="64"/>
      <c r="F1462" s="64"/>
      <c r="G1462" s="64"/>
      <c r="H1462" s="64"/>
      <c r="I1462" s="64"/>
      <c r="J1462" s="64"/>
      <c r="K1462" s="64"/>
      <c r="L1462" s="64"/>
      <c r="M1462" s="64"/>
      <c r="N1462" s="64"/>
      <c r="O1462" s="64"/>
      <c r="P1462" s="64"/>
      <c r="Q1462" s="64"/>
      <c r="R1462" s="64"/>
      <c r="S1462" s="64"/>
    </row>
    <row r="1463" spans="1:19" x14ac:dyDescent="0.25">
      <c r="A1463" s="63"/>
      <c r="B1463" s="64"/>
      <c r="C1463" s="64"/>
      <c r="D1463" s="64"/>
      <c r="E1463" s="64"/>
      <c r="F1463" s="64"/>
      <c r="G1463" s="64"/>
      <c r="H1463" s="64"/>
      <c r="I1463" s="64"/>
      <c r="J1463" s="64"/>
      <c r="K1463" s="64"/>
      <c r="L1463" s="64"/>
      <c r="M1463" s="64"/>
      <c r="N1463" s="64"/>
      <c r="O1463" s="64"/>
      <c r="P1463" s="64"/>
      <c r="Q1463" s="64"/>
      <c r="R1463" s="64"/>
      <c r="S1463" s="64"/>
    </row>
    <row r="1464" spans="1:19" x14ac:dyDescent="0.25">
      <c r="A1464" s="63"/>
      <c r="B1464" s="64"/>
      <c r="C1464" s="64"/>
      <c r="D1464" s="64"/>
      <c r="E1464" s="64"/>
      <c r="F1464" s="64"/>
      <c r="G1464" s="64"/>
      <c r="H1464" s="64"/>
      <c r="I1464" s="64"/>
      <c r="J1464" s="64"/>
      <c r="K1464" s="64"/>
      <c r="L1464" s="64"/>
      <c r="M1464" s="64"/>
      <c r="N1464" s="64"/>
      <c r="O1464" s="64"/>
      <c r="P1464" s="64"/>
      <c r="Q1464" s="64"/>
      <c r="R1464" s="64"/>
      <c r="S1464" s="64"/>
    </row>
    <row r="1465" spans="1:19" x14ac:dyDescent="0.25">
      <c r="A1465" s="63"/>
      <c r="B1465" s="64"/>
      <c r="C1465" s="64"/>
      <c r="D1465" s="64"/>
      <c r="E1465" s="64"/>
      <c r="F1465" s="64"/>
      <c r="G1465" s="64"/>
      <c r="H1465" s="64"/>
      <c r="I1465" s="64"/>
      <c r="J1465" s="64"/>
      <c r="K1465" s="64"/>
      <c r="L1465" s="64"/>
      <c r="M1465" s="64"/>
      <c r="N1465" s="64"/>
      <c r="O1465" s="64"/>
      <c r="P1465" s="64"/>
      <c r="Q1465" s="64"/>
      <c r="R1465" s="64"/>
      <c r="S1465" s="64"/>
    </row>
    <row r="1466" spans="1:19" x14ac:dyDescent="0.25">
      <c r="A1466" s="63"/>
      <c r="B1466" s="64"/>
      <c r="C1466" s="64"/>
      <c r="D1466" s="64"/>
      <c r="E1466" s="64"/>
      <c r="F1466" s="64"/>
      <c r="G1466" s="64"/>
      <c r="H1466" s="64"/>
      <c r="I1466" s="64"/>
      <c r="J1466" s="64"/>
      <c r="K1466" s="64"/>
      <c r="L1466" s="64"/>
      <c r="M1466" s="64"/>
      <c r="N1466" s="64"/>
      <c r="O1466" s="64"/>
      <c r="P1466" s="64"/>
      <c r="Q1466" s="64"/>
      <c r="R1466" s="64"/>
      <c r="S1466" s="64"/>
    </row>
    <row r="1467" spans="1:19" x14ac:dyDescent="0.25">
      <c r="A1467" s="63"/>
      <c r="B1467" s="64"/>
      <c r="C1467" s="64"/>
      <c r="D1467" s="64"/>
      <c r="E1467" s="64"/>
      <c r="F1467" s="64"/>
      <c r="G1467" s="64"/>
      <c r="H1467" s="64"/>
      <c r="I1467" s="64"/>
      <c r="J1467" s="64"/>
      <c r="K1467" s="64"/>
      <c r="L1467" s="64"/>
      <c r="M1467" s="64"/>
      <c r="N1467" s="64"/>
      <c r="O1467" s="64"/>
      <c r="P1467" s="64"/>
      <c r="Q1467" s="64"/>
      <c r="R1467" s="64"/>
      <c r="S1467" s="64"/>
    </row>
    <row r="1468" spans="1:19" x14ac:dyDescent="0.25">
      <c r="A1468" s="63"/>
      <c r="B1468" s="64"/>
      <c r="C1468" s="64"/>
      <c r="D1468" s="64"/>
      <c r="E1468" s="64"/>
      <c r="F1468" s="64"/>
      <c r="G1468" s="64"/>
      <c r="H1468" s="64"/>
      <c r="I1468" s="64"/>
      <c r="J1468" s="64"/>
      <c r="K1468" s="64"/>
      <c r="L1468" s="64"/>
      <c r="M1468" s="64"/>
      <c r="N1468" s="64"/>
      <c r="O1468" s="64"/>
      <c r="P1468" s="64"/>
      <c r="Q1468" s="64"/>
      <c r="R1468" s="64"/>
      <c r="S1468" s="64"/>
    </row>
    <row r="1469" spans="1:19" x14ac:dyDescent="0.25">
      <c r="A1469" s="63"/>
      <c r="B1469" s="64"/>
      <c r="C1469" s="64"/>
      <c r="D1469" s="64"/>
      <c r="E1469" s="64"/>
      <c r="F1469" s="64"/>
      <c r="G1469" s="64"/>
      <c r="H1469" s="64"/>
      <c r="I1469" s="64"/>
      <c r="J1469" s="64"/>
      <c r="K1469" s="64"/>
      <c r="L1469" s="64"/>
      <c r="M1469" s="64"/>
      <c r="N1469" s="64"/>
      <c r="O1469" s="64"/>
      <c r="P1469" s="64"/>
      <c r="Q1469" s="64"/>
      <c r="R1469" s="64"/>
      <c r="S1469" s="64"/>
    </row>
    <row r="1470" spans="1:19" x14ac:dyDescent="0.25">
      <c r="A1470" s="63"/>
      <c r="B1470" s="64"/>
      <c r="C1470" s="64"/>
      <c r="D1470" s="64"/>
      <c r="E1470" s="64"/>
      <c r="F1470" s="64"/>
      <c r="G1470" s="64"/>
      <c r="H1470" s="64"/>
      <c r="I1470" s="64"/>
      <c r="J1470" s="64"/>
      <c r="K1470" s="64"/>
      <c r="L1470" s="64"/>
      <c r="M1470" s="64"/>
      <c r="N1470" s="64"/>
      <c r="O1470" s="64"/>
      <c r="P1470" s="64"/>
      <c r="Q1470" s="64"/>
      <c r="R1470" s="64"/>
      <c r="S1470" s="64"/>
    </row>
    <row r="1471" spans="1:19" x14ac:dyDescent="0.25">
      <c r="A1471" s="63"/>
      <c r="B1471" s="64"/>
      <c r="C1471" s="64"/>
      <c r="D1471" s="64"/>
      <c r="E1471" s="64"/>
      <c r="F1471" s="64"/>
      <c r="G1471" s="64"/>
      <c r="H1471" s="64"/>
      <c r="I1471" s="64"/>
      <c r="J1471" s="64"/>
      <c r="K1471" s="64"/>
      <c r="L1471" s="64"/>
      <c r="M1471" s="64"/>
      <c r="N1471" s="64"/>
      <c r="O1471" s="64"/>
      <c r="P1471" s="64"/>
      <c r="Q1471" s="64"/>
      <c r="R1471" s="64"/>
      <c r="S1471" s="64"/>
    </row>
    <row r="1472" spans="1:19" x14ac:dyDescent="0.25">
      <c r="A1472" s="63"/>
      <c r="B1472" s="64"/>
      <c r="C1472" s="64"/>
      <c r="D1472" s="64"/>
      <c r="E1472" s="64"/>
      <c r="F1472" s="64"/>
      <c r="G1472" s="64"/>
      <c r="H1472" s="64"/>
      <c r="I1472" s="64"/>
      <c r="J1472" s="64"/>
      <c r="K1472" s="64"/>
      <c r="L1472" s="64"/>
      <c r="M1472" s="64"/>
      <c r="N1472" s="64"/>
      <c r="O1472" s="64"/>
      <c r="P1472" s="64"/>
      <c r="Q1472" s="64"/>
      <c r="R1472" s="64"/>
      <c r="S1472" s="64"/>
    </row>
    <row r="1473" spans="1:19" x14ac:dyDescent="0.25">
      <c r="A1473" s="63"/>
      <c r="B1473" s="64"/>
      <c r="C1473" s="64"/>
      <c r="D1473" s="64"/>
      <c r="E1473" s="64"/>
      <c r="F1473" s="64"/>
      <c r="G1473" s="64"/>
      <c r="H1473" s="64"/>
      <c r="I1473" s="64"/>
      <c r="J1473" s="64"/>
      <c r="K1473" s="64"/>
      <c r="L1473" s="64"/>
      <c r="M1473" s="64"/>
      <c r="N1473" s="64"/>
      <c r="O1473" s="64"/>
      <c r="P1473" s="64"/>
      <c r="Q1473" s="64"/>
      <c r="R1473" s="64"/>
      <c r="S1473" s="64"/>
    </row>
    <row r="1474" spans="1:19" x14ac:dyDescent="0.25">
      <c r="A1474" s="63"/>
      <c r="B1474" s="64"/>
      <c r="C1474" s="64"/>
      <c r="D1474" s="64"/>
      <c r="E1474" s="64"/>
      <c r="F1474" s="64"/>
      <c r="G1474" s="64"/>
      <c r="H1474" s="64"/>
      <c r="I1474" s="64"/>
      <c r="J1474" s="64"/>
      <c r="K1474" s="64"/>
      <c r="L1474" s="64"/>
      <c r="M1474" s="64"/>
      <c r="N1474" s="64"/>
      <c r="O1474" s="64"/>
      <c r="P1474" s="64"/>
      <c r="Q1474" s="64"/>
      <c r="R1474" s="64"/>
      <c r="S1474" s="64"/>
    </row>
    <row r="1475" spans="1:19" x14ac:dyDescent="0.25">
      <c r="A1475" s="63"/>
      <c r="B1475" s="64"/>
      <c r="C1475" s="64"/>
      <c r="D1475" s="64"/>
      <c r="E1475" s="64"/>
      <c r="F1475" s="64"/>
      <c r="G1475" s="64"/>
      <c r="H1475" s="64"/>
      <c r="I1475" s="64"/>
      <c r="J1475" s="64"/>
      <c r="K1475" s="64"/>
      <c r="L1475" s="64"/>
      <c r="M1475" s="64"/>
      <c r="N1475" s="64"/>
      <c r="O1475" s="64"/>
      <c r="P1475" s="64"/>
      <c r="Q1475" s="64"/>
      <c r="R1475" s="64"/>
      <c r="S1475" s="64"/>
    </row>
    <row r="1476" spans="1:19" x14ac:dyDescent="0.25">
      <c r="A1476" s="63"/>
      <c r="B1476" s="64"/>
      <c r="C1476" s="64"/>
      <c r="D1476" s="64"/>
      <c r="E1476" s="64"/>
      <c r="F1476" s="64"/>
      <c r="G1476" s="64"/>
      <c r="H1476" s="64"/>
      <c r="I1476" s="64"/>
      <c r="J1476" s="64"/>
      <c r="K1476" s="64"/>
      <c r="L1476" s="64"/>
      <c r="M1476" s="64"/>
      <c r="N1476" s="64"/>
      <c r="O1476" s="64"/>
      <c r="P1476" s="64"/>
      <c r="Q1476" s="64"/>
      <c r="R1476" s="64"/>
      <c r="S1476" s="64"/>
    </row>
    <row r="1477" spans="1:19" x14ac:dyDescent="0.25">
      <c r="A1477" s="63"/>
      <c r="B1477" s="64"/>
      <c r="C1477" s="64"/>
      <c r="D1477" s="64"/>
      <c r="E1477" s="64"/>
      <c r="F1477" s="64"/>
      <c r="G1477" s="64"/>
      <c r="H1477" s="64"/>
      <c r="I1477" s="64"/>
      <c r="J1477" s="64"/>
      <c r="K1477" s="64"/>
      <c r="L1477" s="64"/>
      <c r="M1477" s="64"/>
      <c r="N1477" s="64"/>
      <c r="O1477" s="64"/>
      <c r="P1477" s="64"/>
      <c r="Q1477" s="64"/>
      <c r="R1477" s="64"/>
      <c r="S1477" s="64"/>
    </row>
    <row r="1478" spans="1:19" x14ac:dyDescent="0.25">
      <c r="A1478" s="63"/>
      <c r="B1478" s="64"/>
      <c r="C1478" s="64"/>
      <c r="D1478" s="64"/>
      <c r="E1478" s="64"/>
      <c r="F1478" s="64"/>
      <c r="G1478" s="64"/>
      <c r="H1478" s="64"/>
      <c r="I1478" s="64"/>
      <c r="J1478" s="64"/>
      <c r="K1478" s="64"/>
      <c r="L1478" s="64"/>
      <c r="M1478" s="64"/>
      <c r="N1478" s="64"/>
      <c r="O1478" s="64"/>
      <c r="P1478" s="64"/>
      <c r="Q1478" s="64"/>
      <c r="R1478" s="64"/>
      <c r="S1478" s="64"/>
    </row>
    <row r="1479" spans="1:19" x14ac:dyDescent="0.25">
      <c r="A1479" s="63"/>
      <c r="B1479" s="64"/>
      <c r="C1479" s="64"/>
      <c r="D1479" s="64"/>
      <c r="E1479" s="64"/>
      <c r="F1479" s="64"/>
      <c r="G1479" s="64"/>
      <c r="H1479" s="64"/>
      <c r="I1479" s="64"/>
      <c r="J1479" s="64"/>
      <c r="K1479" s="64"/>
      <c r="L1479" s="64"/>
      <c r="M1479" s="64"/>
      <c r="N1479" s="64"/>
      <c r="O1479" s="64"/>
      <c r="P1479" s="64"/>
      <c r="Q1479" s="64"/>
      <c r="R1479" s="64"/>
      <c r="S1479" s="64"/>
    </row>
    <row r="1480" spans="1:19" x14ac:dyDescent="0.25">
      <c r="A1480" s="63"/>
      <c r="B1480" s="64"/>
      <c r="C1480" s="64"/>
      <c r="D1480" s="64"/>
      <c r="E1480" s="64"/>
      <c r="F1480" s="64"/>
      <c r="G1480" s="64"/>
      <c r="H1480" s="64"/>
      <c r="I1480" s="64"/>
      <c r="J1480" s="64"/>
      <c r="K1480" s="64"/>
      <c r="L1480" s="64"/>
      <c r="M1480" s="64"/>
      <c r="N1480" s="64"/>
      <c r="O1480" s="64"/>
      <c r="P1480" s="64"/>
      <c r="Q1480" s="64"/>
      <c r="R1480" s="64"/>
      <c r="S1480" s="64"/>
    </row>
    <row r="1481" spans="1:19" x14ac:dyDescent="0.25">
      <c r="A1481" s="63"/>
      <c r="B1481" s="64"/>
      <c r="C1481" s="64"/>
      <c r="D1481" s="64"/>
      <c r="E1481" s="64"/>
      <c r="F1481" s="64"/>
      <c r="G1481" s="64"/>
      <c r="H1481" s="64"/>
      <c r="I1481" s="64"/>
      <c r="J1481" s="64"/>
      <c r="K1481" s="64"/>
      <c r="L1481" s="64"/>
      <c r="M1481" s="64"/>
      <c r="N1481" s="64"/>
      <c r="O1481" s="64"/>
      <c r="P1481" s="64"/>
      <c r="Q1481" s="64"/>
      <c r="R1481" s="64"/>
      <c r="S1481" s="64"/>
    </row>
    <row r="1482" spans="1:19" x14ac:dyDescent="0.25">
      <c r="A1482" s="63"/>
      <c r="B1482" s="64"/>
      <c r="C1482" s="64"/>
      <c r="D1482" s="64"/>
      <c r="E1482" s="64"/>
      <c r="F1482" s="64"/>
      <c r="G1482" s="64"/>
      <c r="H1482" s="64"/>
      <c r="I1482" s="64"/>
      <c r="J1482" s="64"/>
      <c r="K1482" s="64"/>
      <c r="L1482" s="64"/>
      <c r="M1482" s="64"/>
      <c r="N1482" s="64"/>
      <c r="O1482" s="64"/>
      <c r="P1482" s="64"/>
      <c r="Q1482" s="64"/>
      <c r="R1482" s="64"/>
      <c r="S1482" s="64"/>
    </row>
    <row r="1483" spans="1:19" x14ac:dyDescent="0.25">
      <c r="A1483" s="63"/>
      <c r="B1483" s="64"/>
      <c r="C1483" s="64"/>
      <c r="D1483" s="64"/>
      <c r="E1483" s="64"/>
      <c r="F1483" s="64"/>
      <c r="G1483" s="64"/>
      <c r="H1483" s="64"/>
      <c r="I1483" s="64"/>
      <c r="J1483" s="64"/>
      <c r="K1483" s="64"/>
      <c r="L1483" s="64"/>
      <c r="M1483" s="64"/>
      <c r="N1483" s="64"/>
      <c r="O1483" s="64"/>
      <c r="P1483" s="64"/>
      <c r="Q1483" s="64"/>
      <c r="R1483" s="64"/>
      <c r="S1483" s="64"/>
    </row>
    <row r="1484" spans="1:19" x14ac:dyDescent="0.25">
      <c r="A1484" s="63"/>
      <c r="B1484" s="64"/>
      <c r="C1484" s="64"/>
      <c r="D1484" s="64"/>
      <c r="E1484" s="64"/>
      <c r="F1484" s="64"/>
      <c r="G1484" s="64"/>
      <c r="H1484" s="64"/>
      <c r="I1484" s="64"/>
      <c r="J1484" s="64"/>
      <c r="K1484" s="64"/>
      <c r="L1484" s="64"/>
      <c r="M1484" s="64"/>
      <c r="N1484" s="64"/>
      <c r="O1484" s="64"/>
      <c r="P1484" s="64"/>
      <c r="Q1484" s="64"/>
      <c r="R1484" s="64"/>
      <c r="S1484" s="64"/>
    </row>
    <row r="1485" spans="1:19" x14ac:dyDescent="0.25">
      <c r="A1485" s="63"/>
      <c r="B1485" s="64"/>
      <c r="C1485" s="64"/>
      <c r="D1485" s="64"/>
      <c r="E1485" s="64"/>
      <c r="F1485" s="64"/>
      <c r="G1485" s="64"/>
      <c r="H1485" s="64"/>
      <c r="I1485" s="64"/>
      <c r="J1485" s="64"/>
      <c r="K1485" s="64"/>
      <c r="L1485" s="64"/>
      <c r="M1485" s="64"/>
      <c r="N1485" s="64"/>
      <c r="O1485" s="64"/>
      <c r="P1485" s="64"/>
      <c r="Q1485" s="64"/>
      <c r="R1485" s="64"/>
      <c r="S1485" s="64"/>
    </row>
    <row r="1486" spans="1:19" x14ac:dyDescent="0.25">
      <c r="A1486" s="63"/>
      <c r="B1486" s="64"/>
      <c r="C1486" s="64"/>
      <c r="D1486" s="64"/>
      <c r="E1486" s="64"/>
      <c r="F1486" s="64"/>
      <c r="G1486" s="64"/>
      <c r="H1486" s="64"/>
      <c r="I1486" s="64"/>
      <c r="J1486" s="64"/>
      <c r="K1486" s="64"/>
      <c r="L1486" s="64"/>
      <c r="M1486" s="64"/>
      <c r="N1486" s="64"/>
      <c r="O1486" s="64"/>
      <c r="P1486" s="64"/>
      <c r="Q1486" s="64"/>
      <c r="R1486" s="64"/>
      <c r="S1486" s="64"/>
    </row>
    <row r="1487" spans="1:19" x14ac:dyDescent="0.25">
      <c r="A1487" s="63"/>
      <c r="B1487" s="64"/>
      <c r="C1487" s="64"/>
      <c r="D1487" s="64"/>
      <c r="E1487" s="64"/>
      <c r="F1487" s="64"/>
      <c r="G1487" s="64"/>
      <c r="H1487" s="64"/>
      <c r="I1487" s="64"/>
      <c r="J1487" s="64"/>
      <c r="K1487" s="64"/>
      <c r="L1487" s="64"/>
      <c r="M1487" s="64"/>
      <c r="N1487" s="64"/>
      <c r="O1487" s="64"/>
      <c r="P1487" s="64"/>
      <c r="Q1487" s="64"/>
      <c r="R1487" s="64"/>
      <c r="S1487" s="64"/>
    </row>
    <row r="1488" spans="1:19" x14ac:dyDescent="0.25">
      <c r="A1488" s="63"/>
      <c r="B1488" s="64"/>
      <c r="C1488" s="64"/>
      <c r="D1488" s="64"/>
      <c r="E1488" s="64"/>
      <c r="F1488" s="64"/>
      <c r="G1488" s="64"/>
      <c r="H1488" s="64"/>
      <c r="I1488" s="64"/>
      <c r="J1488" s="64"/>
      <c r="K1488" s="64"/>
      <c r="L1488" s="64"/>
      <c r="M1488" s="64"/>
      <c r="N1488" s="64"/>
      <c r="O1488" s="64"/>
      <c r="P1488" s="64"/>
      <c r="Q1488" s="64"/>
      <c r="R1488" s="64"/>
      <c r="S1488" s="64"/>
    </row>
    <row r="1489" spans="1:19" x14ac:dyDescent="0.25">
      <c r="A1489" s="63"/>
      <c r="B1489" s="64"/>
      <c r="C1489" s="64"/>
      <c r="D1489" s="64"/>
      <c r="E1489" s="64"/>
      <c r="F1489" s="64"/>
      <c r="G1489" s="64"/>
      <c r="H1489" s="64"/>
      <c r="I1489" s="64"/>
      <c r="J1489" s="64"/>
      <c r="K1489" s="64"/>
      <c r="L1489" s="64"/>
      <c r="M1489" s="64"/>
      <c r="N1489" s="64"/>
      <c r="O1489" s="64"/>
      <c r="P1489" s="64"/>
      <c r="Q1489" s="64"/>
      <c r="R1489" s="64"/>
      <c r="S1489" s="64"/>
    </row>
    <row r="1490" spans="1:19" x14ac:dyDescent="0.25">
      <c r="A1490" s="63"/>
      <c r="B1490" s="64"/>
      <c r="C1490" s="64"/>
      <c r="D1490" s="64"/>
      <c r="E1490" s="64"/>
      <c r="F1490" s="64"/>
      <c r="G1490" s="64"/>
      <c r="H1490" s="64"/>
      <c r="I1490" s="64"/>
      <c r="J1490" s="64"/>
      <c r="K1490" s="64"/>
      <c r="L1490" s="64"/>
      <c r="M1490" s="64"/>
      <c r="N1490" s="64"/>
      <c r="O1490" s="64"/>
      <c r="P1490" s="64"/>
      <c r="Q1490" s="64"/>
      <c r="R1490" s="64"/>
      <c r="S1490" s="64"/>
    </row>
    <row r="1491" spans="1:19" x14ac:dyDescent="0.25">
      <c r="A1491" s="63"/>
      <c r="B1491" s="64"/>
      <c r="C1491" s="64"/>
      <c r="D1491" s="64"/>
      <c r="E1491" s="64"/>
      <c r="F1491" s="64"/>
      <c r="G1491" s="64"/>
      <c r="H1491" s="64"/>
      <c r="I1491" s="64"/>
      <c r="J1491" s="64"/>
      <c r="K1491" s="64"/>
      <c r="L1491" s="64"/>
      <c r="M1491" s="64"/>
      <c r="N1491" s="64"/>
      <c r="O1491" s="64"/>
      <c r="P1491" s="64"/>
      <c r="Q1491" s="64"/>
      <c r="R1491" s="64"/>
      <c r="S1491" s="64"/>
    </row>
    <row r="1492" spans="1:19" x14ac:dyDescent="0.25">
      <c r="A1492" s="63"/>
      <c r="B1492" s="64"/>
      <c r="C1492" s="64"/>
      <c r="D1492" s="64"/>
      <c r="E1492" s="64"/>
      <c r="F1492" s="64"/>
      <c r="G1492" s="64"/>
      <c r="H1492" s="64"/>
      <c r="I1492" s="64"/>
      <c r="J1492" s="64"/>
      <c r="K1492" s="64"/>
      <c r="L1492" s="64"/>
      <c r="M1492" s="64"/>
      <c r="N1492" s="64"/>
      <c r="O1492" s="64"/>
      <c r="P1492" s="64"/>
      <c r="Q1492" s="64"/>
      <c r="R1492" s="64"/>
      <c r="S1492" s="64"/>
    </row>
    <row r="1493" spans="1:19" x14ac:dyDescent="0.25">
      <c r="A1493" s="63"/>
      <c r="B1493" s="64"/>
      <c r="C1493" s="64"/>
      <c r="D1493" s="64"/>
      <c r="E1493" s="64"/>
      <c r="F1493" s="64"/>
      <c r="G1493" s="64"/>
      <c r="H1493" s="64"/>
      <c r="I1493" s="64"/>
      <c r="J1493" s="64"/>
      <c r="K1493" s="64"/>
      <c r="L1493" s="64"/>
      <c r="M1493" s="64"/>
      <c r="N1493" s="64"/>
      <c r="O1493" s="64"/>
      <c r="P1493" s="64"/>
      <c r="Q1493" s="64"/>
      <c r="R1493" s="64"/>
      <c r="S1493" s="64"/>
    </row>
    <row r="1494" spans="1:19" x14ac:dyDescent="0.25">
      <c r="A1494" s="63"/>
      <c r="B1494" s="64"/>
      <c r="C1494" s="64"/>
      <c r="D1494" s="64"/>
      <c r="E1494" s="64"/>
      <c r="F1494" s="64"/>
      <c r="G1494" s="64"/>
      <c r="H1494" s="64"/>
      <c r="I1494" s="64"/>
      <c r="J1494" s="64"/>
      <c r="K1494" s="64"/>
      <c r="L1494" s="64"/>
      <c r="M1494" s="64"/>
      <c r="N1494" s="64"/>
      <c r="O1494" s="64"/>
      <c r="P1494" s="64"/>
      <c r="Q1494" s="64"/>
      <c r="R1494" s="64"/>
      <c r="S1494" s="64"/>
    </row>
    <row r="1495" spans="1:19" x14ac:dyDescent="0.25">
      <c r="A1495" s="63"/>
      <c r="B1495" s="64"/>
      <c r="C1495" s="64"/>
      <c r="D1495" s="64"/>
      <c r="E1495" s="64"/>
      <c r="F1495" s="64"/>
      <c r="G1495" s="64"/>
      <c r="H1495" s="64"/>
      <c r="I1495" s="64"/>
      <c r="J1495" s="64"/>
      <c r="K1495" s="64"/>
      <c r="L1495" s="64"/>
      <c r="M1495" s="64"/>
      <c r="N1495" s="64"/>
      <c r="O1495" s="64"/>
      <c r="P1495" s="64"/>
      <c r="Q1495" s="64"/>
      <c r="R1495" s="64"/>
      <c r="S1495" s="64"/>
    </row>
    <row r="1496" spans="1:19" x14ac:dyDescent="0.25">
      <c r="A1496" s="63"/>
      <c r="B1496" s="64"/>
      <c r="C1496" s="64"/>
      <c r="D1496" s="64"/>
      <c r="E1496" s="64"/>
      <c r="F1496" s="64"/>
      <c r="G1496" s="64"/>
      <c r="H1496" s="64"/>
      <c r="I1496" s="64"/>
      <c r="J1496" s="64"/>
      <c r="K1496" s="64"/>
      <c r="L1496" s="64"/>
      <c r="M1496" s="64"/>
      <c r="N1496" s="64"/>
      <c r="O1496" s="64"/>
      <c r="P1496" s="64"/>
      <c r="Q1496" s="64"/>
      <c r="R1496" s="64"/>
      <c r="S1496" s="64"/>
    </row>
    <row r="1497" spans="1:19" x14ac:dyDescent="0.25">
      <c r="A1497" s="63"/>
      <c r="B1497" s="64"/>
      <c r="C1497" s="64"/>
      <c r="D1497" s="64"/>
      <c r="E1497" s="64"/>
      <c r="F1497" s="64"/>
      <c r="G1497" s="64"/>
      <c r="H1497" s="64"/>
      <c r="I1497" s="64"/>
      <c r="J1497" s="64"/>
      <c r="K1497" s="64"/>
      <c r="L1497" s="64"/>
      <c r="M1497" s="64"/>
      <c r="N1497" s="64"/>
      <c r="O1497" s="64"/>
      <c r="P1497" s="64"/>
      <c r="Q1497" s="64"/>
      <c r="R1497" s="64"/>
      <c r="S1497" s="64"/>
    </row>
    <row r="1498" spans="1:19" x14ac:dyDescent="0.25">
      <c r="A1498" s="63"/>
      <c r="B1498" s="64"/>
      <c r="C1498" s="64"/>
      <c r="D1498" s="64"/>
      <c r="E1498" s="64"/>
      <c r="F1498" s="64"/>
      <c r="G1498" s="64"/>
      <c r="H1498" s="64"/>
      <c r="I1498" s="64"/>
      <c r="J1498" s="64"/>
      <c r="K1498" s="64"/>
      <c r="L1498" s="64"/>
      <c r="M1498" s="64"/>
      <c r="N1498" s="64"/>
      <c r="O1498" s="64"/>
      <c r="P1498" s="64"/>
      <c r="Q1498" s="64"/>
      <c r="R1498" s="64"/>
      <c r="S1498" s="64"/>
    </row>
    <row r="1499" spans="1:19" x14ac:dyDescent="0.25">
      <c r="A1499" s="63"/>
      <c r="B1499" s="64"/>
      <c r="C1499" s="64"/>
      <c r="D1499" s="64"/>
      <c r="E1499" s="64"/>
      <c r="F1499" s="64"/>
      <c r="G1499" s="64"/>
      <c r="H1499" s="64"/>
      <c r="I1499" s="64"/>
      <c r="J1499" s="64"/>
      <c r="K1499" s="64"/>
      <c r="L1499" s="64"/>
      <c r="M1499" s="64"/>
      <c r="N1499" s="64"/>
      <c r="O1499" s="64"/>
      <c r="P1499" s="64"/>
      <c r="Q1499" s="64"/>
      <c r="R1499" s="64"/>
      <c r="S1499" s="64"/>
    </row>
    <row r="1500" spans="1:19" x14ac:dyDescent="0.25">
      <c r="A1500" s="63"/>
      <c r="B1500" s="64"/>
      <c r="C1500" s="64"/>
      <c r="D1500" s="64"/>
      <c r="E1500" s="64"/>
      <c r="F1500" s="64"/>
      <c r="G1500" s="64"/>
      <c r="H1500" s="64"/>
      <c r="I1500" s="64"/>
      <c r="J1500" s="64"/>
      <c r="K1500" s="64"/>
      <c r="L1500" s="64"/>
      <c r="M1500" s="64"/>
      <c r="N1500" s="64"/>
      <c r="O1500" s="64"/>
      <c r="P1500" s="64"/>
      <c r="Q1500" s="64"/>
      <c r="R1500" s="64"/>
      <c r="S1500" s="64"/>
    </row>
    <row r="1501" spans="1:19" x14ac:dyDescent="0.25">
      <c r="A1501" s="63"/>
      <c r="B1501" s="64"/>
      <c r="C1501" s="64"/>
      <c r="D1501" s="64"/>
      <c r="E1501" s="64"/>
      <c r="F1501" s="64"/>
      <c r="G1501" s="64"/>
      <c r="H1501" s="64"/>
      <c r="I1501" s="64"/>
      <c r="J1501" s="64"/>
      <c r="K1501" s="64"/>
      <c r="L1501" s="64"/>
      <c r="M1501" s="64"/>
      <c r="N1501" s="64"/>
      <c r="O1501" s="64"/>
      <c r="P1501" s="64"/>
      <c r="Q1501" s="64"/>
      <c r="R1501" s="64"/>
      <c r="S1501" s="64"/>
    </row>
    <row r="1502" spans="1:19" x14ac:dyDescent="0.25">
      <c r="A1502" s="63"/>
      <c r="B1502" s="64"/>
      <c r="C1502" s="64"/>
      <c r="D1502" s="64"/>
      <c r="E1502" s="64"/>
      <c r="F1502" s="64"/>
      <c r="G1502" s="64"/>
      <c r="H1502" s="64"/>
      <c r="I1502" s="64"/>
      <c r="J1502" s="64"/>
      <c r="K1502" s="64"/>
      <c r="L1502" s="64"/>
      <c r="M1502" s="64"/>
      <c r="N1502" s="64"/>
      <c r="O1502" s="64"/>
      <c r="P1502" s="64"/>
      <c r="Q1502" s="64"/>
      <c r="R1502" s="64"/>
      <c r="S1502" s="64"/>
    </row>
    <row r="1503" spans="1:19" x14ac:dyDescent="0.25">
      <c r="A1503" s="63"/>
      <c r="B1503" s="64"/>
      <c r="C1503" s="64"/>
      <c r="D1503" s="64"/>
      <c r="E1503" s="64"/>
      <c r="F1503" s="64"/>
      <c r="G1503" s="64"/>
      <c r="H1503" s="64"/>
      <c r="I1503" s="64"/>
      <c r="J1503" s="64"/>
      <c r="K1503" s="64"/>
      <c r="L1503" s="64"/>
      <c r="M1503" s="64"/>
      <c r="N1503" s="64"/>
      <c r="O1503" s="64"/>
      <c r="P1503" s="64"/>
      <c r="Q1503" s="64"/>
      <c r="R1503" s="64"/>
      <c r="S1503" s="64"/>
    </row>
    <row r="1504" spans="1:19" x14ac:dyDescent="0.25">
      <c r="A1504" s="63"/>
      <c r="B1504" s="64"/>
      <c r="C1504" s="64"/>
      <c r="D1504" s="64"/>
      <c r="E1504" s="64"/>
      <c r="F1504" s="64"/>
      <c r="G1504" s="64"/>
      <c r="H1504" s="64"/>
      <c r="I1504" s="64"/>
      <c r="J1504" s="64"/>
      <c r="K1504" s="64"/>
      <c r="L1504" s="64"/>
      <c r="M1504" s="64"/>
      <c r="N1504" s="64"/>
      <c r="O1504" s="64"/>
      <c r="P1504" s="64"/>
      <c r="Q1504" s="64"/>
      <c r="R1504" s="64"/>
      <c r="S1504" s="64"/>
    </row>
    <row r="1505" spans="1:19" x14ac:dyDescent="0.25">
      <c r="A1505" s="63"/>
      <c r="B1505" s="64"/>
      <c r="C1505" s="64"/>
      <c r="D1505" s="64"/>
      <c r="E1505" s="64"/>
      <c r="F1505" s="64"/>
      <c r="G1505" s="64"/>
      <c r="H1505" s="64"/>
      <c r="I1505" s="64"/>
      <c r="J1505" s="64"/>
      <c r="K1505" s="64"/>
      <c r="L1505" s="64"/>
      <c r="M1505" s="64"/>
      <c r="N1505" s="64"/>
      <c r="O1505" s="64"/>
      <c r="P1505" s="64"/>
      <c r="Q1505" s="64"/>
      <c r="R1505" s="64"/>
      <c r="S1505" s="64"/>
    </row>
    <row r="1506" spans="1:19" x14ac:dyDescent="0.25">
      <c r="A1506" s="63"/>
      <c r="B1506" s="64"/>
      <c r="C1506" s="64"/>
      <c r="D1506" s="64"/>
      <c r="E1506" s="64"/>
      <c r="F1506" s="64"/>
      <c r="G1506" s="64"/>
      <c r="H1506" s="64"/>
      <c r="I1506" s="64"/>
      <c r="J1506" s="64"/>
      <c r="K1506" s="64"/>
      <c r="L1506" s="64"/>
      <c r="M1506" s="64"/>
      <c r="N1506" s="64"/>
      <c r="O1506" s="64"/>
      <c r="P1506" s="64"/>
      <c r="Q1506" s="64"/>
      <c r="R1506" s="64"/>
      <c r="S1506" s="64"/>
    </row>
    <row r="1507" spans="1:19" x14ac:dyDescent="0.25">
      <c r="A1507" s="63"/>
      <c r="B1507" s="64"/>
      <c r="C1507" s="64"/>
      <c r="D1507" s="64"/>
      <c r="E1507" s="64"/>
      <c r="F1507" s="64"/>
      <c r="G1507" s="64"/>
      <c r="H1507" s="64"/>
      <c r="I1507" s="64"/>
      <c r="J1507" s="64"/>
      <c r="K1507" s="64"/>
      <c r="L1507" s="64"/>
      <c r="M1507" s="64"/>
      <c r="N1507" s="64"/>
      <c r="O1507" s="64"/>
      <c r="P1507" s="64"/>
      <c r="Q1507" s="64"/>
      <c r="R1507" s="64"/>
      <c r="S1507" s="64"/>
    </row>
    <row r="1508" spans="1:19" x14ac:dyDescent="0.25">
      <c r="A1508" s="63"/>
      <c r="B1508" s="64"/>
      <c r="C1508" s="64"/>
      <c r="D1508" s="64"/>
      <c r="E1508" s="64"/>
      <c r="F1508" s="64"/>
      <c r="G1508" s="64"/>
      <c r="H1508" s="64"/>
      <c r="I1508" s="64"/>
      <c r="J1508" s="64"/>
      <c r="K1508" s="64"/>
      <c r="L1508" s="64"/>
      <c r="M1508" s="64"/>
      <c r="N1508" s="64"/>
      <c r="O1508" s="64"/>
      <c r="P1508" s="64"/>
      <c r="Q1508" s="64"/>
      <c r="R1508" s="64"/>
      <c r="S1508" s="64"/>
    </row>
    <row r="1509" spans="1:19" x14ac:dyDescent="0.25">
      <c r="A1509" s="63"/>
      <c r="B1509" s="64"/>
      <c r="C1509" s="64"/>
      <c r="D1509" s="64"/>
      <c r="E1509" s="64"/>
      <c r="F1509" s="64"/>
      <c r="G1509" s="64"/>
      <c r="H1509" s="64"/>
      <c r="I1509" s="64"/>
      <c r="J1509" s="64"/>
      <c r="K1509" s="64"/>
      <c r="L1509" s="64"/>
      <c r="M1509" s="64"/>
      <c r="N1509" s="64"/>
      <c r="O1509" s="64"/>
      <c r="P1509" s="64"/>
      <c r="Q1509" s="64"/>
      <c r="R1509" s="64"/>
      <c r="S1509" s="64"/>
    </row>
    <row r="1510" spans="1:19" x14ac:dyDescent="0.25">
      <c r="A1510" s="63"/>
      <c r="B1510" s="64"/>
      <c r="C1510" s="64"/>
      <c r="D1510" s="64"/>
      <c r="E1510" s="64"/>
      <c r="F1510" s="64"/>
      <c r="G1510" s="64"/>
      <c r="H1510" s="64"/>
      <c r="I1510" s="64"/>
      <c r="J1510" s="64"/>
      <c r="K1510" s="64"/>
      <c r="L1510" s="64"/>
      <c r="M1510" s="64"/>
      <c r="N1510" s="64"/>
      <c r="O1510" s="64"/>
      <c r="P1510" s="64"/>
      <c r="Q1510" s="64"/>
      <c r="R1510" s="64"/>
      <c r="S1510" s="64"/>
    </row>
    <row r="1511" spans="1:19" x14ac:dyDescent="0.25">
      <c r="A1511" s="63"/>
      <c r="B1511" s="64"/>
      <c r="C1511" s="64"/>
      <c r="D1511" s="64"/>
      <c r="E1511" s="64"/>
      <c r="F1511" s="64"/>
      <c r="G1511" s="64"/>
      <c r="H1511" s="64"/>
      <c r="I1511" s="64"/>
      <c r="J1511" s="64"/>
      <c r="K1511" s="64"/>
      <c r="L1511" s="64"/>
      <c r="M1511" s="64"/>
      <c r="N1511" s="64"/>
      <c r="O1511" s="64"/>
      <c r="P1511" s="64"/>
      <c r="Q1511" s="64"/>
      <c r="R1511" s="64"/>
      <c r="S1511" s="64"/>
    </row>
    <row r="1512" spans="1:19" x14ac:dyDescent="0.25">
      <c r="A1512" s="63"/>
      <c r="B1512" s="64"/>
      <c r="C1512" s="64"/>
      <c r="D1512" s="64"/>
      <c r="E1512" s="64"/>
      <c r="F1512" s="64"/>
      <c r="G1512" s="64"/>
      <c r="H1512" s="64"/>
      <c r="I1512" s="64"/>
      <c r="J1512" s="64"/>
      <c r="K1512" s="64"/>
      <c r="L1512" s="64"/>
      <c r="M1512" s="64"/>
      <c r="N1512" s="64"/>
      <c r="O1512" s="64"/>
      <c r="P1512" s="64"/>
      <c r="Q1512" s="64"/>
      <c r="R1512" s="64"/>
      <c r="S1512" s="64"/>
    </row>
    <row r="1513" spans="1:19" x14ac:dyDescent="0.25">
      <c r="A1513" s="63"/>
      <c r="B1513" s="64"/>
      <c r="C1513" s="64"/>
      <c r="D1513" s="64"/>
      <c r="E1513" s="64"/>
      <c r="F1513" s="64"/>
      <c r="G1513" s="64"/>
      <c r="H1513" s="64"/>
      <c r="I1513" s="64"/>
      <c r="J1513" s="64"/>
      <c r="K1513" s="64"/>
      <c r="L1513" s="64"/>
      <c r="M1513" s="64"/>
      <c r="N1513" s="64"/>
      <c r="O1513" s="64"/>
      <c r="P1513" s="64"/>
      <c r="Q1513" s="64"/>
      <c r="R1513" s="64"/>
      <c r="S1513" s="64"/>
    </row>
    <row r="1514" spans="1:19" x14ac:dyDescent="0.25">
      <c r="A1514" s="63"/>
      <c r="B1514" s="64"/>
      <c r="C1514" s="64"/>
      <c r="D1514" s="64"/>
      <c r="E1514" s="64"/>
      <c r="F1514" s="64"/>
      <c r="G1514" s="64"/>
      <c r="H1514" s="64"/>
      <c r="I1514" s="64"/>
      <c r="J1514" s="64"/>
      <c r="K1514" s="64"/>
      <c r="L1514" s="64"/>
      <c r="M1514" s="64"/>
      <c r="N1514" s="64"/>
      <c r="O1514" s="64"/>
      <c r="P1514" s="64"/>
      <c r="Q1514" s="64"/>
      <c r="R1514" s="64"/>
      <c r="S1514" s="64"/>
    </row>
    <row r="1515" spans="1:19" x14ac:dyDescent="0.25">
      <c r="A1515" s="63"/>
      <c r="B1515" s="64"/>
      <c r="C1515" s="64"/>
      <c r="D1515" s="64"/>
      <c r="E1515" s="64"/>
      <c r="F1515" s="64"/>
      <c r="G1515" s="64"/>
      <c r="H1515" s="64"/>
      <c r="I1515" s="64"/>
      <c r="J1515" s="64"/>
      <c r="K1515" s="64"/>
      <c r="L1515" s="64"/>
      <c r="M1515" s="64"/>
      <c r="N1515" s="64"/>
      <c r="O1515" s="64"/>
      <c r="P1515" s="64"/>
      <c r="Q1515" s="64"/>
      <c r="R1515" s="64"/>
      <c r="S1515" s="64"/>
    </row>
    <row r="1516" spans="1:19" x14ac:dyDescent="0.25">
      <c r="A1516" s="63"/>
      <c r="B1516" s="64"/>
      <c r="C1516" s="64"/>
      <c r="D1516" s="64"/>
      <c r="E1516" s="64"/>
      <c r="F1516" s="64"/>
      <c r="G1516" s="64"/>
      <c r="H1516" s="64"/>
      <c r="I1516" s="64"/>
      <c r="J1516" s="64"/>
      <c r="K1516" s="64"/>
      <c r="L1516" s="64"/>
      <c r="M1516" s="64"/>
      <c r="N1516" s="64"/>
      <c r="O1516" s="64"/>
      <c r="P1516" s="64"/>
      <c r="Q1516" s="64"/>
      <c r="R1516" s="64"/>
      <c r="S1516" s="64"/>
    </row>
    <row r="1517" spans="1:19" x14ac:dyDescent="0.25">
      <c r="A1517" s="63"/>
      <c r="B1517" s="64"/>
      <c r="C1517" s="64"/>
      <c r="D1517" s="64"/>
      <c r="E1517" s="64"/>
      <c r="F1517" s="64"/>
      <c r="G1517" s="64"/>
      <c r="H1517" s="64"/>
      <c r="I1517" s="64"/>
      <c r="J1517" s="64"/>
      <c r="K1517" s="64"/>
      <c r="L1517" s="64"/>
      <c r="M1517" s="64"/>
      <c r="N1517" s="64"/>
      <c r="O1517" s="64"/>
      <c r="P1517" s="64"/>
      <c r="Q1517" s="64"/>
      <c r="R1517" s="64"/>
      <c r="S1517" s="64"/>
    </row>
    <row r="1518" spans="1:19" x14ac:dyDescent="0.25">
      <c r="A1518" s="63"/>
      <c r="B1518" s="64"/>
      <c r="C1518" s="64"/>
      <c r="D1518" s="64"/>
      <c r="E1518" s="64"/>
      <c r="F1518" s="64"/>
      <c r="G1518" s="64"/>
      <c r="H1518" s="64"/>
      <c r="I1518" s="64"/>
      <c r="J1518" s="64"/>
      <c r="K1518" s="64"/>
      <c r="L1518" s="64"/>
      <c r="M1518" s="64"/>
      <c r="N1518" s="64"/>
      <c r="O1518" s="64"/>
      <c r="P1518" s="64"/>
      <c r="Q1518" s="64"/>
      <c r="R1518" s="64"/>
      <c r="S1518" s="64"/>
    </row>
    <row r="1519" spans="1:19" x14ac:dyDescent="0.25">
      <c r="A1519" s="63"/>
      <c r="B1519" s="64"/>
      <c r="C1519" s="64"/>
      <c r="D1519" s="64"/>
      <c r="E1519" s="64"/>
      <c r="F1519" s="64"/>
      <c r="G1519" s="64"/>
      <c r="H1519" s="64"/>
      <c r="I1519" s="64"/>
      <c r="J1519" s="64"/>
      <c r="K1519" s="64"/>
      <c r="L1519" s="64"/>
      <c r="M1519" s="64"/>
      <c r="N1519" s="64"/>
      <c r="O1519" s="64"/>
      <c r="P1519" s="64"/>
      <c r="Q1519" s="64"/>
      <c r="R1519" s="64"/>
      <c r="S1519" s="64"/>
    </row>
    <row r="1520" spans="1:19" x14ac:dyDescent="0.25">
      <c r="A1520" s="63"/>
      <c r="B1520" s="64"/>
      <c r="C1520" s="64"/>
      <c r="D1520" s="64"/>
      <c r="E1520" s="64"/>
      <c r="F1520" s="64"/>
      <c r="G1520" s="64"/>
      <c r="H1520" s="64"/>
      <c r="I1520" s="64"/>
      <c r="J1520" s="64"/>
      <c r="K1520" s="64"/>
      <c r="L1520" s="64"/>
      <c r="M1520" s="64"/>
      <c r="N1520" s="64"/>
      <c r="O1520" s="64"/>
      <c r="P1520" s="64"/>
      <c r="Q1520" s="64"/>
      <c r="R1520" s="64"/>
      <c r="S1520" s="64"/>
    </row>
    <row r="1521" spans="1:19" x14ac:dyDescent="0.25">
      <c r="A1521" s="63"/>
      <c r="B1521" s="64"/>
      <c r="C1521" s="64"/>
      <c r="D1521" s="64"/>
      <c r="E1521" s="64"/>
      <c r="F1521" s="64"/>
      <c r="G1521" s="64"/>
      <c r="H1521" s="64"/>
      <c r="I1521" s="64"/>
      <c r="J1521" s="64"/>
      <c r="K1521" s="64"/>
      <c r="L1521" s="64"/>
      <c r="M1521" s="64"/>
      <c r="N1521" s="64"/>
      <c r="O1521" s="64"/>
      <c r="P1521" s="64"/>
      <c r="Q1521" s="64"/>
      <c r="R1521" s="64"/>
      <c r="S1521" s="64"/>
    </row>
    <row r="1522" spans="1:19" x14ac:dyDescent="0.25">
      <c r="A1522" s="63"/>
      <c r="B1522" s="64"/>
      <c r="C1522" s="64"/>
      <c r="D1522" s="64"/>
      <c r="E1522" s="64"/>
      <c r="F1522" s="64"/>
      <c r="G1522" s="64"/>
      <c r="H1522" s="64"/>
      <c r="I1522" s="64"/>
      <c r="J1522" s="64"/>
      <c r="K1522" s="64"/>
      <c r="L1522" s="64"/>
      <c r="M1522" s="64"/>
      <c r="N1522" s="64"/>
      <c r="O1522" s="64"/>
      <c r="P1522" s="64"/>
      <c r="Q1522" s="64"/>
      <c r="R1522" s="64"/>
      <c r="S1522" s="64"/>
    </row>
    <row r="1523" spans="1:19" x14ac:dyDescent="0.25">
      <c r="A1523" s="63"/>
      <c r="B1523" s="64"/>
      <c r="C1523" s="64"/>
      <c r="D1523" s="64"/>
      <c r="E1523" s="64"/>
      <c r="F1523" s="64"/>
      <c r="G1523" s="64"/>
      <c r="H1523" s="64"/>
      <c r="I1523" s="64"/>
      <c r="J1523" s="64"/>
      <c r="K1523" s="64"/>
      <c r="L1523" s="64"/>
      <c r="M1523" s="64"/>
      <c r="N1523" s="64"/>
      <c r="O1523" s="64"/>
      <c r="P1523" s="64"/>
      <c r="Q1523" s="64"/>
      <c r="R1523" s="64"/>
      <c r="S1523" s="64"/>
    </row>
    <row r="1524" spans="1:19" x14ac:dyDescent="0.25">
      <c r="A1524" s="63"/>
      <c r="B1524" s="64"/>
      <c r="C1524" s="64"/>
      <c r="D1524" s="64"/>
      <c r="E1524" s="64"/>
      <c r="F1524" s="64"/>
      <c r="G1524" s="64"/>
      <c r="H1524" s="64"/>
      <c r="I1524" s="64"/>
      <c r="J1524" s="64"/>
      <c r="K1524" s="64"/>
      <c r="L1524" s="64"/>
      <c r="M1524" s="64"/>
      <c r="N1524" s="64"/>
      <c r="O1524" s="64"/>
      <c r="P1524" s="64"/>
      <c r="Q1524" s="64"/>
      <c r="R1524" s="64"/>
      <c r="S1524" s="64"/>
    </row>
    <row r="1525" spans="1:19" x14ac:dyDescent="0.25">
      <c r="A1525" s="63"/>
      <c r="B1525" s="64"/>
      <c r="C1525" s="64"/>
      <c r="D1525" s="64"/>
      <c r="E1525" s="64"/>
      <c r="F1525" s="64"/>
      <c r="G1525" s="64"/>
      <c r="H1525" s="64"/>
      <c r="I1525" s="64"/>
      <c r="J1525" s="64"/>
      <c r="K1525" s="64"/>
      <c r="L1525" s="64"/>
      <c r="M1525" s="64"/>
      <c r="N1525" s="64"/>
      <c r="O1525" s="64"/>
      <c r="P1525" s="64"/>
      <c r="Q1525" s="64"/>
      <c r="R1525" s="64"/>
      <c r="S1525" s="64"/>
    </row>
    <row r="1526" spans="1:19" x14ac:dyDescent="0.25">
      <c r="A1526" s="63"/>
      <c r="B1526" s="64"/>
      <c r="C1526" s="64"/>
      <c r="D1526" s="64"/>
      <c r="E1526" s="64"/>
      <c r="F1526" s="64"/>
      <c r="G1526" s="64"/>
      <c r="H1526" s="64"/>
      <c r="I1526" s="64"/>
      <c r="J1526" s="64"/>
      <c r="K1526" s="64"/>
      <c r="L1526" s="64"/>
      <c r="M1526" s="64"/>
      <c r="N1526" s="64"/>
      <c r="O1526" s="64"/>
      <c r="P1526" s="64"/>
      <c r="Q1526" s="64"/>
      <c r="R1526" s="64"/>
      <c r="S1526" s="64"/>
    </row>
    <row r="1527" spans="1:19" x14ac:dyDescent="0.25">
      <c r="A1527" s="63"/>
      <c r="B1527" s="64"/>
      <c r="C1527" s="64"/>
      <c r="D1527" s="64"/>
      <c r="E1527" s="64"/>
      <c r="F1527" s="64"/>
      <c r="G1527" s="64"/>
      <c r="H1527" s="64"/>
      <c r="I1527" s="64"/>
      <c r="J1527" s="64"/>
      <c r="K1527" s="64"/>
      <c r="L1527" s="64"/>
      <c r="M1527" s="64"/>
      <c r="N1527" s="64"/>
      <c r="O1527" s="64"/>
      <c r="P1527" s="64"/>
      <c r="Q1527" s="64"/>
      <c r="R1527" s="64"/>
      <c r="S1527" s="64"/>
    </row>
    <row r="1528" spans="1:19" x14ac:dyDescent="0.25">
      <c r="A1528" s="63"/>
      <c r="B1528" s="64"/>
      <c r="C1528" s="64"/>
      <c r="D1528" s="64"/>
      <c r="E1528" s="64"/>
      <c r="F1528" s="64"/>
      <c r="G1528" s="64"/>
      <c r="H1528" s="64"/>
      <c r="I1528" s="64"/>
      <c r="J1528" s="64"/>
      <c r="K1528" s="64"/>
      <c r="L1528" s="64"/>
      <c r="M1528" s="64"/>
      <c r="N1528" s="64"/>
      <c r="O1528" s="64"/>
      <c r="P1528" s="64"/>
      <c r="Q1528" s="64"/>
      <c r="R1528" s="64"/>
      <c r="S1528" s="64"/>
    </row>
    <row r="1529" spans="1:19" x14ac:dyDescent="0.25">
      <c r="A1529" s="63"/>
      <c r="B1529" s="64"/>
      <c r="C1529" s="64"/>
      <c r="D1529" s="64"/>
      <c r="E1529" s="64"/>
      <c r="F1529" s="64"/>
      <c r="G1529" s="64"/>
      <c r="H1529" s="64"/>
      <c r="I1529" s="64"/>
      <c r="J1529" s="64"/>
      <c r="K1529" s="64"/>
      <c r="L1529" s="64"/>
      <c r="M1529" s="64"/>
      <c r="N1529" s="64"/>
      <c r="O1529" s="64"/>
      <c r="P1529" s="64"/>
      <c r="Q1529" s="64"/>
      <c r="R1529" s="64"/>
      <c r="S1529" s="64"/>
    </row>
    <row r="1530" spans="1:19" x14ac:dyDescent="0.25">
      <c r="A1530" s="63"/>
      <c r="B1530" s="64"/>
      <c r="C1530" s="64"/>
      <c r="D1530" s="64"/>
      <c r="E1530" s="64"/>
      <c r="F1530" s="64"/>
      <c r="G1530" s="64"/>
      <c r="H1530" s="64"/>
      <c r="I1530" s="64"/>
      <c r="J1530" s="64"/>
      <c r="K1530" s="64"/>
      <c r="L1530" s="64"/>
      <c r="M1530" s="64"/>
      <c r="N1530" s="64"/>
      <c r="O1530" s="64"/>
      <c r="P1530" s="64"/>
      <c r="Q1530" s="64"/>
      <c r="R1530" s="64"/>
      <c r="S1530" s="64"/>
    </row>
    <row r="1531" spans="1:19" x14ac:dyDescent="0.25">
      <c r="A1531" s="63"/>
      <c r="B1531" s="64"/>
      <c r="C1531" s="64"/>
      <c r="D1531" s="64"/>
      <c r="E1531" s="64"/>
      <c r="F1531" s="64"/>
      <c r="G1531" s="64"/>
      <c r="H1531" s="64"/>
      <c r="I1531" s="64"/>
      <c r="J1531" s="64"/>
      <c r="K1531" s="64"/>
      <c r="L1531" s="64"/>
      <c r="M1531" s="64"/>
      <c r="N1531" s="64"/>
      <c r="O1531" s="64"/>
      <c r="P1531" s="64"/>
      <c r="Q1531" s="64"/>
      <c r="R1531" s="64"/>
      <c r="S1531" s="64"/>
    </row>
    <row r="1532" spans="1:19" x14ac:dyDescent="0.25">
      <c r="A1532" s="63"/>
      <c r="B1532" s="64"/>
      <c r="C1532" s="64"/>
      <c r="D1532" s="64"/>
      <c r="E1532" s="64"/>
      <c r="F1532" s="64"/>
      <c r="G1532" s="64"/>
      <c r="H1532" s="64"/>
      <c r="I1532" s="64"/>
      <c r="J1532" s="64"/>
      <c r="K1532" s="64"/>
      <c r="L1532" s="64"/>
      <c r="M1532" s="64"/>
      <c r="N1532" s="64"/>
      <c r="O1532" s="64"/>
      <c r="P1532" s="64"/>
      <c r="Q1532" s="64"/>
      <c r="R1532" s="64"/>
      <c r="S1532" s="64"/>
    </row>
    <row r="1533" spans="1:19" x14ac:dyDescent="0.25">
      <c r="A1533" s="63"/>
      <c r="B1533" s="64"/>
      <c r="C1533" s="64"/>
      <c r="D1533" s="64"/>
      <c r="E1533" s="64"/>
      <c r="F1533" s="64"/>
      <c r="G1533" s="64"/>
      <c r="H1533" s="64"/>
      <c r="I1533" s="64"/>
      <c r="J1533" s="64"/>
      <c r="K1533" s="64"/>
      <c r="L1533" s="64"/>
      <c r="M1533" s="64"/>
      <c r="N1533" s="64"/>
      <c r="O1533" s="64"/>
      <c r="P1533" s="64"/>
      <c r="Q1533" s="64"/>
      <c r="R1533" s="64"/>
      <c r="S1533" s="64"/>
    </row>
    <row r="1534" spans="1:19" x14ac:dyDescent="0.25">
      <c r="A1534" s="63"/>
      <c r="B1534" s="64"/>
      <c r="C1534" s="64"/>
      <c r="D1534" s="64"/>
      <c r="E1534" s="64"/>
      <c r="F1534" s="64"/>
      <c r="G1534" s="64"/>
      <c r="H1534" s="64"/>
      <c r="I1534" s="64"/>
      <c r="J1534" s="64"/>
      <c r="K1534" s="64"/>
      <c r="L1534" s="64"/>
      <c r="M1534" s="64"/>
      <c r="N1534" s="64"/>
      <c r="O1534" s="64"/>
      <c r="P1534" s="64"/>
      <c r="Q1534" s="64"/>
      <c r="R1534" s="64"/>
      <c r="S1534" s="64"/>
    </row>
    <row r="1535" spans="1:19" x14ac:dyDescent="0.25">
      <c r="A1535" s="63"/>
      <c r="B1535" s="64"/>
      <c r="C1535" s="64"/>
      <c r="D1535" s="64"/>
      <c r="E1535" s="64"/>
      <c r="F1535" s="64"/>
      <c r="G1535" s="64"/>
      <c r="H1535" s="64"/>
      <c r="I1535" s="64"/>
      <c r="J1535" s="64"/>
      <c r="K1535" s="64"/>
      <c r="L1535" s="64"/>
      <c r="M1535" s="64"/>
      <c r="N1535" s="64"/>
      <c r="O1535" s="64"/>
      <c r="P1535" s="64"/>
      <c r="Q1535" s="64"/>
      <c r="R1535" s="64"/>
      <c r="S1535" s="64"/>
    </row>
    <row r="1536" spans="1:19" x14ac:dyDescent="0.25">
      <c r="A1536" s="63"/>
      <c r="B1536" s="64"/>
      <c r="C1536" s="64"/>
      <c r="D1536" s="64"/>
      <c r="E1536" s="64"/>
      <c r="F1536" s="64"/>
      <c r="G1536" s="64"/>
      <c r="H1536" s="64"/>
      <c r="I1536" s="64"/>
      <c r="J1536" s="64"/>
      <c r="K1536" s="64"/>
      <c r="L1536" s="64"/>
      <c r="M1536" s="64"/>
      <c r="N1536" s="64"/>
      <c r="O1536" s="64"/>
      <c r="P1536" s="64"/>
      <c r="Q1536" s="64"/>
      <c r="R1536" s="64"/>
      <c r="S1536" s="64"/>
    </row>
    <row r="1537" spans="1:19" x14ac:dyDescent="0.25">
      <c r="A1537" s="63"/>
      <c r="B1537" s="64"/>
      <c r="C1537" s="64"/>
      <c r="D1537" s="64"/>
      <c r="E1537" s="64"/>
      <c r="F1537" s="64"/>
      <c r="G1537" s="64"/>
      <c r="H1537" s="64"/>
      <c r="I1537" s="64"/>
      <c r="J1537" s="64"/>
      <c r="K1537" s="64"/>
      <c r="L1537" s="64"/>
      <c r="M1537" s="64"/>
      <c r="N1537" s="64"/>
      <c r="O1537" s="64"/>
      <c r="P1537" s="64"/>
      <c r="Q1537" s="64"/>
      <c r="R1537" s="64"/>
      <c r="S1537" s="64"/>
    </row>
    <row r="1538" spans="1:19" x14ac:dyDescent="0.25">
      <c r="A1538" s="63"/>
      <c r="B1538" s="64"/>
      <c r="C1538" s="64"/>
      <c r="D1538" s="64"/>
      <c r="E1538" s="64"/>
      <c r="F1538" s="64"/>
      <c r="G1538" s="64"/>
      <c r="H1538" s="64"/>
      <c r="I1538" s="64"/>
      <c r="J1538" s="64"/>
      <c r="K1538" s="64"/>
      <c r="L1538" s="64"/>
      <c r="M1538" s="64"/>
      <c r="N1538" s="64"/>
      <c r="O1538" s="64"/>
      <c r="P1538" s="64"/>
      <c r="Q1538" s="64"/>
      <c r="R1538" s="64"/>
      <c r="S1538" s="64"/>
    </row>
    <row r="1539" spans="1:19" x14ac:dyDescent="0.25">
      <c r="A1539" s="63"/>
      <c r="B1539" s="64"/>
      <c r="C1539" s="64"/>
      <c r="D1539" s="64"/>
      <c r="E1539" s="64"/>
      <c r="F1539" s="64"/>
      <c r="G1539" s="64"/>
      <c r="H1539" s="64"/>
      <c r="I1539" s="64"/>
      <c r="J1539" s="64"/>
      <c r="K1539" s="64"/>
      <c r="L1539" s="64"/>
      <c r="M1539" s="64"/>
      <c r="N1539" s="64"/>
      <c r="O1539" s="64"/>
      <c r="P1539" s="64"/>
      <c r="Q1539" s="64"/>
      <c r="R1539" s="64"/>
      <c r="S1539" s="64"/>
    </row>
    <row r="1540" spans="1:19" x14ac:dyDescent="0.25">
      <c r="A1540" s="63"/>
      <c r="B1540" s="64"/>
      <c r="C1540" s="64"/>
      <c r="D1540" s="64"/>
      <c r="E1540" s="64"/>
      <c r="F1540" s="64"/>
      <c r="G1540" s="64"/>
      <c r="H1540" s="64"/>
      <c r="I1540" s="64"/>
      <c r="J1540" s="64"/>
      <c r="K1540" s="64"/>
      <c r="L1540" s="64"/>
      <c r="M1540" s="64"/>
      <c r="N1540" s="64"/>
      <c r="O1540" s="64"/>
      <c r="P1540" s="64"/>
      <c r="Q1540" s="64"/>
      <c r="R1540" s="64"/>
      <c r="S1540" s="64"/>
    </row>
    <row r="1541" spans="1:19" x14ac:dyDescent="0.25">
      <c r="A1541" s="63"/>
      <c r="B1541" s="64"/>
      <c r="C1541" s="64"/>
      <c r="D1541" s="64"/>
      <c r="E1541" s="64"/>
      <c r="F1541" s="64"/>
      <c r="G1541" s="64"/>
      <c r="H1541" s="64"/>
      <c r="I1541" s="64"/>
      <c r="J1541" s="64"/>
      <c r="K1541" s="64"/>
      <c r="L1541" s="64"/>
      <c r="M1541" s="64"/>
      <c r="N1541" s="64"/>
      <c r="O1541" s="64"/>
      <c r="P1541" s="64"/>
      <c r="Q1541" s="64"/>
      <c r="R1541" s="64"/>
      <c r="S1541" s="64"/>
    </row>
    <row r="1542" spans="1:19" x14ac:dyDescent="0.25">
      <c r="A1542" s="63"/>
      <c r="B1542" s="64"/>
      <c r="C1542" s="64"/>
      <c r="D1542" s="64"/>
      <c r="E1542" s="64"/>
      <c r="F1542" s="64"/>
      <c r="G1542" s="64"/>
      <c r="H1542" s="64"/>
      <c r="I1542" s="64"/>
      <c r="J1542" s="64"/>
      <c r="K1542" s="64"/>
      <c r="L1542" s="64"/>
      <c r="M1542" s="64"/>
      <c r="N1542" s="64"/>
      <c r="O1542" s="64"/>
      <c r="P1542" s="64"/>
      <c r="Q1542" s="64"/>
      <c r="R1542" s="64"/>
      <c r="S1542" s="64"/>
    </row>
    <row r="1543" spans="1:19" x14ac:dyDescent="0.25">
      <c r="A1543" s="63"/>
      <c r="B1543" s="64"/>
      <c r="C1543" s="64"/>
      <c r="D1543" s="64"/>
      <c r="E1543" s="64"/>
      <c r="F1543" s="64"/>
      <c r="G1543" s="64"/>
      <c r="H1543" s="64"/>
      <c r="I1543" s="64"/>
      <c r="J1543" s="64"/>
      <c r="K1543" s="64"/>
      <c r="L1543" s="64"/>
      <c r="M1543" s="64"/>
      <c r="N1543" s="64"/>
      <c r="O1543" s="64"/>
      <c r="P1543" s="64"/>
      <c r="Q1543" s="64"/>
      <c r="R1543" s="64"/>
      <c r="S1543" s="64"/>
    </row>
    <row r="1544" spans="1:19" x14ac:dyDescent="0.25">
      <c r="A1544" s="63"/>
      <c r="B1544" s="64"/>
      <c r="C1544" s="64"/>
      <c r="D1544" s="64"/>
      <c r="E1544" s="64"/>
      <c r="F1544" s="64"/>
      <c r="G1544" s="64"/>
      <c r="H1544" s="64"/>
      <c r="I1544" s="64"/>
      <c r="J1544" s="64"/>
      <c r="K1544" s="64"/>
      <c r="L1544" s="64"/>
      <c r="M1544" s="64"/>
      <c r="N1544" s="64"/>
      <c r="O1544" s="64"/>
      <c r="P1544" s="64"/>
      <c r="Q1544" s="64"/>
      <c r="R1544" s="64"/>
      <c r="S1544" s="64"/>
    </row>
    <row r="1545" spans="1:19" x14ac:dyDescent="0.25">
      <c r="A1545" s="63"/>
      <c r="B1545" s="64"/>
      <c r="C1545" s="64"/>
      <c r="D1545" s="64"/>
      <c r="E1545" s="64"/>
      <c r="F1545" s="64"/>
      <c r="G1545" s="64"/>
      <c r="H1545" s="64"/>
      <c r="I1545" s="64"/>
      <c r="J1545" s="64"/>
      <c r="K1545" s="64"/>
      <c r="L1545" s="64"/>
      <c r="M1545" s="64"/>
      <c r="N1545" s="64"/>
      <c r="O1545" s="64"/>
      <c r="P1545" s="64"/>
      <c r="Q1545" s="64"/>
      <c r="R1545" s="64"/>
      <c r="S1545" s="64"/>
    </row>
    <row r="1546" spans="1:19" x14ac:dyDescent="0.25">
      <c r="A1546" s="63"/>
      <c r="B1546" s="64"/>
      <c r="C1546" s="64"/>
      <c r="D1546" s="64"/>
      <c r="E1546" s="64"/>
      <c r="F1546" s="64"/>
      <c r="G1546" s="64"/>
      <c r="H1546" s="64"/>
      <c r="I1546" s="64"/>
      <c r="J1546" s="64"/>
      <c r="K1546" s="64"/>
      <c r="L1546" s="64"/>
      <c r="M1546" s="64"/>
      <c r="N1546" s="64"/>
      <c r="O1546" s="64"/>
      <c r="P1546" s="64"/>
      <c r="Q1546" s="64"/>
      <c r="R1546" s="64"/>
      <c r="S1546" s="64"/>
    </row>
    <row r="1547" spans="1:19" x14ac:dyDescent="0.25">
      <c r="A1547" s="63"/>
      <c r="B1547" s="64"/>
      <c r="C1547" s="64"/>
      <c r="D1547" s="64"/>
      <c r="E1547" s="64"/>
      <c r="F1547" s="64"/>
      <c r="G1547" s="64"/>
      <c r="H1547" s="64"/>
      <c r="I1547" s="64"/>
      <c r="J1547" s="64"/>
      <c r="K1547" s="64"/>
      <c r="L1547" s="64"/>
      <c r="M1547" s="64"/>
      <c r="N1547" s="64"/>
      <c r="O1547" s="64"/>
      <c r="P1547" s="64"/>
      <c r="Q1547" s="64"/>
      <c r="R1547" s="64"/>
      <c r="S1547" s="64"/>
    </row>
    <row r="1548" spans="1:19" x14ac:dyDescent="0.25">
      <c r="A1548" s="63"/>
      <c r="B1548" s="64"/>
      <c r="C1548" s="64"/>
      <c r="D1548" s="64"/>
      <c r="E1548" s="64"/>
      <c r="F1548" s="64"/>
      <c r="G1548" s="64"/>
      <c r="H1548" s="64"/>
      <c r="I1548" s="64"/>
      <c r="J1548" s="64"/>
      <c r="K1548" s="64"/>
      <c r="L1548" s="64"/>
      <c r="M1548" s="64"/>
      <c r="N1548" s="64"/>
      <c r="O1548" s="64"/>
      <c r="P1548" s="64"/>
      <c r="Q1548" s="64"/>
      <c r="R1548" s="64"/>
      <c r="S1548" s="64"/>
    </row>
    <row r="1549" spans="1:19" x14ac:dyDescent="0.25">
      <c r="A1549" s="63"/>
      <c r="B1549" s="64"/>
      <c r="C1549" s="64"/>
      <c r="D1549" s="64"/>
      <c r="E1549" s="64"/>
      <c r="F1549" s="64"/>
      <c r="G1549" s="64"/>
      <c r="H1549" s="64"/>
      <c r="I1549" s="64"/>
      <c r="J1549" s="64"/>
      <c r="K1549" s="64"/>
      <c r="L1549" s="64"/>
      <c r="M1549" s="64"/>
      <c r="N1549" s="64"/>
      <c r="O1549" s="64"/>
      <c r="P1549" s="64"/>
      <c r="Q1549" s="64"/>
      <c r="R1549" s="64"/>
      <c r="S1549" s="64"/>
    </row>
    <row r="1550" spans="1:19" x14ac:dyDescent="0.25">
      <c r="A1550" s="63"/>
      <c r="B1550" s="64"/>
      <c r="C1550" s="64"/>
      <c r="D1550" s="64"/>
      <c r="E1550" s="64"/>
      <c r="F1550" s="64"/>
      <c r="G1550" s="64"/>
      <c r="H1550" s="64"/>
      <c r="I1550" s="64"/>
      <c r="J1550" s="64"/>
      <c r="K1550" s="64"/>
      <c r="L1550" s="64"/>
      <c r="M1550" s="64"/>
      <c r="N1550" s="64"/>
      <c r="O1550" s="64"/>
      <c r="P1550" s="64"/>
      <c r="Q1550" s="64"/>
      <c r="R1550" s="64"/>
      <c r="S1550" s="64"/>
    </row>
    <row r="1551" spans="1:19" x14ac:dyDescent="0.25">
      <c r="A1551" s="63"/>
      <c r="B1551" s="64"/>
      <c r="C1551" s="64"/>
      <c r="D1551" s="64"/>
      <c r="E1551" s="64"/>
      <c r="F1551" s="64"/>
      <c r="G1551" s="64"/>
      <c r="H1551" s="64"/>
      <c r="I1551" s="64"/>
      <c r="J1551" s="64"/>
      <c r="K1551" s="64"/>
      <c r="L1551" s="64"/>
      <c r="M1551" s="64"/>
      <c r="N1551" s="64"/>
      <c r="O1551" s="64"/>
      <c r="P1551" s="64"/>
      <c r="Q1551" s="64"/>
      <c r="R1551" s="64"/>
      <c r="S1551" s="64"/>
    </row>
    <row r="1552" spans="1:19" x14ac:dyDescent="0.25">
      <c r="A1552" s="63"/>
      <c r="B1552" s="64"/>
      <c r="C1552" s="64"/>
      <c r="D1552" s="64"/>
      <c r="E1552" s="64"/>
      <c r="F1552" s="64"/>
      <c r="G1552" s="64"/>
      <c r="H1552" s="64"/>
      <c r="I1552" s="64"/>
      <c r="J1552" s="64"/>
      <c r="K1552" s="64"/>
      <c r="L1552" s="64"/>
      <c r="M1552" s="64"/>
      <c r="N1552" s="64"/>
      <c r="O1552" s="64"/>
      <c r="P1552" s="64"/>
      <c r="Q1552" s="64"/>
      <c r="R1552" s="64"/>
      <c r="S1552" s="64"/>
    </row>
    <row r="1553" spans="1:19" x14ac:dyDescent="0.25">
      <c r="A1553" s="63"/>
      <c r="B1553" s="64"/>
      <c r="C1553" s="64"/>
      <c r="D1553" s="64"/>
      <c r="E1553" s="64"/>
      <c r="F1553" s="64"/>
      <c r="G1553" s="64"/>
      <c r="H1553" s="64"/>
      <c r="I1553" s="64"/>
      <c r="J1553" s="64"/>
      <c r="K1553" s="64"/>
      <c r="L1553" s="64"/>
      <c r="M1553" s="64"/>
      <c r="N1553" s="64"/>
      <c r="O1553" s="64"/>
      <c r="P1553" s="64"/>
      <c r="Q1553" s="64"/>
      <c r="R1553" s="64"/>
      <c r="S1553" s="64"/>
    </row>
    <row r="1554" spans="1:19" x14ac:dyDescent="0.25">
      <c r="A1554" s="63"/>
      <c r="B1554" s="64"/>
      <c r="C1554" s="64"/>
      <c r="D1554" s="64"/>
      <c r="E1554" s="64"/>
      <c r="F1554" s="64"/>
      <c r="G1554" s="64"/>
      <c r="H1554" s="64"/>
      <c r="I1554" s="64"/>
      <c r="J1554" s="64"/>
      <c r="K1554" s="64"/>
      <c r="L1554" s="64"/>
      <c r="M1554" s="64"/>
      <c r="N1554" s="64"/>
      <c r="O1554" s="64"/>
      <c r="P1554" s="64"/>
      <c r="Q1554" s="64"/>
      <c r="R1554" s="64"/>
      <c r="S1554" s="64"/>
    </row>
    <row r="1555" spans="1:19" x14ac:dyDescent="0.25">
      <c r="A1555" s="63"/>
      <c r="B1555" s="64"/>
      <c r="C1555" s="64"/>
      <c r="D1555" s="64"/>
      <c r="E1555" s="64"/>
      <c r="F1555" s="64"/>
      <c r="G1555" s="64"/>
      <c r="H1555" s="64"/>
      <c r="I1555" s="64"/>
      <c r="J1555" s="64"/>
      <c r="K1555" s="64"/>
      <c r="L1555" s="64"/>
      <c r="M1555" s="64"/>
      <c r="N1555" s="64"/>
      <c r="O1555" s="64"/>
      <c r="P1555" s="64"/>
      <c r="Q1555" s="64"/>
      <c r="R1555" s="64"/>
      <c r="S1555" s="64"/>
    </row>
    <row r="1556" spans="1:19" x14ac:dyDescent="0.25">
      <c r="A1556" s="63"/>
      <c r="B1556" s="64"/>
      <c r="C1556" s="64"/>
      <c r="D1556" s="64"/>
      <c r="E1556" s="64"/>
      <c r="F1556" s="64"/>
      <c r="G1556" s="64"/>
      <c r="H1556" s="64"/>
      <c r="I1556" s="64"/>
      <c r="J1556" s="64"/>
      <c r="K1556" s="64"/>
      <c r="L1556" s="64"/>
      <c r="M1556" s="64"/>
      <c r="N1556" s="64"/>
      <c r="O1556" s="64"/>
      <c r="P1556" s="64"/>
      <c r="Q1556" s="64"/>
      <c r="R1556" s="64"/>
      <c r="S1556" s="64"/>
    </row>
    <row r="1557" spans="1:19" x14ac:dyDescent="0.25">
      <c r="A1557" s="63"/>
      <c r="B1557" s="64"/>
      <c r="C1557" s="64"/>
      <c r="D1557" s="64"/>
      <c r="E1557" s="64"/>
      <c r="F1557" s="64"/>
      <c r="G1557" s="64"/>
      <c r="H1557" s="64"/>
      <c r="I1557" s="64"/>
      <c r="J1557" s="64"/>
      <c r="K1557" s="64"/>
      <c r="L1557" s="64"/>
      <c r="M1557" s="64"/>
      <c r="N1557" s="64"/>
      <c r="O1557" s="64"/>
      <c r="P1557" s="64"/>
      <c r="Q1557" s="64"/>
      <c r="R1557" s="64"/>
      <c r="S1557" s="64"/>
    </row>
    <row r="1558" spans="1:19" x14ac:dyDescent="0.25">
      <c r="A1558" s="63"/>
      <c r="B1558" s="64"/>
      <c r="C1558" s="64"/>
      <c r="D1558" s="64"/>
      <c r="E1558" s="64"/>
      <c r="F1558" s="64"/>
      <c r="G1558" s="64"/>
      <c r="H1558" s="64"/>
      <c r="I1558" s="64"/>
      <c r="J1558" s="64"/>
      <c r="K1558" s="64"/>
      <c r="L1558" s="64"/>
      <c r="M1558" s="64"/>
      <c r="N1558" s="64"/>
      <c r="O1558" s="64"/>
      <c r="P1558" s="64"/>
      <c r="Q1558" s="64"/>
      <c r="R1558" s="64"/>
      <c r="S1558" s="64"/>
    </row>
    <row r="1559" spans="1:19" x14ac:dyDescent="0.25">
      <c r="A1559" s="63"/>
      <c r="B1559" s="64"/>
      <c r="C1559" s="64"/>
      <c r="D1559" s="64"/>
      <c r="E1559" s="64"/>
      <c r="F1559" s="64"/>
      <c r="G1559" s="64"/>
      <c r="H1559" s="64"/>
      <c r="I1559" s="64"/>
      <c r="J1559" s="64"/>
      <c r="K1559" s="64"/>
      <c r="L1559" s="64"/>
      <c r="M1559" s="64"/>
      <c r="N1559" s="64"/>
      <c r="O1559" s="64"/>
      <c r="P1559" s="64"/>
      <c r="Q1559" s="64"/>
      <c r="R1559" s="64"/>
      <c r="S1559" s="64"/>
    </row>
    <row r="1560" spans="1:19" x14ac:dyDescent="0.25">
      <c r="A1560" s="63"/>
      <c r="B1560" s="64"/>
      <c r="C1560" s="64"/>
      <c r="D1560" s="64"/>
      <c r="E1560" s="64"/>
      <c r="F1560" s="64"/>
      <c r="G1560" s="64"/>
      <c r="H1560" s="64"/>
      <c r="I1560" s="64"/>
      <c r="J1560" s="64"/>
      <c r="K1560" s="64"/>
      <c r="L1560" s="64"/>
      <c r="M1560" s="64"/>
      <c r="N1560" s="64"/>
      <c r="O1560" s="64"/>
      <c r="P1560" s="64"/>
      <c r="Q1560" s="64"/>
      <c r="R1560" s="64"/>
      <c r="S1560" s="64"/>
    </row>
    <row r="1561" spans="1:19" x14ac:dyDescent="0.25">
      <c r="A1561" s="63"/>
      <c r="B1561" s="64"/>
      <c r="C1561" s="64"/>
      <c r="D1561" s="64"/>
      <c r="E1561" s="64"/>
      <c r="F1561" s="64"/>
      <c r="G1561" s="64"/>
      <c r="H1561" s="64"/>
      <c r="I1561" s="64"/>
      <c r="J1561" s="64"/>
      <c r="K1561" s="64"/>
      <c r="L1561" s="64"/>
      <c r="M1561" s="64"/>
      <c r="N1561" s="64"/>
      <c r="O1561" s="64"/>
      <c r="P1561" s="64"/>
      <c r="Q1561" s="64"/>
      <c r="R1561" s="64"/>
      <c r="S1561" s="64"/>
    </row>
    <row r="1562" spans="1:19" x14ac:dyDescent="0.25">
      <c r="A1562" s="63"/>
      <c r="B1562" s="64"/>
      <c r="C1562" s="64"/>
      <c r="D1562" s="64"/>
      <c r="E1562" s="64"/>
      <c r="F1562" s="64"/>
      <c r="G1562" s="64"/>
      <c r="H1562" s="64"/>
      <c r="I1562" s="64"/>
      <c r="J1562" s="64"/>
      <c r="K1562" s="64"/>
      <c r="L1562" s="64"/>
      <c r="M1562" s="64"/>
      <c r="N1562" s="64"/>
      <c r="O1562" s="64"/>
      <c r="P1562" s="64"/>
      <c r="Q1562" s="64"/>
      <c r="R1562" s="64"/>
      <c r="S1562" s="64"/>
    </row>
    <row r="1563" spans="1:19" x14ac:dyDescent="0.25">
      <c r="A1563" s="63"/>
      <c r="B1563" s="64"/>
      <c r="C1563" s="64"/>
      <c r="D1563" s="64"/>
      <c r="E1563" s="64"/>
      <c r="F1563" s="64"/>
      <c r="G1563" s="64"/>
      <c r="H1563" s="64"/>
      <c r="I1563" s="64"/>
      <c r="J1563" s="64"/>
      <c r="K1563" s="64"/>
      <c r="L1563" s="64"/>
      <c r="M1563" s="64"/>
      <c r="N1563" s="64"/>
      <c r="O1563" s="64"/>
      <c r="P1563" s="64"/>
      <c r="Q1563" s="64"/>
      <c r="R1563" s="64"/>
      <c r="S1563" s="64"/>
    </row>
    <row r="1564" spans="1:19" x14ac:dyDescent="0.25">
      <c r="A1564" s="63"/>
      <c r="B1564" s="64"/>
      <c r="C1564" s="64"/>
      <c r="D1564" s="64"/>
      <c r="E1564" s="64"/>
      <c r="F1564" s="64"/>
      <c r="G1564" s="64"/>
      <c r="H1564" s="64"/>
      <c r="I1564" s="64"/>
      <c r="J1564" s="64"/>
      <c r="K1564" s="64"/>
      <c r="L1564" s="64"/>
      <c r="M1564" s="64"/>
      <c r="N1564" s="64"/>
      <c r="O1564" s="64"/>
      <c r="P1564" s="64"/>
      <c r="Q1564" s="64"/>
      <c r="R1564" s="64"/>
      <c r="S1564" s="64"/>
    </row>
    <row r="1565" spans="1:19" x14ac:dyDescent="0.25">
      <c r="A1565" s="63"/>
      <c r="B1565" s="64"/>
      <c r="C1565" s="64"/>
      <c r="D1565" s="64"/>
      <c r="E1565" s="64"/>
      <c r="F1565" s="64"/>
      <c r="G1565" s="64"/>
      <c r="H1565" s="64"/>
      <c r="I1565" s="64"/>
      <c r="J1565" s="64"/>
      <c r="K1565" s="64"/>
      <c r="L1565" s="64"/>
      <c r="M1565" s="64"/>
      <c r="N1565" s="64"/>
      <c r="O1565" s="64"/>
      <c r="P1565" s="64"/>
      <c r="Q1565" s="64"/>
      <c r="R1565" s="64"/>
      <c r="S1565" s="64"/>
    </row>
    <row r="1566" spans="1:19" x14ac:dyDescent="0.25">
      <c r="A1566" s="63"/>
      <c r="B1566" s="64"/>
      <c r="C1566" s="64"/>
      <c r="D1566" s="64"/>
      <c r="E1566" s="64"/>
      <c r="F1566" s="64"/>
      <c r="G1566" s="64"/>
      <c r="H1566" s="64"/>
      <c r="I1566" s="64"/>
      <c r="J1566" s="64"/>
      <c r="K1566" s="64"/>
      <c r="L1566" s="64"/>
      <c r="M1566" s="64"/>
      <c r="N1566" s="64"/>
      <c r="O1566" s="64"/>
      <c r="P1566" s="64"/>
      <c r="Q1566" s="64"/>
      <c r="R1566" s="64"/>
      <c r="S1566" s="64"/>
    </row>
    <row r="1567" spans="1:19" x14ac:dyDescent="0.25">
      <c r="A1567" s="63"/>
      <c r="B1567" s="64"/>
      <c r="C1567" s="64"/>
      <c r="D1567" s="64"/>
      <c r="E1567" s="64"/>
      <c r="F1567" s="64"/>
      <c r="G1567" s="64"/>
      <c r="H1567" s="64"/>
      <c r="I1567" s="64"/>
      <c r="J1567" s="64"/>
      <c r="K1567" s="64"/>
      <c r="L1567" s="64"/>
      <c r="M1567" s="64"/>
      <c r="N1567" s="64"/>
      <c r="O1567" s="64"/>
      <c r="P1567" s="64"/>
      <c r="Q1567" s="64"/>
      <c r="R1567" s="64"/>
      <c r="S1567" s="64"/>
    </row>
    <row r="1568" spans="1:19" x14ac:dyDescent="0.25">
      <c r="A1568" s="63"/>
      <c r="B1568" s="64"/>
      <c r="C1568" s="64"/>
      <c r="D1568" s="64"/>
      <c r="E1568" s="64"/>
      <c r="F1568" s="64"/>
      <c r="G1568" s="64"/>
      <c r="H1568" s="64"/>
      <c r="I1568" s="64"/>
      <c r="J1568" s="64"/>
      <c r="K1568" s="64"/>
      <c r="L1568" s="64"/>
      <c r="M1568" s="64"/>
      <c r="N1568" s="64"/>
      <c r="O1568" s="64"/>
      <c r="P1568" s="64"/>
      <c r="Q1568" s="64"/>
      <c r="R1568" s="64"/>
      <c r="S1568" s="64"/>
    </row>
    <row r="1569" spans="1:19" x14ac:dyDescent="0.25">
      <c r="A1569" s="63"/>
      <c r="B1569" s="64"/>
      <c r="C1569" s="64"/>
      <c r="D1569" s="64"/>
      <c r="E1569" s="64"/>
      <c r="F1569" s="64"/>
      <c r="G1569" s="64"/>
      <c r="H1569" s="64"/>
      <c r="I1569" s="64"/>
      <c r="J1569" s="64"/>
      <c r="K1569" s="64"/>
      <c r="L1569" s="64"/>
      <c r="M1569" s="64"/>
      <c r="N1569" s="64"/>
      <c r="O1569" s="64"/>
      <c r="P1569" s="64"/>
      <c r="Q1569" s="64"/>
      <c r="R1569" s="64"/>
      <c r="S1569" s="64"/>
    </row>
    <row r="1570" spans="1:19" x14ac:dyDescent="0.25">
      <c r="A1570" s="63"/>
      <c r="B1570" s="64"/>
      <c r="C1570" s="64"/>
      <c r="D1570" s="64"/>
      <c r="E1570" s="64"/>
      <c r="F1570" s="64"/>
      <c r="G1570" s="64"/>
      <c r="H1570" s="64"/>
      <c r="I1570" s="64"/>
      <c r="J1570" s="64"/>
      <c r="K1570" s="64"/>
      <c r="L1570" s="64"/>
      <c r="M1570" s="64"/>
      <c r="N1570" s="64"/>
      <c r="O1570" s="64"/>
      <c r="P1570" s="64"/>
      <c r="Q1570" s="64"/>
      <c r="R1570" s="64"/>
      <c r="S1570" s="64"/>
    </row>
    <row r="1571" spans="1:19" x14ac:dyDescent="0.25">
      <c r="A1571" s="63"/>
      <c r="B1571" s="64"/>
      <c r="C1571" s="64"/>
      <c r="D1571" s="64"/>
      <c r="E1571" s="64"/>
      <c r="F1571" s="64"/>
      <c r="G1571" s="64"/>
      <c r="H1571" s="64"/>
      <c r="I1571" s="64"/>
      <c r="J1571" s="64"/>
      <c r="K1571" s="64"/>
      <c r="L1571" s="64"/>
      <c r="M1571" s="64"/>
      <c r="N1571" s="64"/>
      <c r="O1571" s="64"/>
      <c r="P1571" s="64"/>
      <c r="Q1571" s="64"/>
      <c r="R1571" s="64"/>
      <c r="S1571" s="64"/>
    </row>
    <row r="1572" spans="1:19" x14ac:dyDescent="0.25">
      <c r="A1572" s="63"/>
      <c r="B1572" s="64"/>
      <c r="C1572" s="64"/>
      <c r="D1572" s="64"/>
      <c r="E1572" s="64"/>
      <c r="F1572" s="64"/>
      <c r="G1572" s="64"/>
      <c r="H1572" s="64"/>
      <c r="I1572" s="64"/>
      <c r="J1572" s="64"/>
      <c r="K1572" s="64"/>
      <c r="L1572" s="64"/>
      <c r="M1572" s="64"/>
      <c r="N1572" s="64"/>
      <c r="O1572" s="64"/>
      <c r="P1572" s="64"/>
      <c r="Q1572" s="64"/>
      <c r="R1572" s="64"/>
      <c r="S1572" s="64"/>
    </row>
    <row r="1573" spans="1:19" x14ac:dyDescent="0.25">
      <c r="A1573" s="63"/>
      <c r="B1573" s="64"/>
      <c r="C1573" s="64"/>
      <c r="D1573" s="64"/>
      <c r="E1573" s="64"/>
      <c r="F1573" s="64"/>
      <c r="G1573" s="64"/>
      <c r="H1573" s="64"/>
      <c r="I1573" s="64"/>
      <c r="J1573" s="64"/>
      <c r="K1573" s="64"/>
      <c r="L1573" s="64"/>
      <c r="M1573" s="64"/>
      <c r="N1573" s="64"/>
      <c r="O1573" s="64"/>
      <c r="P1573" s="64"/>
      <c r="Q1573" s="64"/>
      <c r="R1573" s="64"/>
      <c r="S1573" s="64"/>
    </row>
    <row r="1574" spans="1:19" x14ac:dyDescent="0.25">
      <c r="A1574" s="63"/>
      <c r="B1574" s="64"/>
      <c r="C1574" s="64"/>
      <c r="D1574" s="64"/>
      <c r="E1574" s="64"/>
      <c r="F1574" s="64"/>
      <c r="G1574" s="64"/>
      <c r="H1574" s="64"/>
      <c r="I1574" s="64"/>
      <c r="J1574" s="64"/>
      <c r="K1574" s="64"/>
      <c r="L1574" s="64"/>
      <c r="M1574" s="64"/>
      <c r="N1574" s="64"/>
      <c r="O1574" s="64"/>
      <c r="P1574" s="64"/>
      <c r="Q1574" s="64"/>
      <c r="R1574" s="64"/>
      <c r="S1574" s="64"/>
    </row>
    <row r="1575" spans="1:19" x14ac:dyDescent="0.25">
      <c r="A1575" s="63"/>
      <c r="B1575" s="64"/>
      <c r="C1575" s="64"/>
      <c r="D1575" s="64"/>
      <c r="E1575" s="64"/>
      <c r="F1575" s="64"/>
      <c r="G1575" s="64"/>
      <c r="H1575" s="64"/>
      <c r="I1575" s="64"/>
      <c r="J1575" s="64"/>
      <c r="K1575" s="64"/>
      <c r="L1575" s="64"/>
      <c r="M1575" s="64"/>
      <c r="N1575" s="64"/>
      <c r="O1575" s="64"/>
      <c r="P1575" s="64"/>
      <c r="Q1575" s="64"/>
      <c r="R1575" s="64"/>
      <c r="S1575" s="64"/>
    </row>
    <row r="1576" spans="1:19" x14ac:dyDescent="0.25">
      <c r="A1576" s="63"/>
      <c r="B1576" s="64"/>
      <c r="C1576" s="64"/>
      <c r="D1576" s="64"/>
      <c r="E1576" s="64"/>
      <c r="F1576" s="64"/>
      <c r="G1576" s="64"/>
      <c r="H1576" s="64"/>
      <c r="I1576" s="64"/>
      <c r="J1576" s="64"/>
      <c r="K1576" s="64"/>
      <c r="L1576" s="64"/>
      <c r="M1576" s="64"/>
      <c r="N1576" s="64"/>
      <c r="O1576" s="64"/>
      <c r="P1576" s="64"/>
      <c r="Q1576" s="64"/>
      <c r="R1576" s="64"/>
      <c r="S1576" s="64"/>
    </row>
    <row r="1577" spans="1:19" x14ac:dyDescent="0.25">
      <c r="A1577" s="63"/>
      <c r="B1577" s="64"/>
      <c r="C1577" s="64"/>
      <c r="D1577" s="64"/>
      <c r="E1577" s="64"/>
      <c r="F1577" s="64"/>
      <c r="G1577" s="64"/>
      <c r="H1577" s="64"/>
      <c r="I1577" s="64"/>
      <c r="J1577" s="64"/>
      <c r="K1577" s="64"/>
      <c r="L1577" s="64"/>
      <c r="M1577" s="64"/>
      <c r="N1577" s="64"/>
      <c r="O1577" s="64"/>
      <c r="P1577" s="64"/>
      <c r="Q1577" s="64"/>
      <c r="R1577" s="64"/>
      <c r="S1577" s="64"/>
    </row>
    <row r="1578" spans="1:19" x14ac:dyDescent="0.25">
      <c r="A1578" s="63"/>
      <c r="B1578" s="64"/>
      <c r="C1578" s="64"/>
      <c r="D1578" s="64"/>
      <c r="E1578" s="64"/>
      <c r="F1578" s="64"/>
      <c r="G1578" s="64"/>
      <c r="H1578" s="64"/>
      <c r="I1578" s="64"/>
      <c r="J1578" s="64"/>
      <c r="K1578" s="64"/>
      <c r="L1578" s="64"/>
      <c r="M1578" s="64"/>
      <c r="N1578" s="64"/>
      <c r="O1578" s="64"/>
      <c r="P1578" s="64"/>
      <c r="Q1578" s="64"/>
      <c r="R1578" s="64"/>
      <c r="S1578" s="64"/>
    </row>
    <row r="1579" spans="1:19" x14ac:dyDescent="0.25">
      <c r="A1579" s="63"/>
      <c r="B1579" s="64"/>
      <c r="C1579" s="64"/>
      <c r="D1579" s="64"/>
      <c r="E1579" s="64"/>
      <c r="F1579" s="64"/>
      <c r="G1579" s="64"/>
      <c r="H1579" s="64"/>
      <c r="I1579" s="64"/>
      <c r="J1579" s="64"/>
      <c r="K1579" s="64"/>
      <c r="L1579" s="64"/>
      <c r="M1579" s="64"/>
      <c r="N1579" s="64"/>
      <c r="O1579" s="64"/>
      <c r="P1579" s="64"/>
      <c r="Q1579" s="64"/>
      <c r="R1579" s="64"/>
      <c r="S1579" s="64"/>
    </row>
    <row r="1580" spans="1:19" x14ac:dyDescent="0.25">
      <c r="A1580" s="63"/>
      <c r="B1580" s="64"/>
      <c r="C1580" s="64"/>
      <c r="D1580" s="64"/>
      <c r="E1580" s="64"/>
      <c r="F1580" s="64"/>
      <c r="G1580" s="64"/>
      <c r="H1580" s="64"/>
      <c r="I1580" s="64"/>
      <c r="J1580" s="64"/>
      <c r="K1580" s="64"/>
      <c r="L1580" s="64"/>
      <c r="M1580" s="64"/>
      <c r="N1580" s="64"/>
      <c r="O1580" s="64"/>
      <c r="P1580" s="64"/>
      <c r="Q1580" s="64"/>
      <c r="R1580" s="64"/>
      <c r="S1580" s="64"/>
    </row>
    <row r="1581" spans="1:19" x14ac:dyDescent="0.25">
      <c r="A1581" s="63"/>
      <c r="B1581" s="64"/>
      <c r="C1581" s="64"/>
      <c r="D1581" s="64"/>
      <c r="E1581" s="64"/>
      <c r="F1581" s="64"/>
      <c r="G1581" s="64"/>
      <c r="H1581" s="64"/>
      <c r="I1581" s="64"/>
      <c r="J1581" s="64"/>
      <c r="K1581" s="64"/>
      <c r="L1581" s="64"/>
      <c r="M1581" s="64"/>
      <c r="N1581" s="64"/>
      <c r="O1581" s="64"/>
      <c r="P1581" s="64"/>
      <c r="Q1581" s="64"/>
      <c r="R1581" s="64"/>
      <c r="S1581" s="64"/>
    </row>
    <row r="1582" spans="1:19" x14ac:dyDescent="0.25">
      <c r="A1582" s="63"/>
      <c r="B1582" s="64"/>
      <c r="C1582" s="64"/>
      <c r="D1582" s="64"/>
      <c r="E1582" s="64"/>
      <c r="F1582" s="64"/>
      <c r="G1582" s="64"/>
      <c r="H1582" s="64"/>
      <c r="I1582" s="64"/>
      <c r="J1582" s="64"/>
      <c r="K1582" s="64"/>
      <c r="L1582" s="64"/>
      <c r="M1582" s="64"/>
      <c r="N1582" s="64"/>
      <c r="O1582" s="64"/>
      <c r="P1582" s="64"/>
      <c r="Q1582" s="64"/>
      <c r="R1582" s="64"/>
      <c r="S1582" s="64"/>
    </row>
    <row r="1583" spans="1:19" x14ac:dyDescent="0.25">
      <c r="A1583" s="63"/>
      <c r="B1583" s="64"/>
      <c r="C1583" s="64"/>
      <c r="D1583" s="64"/>
      <c r="E1583" s="64"/>
      <c r="F1583" s="64"/>
      <c r="G1583" s="64"/>
      <c r="H1583" s="64"/>
      <c r="I1583" s="64"/>
      <c r="J1583" s="64"/>
      <c r="K1583" s="64"/>
      <c r="L1583" s="64"/>
      <c r="M1583" s="64"/>
      <c r="N1583" s="64"/>
      <c r="O1583" s="64"/>
      <c r="P1583" s="64"/>
      <c r="Q1583" s="64"/>
      <c r="R1583" s="64"/>
      <c r="S1583" s="64"/>
    </row>
    <row r="1584" spans="1:19" x14ac:dyDescent="0.25">
      <c r="A1584" s="63"/>
      <c r="B1584" s="64"/>
      <c r="C1584" s="64"/>
      <c r="D1584" s="64"/>
      <c r="E1584" s="64"/>
      <c r="F1584" s="64"/>
      <c r="G1584" s="64"/>
      <c r="H1584" s="64"/>
      <c r="I1584" s="64"/>
      <c r="J1584" s="64"/>
      <c r="K1584" s="64"/>
      <c r="L1584" s="64"/>
      <c r="M1584" s="64"/>
      <c r="N1584" s="64"/>
      <c r="O1584" s="64"/>
      <c r="P1584" s="64"/>
      <c r="Q1584" s="64"/>
      <c r="R1584" s="64"/>
      <c r="S1584" s="64"/>
    </row>
    <row r="1585" spans="1:19" x14ac:dyDescent="0.25">
      <c r="A1585" s="63"/>
      <c r="B1585" s="64"/>
      <c r="C1585" s="64"/>
      <c r="D1585" s="64"/>
      <c r="E1585" s="64"/>
      <c r="F1585" s="64"/>
      <c r="G1585" s="64"/>
      <c r="H1585" s="64"/>
      <c r="I1585" s="64"/>
      <c r="J1585" s="64"/>
      <c r="K1585" s="64"/>
      <c r="L1585" s="64"/>
      <c r="M1585" s="64"/>
      <c r="N1585" s="64"/>
      <c r="O1585" s="64"/>
      <c r="P1585" s="64"/>
      <c r="Q1585" s="64"/>
      <c r="R1585" s="64"/>
      <c r="S1585" s="64"/>
    </row>
    <row r="1586" spans="1:19" x14ac:dyDescent="0.25">
      <c r="A1586" s="63"/>
      <c r="B1586" s="64"/>
      <c r="C1586" s="64"/>
      <c r="D1586" s="64"/>
      <c r="E1586" s="64"/>
      <c r="F1586" s="64"/>
      <c r="G1586" s="64"/>
      <c r="H1586" s="64"/>
      <c r="I1586" s="64"/>
      <c r="J1586" s="64"/>
      <c r="K1586" s="64"/>
      <c r="L1586" s="64"/>
      <c r="M1586" s="64"/>
      <c r="N1586" s="64"/>
      <c r="O1586" s="64"/>
      <c r="P1586" s="64"/>
      <c r="Q1586" s="64"/>
      <c r="R1586" s="64"/>
      <c r="S1586" s="64"/>
    </row>
    <row r="1587" spans="1:19" x14ac:dyDescent="0.25">
      <c r="A1587" s="63"/>
      <c r="B1587" s="64"/>
      <c r="C1587" s="64"/>
      <c r="D1587" s="64"/>
      <c r="E1587" s="64"/>
      <c r="F1587" s="64"/>
      <c r="G1587" s="64"/>
      <c r="H1587" s="64"/>
      <c r="I1587" s="64"/>
      <c r="J1587" s="64"/>
      <c r="K1587" s="64"/>
      <c r="L1587" s="64"/>
      <c r="M1587" s="64"/>
      <c r="N1587" s="64"/>
      <c r="O1587" s="64"/>
      <c r="P1587" s="64"/>
      <c r="Q1587" s="64"/>
      <c r="R1587" s="64"/>
      <c r="S1587" s="64"/>
    </row>
    <row r="1588" spans="1:19" x14ac:dyDescent="0.25">
      <c r="A1588" s="63"/>
      <c r="B1588" s="64"/>
      <c r="C1588" s="64"/>
      <c r="D1588" s="64"/>
      <c r="E1588" s="64"/>
      <c r="F1588" s="64"/>
      <c r="G1588" s="64"/>
      <c r="H1588" s="64"/>
      <c r="I1588" s="64"/>
      <c r="J1588" s="64"/>
      <c r="K1588" s="64"/>
      <c r="L1588" s="64"/>
      <c r="M1588" s="64"/>
      <c r="N1588" s="64"/>
      <c r="O1588" s="64"/>
      <c r="P1588" s="64"/>
      <c r="Q1588" s="64"/>
      <c r="R1588" s="64"/>
      <c r="S1588" s="64"/>
    </row>
    <row r="1589" spans="1:19" x14ac:dyDescent="0.25">
      <c r="A1589" s="63"/>
      <c r="B1589" s="64"/>
      <c r="C1589" s="64"/>
      <c r="D1589" s="64"/>
      <c r="E1589" s="64"/>
      <c r="F1589" s="64"/>
      <c r="G1589" s="64"/>
      <c r="H1589" s="64"/>
      <c r="I1589" s="64"/>
      <c r="J1589" s="64"/>
      <c r="K1589" s="64"/>
      <c r="L1589" s="64"/>
      <c r="M1589" s="64"/>
      <c r="N1589" s="64"/>
      <c r="O1589" s="64"/>
      <c r="P1589" s="64"/>
      <c r="Q1589" s="64"/>
      <c r="R1589" s="64"/>
      <c r="S1589" s="64"/>
    </row>
    <row r="1590" spans="1:19" x14ac:dyDescent="0.25">
      <c r="A1590" s="63"/>
      <c r="B1590" s="64"/>
      <c r="C1590" s="64"/>
      <c r="D1590" s="64"/>
      <c r="E1590" s="64"/>
      <c r="F1590" s="64"/>
      <c r="G1590" s="64"/>
      <c r="H1590" s="64"/>
      <c r="I1590" s="64"/>
      <c r="J1590" s="64"/>
      <c r="K1590" s="64"/>
      <c r="L1590" s="64"/>
      <c r="M1590" s="64"/>
      <c r="N1590" s="64"/>
      <c r="O1590" s="64"/>
      <c r="P1590" s="64"/>
      <c r="Q1590" s="64"/>
      <c r="R1590" s="64"/>
      <c r="S1590" s="64"/>
    </row>
    <row r="1591" spans="1:19" x14ac:dyDescent="0.25">
      <c r="A1591" s="63"/>
      <c r="B1591" s="64"/>
      <c r="C1591" s="64"/>
      <c r="D1591" s="64"/>
      <c r="E1591" s="64"/>
      <c r="F1591" s="64"/>
      <c r="G1591" s="64"/>
      <c r="H1591" s="64"/>
      <c r="I1591" s="64"/>
      <c r="J1591" s="64"/>
      <c r="K1591" s="64"/>
      <c r="L1591" s="64"/>
      <c r="M1591" s="64"/>
      <c r="N1591" s="64"/>
      <c r="O1591" s="64"/>
      <c r="P1591" s="64"/>
      <c r="Q1591" s="64"/>
      <c r="R1591" s="64"/>
      <c r="S1591" s="64"/>
    </row>
    <row r="1592" spans="1:19" x14ac:dyDescent="0.25">
      <c r="A1592" s="63"/>
      <c r="B1592" s="64"/>
      <c r="C1592" s="64"/>
      <c r="D1592" s="64"/>
      <c r="E1592" s="64"/>
      <c r="F1592" s="64"/>
      <c r="G1592" s="64"/>
      <c r="H1592" s="64"/>
      <c r="I1592" s="64"/>
      <c r="J1592" s="64"/>
      <c r="K1592" s="64"/>
      <c r="L1592" s="64"/>
      <c r="M1592" s="64"/>
      <c r="N1592" s="64"/>
      <c r="O1592" s="64"/>
      <c r="P1592" s="64"/>
      <c r="Q1592" s="64"/>
      <c r="R1592" s="64"/>
      <c r="S1592" s="64"/>
    </row>
    <row r="1593" spans="1:19" x14ac:dyDescent="0.25">
      <c r="A1593" s="63"/>
      <c r="B1593" s="64"/>
      <c r="C1593" s="64"/>
      <c r="D1593" s="64"/>
      <c r="E1593" s="64"/>
      <c r="F1593" s="64"/>
      <c r="G1593" s="64"/>
      <c r="H1593" s="64"/>
      <c r="I1593" s="64"/>
      <c r="J1593" s="64"/>
      <c r="K1593" s="64"/>
      <c r="L1593" s="64"/>
      <c r="M1593" s="64"/>
      <c r="N1593" s="64"/>
      <c r="O1593" s="64"/>
      <c r="P1593" s="64"/>
      <c r="Q1593" s="64"/>
      <c r="R1593" s="64"/>
      <c r="S1593" s="64"/>
    </row>
    <row r="1594" spans="1:19" x14ac:dyDescent="0.25">
      <c r="A1594" s="63"/>
      <c r="B1594" s="64"/>
      <c r="C1594" s="64"/>
      <c r="D1594" s="64"/>
      <c r="E1594" s="64"/>
      <c r="F1594" s="64"/>
      <c r="G1594" s="64"/>
      <c r="H1594" s="64"/>
      <c r="I1594" s="64"/>
      <c r="J1594" s="64"/>
      <c r="K1594" s="64"/>
      <c r="L1594" s="64"/>
      <c r="M1594" s="64"/>
      <c r="N1594" s="64"/>
      <c r="O1594" s="64"/>
      <c r="P1594" s="64"/>
      <c r="Q1594" s="64"/>
      <c r="R1594" s="64"/>
      <c r="S1594" s="64"/>
    </row>
    <row r="1595" spans="1:19" x14ac:dyDescent="0.25">
      <c r="A1595" s="63"/>
      <c r="B1595" s="64"/>
      <c r="C1595" s="64"/>
      <c r="D1595" s="64"/>
      <c r="E1595" s="64"/>
      <c r="F1595" s="64"/>
      <c r="G1595" s="64"/>
      <c r="H1595" s="64"/>
      <c r="I1595" s="64"/>
      <c r="J1595" s="64"/>
      <c r="K1595" s="64"/>
      <c r="L1595" s="64"/>
      <c r="M1595" s="64"/>
      <c r="N1595" s="64"/>
      <c r="O1595" s="64"/>
      <c r="P1595" s="64"/>
      <c r="Q1595" s="64"/>
      <c r="R1595" s="64"/>
      <c r="S1595" s="64"/>
    </row>
    <row r="1596" spans="1:19" x14ac:dyDescent="0.25">
      <c r="A1596" s="63"/>
      <c r="B1596" s="64"/>
      <c r="C1596" s="64"/>
      <c r="D1596" s="64"/>
      <c r="E1596" s="64"/>
      <c r="F1596" s="64"/>
      <c r="G1596" s="64"/>
      <c r="H1596" s="64"/>
      <c r="I1596" s="64"/>
      <c r="J1596" s="64"/>
      <c r="K1596" s="64"/>
      <c r="L1596" s="64"/>
      <c r="M1596" s="64"/>
      <c r="N1596" s="64"/>
      <c r="O1596" s="64"/>
      <c r="P1596" s="64"/>
      <c r="Q1596" s="64"/>
      <c r="R1596" s="64"/>
      <c r="S1596" s="64"/>
    </row>
    <row r="1597" spans="1:19" x14ac:dyDescent="0.25">
      <c r="A1597" s="63"/>
      <c r="B1597" s="64"/>
      <c r="C1597" s="64"/>
      <c r="D1597" s="64"/>
      <c r="E1597" s="64"/>
      <c r="F1597" s="64"/>
      <c r="G1597" s="64"/>
      <c r="H1597" s="64"/>
      <c r="I1597" s="64"/>
      <c r="J1597" s="64"/>
      <c r="K1597" s="64"/>
      <c r="L1597" s="64"/>
      <c r="M1597" s="64"/>
      <c r="N1597" s="64"/>
      <c r="O1597" s="64"/>
      <c r="P1597" s="64"/>
      <c r="Q1597" s="64"/>
      <c r="R1597" s="64"/>
      <c r="S1597" s="64"/>
    </row>
    <row r="1598" spans="1:19" x14ac:dyDescent="0.25">
      <c r="A1598" s="63"/>
      <c r="B1598" s="64"/>
      <c r="C1598" s="64"/>
      <c r="D1598" s="64"/>
      <c r="E1598" s="64"/>
      <c r="F1598" s="64"/>
      <c r="G1598" s="64"/>
      <c r="H1598" s="64"/>
      <c r="I1598" s="64"/>
      <c r="J1598" s="64"/>
      <c r="K1598" s="64"/>
      <c r="L1598" s="64"/>
      <c r="M1598" s="64"/>
      <c r="N1598" s="64"/>
      <c r="O1598" s="64"/>
      <c r="P1598" s="64"/>
      <c r="Q1598" s="64"/>
      <c r="R1598" s="64"/>
      <c r="S1598" s="64"/>
    </row>
    <row r="1599" spans="1:19" x14ac:dyDescent="0.25">
      <c r="A1599" s="63"/>
      <c r="B1599" s="64"/>
      <c r="C1599" s="64"/>
      <c r="D1599" s="64"/>
      <c r="E1599" s="64"/>
      <c r="F1599" s="64"/>
      <c r="G1599" s="64"/>
      <c r="H1599" s="64"/>
      <c r="I1599" s="64"/>
      <c r="J1599" s="64"/>
      <c r="K1599" s="64"/>
      <c r="L1599" s="64"/>
      <c r="M1599" s="64"/>
      <c r="N1599" s="64"/>
      <c r="O1599" s="64"/>
      <c r="P1599" s="64"/>
      <c r="Q1599" s="64"/>
      <c r="R1599" s="64"/>
      <c r="S1599" s="64"/>
    </row>
    <row r="1600" spans="1:19" x14ac:dyDescent="0.25">
      <c r="A1600" s="63"/>
      <c r="B1600" s="64"/>
      <c r="C1600" s="64"/>
      <c r="D1600" s="64"/>
      <c r="E1600" s="64"/>
      <c r="F1600" s="64"/>
      <c r="G1600" s="64"/>
      <c r="H1600" s="64"/>
      <c r="I1600" s="64"/>
      <c r="J1600" s="64"/>
      <c r="K1600" s="64"/>
      <c r="L1600" s="64"/>
      <c r="M1600" s="64"/>
      <c r="N1600" s="64"/>
      <c r="O1600" s="64"/>
      <c r="P1600" s="64"/>
      <c r="Q1600" s="64"/>
      <c r="R1600" s="64"/>
      <c r="S1600" s="64"/>
    </row>
    <row r="1601" spans="1:19" x14ac:dyDescent="0.25">
      <c r="A1601" s="63"/>
      <c r="B1601" s="64"/>
      <c r="C1601" s="64"/>
      <c r="D1601" s="64"/>
      <c r="E1601" s="64"/>
      <c r="F1601" s="64"/>
      <c r="G1601" s="64"/>
      <c r="H1601" s="64"/>
      <c r="I1601" s="64"/>
      <c r="J1601" s="64"/>
      <c r="K1601" s="64"/>
      <c r="L1601" s="64"/>
      <c r="M1601" s="64"/>
      <c r="N1601" s="64"/>
      <c r="O1601" s="64"/>
      <c r="P1601" s="64"/>
      <c r="Q1601" s="64"/>
      <c r="R1601" s="64"/>
      <c r="S1601" s="64"/>
    </row>
    <row r="1602" spans="1:19" x14ac:dyDescent="0.25">
      <c r="A1602" s="63"/>
      <c r="B1602" s="64"/>
      <c r="C1602" s="64"/>
      <c r="D1602" s="64"/>
      <c r="E1602" s="64"/>
      <c r="F1602" s="64"/>
      <c r="G1602" s="64"/>
      <c r="H1602" s="64"/>
      <c r="I1602" s="64"/>
      <c r="J1602" s="64"/>
      <c r="K1602" s="64"/>
      <c r="L1602" s="64"/>
      <c r="M1602" s="64"/>
      <c r="N1602" s="64"/>
      <c r="O1602" s="64"/>
      <c r="P1602" s="64"/>
      <c r="Q1602" s="64"/>
      <c r="R1602" s="64"/>
      <c r="S1602" s="64"/>
    </row>
    <row r="1603" spans="1:19" x14ac:dyDescent="0.25">
      <c r="A1603" s="63"/>
      <c r="B1603" s="64"/>
      <c r="C1603" s="64"/>
      <c r="D1603" s="64"/>
      <c r="E1603" s="64"/>
      <c r="F1603" s="64"/>
      <c r="G1603" s="64"/>
      <c r="H1603" s="64"/>
      <c r="I1603" s="64"/>
      <c r="J1603" s="64"/>
      <c r="K1603" s="64"/>
      <c r="L1603" s="64"/>
      <c r="M1603" s="64"/>
      <c r="N1603" s="64"/>
      <c r="O1603" s="64"/>
      <c r="P1603" s="64"/>
      <c r="Q1603" s="64"/>
      <c r="R1603" s="64"/>
      <c r="S1603" s="64"/>
    </row>
    <row r="1604" spans="1:19" x14ac:dyDescent="0.25">
      <c r="A1604" s="63"/>
      <c r="B1604" s="64"/>
      <c r="C1604" s="64"/>
      <c r="D1604" s="64"/>
      <c r="E1604" s="64"/>
      <c r="F1604" s="64"/>
      <c r="G1604" s="64"/>
      <c r="H1604" s="64"/>
      <c r="I1604" s="64"/>
      <c r="J1604" s="64"/>
      <c r="K1604" s="64"/>
      <c r="L1604" s="64"/>
      <c r="M1604" s="64"/>
      <c r="N1604" s="64"/>
      <c r="O1604" s="64"/>
      <c r="P1604" s="64"/>
      <c r="Q1604" s="64"/>
      <c r="R1604" s="64"/>
      <c r="S1604" s="64"/>
    </row>
    <row r="1605" spans="1:19" x14ac:dyDescent="0.25">
      <c r="A1605" s="63"/>
      <c r="B1605" s="64"/>
      <c r="C1605" s="64"/>
      <c r="D1605" s="64"/>
      <c r="E1605" s="64"/>
      <c r="F1605" s="64"/>
      <c r="G1605" s="64"/>
      <c r="H1605" s="64"/>
      <c r="I1605" s="64"/>
      <c r="J1605" s="64"/>
      <c r="K1605" s="64"/>
      <c r="L1605" s="64"/>
      <c r="M1605" s="64"/>
      <c r="N1605" s="64"/>
      <c r="O1605" s="64"/>
      <c r="P1605" s="64"/>
      <c r="Q1605" s="64"/>
      <c r="R1605" s="64"/>
      <c r="S1605" s="64"/>
    </row>
    <row r="1606" spans="1:19" x14ac:dyDescent="0.25">
      <c r="A1606" s="63"/>
      <c r="B1606" s="64"/>
      <c r="C1606" s="64"/>
      <c r="D1606" s="64"/>
      <c r="E1606" s="64"/>
      <c r="F1606" s="64"/>
      <c r="G1606" s="64"/>
      <c r="H1606" s="64"/>
      <c r="I1606" s="64"/>
      <c r="J1606" s="64"/>
      <c r="K1606" s="64"/>
      <c r="L1606" s="64"/>
      <c r="M1606" s="64"/>
      <c r="N1606" s="64"/>
      <c r="O1606" s="64"/>
      <c r="P1606" s="64"/>
      <c r="Q1606" s="64"/>
      <c r="R1606" s="64"/>
      <c r="S1606" s="64"/>
    </row>
    <row r="1607" spans="1:19" x14ac:dyDescent="0.25">
      <c r="A1607" s="63"/>
      <c r="B1607" s="64"/>
      <c r="C1607" s="64"/>
      <c r="D1607" s="64"/>
      <c r="E1607" s="64"/>
      <c r="F1607" s="64"/>
      <c r="G1607" s="64"/>
      <c r="H1607" s="64"/>
      <c r="I1607" s="64"/>
      <c r="J1607" s="64"/>
      <c r="K1607" s="64"/>
      <c r="L1607" s="64"/>
      <c r="M1607" s="64"/>
      <c r="N1607" s="64"/>
      <c r="O1607" s="64"/>
      <c r="P1607" s="64"/>
      <c r="Q1607" s="64"/>
      <c r="R1607" s="64"/>
      <c r="S1607" s="64"/>
    </row>
    <row r="1608" spans="1:19" x14ac:dyDescent="0.25">
      <c r="A1608" s="63"/>
      <c r="B1608" s="64"/>
      <c r="C1608" s="64"/>
      <c r="D1608" s="64"/>
      <c r="E1608" s="64"/>
      <c r="F1608" s="64"/>
      <c r="G1608" s="64"/>
      <c r="H1608" s="64"/>
      <c r="I1608" s="64"/>
      <c r="J1608" s="64"/>
      <c r="K1608" s="64"/>
      <c r="L1608" s="64"/>
      <c r="M1608" s="64"/>
      <c r="N1608" s="64"/>
      <c r="O1608" s="64"/>
      <c r="P1608" s="64"/>
      <c r="Q1608" s="64"/>
      <c r="R1608" s="64"/>
      <c r="S1608" s="64"/>
    </row>
    <row r="1609" spans="1:19" x14ac:dyDescent="0.25">
      <c r="A1609" s="63"/>
      <c r="B1609" s="64"/>
      <c r="C1609" s="64"/>
      <c r="D1609" s="64"/>
      <c r="E1609" s="64"/>
      <c r="F1609" s="64"/>
      <c r="G1609" s="64"/>
      <c r="H1609" s="64"/>
      <c r="I1609" s="64"/>
      <c r="J1609" s="64"/>
      <c r="K1609" s="64"/>
      <c r="L1609" s="64"/>
      <c r="M1609" s="64"/>
      <c r="N1609" s="64"/>
      <c r="O1609" s="64"/>
      <c r="P1609" s="64"/>
      <c r="Q1609" s="64"/>
      <c r="R1609" s="64"/>
      <c r="S1609" s="64"/>
    </row>
    <row r="1610" spans="1:19" x14ac:dyDescent="0.25">
      <c r="A1610" s="63"/>
      <c r="B1610" s="64"/>
      <c r="C1610" s="64"/>
      <c r="D1610" s="64"/>
      <c r="E1610" s="64"/>
      <c r="F1610" s="64"/>
      <c r="G1610" s="64"/>
      <c r="H1610" s="64"/>
      <c r="I1610" s="64"/>
      <c r="J1610" s="64"/>
      <c r="K1610" s="64"/>
      <c r="L1610" s="64"/>
      <c r="M1610" s="64"/>
      <c r="N1610" s="64"/>
      <c r="O1610" s="64"/>
      <c r="P1610" s="64"/>
      <c r="Q1610" s="64"/>
      <c r="R1610" s="64"/>
      <c r="S1610" s="64"/>
    </row>
    <row r="1611" spans="1:19" x14ac:dyDescent="0.25">
      <c r="A1611" s="63"/>
      <c r="B1611" s="64"/>
      <c r="C1611" s="64"/>
      <c r="D1611" s="64"/>
      <c r="E1611" s="64"/>
      <c r="F1611" s="64"/>
      <c r="G1611" s="64"/>
      <c r="H1611" s="64"/>
      <c r="I1611" s="64"/>
      <c r="J1611" s="64"/>
      <c r="K1611" s="64"/>
      <c r="L1611" s="64"/>
      <c r="M1611" s="64"/>
      <c r="N1611" s="64"/>
      <c r="O1611" s="64"/>
      <c r="P1611" s="64"/>
      <c r="Q1611" s="64"/>
      <c r="R1611" s="64"/>
      <c r="S1611" s="64"/>
    </row>
    <row r="1612" spans="1:19" x14ac:dyDescent="0.25">
      <c r="A1612" s="63"/>
      <c r="B1612" s="64"/>
      <c r="C1612" s="64"/>
      <c r="D1612" s="64"/>
      <c r="E1612" s="64"/>
      <c r="F1612" s="64"/>
      <c r="G1612" s="64"/>
      <c r="H1612" s="64"/>
      <c r="I1612" s="64"/>
      <c r="J1612" s="64"/>
      <c r="K1612" s="64"/>
      <c r="L1612" s="64"/>
      <c r="M1612" s="64"/>
      <c r="N1612" s="64"/>
      <c r="O1612" s="64"/>
      <c r="P1612" s="64"/>
      <c r="Q1612" s="64"/>
      <c r="R1612" s="64"/>
      <c r="S1612" s="64"/>
    </row>
    <row r="1613" spans="1:19" x14ac:dyDescent="0.25">
      <c r="A1613" s="63"/>
      <c r="B1613" s="64"/>
      <c r="C1613" s="64"/>
      <c r="D1613" s="64"/>
      <c r="E1613" s="64"/>
      <c r="F1613" s="64"/>
      <c r="G1613" s="64"/>
      <c r="H1613" s="64"/>
      <c r="I1613" s="64"/>
      <c r="J1613" s="64"/>
      <c r="K1613" s="64"/>
      <c r="L1613" s="64"/>
      <c r="M1613" s="64"/>
      <c r="N1613" s="64"/>
      <c r="O1613" s="64"/>
      <c r="P1613" s="64"/>
      <c r="Q1613" s="64"/>
      <c r="R1613" s="64"/>
      <c r="S1613" s="64"/>
    </row>
    <row r="1614" spans="1:19" x14ac:dyDescent="0.25">
      <c r="A1614" s="63"/>
      <c r="B1614" s="64"/>
      <c r="C1614" s="64"/>
      <c r="D1614" s="64"/>
      <c r="E1614" s="64"/>
      <c r="F1614" s="64"/>
      <c r="G1614" s="64"/>
      <c r="H1614" s="64"/>
      <c r="I1614" s="64"/>
      <c r="J1614" s="64"/>
      <c r="K1614" s="64"/>
      <c r="L1614" s="64"/>
      <c r="M1614" s="64"/>
      <c r="N1614" s="64"/>
      <c r="O1614" s="64"/>
      <c r="P1614" s="64"/>
      <c r="Q1614" s="64"/>
      <c r="R1614" s="64"/>
      <c r="S1614" s="64"/>
    </row>
    <row r="1615" spans="1:19" x14ac:dyDescent="0.25">
      <c r="A1615" s="63"/>
      <c r="B1615" s="64"/>
      <c r="C1615" s="64"/>
      <c r="D1615" s="64"/>
      <c r="E1615" s="64"/>
      <c r="F1615" s="64"/>
      <c r="G1615" s="64"/>
      <c r="H1615" s="64"/>
      <c r="I1615" s="64"/>
      <c r="J1615" s="64"/>
      <c r="K1615" s="64"/>
      <c r="L1615" s="64"/>
      <c r="M1615" s="64"/>
      <c r="N1615" s="64"/>
      <c r="O1615" s="64"/>
      <c r="P1615" s="64"/>
      <c r="Q1615" s="64"/>
      <c r="R1615" s="64"/>
      <c r="S1615" s="64"/>
    </row>
    <row r="1616" spans="1:19" x14ac:dyDescent="0.25">
      <c r="A1616" s="63"/>
      <c r="B1616" s="64"/>
      <c r="C1616" s="64"/>
      <c r="D1616" s="64"/>
      <c r="E1616" s="64"/>
      <c r="F1616" s="64"/>
      <c r="G1616" s="64"/>
      <c r="H1616" s="64"/>
      <c r="I1616" s="64"/>
      <c r="J1616" s="64"/>
      <c r="K1616" s="64"/>
      <c r="L1616" s="64"/>
      <c r="M1616" s="64"/>
      <c r="N1616" s="64"/>
      <c r="O1616" s="64"/>
      <c r="P1616" s="64"/>
      <c r="Q1616" s="64"/>
      <c r="R1616" s="64"/>
      <c r="S1616" s="64"/>
    </row>
    <row r="1617" spans="1:19" x14ac:dyDescent="0.25">
      <c r="A1617" s="63"/>
      <c r="B1617" s="64"/>
      <c r="C1617" s="64"/>
      <c r="D1617" s="64"/>
      <c r="E1617" s="64"/>
      <c r="F1617" s="64"/>
      <c r="G1617" s="64"/>
      <c r="H1617" s="64"/>
      <c r="I1617" s="64"/>
      <c r="J1617" s="64"/>
      <c r="K1617" s="64"/>
      <c r="L1617" s="64"/>
      <c r="M1617" s="64"/>
      <c r="N1617" s="64"/>
      <c r="O1617" s="64"/>
      <c r="P1617" s="64"/>
      <c r="Q1617" s="64"/>
      <c r="R1617" s="64"/>
      <c r="S1617" s="64"/>
    </row>
    <row r="1618" spans="1:19" x14ac:dyDescent="0.25">
      <c r="A1618" s="63"/>
      <c r="B1618" s="64"/>
      <c r="C1618" s="64"/>
      <c r="D1618" s="64"/>
      <c r="E1618" s="64"/>
      <c r="F1618" s="64"/>
      <c r="G1618" s="64"/>
      <c r="H1618" s="64"/>
      <c r="I1618" s="64"/>
      <c r="J1618" s="64"/>
      <c r="K1618" s="64"/>
      <c r="L1618" s="64"/>
      <c r="M1618" s="64"/>
      <c r="N1618" s="64"/>
      <c r="O1618" s="64"/>
      <c r="P1618" s="64"/>
      <c r="Q1618" s="64"/>
      <c r="R1618" s="64"/>
      <c r="S1618" s="64"/>
    </row>
    <row r="1619" spans="1:19" x14ac:dyDescent="0.25">
      <c r="A1619" s="63"/>
      <c r="B1619" s="64"/>
      <c r="C1619" s="64"/>
      <c r="D1619" s="64"/>
      <c r="E1619" s="64"/>
      <c r="F1619" s="64"/>
      <c r="G1619" s="64"/>
      <c r="H1619" s="64"/>
      <c r="I1619" s="64"/>
      <c r="J1619" s="64"/>
      <c r="K1619" s="64"/>
      <c r="L1619" s="64"/>
      <c r="M1619" s="64"/>
      <c r="N1619" s="64"/>
      <c r="O1619" s="64"/>
      <c r="P1619" s="64"/>
      <c r="Q1619" s="64"/>
      <c r="R1619" s="64"/>
      <c r="S1619" s="64"/>
    </row>
    <row r="1620" spans="1:19" x14ac:dyDescent="0.25">
      <c r="A1620" s="63"/>
      <c r="B1620" s="64"/>
      <c r="C1620" s="64"/>
      <c r="D1620" s="64"/>
      <c r="E1620" s="64"/>
      <c r="F1620" s="64"/>
      <c r="G1620" s="64"/>
      <c r="H1620" s="64"/>
      <c r="I1620" s="64"/>
      <c r="J1620" s="64"/>
      <c r="K1620" s="64"/>
      <c r="L1620" s="64"/>
      <c r="M1620" s="64"/>
      <c r="N1620" s="64"/>
      <c r="O1620" s="64"/>
      <c r="P1620" s="64"/>
      <c r="Q1620" s="64"/>
      <c r="R1620" s="64"/>
      <c r="S1620" s="64"/>
    </row>
    <row r="1621" spans="1:19" x14ac:dyDescent="0.25">
      <c r="A1621" s="63"/>
      <c r="B1621" s="64"/>
      <c r="C1621" s="64"/>
      <c r="D1621" s="64"/>
      <c r="E1621" s="64"/>
      <c r="F1621" s="64"/>
      <c r="G1621" s="64"/>
      <c r="H1621" s="64"/>
      <c r="I1621" s="64"/>
      <c r="J1621" s="64"/>
      <c r="K1621" s="64"/>
      <c r="L1621" s="64"/>
      <c r="M1621" s="64"/>
      <c r="N1621" s="64"/>
      <c r="O1621" s="64"/>
      <c r="P1621" s="64"/>
      <c r="Q1621" s="64"/>
      <c r="R1621" s="64"/>
      <c r="S1621" s="64"/>
    </row>
    <row r="1622" spans="1:19" x14ac:dyDescent="0.25">
      <c r="A1622" s="63"/>
      <c r="B1622" s="64"/>
      <c r="C1622" s="64"/>
      <c r="D1622" s="64"/>
      <c r="E1622" s="64"/>
      <c r="F1622" s="64"/>
      <c r="G1622" s="64"/>
      <c r="H1622" s="64"/>
      <c r="I1622" s="64"/>
      <c r="J1622" s="64"/>
      <c r="K1622" s="64"/>
      <c r="L1622" s="64"/>
      <c r="M1622" s="64"/>
      <c r="N1622" s="64"/>
      <c r="O1622" s="64"/>
      <c r="P1622" s="64"/>
      <c r="Q1622" s="64"/>
      <c r="R1622" s="64"/>
      <c r="S1622" s="64"/>
    </row>
    <row r="1623" spans="1:19" x14ac:dyDescent="0.25">
      <c r="A1623" s="63"/>
      <c r="B1623" s="64"/>
      <c r="C1623" s="64"/>
      <c r="D1623" s="64"/>
      <c r="E1623" s="64"/>
      <c r="F1623" s="64"/>
      <c r="G1623" s="64"/>
      <c r="H1623" s="64"/>
      <c r="I1623" s="64"/>
      <c r="J1623" s="64"/>
      <c r="K1623" s="64"/>
      <c r="L1623" s="64"/>
      <c r="M1623" s="64"/>
      <c r="N1623" s="64"/>
      <c r="O1623" s="64"/>
      <c r="P1623" s="64"/>
      <c r="Q1623" s="64"/>
      <c r="R1623" s="64"/>
      <c r="S1623" s="64"/>
    </row>
    <row r="1624" spans="1:19" x14ac:dyDescent="0.25">
      <c r="A1624" s="63"/>
      <c r="B1624" s="64"/>
      <c r="C1624" s="64"/>
      <c r="D1624" s="64"/>
      <c r="E1624" s="64"/>
      <c r="F1624" s="64"/>
      <c r="G1624" s="64"/>
      <c r="H1624" s="64"/>
      <c r="I1624" s="64"/>
      <c r="J1624" s="64"/>
      <c r="K1624" s="64"/>
      <c r="L1624" s="64"/>
      <c r="M1624" s="64"/>
      <c r="N1624" s="64"/>
      <c r="O1624" s="64"/>
      <c r="P1624" s="64"/>
      <c r="Q1624" s="64"/>
      <c r="R1624" s="64"/>
      <c r="S1624" s="64"/>
    </row>
    <row r="1625" spans="1:19" x14ac:dyDescent="0.25">
      <c r="A1625" s="63"/>
      <c r="B1625" s="64"/>
      <c r="C1625" s="64"/>
      <c r="D1625" s="64"/>
      <c r="E1625" s="64"/>
      <c r="F1625" s="64"/>
      <c r="G1625" s="64"/>
      <c r="H1625" s="64"/>
      <c r="I1625" s="64"/>
      <c r="J1625" s="64"/>
      <c r="K1625" s="64"/>
      <c r="L1625" s="64"/>
      <c r="M1625" s="64"/>
      <c r="N1625" s="64"/>
      <c r="O1625" s="64"/>
      <c r="P1625" s="64"/>
      <c r="Q1625" s="64"/>
      <c r="R1625" s="64"/>
      <c r="S1625" s="64"/>
    </row>
    <row r="1626" spans="1:19" x14ac:dyDescent="0.25">
      <c r="A1626" s="63"/>
      <c r="B1626" s="64"/>
      <c r="C1626" s="64"/>
      <c r="D1626" s="64"/>
      <c r="E1626" s="64"/>
      <c r="F1626" s="64"/>
      <c r="G1626" s="64"/>
      <c r="H1626" s="64"/>
      <c r="I1626" s="64"/>
      <c r="J1626" s="64"/>
      <c r="K1626" s="64"/>
      <c r="L1626" s="64"/>
      <c r="M1626" s="64"/>
      <c r="N1626" s="64"/>
      <c r="O1626" s="64"/>
      <c r="P1626" s="64"/>
      <c r="Q1626" s="64"/>
      <c r="R1626" s="64"/>
      <c r="S1626" s="64"/>
    </row>
    <row r="1627" spans="1:19" x14ac:dyDescent="0.25">
      <c r="A1627" s="63"/>
      <c r="B1627" s="64"/>
      <c r="C1627" s="64"/>
      <c r="D1627" s="64"/>
      <c r="E1627" s="64"/>
      <c r="F1627" s="64"/>
      <c r="G1627" s="64"/>
      <c r="H1627" s="64"/>
      <c r="I1627" s="64"/>
      <c r="J1627" s="64"/>
      <c r="K1627" s="64"/>
      <c r="L1627" s="64"/>
      <c r="M1627" s="64"/>
      <c r="N1627" s="64"/>
      <c r="O1627" s="64"/>
      <c r="P1627" s="64"/>
      <c r="Q1627" s="64"/>
      <c r="R1627" s="64"/>
      <c r="S1627" s="64"/>
    </row>
    <row r="1628" spans="1:19" x14ac:dyDescent="0.25">
      <c r="A1628" s="63"/>
      <c r="B1628" s="64"/>
      <c r="C1628" s="64"/>
      <c r="D1628" s="64"/>
      <c r="E1628" s="64"/>
      <c r="F1628" s="64"/>
      <c r="G1628" s="64"/>
      <c r="H1628" s="64"/>
      <c r="I1628" s="64"/>
      <c r="J1628" s="64"/>
      <c r="K1628" s="64"/>
      <c r="L1628" s="64"/>
      <c r="M1628" s="64"/>
      <c r="N1628" s="64"/>
      <c r="O1628" s="64"/>
      <c r="P1628" s="64"/>
      <c r="Q1628" s="64"/>
      <c r="R1628" s="64"/>
      <c r="S1628" s="64"/>
    </row>
    <row r="1629" spans="1:19" x14ac:dyDescent="0.25">
      <c r="A1629" s="63"/>
      <c r="B1629" s="64"/>
      <c r="C1629" s="64"/>
      <c r="D1629" s="64"/>
      <c r="E1629" s="64"/>
      <c r="F1629" s="64"/>
      <c r="G1629" s="64"/>
      <c r="H1629" s="64"/>
      <c r="I1629" s="64"/>
      <c r="J1629" s="64"/>
      <c r="K1629" s="64"/>
      <c r="L1629" s="64"/>
      <c r="M1629" s="64"/>
      <c r="N1629" s="64"/>
      <c r="O1629" s="64"/>
      <c r="P1629" s="64"/>
      <c r="Q1629" s="64"/>
      <c r="R1629" s="64"/>
      <c r="S1629" s="64"/>
    </row>
    <row r="1630" spans="1:19" x14ac:dyDescent="0.25">
      <c r="A1630" s="63"/>
      <c r="B1630" s="64"/>
      <c r="C1630" s="64"/>
      <c r="D1630" s="64"/>
      <c r="E1630" s="64"/>
      <c r="F1630" s="64"/>
      <c r="G1630" s="64"/>
      <c r="H1630" s="64"/>
      <c r="I1630" s="64"/>
      <c r="J1630" s="64"/>
      <c r="K1630" s="64"/>
      <c r="L1630" s="64"/>
      <c r="M1630" s="64"/>
      <c r="N1630" s="64"/>
      <c r="O1630" s="64"/>
      <c r="P1630" s="64"/>
      <c r="Q1630" s="64"/>
      <c r="R1630" s="64"/>
      <c r="S1630" s="64"/>
    </row>
    <row r="1631" spans="1:19" x14ac:dyDescent="0.25">
      <c r="A1631" s="63"/>
      <c r="B1631" s="64"/>
      <c r="C1631" s="64"/>
      <c r="D1631" s="64"/>
      <c r="E1631" s="64"/>
      <c r="F1631" s="64"/>
      <c r="G1631" s="64"/>
      <c r="H1631" s="64"/>
      <c r="I1631" s="64"/>
      <c r="J1631" s="64"/>
      <c r="K1631" s="64"/>
      <c r="L1631" s="64"/>
      <c r="M1631" s="64"/>
      <c r="N1631" s="64"/>
      <c r="O1631" s="64"/>
      <c r="P1631" s="64"/>
      <c r="Q1631" s="64"/>
      <c r="R1631" s="64"/>
      <c r="S1631" s="64"/>
    </row>
    <row r="1632" spans="1:19" x14ac:dyDescent="0.25">
      <c r="A1632" s="63"/>
      <c r="B1632" s="64"/>
      <c r="C1632" s="64"/>
      <c r="D1632" s="64"/>
      <c r="E1632" s="64"/>
      <c r="F1632" s="64"/>
      <c r="G1632" s="64"/>
      <c r="H1632" s="64"/>
      <c r="I1632" s="64"/>
      <c r="J1632" s="64"/>
      <c r="K1632" s="64"/>
      <c r="L1632" s="64"/>
      <c r="M1632" s="64"/>
      <c r="N1632" s="64"/>
      <c r="O1632" s="64"/>
      <c r="P1632" s="64"/>
      <c r="Q1632" s="64"/>
      <c r="R1632" s="64"/>
      <c r="S1632" s="64"/>
    </row>
    <row r="1633" spans="1:19" x14ac:dyDescent="0.25">
      <c r="A1633" s="63"/>
      <c r="B1633" s="64"/>
      <c r="C1633" s="64"/>
      <c r="D1633" s="64"/>
      <c r="E1633" s="64"/>
      <c r="F1633" s="64"/>
      <c r="G1633" s="64"/>
      <c r="H1633" s="64"/>
      <c r="I1633" s="64"/>
      <c r="J1633" s="64"/>
      <c r="K1633" s="64"/>
      <c r="L1633" s="64"/>
      <c r="M1633" s="64"/>
      <c r="N1633" s="64"/>
      <c r="O1633" s="64"/>
      <c r="P1633" s="64"/>
      <c r="Q1633" s="64"/>
      <c r="R1633" s="64"/>
      <c r="S1633" s="64"/>
    </row>
    <row r="1634" spans="1:19" x14ac:dyDescent="0.25">
      <c r="A1634" s="63"/>
      <c r="B1634" s="64"/>
      <c r="C1634" s="64"/>
      <c r="D1634" s="64"/>
      <c r="E1634" s="64"/>
      <c r="F1634" s="64"/>
      <c r="G1634" s="64"/>
      <c r="H1634" s="64"/>
      <c r="I1634" s="64"/>
      <c r="J1634" s="64"/>
      <c r="K1634" s="64"/>
      <c r="L1634" s="64"/>
      <c r="M1634" s="64"/>
      <c r="N1634" s="64"/>
      <c r="O1634" s="64"/>
      <c r="P1634" s="64"/>
      <c r="Q1634" s="64"/>
      <c r="R1634" s="64"/>
      <c r="S1634" s="64"/>
    </row>
    <row r="1635" spans="1:19" x14ac:dyDescent="0.25">
      <c r="A1635" s="63"/>
      <c r="B1635" s="64"/>
      <c r="C1635" s="64"/>
      <c r="D1635" s="64"/>
      <c r="E1635" s="64"/>
      <c r="F1635" s="64"/>
      <c r="G1635" s="64"/>
      <c r="H1635" s="64"/>
      <c r="I1635" s="64"/>
      <c r="J1635" s="64"/>
      <c r="K1635" s="64"/>
      <c r="L1635" s="64"/>
      <c r="M1635" s="64"/>
      <c r="N1635" s="64"/>
      <c r="O1635" s="64"/>
      <c r="P1635" s="64"/>
      <c r="Q1635" s="64"/>
      <c r="R1635" s="64"/>
      <c r="S1635" s="64"/>
    </row>
    <row r="1636" spans="1:19" x14ac:dyDescent="0.25">
      <c r="A1636" s="63"/>
      <c r="B1636" s="64"/>
      <c r="C1636" s="64"/>
      <c r="D1636" s="64"/>
      <c r="E1636" s="64"/>
      <c r="F1636" s="64"/>
      <c r="G1636" s="64"/>
      <c r="H1636" s="64"/>
      <c r="I1636" s="64"/>
      <c r="J1636" s="64"/>
      <c r="K1636" s="64"/>
      <c r="L1636" s="64"/>
      <c r="M1636" s="64"/>
      <c r="N1636" s="64"/>
      <c r="O1636" s="64"/>
      <c r="P1636" s="64"/>
      <c r="Q1636" s="64"/>
      <c r="R1636" s="64"/>
      <c r="S1636" s="64"/>
    </row>
    <row r="1637" spans="1:19" x14ac:dyDescent="0.25">
      <c r="A1637" s="63"/>
      <c r="B1637" s="64"/>
      <c r="C1637" s="64"/>
      <c r="D1637" s="64"/>
      <c r="E1637" s="64"/>
      <c r="F1637" s="64"/>
      <c r="G1637" s="64"/>
      <c r="H1637" s="64"/>
      <c r="I1637" s="64"/>
      <c r="J1637" s="64"/>
      <c r="K1637" s="64"/>
      <c r="L1637" s="64"/>
      <c r="M1637" s="64"/>
      <c r="N1637" s="64"/>
      <c r="O1637" s="64"/>
      <c r="P1637" s="64"/>
      <c r="Q1637" s="64"/>
      <c r="R1637" s="64"/>
      <c r="S1637" s="64"/>
    </row>
    <row r="1638" spans="1:19" x14ac:dyDescent="0.25">
      <c r="A1638" s="63"/>
      <c r="B1638" s="64"/>
      <c r="C1638" s="64"/>
      <c r="D1638" s="64"/>
      <c r="E1638" s="64"/>
      <c r="F1638" s="64"/>
      <c r="G1638" s="64"/>
      <c r="H1638" s="64"/>
      <c r="I1638" s="64"/>
      <c r="J1638" s="64"/>
      <c r="K1638" s="64"/>
      <c r="L1638" s="64"/>
      <c r="M1638" s="64"/>
      <c r="N1638" s="64"/>
      <c r="O1638" s="64"/>
      <c r="P1638" s="64"/>
      <c r="Q1638" s="64"/>
      <c r="R1638" s="64"/>
      <c r="S1638" s="64"/>
    </row>
    <row r="1639" spans="1:19" x14ac:dyDescent="0.25">
      <c r="A1639" s="63"/>
      <c r="B1639" s="64"/>
      <c r="C1639" s="64"/>
      <c r="D1639" s="64"/>
      <c r="E1639" s="64"/>
      <c r="F1639" s="64"/>
      <c r="G1639" s="64"/>
      <c r="H1639" s="64"/>
      <c r="I1639" s="64"/>
      <c r="J1639" s="64"/>
      <c r="K1639" s="64"/>
      <c r="L1639" s="64"/>
      <c r="M1639" s="64"/>
      <c r="N1639" s="64"/>
      <c r="O1639" s="64"/>
      <c r="P1639" s="64"/>
      <c r="Q1639" s="64"/>
      <c r="R1639" s="64"/>
      <c r="S1639" s="64"/>
    </row>
    <row r="1640" spans="1:19" x14ac:dyDescent="0.25">
      <c r="A1640" s="63"/>
      <c r="B1640" s="64"/>
      <c r="C1640" s="64"/>
      <c r="D1640" s="64"/>
      <c r="E1640" s="64"/>
      <c r="F1640" s="64"/>
      <c r="G1640" s="64"/>
      <c r="H1640" s="64"/>
      <c r="I1640" s="64"/>
      <c r="J1640" s="64"/>
      <c r="K1640" s="64"/>
      <c r="L1640" s="64"/>
      <c r="M1640" s="64"/>
      <c r="N1640" s="64"/>
      <c r="O1640" s="64"/>
      <c r="P1640" s="64"/>
      <c r="Q1640" s="64"/>
      <c r="R1640" s="64"/>
      <c r="S1640" s="64"/>
    </row>
    <row r="1641" spans="1:19" x14ac:dyDescent="0.25">
      <c r="A1641" s="63"/>
      <c r="B1641" s="64"/>
      <c r="C1641" s="64"/>
      <c r="D1641" s="64"/>
      <c r="E1641" s="64"/>
      <c r="F1641" s="64"/>
      <c r="G1641" s="64"/>
      <c r="H1641" s="64"/>
      <c r="I1641" s="64"/>
      <c r="J1641" s="64"/>
      <c r="K1641" s="64"/>
      <c r="L1641" s="64"/>
      <c r="M1641" s="64"/>
      <c r="N1641" s="64"/>
      <c r="O1641" s="64"/>
      <c r="P1641" s="64"/>
      <c r="Q1641" s="64"/>
      <c r="R1641" s="64"/>
      <c r="S1641" s="64"/>
    </row>
    <row r="1642" spans="1:19" x14ac:dyDescent="0.25">
      <c r="A1642" s="63"/>
      <c r="B1642" s="64"/>
      <c r="C1642" s="64"/>
      <c r="D1642" s="64"/>
      <c r="E1642" s="64"/>
      <c r="F1642" s="64"/>
      <c r="G1642" s="64"/>
      <c r="H1642" s="64"/>
      <c r="I1642" s="64"/>
      <c r="J1642" s="64"/>
      <c r="K1642" s="64"/>
      <c r="L1642" s="64"/>
      <c r="M1642" s="64"/>
      <c r="N1642" s="64"/>
      <c r="O1642" s="64"/>
      <c r="P1642" s="64"/>
      <c r="Q1642" s="64"/>
      <c r="R1642" s="64"/>
      <c r="S1642" s="64"/>
    </row>
    <row r="1643" spans="1:19" x14ac:dyDescent="0.25">
      <c r="A1643" s="63"/>
      <c r="B1643" s="64"/>
      <c r="C1643" s="64"/>
      <c r="D1643" s="64"/>
      <c r="E1643" s="64"/>
      <c r="F1643" s="64"/>
      <c r="G1643" s="64"/>
      <c r="H1643" s="64"/>
      <c r="I1643" s="64"/>
      <c r="J1643" s="64"/>
      <c r="K1643" s="64"/>
      <c r="L1643" s="64"/>
      <c r="M1643" s="64"/>
      <c r="N1643" s="64"/>
      <c r="O1643" s="64"/>
      <c r="P1643" s="64"/>
      <c r="Q1643" s="64"/>
      <c r="R1643" s="64"/>
      <c r="S1643" s="64"/>
    </row>
    <row r="1644" spans="1:19" x14ac:dyDescent="0.25">
      <c r="A1644" s="63"/>
      <c r="B1644" s="64"/>
      <c r="C1644" s="64"/>
      <c r="D1644" s="64"/>
      <c r="E1644" s="64"/>
      <c r="F1644" s="64"/>
      <c r="G1644" s="64"/>
      <c r="H1644" s="64"/>
      <c r="I1644" s="64"/>
      <c r="J1644" s="64"/>
      <c r="K1644" s="64"/>
      <c r="L1644" s="64"/>
      <c r="M1644" s="64"/>
      <c r="N1644" s="64"/>
      <c r="O1644" s="64"/>
      <c r="P1644" s="64"/>
      <c r="Q1644" s="64"/>
      <c r="R1644" s="64"/>
      <c r="S1644" s="64"/>
    </row>
    <row r="1645" spans="1:19" x14ac:dyDescent="0.25">
      <c r="A1645" s="63"/>
      <c r="B1645" s="64"/>
      <c r="C1645" s="64"/>
      <c r="D1645" s="64"/>
      <c r="E1645" s="64"/>
      <c r="F1645" s="64"/>
      <c r="G1645" s="64"/>
      <c r="H1645" s="64"/>
      <c r="I1645" s="64"/>
      <c r="J1645" s="64"/>
      <c r="K1645" s="64"/>
      <c r="L1645" s="64"/>
      <c r="M1645" s="64"/>
      <c r="N1645" s="64"/>
      <c r="O1645" s="64"/>
      <c r="P1645" s="64"/>
      <c r="Q1645" s="64"/>
      <c r="R1645" s="64"/>
      <c r="S1645" s="64"/>
    </row>
    <row r="1646" spans="1:19" x14ac:dyDescent="0.25">
      <c r="A1646" s="63"/>
      <c r="B1646" s="64"/>
      <c r="C1646" s="64"/>
      <c r="D1646" s="64"/>
      <c r="E1646" s="64"/>
      <c r="F1646" s="64"/>
      <c r="G1646" s="64"/>
      <c r="H1646" s="64"/>
      <c r="I1646" s="64"/>
      <c r="J1646" s="64"/>
      <c r="K1646" s="64"/>
      <c r="L1646" s="64"/>
      <c r="M1646" s="64"/>
      <c r="N1646" s="64"/>
      <c r="O1646" s="64"/>
      <c r="P1646" s="64"/>
      <c r="Q1646" s="64"/>
      <c r="R1646" s="64"/>
      <c r="S1646" s="64"/>
    </row>
    <row r="1647" spans="1:19" x14ac:dyDescent="0.25">
      <c r="A1647" s="63"/>
      <c r="B1647" s="64"/>
      <c r="C1647" s="64"/>
      <c r="D1647" s="64"/>
      <c r="E1647" s="64"/>
      <c r="F1647" s="64"/>
      <c r="G1647" s="64"/>
      <c r="H1647" s="64"/>
      <c r="I1647" s="64"/>
      <c r="J1647" s="64"/>
      <c r="K1647" s="64"/>
      <c r="L1647" s="64"/>
      <c r="M1647" s="64"/>
      <c r="N1647" s="64"/>
      <c r="O1647" s="64"/>
      <c r="P1647" s="64"/>
      <c r="Q1647" s="64"/>
      <c r="R1647" s="64"/>
      <c r="S1647" s="64"/>
    </row>
    <row r="1648" spans="1:19" x14ac:dyDescent="0.25">
      <c r="A1648" s="63"/>
      <c r="B1648" s="64"/>
      <c r="C1648" s="64"/>
      <c r="D1648" s="64"/>
      <c r="E1648" s="64"/>
      <c r="F1648" s="64"/>
      <c r="G1648" s="64"/>
      <c r="H1648" s="64"/>
      <c r="I1648" s="64"/>
      <c r="J1648" s="64"/>
      <c r="K1648" s="64"/>
      <c r="L1648" s="64"/>
      <c r="M1648" s="64"/>
      <c r="N1648" s="64"/>
      <c r="O1648" s="64"/>
      <c r="P1648" s="64"/>
      <c r="Q1648" s="64"/>
      <c r="R1648" s="64"/>
      <c r="S1648" s="64"/>
    </row>
    <row r="1649" spans="1:19" x14ac:dyDescent="0.25">
      <c r="A1649" s="63"/>
      <c r="B1649" s="64"/>
      <c r="C1649" s="64"/>
      <c r="D1649" s="64"/>
      <c r="E1649" s="64"/>
      <c r="F1649" s="64"/>
      <c r="G1649" s="64"/>
      <c r="H1649" s="64"/>
      <c r="I1649" s="64"/>
      <c r="J1649" s="64"/>
      <c r="K1649" s="64"/>
      <c r="L1649" s="64"/>
      <c r="M1649" s="64"/>
      <c r="N1649" s="64"/>
      <c r="O1649" s="64"/>
      <c r="P1649" s="64"/>
      <c r="Q1649" s="64"/>
      <c r="R1649" s="64"/>
      <c r="S1649" s="64"/>
    </row>
    <row r="1650" spans="1:19" x14ac:dyDescent="0.25">
      <c r="A1650" s="63"/>
      <c r="B1650" s="64"/>
      <c r="C1650" s="64"/>
      <c r="D1650" s="64"/>
      <c r="E1650" s="64"/>
      <c r="F1650" s="64"/>
      <c r="G1650" s="64"/>
      <c r="H1650" s="64"/>
      <c r="I1650" s="64"/>
      <c r="J1650" s="64"/>
      <c r="K1650" s="64"/>
      <c r="L1650" s="64"/>
      <c r="M1650" s="64"/>
      <c r="N1650" s="64"/>
      <c r="O1650" s="64"/>
      <c r="P1650" s="64"/>
      <c r="Q1650" s="64"/>
      <c r="R1650" s="64"/>
      <c r="S1650" s="64"/>
    </row>
    <row r="1651" spans="1:19" x14ac:dyDescent="0.25">
      <c r="A1651" s="63"/>
      <c r="B1651" s="64"/>
      <c r="C1651" s="64"/>
      <c r="D1651" s="64"/>
      <c r="E1651" s="64"/>
      <c r="F1651" s="64"/>
      <c r="G1651" s="64"/>
      <c r="H1651" s="64"/>
      <c r="I1651" s="64"/>
      <c r="J1651" s="64"/>
      <c r="K1651" s="64"/>
      <c r="L1651" s="64"/>
      <c r="M1651" s="64"/>
      <c r="N1651" s="64"/>
      <c r="O1651" s="64"/>
      <c r="P1651" s="64"/>
      <c r="Q1651" s="64"/>
      <c r="R1651" s="64"/>
      <c r="S1651" s="64"/>
    </row>
    <row r="1652" spans="1:19" x14ac:dyDescent="0.25">
      <c r="A1652" s="63"/>
      <c r="B1652" s="64"/>
      <c r="C1652" s="64"/>
      <c r="D1652" s="64"/>
      <c r="E1652" s="64"/>
      <c r="F1652" s="64"/>
      <c r="G1652" s="64"/>
      <c r="H1652" s="64"/>
      <c r="I1652" s="64"/>
      <c r="J1652" s="64"/>
      <c r="K1652" s="64"/>
      <c r="L1652" s="64"/>
      <c r="M1652" s="64"/>
      <c r="N1652" s="64"/>
      <c r="O1652" s="64"/>
      <c r="P1652" s="64"/>
      <c r="Q1652" s="64"/>
      <c r="R1652" s="64"/>
      <c r="S1652" s="64"/>
    </row>
    <row r="1653" spans="1:19" x14ac:dyDescent="0.25">
      <c r="A1653" s="63"/>
      <c r="B1653" s="64"/>
      <c r="C1653" s="64"/>
      <c r="D1653" s="64"/>
      <c r="E1653" s="64"/>
      <c r="F1653" s="64"/>
      <c r="G1653" s="64"/>
      <c r="H1653" s="64"/>
      <c r="I1653" s="64"/>
      <c r="J1653" s="64"/>
      <c r="K1653" s="64"/>
      <c r="L1653" s="64"/>
      <c r="M1653" s="64"/>
      <c r="N1653" s="64"/>
      <c r="O1653" s="64"/>
      <c r="P1653" s="64"/>
      <c r="Q1653" s="64"/>
      <c r="R1653" s="64"/>
      <c r="S1653" s="64"/>
    </row>
    <row r="1654" spans="1:19" x14ac:dyDescent="0.25">
      <c r="A1654" s="63"/>
      <c r="B1654" s="64"/>
      <c r="C1654" s="64"/>
      <c r="D1654" s="64"/>
      <c r="E1654" s="64"/>
      <c r="F1654" s="64"/>
      <c r="G1654" s="64"/>
      <c r="H1654" s="64"/>
      <c r="I1654" s="64"/>
      <c r="J1654" s="64"/>
      <c r="K1654" s="64"/>
      <c r="L1654" s="64"/>
      <c r="M1654" s="64"/>
      <c r="N1654" s="64"/>
      <c r="O1654" s="64"/>
      <c r="P1654" s="64"/>
      <c r="Q1654" s="64"/>
      <c r="R1654" s="64"/>
      <c r="S1654" s="64"/>
    </row>
    <row r="1655" spans="1:19" x14ac:dyDescent="0.25">
      <c r="A1655" s="63"/>
      <c r="B1655" s="64"/>
      <c r="C1655" s="64"/>
      <c r="D1655" s="64"/>
      <c r="E1655" s="64"/>
      <c r="F1655" s="64"/>
      <c r="G1655" s="64"/>
      <c r="H1655" s="64"/>
      <c r="I1655" s="64"/>
      <c r="J1655" s="64"/>
      <c r="K1655" s="64"/>
      <c r="L1655" s="64"/>
      <c r="M1655" s="64"/>
      <c r="N1655" s="64"/>
      <c r="O1655" s="64"/>
      <c r="P1655" s="64"/>
      <c r="Q1655" s="64"/>
      <c r="R1655" s="64"/>
      <c r="S1655" s="64"/>
    </row>
    <row r="1656" spans="1:19" x14ac:dyDescent="0.25">
      <c r="A1656" s="63"/>
      <c r="B1656" s="64"/>
      <c r="C1656" s="64"/>
      <c r="D1656" s="64"/>
      <c r="E1656" s="64"/>
      <c r="F1656" s="64"/>
      <c r="G1656" s="64"/>
      <c r="H1656" s="64"/>
      <c r="I1656" s="64"/>
      <c r="J1656" s="64"/>
      <c r="K1656" s="64"/>
      <c r="L1656" s="64"/>
      <c r="M1656" s="64"/>
      <c r="N1656" s="64"/>
      <c r="O1656" s="64"/>
      <c r="P1656" s="64"/>
      <c r="Q1656" s="64"/>
      <c r="R1656" s="64"/>
      <c r="S1656" s="64"/>
    </row>
    <row r="1657" spans="1:19" x14ac:dyDescent="0.25">
      <c r="A1657" s="63"/>
      <c r="B1657" s="64"/>
      <c r="C1657" s="64"/>
      <c r="D1657" s="64"/>
      <c r="E1657" s="64"/>
      <c r="F1657" s="64"/>
      <c r="G1657" s="64"/>
      <c r="H1657" s="64"/>
      <c r="I1657" s="64"/>
      <c r="J1657" s="64"/>
      <c r="K1657" s="64"/>
      <c r="L1657" s="64"/>
      <c r="M1657" s="64"/>
      <c r="N1657" s="64"/>
      <c r="O1657" s="64"/>
      <c r="P1657" s="64"/>
      <c r="Q1657" s="64"/>
      <c r="R1657" s="64"/>
      <c r="S1657" s="64"/>
    </row>
    <row r="1658" spans="1:19" x14ac:dyDescent="0.25">
      <c r="A1658" s="63"/>
      <c r="B1658" s="64"/>
      <c r="C1658" s="64"/>
      <c r="D1658" s="64"/>
      <c r="E1658" s="64"/>
      <c r="F1658" s="64"/>
      <c r="G1658" s="64"/>
      <c r="H1658" s="64"/>
      <c r="I1658" s="64"/>
      <c r="J1658" s="64"/>
      <c r="K1658" s="64"/>
      <c r="L1658" s="64"/>
      <c r="M1658" s="64"/>
      <c r="N1658" s="64"/>
      <c r="O1658" s="64"/>
      <c r="P1658" s="64"/>
      <c r="Q1658" s="64"/>
      <c r="R1658" s="64"/>
      <c r="S1658" s="64"/>
    </row>
    <row r="1659" spans="1:19" x14ac:dyDescent="0.25">
      <c r="A1659" s="63"/>
      <c r="B1659" s="64"/>
      <c r="C1659" s="64"/>
      <c r="D1659" s="64"/>
      <c r="E1659" s="64"/>
      <c r="F1659" s="64"/>
      <c r="G1659" s="64"/>
      <c r="H1659" s="64"/>
      <c r="I1659" s="64"/>
      <c r="J1659" s="64"/>
      <c r="K1659" s="64"/>
      <c r="L1659" s="64"/>
      <c r="M1659" s="64"/>
      <c r="N1659" s="64"/>
      <c r="O1659" s="64"/>
      <c r="P1659" s="64"/>
      <c r="Q1659" s="64"/>
      <c r="R1659" s="64"/>
      <c r="S1659" s="64"/>
    </row>
    <row r="1660" spans="1:19" x14ac:dyDescent="0.25">
      <c r="A1660" s="63"/>
      <c r="B1660" s="64"/>
      <c r="C1660" s="64"/>
      <c r="D1660" s="64"/>
      <c r="E1660" s="64"/>
      <c r="F1660" s="64"/>
      <c r="G1660" s="64"/>
      <c r="H1660" s="64"/>
      <c r="I1660" s="64"/>
      <c r="J1660" s="64"/>
      <c r="K1660" s="64"/>
      <c r="L1660" s="64"/>
      <c r="M1660" s="64"/>
      <c r="N1660" s="64"/>
      <c r="O1660" s="64"/>
      <c r="P1660" s="64"/>
      <c r="Q1660" s="64"/>
      <c r="R1660" s="64"/>
      <c r="S1660" s="64"/>
    </row>
    <row r="1661" spans="1:19" x14ac:dyDescent="0.25">
      <c r="A1661" s="63"/>
      <c r="B1661" s="64"/>
      <c r="C1661" s="64"/>
      <c r="D1661" s="64"/>
      <c r="E1661" s="64"/>
      <c r="F1661" s="64"/>
      <c r="G1661" s="64"/>
      <c r="H1661" s="64"/>
      <c r="I1661" s="64"/>
      <c r="J1661" s="64"/>
      <c r="K1661" s="64"/>
      <c r="L1661" s="64"/>
      <c r="M1661" s="64"/>
      <c r="N1661" s="64"/>
      <c r="O1661" s="64"/>
      <c r="P1661" s="64"/>
      <c r="Q1661" s="64"/>
      <c r="R1661" s="64"/>
      <c r="S1661" s="64"/>
    </row>
    <row r="1662" spans="1:19" x14ac:dyDescent="0.25">
      <c r="A1662" s="63"/>
      <c r="B1662" s="64"/>
      <c r="C1662" s="64"/>
      <c r="D1662" s="64"/>
      <c r="E1662" s="64"/>
      <c r="F1662" s="64"/>
      <c r="G1662" s="64"/>
      <c r="H1662" s="64"/>
      <c r="I1662" s="64"/>
      <c r="J1662" s="64"/>
      <c r="K1662" s="64"/>
      <c r="L1662" s="64"/>
      <c r="M1662" s="64"/>
      <c r="N1662" s="64"/>
      <c r="O1662" s="64"/>
      <c r="P1662" s="64"/>
      <c r="Q1662" s="64"/>
      <c r="R1662" s="64"/>
      <c r="S1662" s="64"/>
    </row>
    <row r="1663" spans="1:19" x14ac:dyDescent="0.25">
      <c r="S1663" s="64"/>
    </row>
  </sheetData>
  <conditionalFormatting sqref="A118:S125 T127:U646 A21:S116 S126:T126 A126:R1654 S127:S1655 AR601:XFD645 AR100:AU600 Z100:AQ646 AW21:XFD600 V21:X645 U21:U126 T21:T125 Y21:Y70 AR21:AV99">
    <cfRule type="expression" dxfId="266" priority="75">
      <formula>MOD(ROW(),2)=0</formula>
    </cfRule>
  </conditionalFormatting>
  <conditionalFormatting sqref="Y72:Y100 Y102:Y645">
    <cfRule type="expression" dxfId="265" priority="74">
      <formula>MOD(ROW(),2)=0</formula>
    </cfRule>
  </conditionalFormatting>
  <conditionalFormatting sqref="B6">
    <cfRule type="containsErrors" dxfId="264" priority="72">
      <formula>ISERROR(B6)</formula>
    </cfRule>
  </conditionalFormatting>
  <conditionalFormatting sqref="Y20 U21:U600 AS21:AS99">
    <cfRule type="containsText" dxfId="263" priority="71" operator="containsText" text="Exclude">
      <formula>NOT(ISERROR(SEARCH("Exclude",U20)))</formula>
    </cfRule>
  </conditionalFormatting>
  <conditionalFormatting sqref="AV100:AV600">
    <cfRule type="expression" dxfId="262" priority="68">
      <formula>MOD(ROW(),2)=0</formula>
    </cfRule>
  </conditionalFormatting>
  <conditionalFormatting sqref="AV100:AV600">
    <cfRule type="containsText" dxfId="261" priority="67" operator="containsText" text="Exclude">
      <formula>NOT(ISERROR(SEARCH("Exclude",AV100)))</formula>
    </cfRule>
  </conditionalFormatting>
  <conditionalFormatting sqref="AV20">
    <cfRule type="containsText" dxfId="260" priority="65" operator="containsText" text="Exclude">
      <formula>NOT(ISERROR(SEARCH("Exclude",AV20)))</formula>
    </cfRule>
  </conditionalFormatting>
  <conditionalFormatting sqref="AT18:AT20 AT100:AT1048576 AT1:AT2 AU3:AU16">
    <cfRule type="containsText" dxfId="259" priority="62" operator="containsText" text="Pant">
      <formula>NOT(ISERROR(SEARCH("Pant",AT1)))</formula>
    </cfRule>
  </conditionalFormatting>
  <conditionalFormatting sqref="U20">
    <cfRule type="containsText" dxfId="258" priority="56" operator="containsText" text="Exclude">
      <formula>NOT(ISERROR(SEARCH("Exclude",U20)))</formula>
    </cfRule>
  </conditionalFormatting>
  <conditionalFormatting sqref="Y71">
    <cfRule type="expression" dxfId="257" priority="52">
      <formula>MOD(ROW(),2)=0</formula>
    </cfRule>
  </conditionalFormatting>
  <conditionalFormatting sqref="Y71">
    <cfRule type="containsText" dxfId="256" priority="51" operator="containsText" text="Exclude">
      <formula>NOT(ISERROR(SEARCH("Exclude",Y71)))</formula>
    </cfRule>
  </conditionalFormatting>
  <conditionalFormatting sqref="Y101">
    <cfRule type="expression" dxfId="255" priority="44">
      <formula>MOD(ROW(),2)=0</formula>
    </cfRule>
  </conditionalFormatting>
  <conditionalFormatting sqref="Y101">
    <cfRule type="containsText" dxfId="254" priority="43" operator="containsText" text="Exclude">
      <formula>NOT(ISERROR(SEARCH("Exclude",Y101)))</formula>
    </cfRule>
  </conditionalFormatting>
  <conditionalFormatting sqref="J13">
    <cfRule type="containsErrors" dxfId="253" priority="37">
      <formula>ISERROR(J13)</formula>
    </cfRule>
  </conditionalFormatting>
  <conditionalFormatting sqref="AS21:AS99 U17:U1048576 V1:V16">
    <cfRule type="containsText" dxfId="252" priority="36" operator="containsText" text="False">
      <formula>NOT(ISERROR(SEARCH("False",U1)))</formula>
    </cfRule>
  </conditionalFormatting>
  <conditionalFormatting sqref="AT21:AV99 V17:X1048576 W1:X16">
    <cfRule type="containsText" dxfId="251" priority="35" operator="containsText" text="FALSE">
      <formula>NOT(ISERROR(SEARCH("FALSE",V1)))</formula>
    </cfRule>
  </conditionalFormatting>
  <conditionalFormatting sqref="J6">
    <cfRule type="containsErrors" dxfId="250" priority="20">
      <formula>ISERROR(J6)</formula>
    </cfRule>
  </conditionalFormatting>
  <conditionalFormatting sqref="AA6">
    <cfRule type="containsErrors" dxfId="249" priority="19">
      <formula>ISERROR(AA6)</formula>
    </cfRule>
  </conditionalFormatting>
  <conditionalFormatting sqref="AH6">
    <cfRule type="containsErrors" dxfId="248" priority="16">
      <formula>ISERROR(AH6)</formula>
    </cfRule>
  </conditionalFormatting>
  <conditionalFormatting sqref="AH13">
    <cfRule type="containsErrors" dxfId="247" priority="17">
      <formula>ISERROR(AH13)</formula>
    </cfRule>
  </conditionalFormatting>
  <conditionalFormatting sqref="Z21:AQ99">
    <cfRule type="expression" dxfId="246" priority="15">
      <formula>MOD(ROW(),2)=0</formula>
    </cfRule>
  </conditionalFormatting>
  <conditionalFormatting sqref="AS17">
    <cfRule type="containsText" dxfId="245" priority="14" operator="containsText" text="False">
      <formula>NOT(ISERROR(SEARCH("False",AS17)))</formula>
    </cfRule>
  </conditionalFormatting>
  <conditionalFormatting sqref="AT17">
    <cfRule type="containsText" dxfId="244" priority="13" operator="containsText" text="FALSE">
      <formula>NOT(ISERROR(SEARCH("FALSE",AT17)))</formula>
    </cfRule>
  </conditionalFormatting>
  <conditionalFormatting sqref="AU17">
    <cfRule type="containsText" dxfId="243" priority="12" operator="containsText" text="FALSE">
      <formula>NOT(ISERROR(SEARCH("FALSE",AU17)))</formula>
    </cfRule>
  </conditionalFormatting>
  <conditionalFormatting sqref="AV17">
    <cfRule type="containsText" dxfId="242" priority="11" operator="containsText" text="FALSE">
      <formula>NOT(ISERROR(SEARCH("FALSE",AV17)))</formula>
    </cfRule>
  </conditionalFormatting>
  <conditionalFormatting sqref="AA13">
    <cfRule type="containsErrors" dxfId="241" priority="1">
      <formula>ISERROR(AA13)</formula>
    </cfRule>
  </conditionalFormatting>
  <conditionalFormatting sqref="B13">
    <cfRule type="containsErrors" dxfId="240" priority="3">
      <formula>ISERROR(B13)</formula>
    </cfRule>
  </conditionalFormatting>
  <pageMargins left="0.7" right="0.7" top="0.75" bottom="0.75" header="0.3" footer="0.3"/>
  <pageSetup orientation="portrait" r:id="rId1"/>
  <ignoredErrors>
    <ignoredError sqref="U60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extToColumns">
                <anchor moveWithCells="1" sizeWithCells="1">
                  <from>
                    <xdr:col>9</xdr:col>
                    <xdr:colOff>857250</xdr:colOff>
                    <xdr:row>0</xdr:row>
                    <xdr:rowOff>19050</xdr:rowOff>
                  </from>
                  <to>
                    <xdr:col>14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AU1663"/>
  <sheetViews>
    <sheetView zoomScale="90" zoomScaleNormal="90" workbookViewId="0">
      <pane ySplit="17" topLeftCell="A18" activePane="bottomLeft" state="frozen"/>
      <selection pane="bottomLeft" activeCell="F6" sqref="F6"/>
    </sheetView>
  </sheetViews>
  <sheetFormatPr defaultColWidth="9.140625" defaultRowHeight="15" x14ac:dyDescent="0.25"/>
  <cols>
    <col min="1" max="1" width="20" style="65" customWidth="1"/>
    <col min="2" max="2" width="16.42578125" style="65" customWidth="1"/>
    <col min="3" max="3" width="17.140625" style="65" customWidth="1"/>
    <col min="4" max="4" width="16.85546875" style="65" customWidth="1"/>
    <col min="5" max="5" width="17" style="65" customWidth="1"/>
    <col min="6" max="6" width="20.7109375" style="65" customWidth="1"/>
    <col min="7" max="7" width="19.28515625" style="65" bestFit="1" customWidth="1"/>
    <col min="8" max="8" width="16.7109375" style="65" customWidth="1"/>
    <col min="9" max="10" width="14.85546875" style="65" bestFit="1" customWidth="1"/>
    <col min="11" max="11" width="15" style="65" bestFit="1" customWidth="1"/>
    <col min="12" max="12" width="12" style="65" customWidth="1"/>
    <col min="13" max="13" width="12.7109375" style="65" customWidth="1"/>
    <col min="14" max="14" width="12" style="65" customWidth="1"/>
    <col min="15" max="15" width="15.42578125" style="65" customWidth="1"/>
    <col min="16" max="16" width="12" style="65" customWidth="1"/>
    <col min="17" max="17" width="13.5703125" style="65" customWidth="1"/>
    <col min="18" max="19" width="13.7109375" style="65" customWidth="1"/>
    <col min="20" max="20" width="14.140625" style="65" customWidth="1"/>
    <col min="21" max="21" width="10" style="65" bestFit="1" customWidth="1"/>
    <col min="22" max="22" width="11.42578125" style="65" bestFit="1" customWidth="1"/>
    <col min="23" max="23" width="11.140625" style="65" bestFit="1" customWidth="1"/>
    <col min="24" max="24" width="9.42578125" style="65" customWidth="1"/>
    <col min="25" max="25" width="14.85546875" style="63" bestFit="1" customWidth="1"/>
    <col min="26" max="26" width="14.85546875" style="65" bestFit="1" customWidth="1"/>
    <col min="27" max="27" width="10.5703125" style="65" bestFit="1" customWidth="1"/>
    <col min="28" max="28" width="10.140625" style="65" bestFit="1" customWidth="1"/>
    <col min="29" max="29" width="15" style="65" bestFit="1" customWidth="1"/>
    <col min="30" max="30" width="17" style="65" customWidth="1"/>
    <col min="31" max="31" width="19.28515625" style="65" bestFit="1" customWidth="1"/>
    <col min="32" max="33" width="14.85546875" style="65" bestFit="1" customWidth="1"/>
    <col min="34" max="34" width="10.140625" style="65" bestFit="1" customWidth="1"/>
    <col min="35" max="35" width="15" style="65" bestFit="1" customWidth="1"/>
    <col min="36" max="16384" width="9.140625" style="65"/>
  </cols>
  <sheetData>
    <row r="1" spans="1:36" s="28" customFormat="1" ht="22.5" x14ac:dyDescent="0.3">
      <c r="C1" s="1" t="s">
        <v>129</v>
      </c>
      <c r="I1" s="30"/>
      <c r="J1" s="30"/>
      <c r="K1" s="30"/>
      <c r="L1" s="30"/>
      <c r="M1" s="33"/>
      <c r="N1" s="33"/>
      <c r="O1" s="33"/>
      <c r="P1" s="33"/>
      <c r="Q1" s="33"/>
      <c r="R1" s="33"/>
      <c r="S1" s="33"/>
      <c r="Y1" s="24"/>
    </row>
    <row r="2" spans="1:36" s="28" customFormat="1" x14ac:dyDescent="0.25">
      <c r="D2" s="29"/>
      <c r="I2" s="30"/>
      <c r="J2" s="30"/>
      <c r="K2" s="30"/>
      <c r="L2" s="30"/>
      <c r="M2" s="33"/>
      <c r="N2" s="33"/>
      <c r="O2" s="33"/>
      <c r="P2" s="33"/>
      <c r="Q2" s="33"/>
      <c r="R2" s="92"/>
      <c r="S2" s="92"/>
      <c r="Y2" s="24"/>
    </row>
    <row r="3" spans="1:36" s="28" customFormat="1" ht="18.75" x14ac:dyDescent="0.3">
      <c r="A3" s="81" t="s">
        <v>91</v>
      </c>
      <c r="B3" s="33"/>
      <c r="C3" s="33"/>
      <c r="D3" s="40"/>
      <c r="E3" s="33"/>
      <c r="F3" s="33"/>
      <c r="G3" s="33"/>
      <c r="H3" s="33"/>
      <c r="I3" s="33"/>
      <c r="J3" s="33"/>
      <c r="K3" s="33"/>
      <c r="L3" s="33"/>
      <c r="M3" s="33"/>
      <c r="R3" s="23"/>
      <c r="S3" s="93"/>
      <c r="T3" s="33"/>
      <c r="U3" s="33"/>
      <c r="V3" s="40"/>
      <c r="W3" s="33"/>
      <c r="X3" s="33"/>
      <c r="Y3" s="82" t="s">
        <v>91</v>
      </c>
      <c r="Z3" s="33"/>
      <c r="AA3" s="33"/>
      <c r="AB3" s="40"/>
      <c r="AC3" s="33"/>
      <c r="AD3" s="33"/>
      <c r="AE3" s="33"/>
      <c r="AF3" s="33"/>
      <c r="AG3" s="33"/>
      <c r="AH3" s="33"/>
      <c r="AI3" s="33"/>
      <c r="AJ3" s="33"/>
    </row>
    <row r="4" spans="1:36" s="28" customFormat="1" x14ac:dyDescent="0.25">
      <c r="A4" s="33"/>
      <c r="B4" s="33"/>
      <c r="C4" s="33"/>
      <c r="D4" s="40"/>
      <c r="E4" s="33"/>
      <c r="F4" s="33"/>
      <c r="G4" s="33"/>
      <c r="H4" s="33"/>
      <c r="I4" s="33"/>
      <c r="J4" s="33"/>
      <c r="K4" s="33"/>
      <c r="L4" s="84"/>
      <c r="M4" s="84"/>
      <c r="N4" s="84"/>
      <c r="O4" s="84"/>
      <c r="R4" s="23"/>
      <c r="S4" s="92"/>
      <c r="T4" s="33"/>
      <c r="U4" s="33"/>
      <c r="V4" s="40"/>
      <c r="W4" s="33"/>
      <c r="X4" s="33"/>
      <c r="Y4" s="44"/>
      <c r="Z4" s="33"/>
      <c r="AA4" s="33"/>
      <c r="AB4" s="40"/>
      <c r="AC4" s="33"/>
      <c r="AD4" s="33"/>
      <c r="AE4" s="33"/>
      <c r="AF4" s="33"/>
      <c r="AG4" s="33"/>
      <c r="AH4" s="33"/>
      <c r="AI4" s="33"/>
      <c r="AJ4" s="33"/>
    </row>
    <row r="5" spans="1:36" s="28" customFormat="1" x14ac:dyDescent="0.25">
      <c r="A5" s="40" t="s">
        <v>3</v>
      </c>
      <c r="B5" s="40" t="s">
        <v>2</v>
      </c>
      <c r="C5" s="40" t="s">
        <v>4</v>
      </c>
      <c r="D5" s="40" t="s">
        <v>6</v>
      </c>
      <c r="E5" s="40" t="s">
        <v>5</v>
      </c>
      <c r="F5" s="40" t="s">
        <v>84</v>
      </c>
      <c r="G5" s="40" t="s">
        <v>51</v>
      </c>
      <c r="H5" s="33"/>
      <c r="I5" s="33"/>
      <c r="J5" s="33"/>
      <c r="K5" s="33"/>
      <c r="L5" s="33"/>
      <c r="M5" s="83" t="s">
        <v>106</v>
      </c>
      <c r="N5" s="33"/>
      <c r="S5" s="23"/>
      <c r="T5" s="94"/>
      <c r="U5" s="40"/>
      <c r="V5" s="40"/>
      <c r="W5" s="40"/>
      <c r="X5" s="33"/>
      <c r="Y5" s="41" t="s">
        <v>3</v>
      </c>
      <c r="Z5" s="40" t="s">
        <v>2</v>
      </c>
      <c r="AA5" s="40" t="s">
        <v>4</v>
      </c>
      <c r="AB5" s="40" t="s">
        <v>6</v>
      </c>
      <c r="AC5" s="40" t="s">
        <v>5</v>
      </c>
      <c r="AD5" s="40" t="s">
        <v>51</v>
      </c>
      <c r="AE5" s="33"/>
      <c r="AF5" s="33"/>
      <c r="AG5" s="33"/>
      <c r="AH5" s="33"/>
      <c r="AI5" s="33"/>
      <c r="AJ5" s="33"/>
    </row>
    <row r="6" spans="1:36" s="28" customFormat="1" x14ac:dyDescent="0.25">
      <c r="A6" s="33">
        <f>COUNTIFS($B$21:$B$249,1,$T$21:$T$249,1)</f>
        <v>0</v>
      </c>
      <c r="B6" s="43" t="e">
        <f>ASIN(SQRT(A6/D6))</f>
        <v>#DIV/0!</v>
      </c>
      <c r="C6" s="33">
        <f>COUNTIFS($B$21:$B$249,1,$V$21:$V$249,1)+COUNTIFS($B$21:$B$249,1,$U$21:$U$249,1)</f>
        <v>0</v>
      </c>
      <c r="D6" s="33">
        <f>'ISLT- Immediate'!D6</f>
        <v>0</v>
      </c>
      <c r="E6" s="33">
        <f>SUM(A6+C6)</f>
        <v>0</v>
      </c>
      <c r="F6" s="33"/>
      <c r="G6" s="33" t="e">
        <f>SUM(A6/D6)</f>
        <v>#DIV/0!</v>
      </c>
      <c r="H6" s="33"/>
      <c r="I6" s="33"/>
      <c r="J6" s="33"/>
      <c r="K6" s="33"/>
      <c r="L6" s="33"/>
      <c r="M6" s="33"/>
      <c r="N6" s="33"/>
      <c r="S6" s="23"/>
      <c r="T6" s="92"/>
      <c r="U6" s="43"/>
      <c r="V6" s="33"/>
      <c r="W6" s="33"/>
      <c r="X6" s="33"/>
      <c r="Y6" s="44">
        <f>COUNTIFS($Z$21:$Z$249,1,$AR$21:$AR$249,1)</f>
        <v>0</v>
      </c>
      <c r="Z6" s="43" t="e">
        <f>ASIN(SQRT(Y6/AB6))</f>
        <v>#DIV/0!</v>
      </c>
      <c r="AA6" s="33">
        <f>COUNTIFS($Z$21:$Z$249,1,$AT$21:$AT$249,1)+COUNTIFS($Z$21:$Z$249,1,$AS$21:$AS$249,1)</f>
        <v>0</v>
      </c>
      <c r="AB6" s="33">
        <f>'ISLT- Immediate'!AC6</f>
        <v>0</v>
      </c>
      <c r="AC6" s="33">
        <f>SUM(Y6+AA6)</f>
        <v>0</v>
      </c>
      <c r="AD6" s="33" t="e">
        <f>SUM(Y6/AB6)</f>
        <v>#DIV/0!</v>
      </c>
      <c r="AE6" s="33"/>
      <c r="AF6" s="33"/>
      <c r="AG6" s="33"/>
      <c r="AH6" s="33"/>
      <c r="AI6" s="33"/>
      <c r="AJ6" s="33"/>
    </row>
    <row r="7" spans="1:36" s="28" customFormat="1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S7" s="23"/>
      <c r="T7" s="92"/>
      <c r="U7" s="33"/>
      <c r="V7" s="33"/>
      <c r="W7" s="33"/>
      <c r="X7" s="68"/>
      <c r="Y7" s="44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</row>
    <row r="8" spans="1:36" s="28" customFormat="1" x14ac:dyDescent="0.25">
      <c r="A8" s="40" t="s">
        <v>63</v>
      </c>
      <c r="B8" s="40" t="s">
        <v>65</v>
      </c>
      <c r="C8" s="40" t="s">
        <v>68</v>
      </c>
      <c r="D8" s="40"/>
      <c r="E8" s="40"/>
      <c r="F8" s="40"/>
      <c r="G8" s="33"/>
      <c r="H8" s="33"/>
      <c r="I8" s="33"/>
      <c r="J8" s="33"/>
      <c r="K8" s="33"/>
      <c r="L8" s="33"/>
      <c r="M8" s="33"/>
      <c r="N8" s="33"/>
      <c r="S8" s="23"/>
      <c r="T8" s="94"/>
      <c r="U8" s="40"/>
      <c r="V8" s="40"/>
      <c r="W8" s="40"/>
      <c r="X8" s="33"/>
      <c r="Y8" s="41" t="s">
        <v>63</v>
      </c>
      <c r="Z8" s="40" t="s">
        <v>65</v>
      </c>
      <c r="AA8" s="40" t="s">
        <v>68</v>
      </c>
      <c r="AB8" s="40"/>
      <c r="AC8" s="40"/>
      <c r="AD8" s="33"/>
      <c r="AE8" s="33"/>
      <c r="AF8" s="33"/>
      <c r="AG8" s="33"/>
      <c r="AH8" s="33"/>
      <c r="AI8" s="33"/>
      <c r="AJ8" s="33"/>
    </row>
    <row r="9" spans="1:36" s="28" customFormat="1" x14ac:dyDescent="0.25">
      <c r="A9" s="33" t="str">
        <f>IF('ISLT- Immediate'!I16="Yes",IF(E6&gt;0,"Yes","No"),"No")</f>
        <v>No</v>
      </c>
      <c r="B9" s="33" t="str">
        <f>IF($A$9="No","",(A6-VLOOKUP(Detection!$E$2,Norms!A105:D110,2,TRUE))/VLOOKUP(Detection!$E$2,Norms!A105:D110,3,TRUE))</f>
        <v/>
      </c>
      <c r="C9" s="33" t="str">
        <f>IF($A$9="No","",SUM(B9*10)+100)</f>
        <v/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S9" s="23"/>
      <c r="T9" s="92"/>
      <c r="U9" s="33"/>
      <c r="V9" s="33"/>
      <c r="W9" s="33"/>
      <c r="X9" s="33"/>
      <c r="Y9" s="44" t="str">
        <f>IF('ISLT- Immediate'!AG16="Yes",IF(AC6&gt;0,"Yes"),"No")</f>
        <v>No</v>
      </c>
      <c r="Z9" s="33" t="str">
        <f>IF($A$9="No","",(Y6-VLOOKUP(Detection!$E$2,Norms!A105:D110,2,TRUE))/VLOOKUP(Detection!$E$2,Norms!A105:D110,3,TRUE))</f>
        <v/>
      </c>
      <c r="AA9" s="33" t="str">
        <f>IF($A$9="No","",SUM(Z9*10)+100)</f>
        <v/>
      </c>
      <c r="AB9" s="33"/>
      <c r="AC9" s="33"/>
      <c r="AD9" s="33"/>
      <c r="AE9" s="33"/>
      <c r="AF9" s="33"/>
      <c r="AG9" s="33"/>
      <c r="AH9" s="33"/>
      <c r="AI9" s="33"/>
      <c r="AJ9" s="33"/>
    </row>
    <row r="10" spans="1:36" s="28" customFormat="1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R10" s="23"/>
      <c r="S10" s="92"/>
      <c r="T10" s="33"/>
      <c r="U10" s="33"/>
      <c r="V10" s="33"/>
      <c r="W10" s="33"/>
      <c r="X10" s="33"/>
      <c r="Y10" s="44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</row>
    <row r="11" spans="1:36" s="28" customFormat="1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S11" s="92"/>
      <c r="T11" s="33"/>
      <c r="U11" s="33"/>
      <c r="V11" s="33"/>
      <c r="W11" s="33"/>
      <c r="X11" s="33"/>
      <c r="Y11" s="44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</row>
    <row r="12" spans="1:36" s="28" customFormat="1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S12" s="92"/>
      <c r="T12" s="33"/>
      <c r="U12" s="33"/>
      <c r="V12" s="33"/>
      <c r="W12" s="33"/>
      <c r="X12" s="33"/>
      <c r="Y12" s="44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</row>
    <row r="13" spans="1:36" s="28" customForma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S13" s="92"/>
      <c r="T13" s="33"/>
      <c r="U13" s="33"/>
      <c r="V13" s="33"/>
      <c r="W13" s="33"/>
      <c r="X13" s="33"/>
      <c r="Y13" s="44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</row>
    <row r="14" spans="1:36" s="28" customFormat="1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S14" s="92"/>
      <c r="T14" s="33"/>
      <c r="U14" s="33"/>
      <c r="V14" s="33"/>
      <c r="W14" s="33"/>
      <c r="X14" s="33"/>
      <c r="Y14" s="44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</row>
    <row r="15" spans="1:36" s="28" customFormat="1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S15" s="92"/>
      <c r="T15" s="33"/>
      <c r="U15" s="33"/>
      <c r="V15" s="33"/>
      <c r="W15" s="33"/>
      <c r="X15" s="33"/>
      <c r="Y15" s="44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</row>
    <row r="16" spans="1:36" s="28" customFormat="1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S16" s="92"/>
      <c r="T16" s="33"/>
      <c r="U16" s="33"/>
      <c r="V16" s="33"/>
      <c r="W16" s="33"/>
      <c r="X16" s="33"/>
      <c r="Y16" s="44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</row>
    <row r="17" spans="1:47" s="28" customFormat="1" x14ac:dyDescent="0.25">
      <c r="L17" s="33"/>
      <c r="M17" s="33"/>
      <c r="N17" s="33"/>
      <c r="O17" s="33"/>
      <c r="P17" s="33"/>
      <c r="Q17" s="33"/>
      <c r="R17" s="33"/>
      <c r="S17" s="33"/>
      <c r="T17" s="78" t="s">
        <v>127</v>
      </c>
      <c r="U17" s="29" t="s">
        <v>103</v>
      </c>
      <c r="V17" s="29" t="s">
        <v>104</v>
      </c>
      <c r="W17" s="29" t="s">
        <v>105</v>
      </c>
      <c r="X17" s="29"/>
      <c r="Y17" s="80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R17" s="78" t="s">
        <v>127</v>
      </c>
      <c r="AS17" s="29" t="s">
        <v>103</v>
      </c>
      <c r="AT17" s="29" t="s">
        <v>104</v>
      </c>
      <c r="AU17" s="29" t="s">
        <v>105</v>
      </c>
    </row>
    <row r="18" spans="1:47" s="76" customFormat="1" x14ac:dyDescent="0.25">
      <c r="Y18" s="77"/>
    </row>
    <row r="19" spans="1:47" s="75" customFormat="1" x14ac:dyDescent="0.25">
      <c r="Y19" s="36"/>
    </row>
    <row r="20" spans="1:47" s="74" customFormat="1" ht="18.75" x14ac:dyDescent="0.3">
      <c r="A20" s="73" t="s">
        <v>60</v>
      </c>
      <c r="T20" s="19"/>
      <c r="U20" s="19"/>
      <c r="V20" s="19"/>
      <c r="W20" s="19"/>
      <c r="X20" s="19"/>
      <c r="Y20" s="73" t="s">
        <v>61</v>
      </c>
    </row>
    <row r="21" spans="1:47" s="28" customFormat="1" x14ac:dyDescent="0.25">
      <c r="T21" s="87"/>
      <c r="U21" s="87"/>
      <c r="V21" s="87"/>
      <c r="W21" s="87"/>
      <c r="X21" s="97"/>
      <c r="Y21" s="24"/>
    </row>
    <row r="22" spans="1:47" s="28" customFormat="1" x14ac:dyDescent="0.25">
      <c r="Y22" s="24"/>
    </row>
    <row r="23" spans="1:47" s="28" customFormat="1" x14ac:dyDescent="0.25">
      <c r="Y23" s="24"/>
    </row>
    <row r="24" spans="1:47" s="28" customFormat="1" x14ac:dyDescent="0.25">
      <c r="Y24" s="24"/>
    </row>
    <row r="25" spans="1:47" s="28" customFormat="1" x14ac:dyDescent="0.25">
      <c r="Y25" s="24"/>
    </row>
    <row r="26" spans="1:47" s="28" customFormat="1" x14ac:dyDescent="0.25">
      <c r="Y26" s="24"/>
    </row>
    <row r="27" spans="1:47" s="28" customFormat="1" x14ac:dyDescent="0.25">
      <c r="Y27" s="24"/>
    </row>
    <row r="28" spans="1:47" s="28" customFormat="1" x14ac:dyDescent="0.25">
      <c r="Y28" s="24"/>
    </row>
    <row r="29" spans="1:47" s="28" customFormat="1" x14ac:dyDescent="0.25">
      <c r="Y29" s="24"/>
    </row>
    <row r="30" spans="1:47" s="28" customFormat="1" x14ac:dyDescent="0.25">
      <c r="Y30" s="24"/>
    </row>
    <row r="31" spans="1:47" s="28" customFormat="1" x14ac:dyDescent="0.25">
      <c r="Y31" s="24"/>
    </row>
    <row r="32" spans="1:47" s="28" customFormat="1" ht="15.75" customHeight="1" x14ac:dyDescent="0.25">
      <c r="Y32" s="24"/>
    </row>
    <row r="33" spans="25:25" s="28" customFormat="1" x14ac:dyDescent="0.25">
      <c r="Y33" s="24"/>
    </row>
    <row r="34" spans="25:25" s="28" customFormat="1" x14ac:dyDescent="0.25">
      <c r="Y34" s="24"/>
    </row>
    <row r="35" spans="25:25" s="28" customFormat="1" x14ac:dyDescent="0.25">
      <c r="Y35" s="24"/>
    </row>
    <row r="36" spans="25:25" s="28" customFormat="1" x14ac:dyDescent="0.25">
      <c r="Y36" s="24"/>
    </row>
    <row r="37" spans="25:25" s="28" customFormat="1" x14ac:dyDescent="0.25">
      <c r="Y37" s="24"/>
    </row>
    <row r="38" spans="25:25" s="28" customFormat="1" x14ac:dyDescent="0.25">
      <c r="Y38" s="24"/>
    </row>
    <row r="39" spans="25:25" s="28" customFormat="1" x14ac:dyDescent="0.25">
      <c r="Y39" s="24"/>
    </row>
    <row r="40" spans="25:25" s="28" customFormat="1" x14ac:dyDescent="0.25">
      <c r="Y40" s="24"/>
    </row>
    <row r="41" spans="25:25" s="28" customFormat="1" x14ac:dyDescent="0.25">
      <c r="Y41" s="24"/>
    </row>
    <row r="42" spans="25:25" s="28" customFormat="1" x14ac:dyDescent="0.25">
      <c r="Y42" s="24"/>
    </row>
    <row r="43" spans="25:25" s="28" customFormat="1" x14ac:dyDescent="0.25">
      <c r="Y43" s="24"/>
    </row>
    <row r="44" spans="25:25" s="28" customFormat="1" x14ac:dyDescent="0.25">
      <c r="Y44" s="24"/>
    </row>
    <row r="45" spans="25:25" s="28" customFormat="1" x14ac:dyDescent="0.25">
      <c r="Y45" s="24"/>
    </row>
    <row r="46" spans="25:25" s="28" customFormat="1" x14ac:dyDescent="0.25">
      <c r="Y46" s="24"/>
    </row>
    <row r="47" spans="25:25" s="28" customFormat="1" x14ac:dyDescent="0.25">
      <c r="Y47" s="24"/>
    </row>
    <row r="48" spans="25:25" s="28" customFormat="1" x14ac:dyDescent="0.25">
      <c r="Y48" s="24"/>
    </row>
    <row r="49" spans="25:25" s="28" customFormat="1" x14ac:dyDescent="0.25">
      <c r="Y49" s="24"/>
    </row>
    <row r="50" spans="25:25" s="28" customFormat="1" x14ac:dyDescent="0.25">
      <c r="Y50" s="24"/>
    </row>
    <row r="51" spans="25:25" s="28" customFormat="1" x14ac:dyDescent="0.25">
      <c r="Y51" s="24"/>
    </row>
    <row r="52" spans="25:25" s="28" customFormat="1" x14ac:dyDescent="0.25">
      <c r="Y52" s="24"/>
    </row>
    <row r="53" spans="25:25" s="28" customFormat="1" x14ac:dyDescent="0.25">
      <c r="Y53" s="24"/>
    </row>
    <row r="54" spans="25:25" s="28" customFormat="1" x14ac:dyDescent="0.25">
      <c r="Y54" s="24"/>
    </row>
    <row r="55" spans="25:25" s="28" customFormat="1" x14ac:dyDescent="0.25">
      <c r="Y55" s="24"/>
    </row>
    <row r="56" spans="25:25" s="28" customFormat="1" x14ac:dyDescent="0.25">
      <c r="Y56" s="24"/>
    </row>
    <row r="57" spans="25:25" s="28" customFormat="1" x14ac:dyDescent="0.25">
      <c r="Y57" s="24"/>
    </row>
    <row r="58" spans="25:25" s="28" customFormat="1" x14ac:dyDescent="0.25">
      <c r="Y58" s="24"/>
    </row>
    <row r="59" spans="25:25" s="28" customFormat="1" x14ac:dyDescent="0.25">
      <c r="Y59" s="24"/>
    </row>
    <row r="60" spans="25:25" s="28" customFormat="1" x14ac:dyDescent="0.25">
      <c r="Y60" s="24"/>
    </row>
    <row r="61" spans="25:25" s="28" customFormat="1" x14ac:dyDescent="0.25">
      <c r="Y61" s="24"/>
    </row>
    <row r="62" spans="25:25" s="28" customFormat="1" x14ac:dyDescent="0.25">
      <c r="Y62" s="24"/>
    </row>
    <row r="63" spans="25:25" s="28" customFormat="1" x14ac:dyDescent="0.25">
      <c r="Y63" s="24"/>
    </row>
    <row r="64" spans="25:25" s="28" customFormat="1" x14ac:dyDescent="0.25">
      <c r="Y64" s="24"/>
    </row>
    <row r="65" spans="25:25" s="28" customFormat="1" x14ac:dyDescent="0.25">
      <c r="Y65" s="24"/>
    </row>
    <row r="66" spans="25:25" s="28" customFormat="1" x14ac:dyDescent="0.25">
      <c r="Y66" s="24"/>
    </row>
    <row r="67" spans="25:25" s="28" customFormat="1" x14ac:dyDescent="0.25">
      <c r="Y67" s="24"/>
    </row>
    <row r="68" spans="25:25" s="28" customFormat="1" x14ac:dyDescent="0.25">
      <c r="Y68" s="24"/>
    </row>
    <row r="69" spans="25:25" s="28" customFormat="1" x14ac:dyDescent="0.25">
      <c r="Y69" s="24"/>
    </row>
    <row r="70" spans="25:25" s="28" customFormat="1" x14ac:dyDescent="0.25">
      <c r="Y70" s="24"/>
    </row>
    <row r="71" spans="25:25" s="28" customFormat="1" x14ac:dyDescent="0.25">
      <c r="Y71" s="24"/>
    </row>
    <row r="72" spans="25:25" s="28" customFormat="1" x14ac:dyDescent="0.25">
      <c r="Y72" s="24"/>
    </row>
    <row r="73" spans="25:25" s="28" customFormat="1" x14ac:dyDescent="0.25">
      <c r="Y73" s="24"/>
    </row>
    <row r="74" spans="25:25" s="28" customFormat="1" x14ac:dyDescent="0.25">
      <c r="Y74" s="24"/>
    </row>
    <row r="75" spans="25:25" s="28" customFormat="1" x14ac:dyDescent="0.25">
      <c r="Y75" s="24"/>
    </row>
    <row r="76" spans="25:25" s="28" customFormat="1" x14ac:dyDescent="0.25">
      <c r="Y76" s="24"/>
    </row>
    <row r="77" spans="25:25" s="28" customFormat="1" x14ac:dyDescent="0.25">
      <c r="Y77" s="24"/>
    </row>
    <row r="78" spans="25:25" s="28" customFormat="1" x14ac:dyDescent="0.25">
      <c r="Y78" s="24"/>
    </row>
    <row r="79" spans="25:25" s="28" customFormat="1" x14ac:dyDescent="0.25">
      <c r="Y79" s="24"/>
    </row>
    <row r="80" spans="25:25" s="28" customFormat="1" x14ac:dyDescent="0.25">
      <c r="Y80" s="24"/>
    </row>
    <row r="81" spans="25:25" s="28" customFormat="1" x14ac:dyDescent="0.25">
      <c r="Y81" s="24"/>
    </row>
    <row r="82" spans="25:25" s="28" customFormat="1" x14ac:dyDescent="0.25">
      <c r="Y82" s="24"/>
    </row>
    <row r="83" spans="25:25" s="28" customFormat="1" x14ac:dyDescent="0.25">
      <c r="Y83" s="24"/>
    </row>
    <row r="84" spans="25:25" s="28" customFormat="1" x14ac:dyDescent="0.25">
      <c r="Y84" s="24"/>
    </row>
    <row r="85" spans="25:25" s="28" customFormat="1" x14ac:dyDescent="0.25">
      <c r="Y85" s="24"/>
    </row>
    <row r="86" spans="25:25" s="28" customFormat="1" x14ac:dyDescent="0.25">
      <c r="Y86" s="24"/>
    </row>
    <row r="87" spans="25:25" s="28" customFormat="1" x14ac:dyDescent="0.25">
      <c r="Y87" s="24"/>
    </row>
    <row r="88" spans="25:25" s="28" customFormat="1" x14ac:dyDescent="0.25">
      <c r="Y88" s="24"/>
    </row>
    <row r="89" spans="25:25" s="28" customFormat="1" x14ac:dyDescent="0.25">
      <c r="Y89" s="24"/>
    </row>
    <row r="90" spans="25:25" s="28" customFormat="1" x14ac:dyDescent="0.25">
      <c r="Y90" s="24"/>
    </row>
    <row r="91" spans="25:25" s="28" customFormat="1" x14ac:dyDescent="0.25">
      <c r="Y91" s="24"/>
    </row>
    <row r="92" spans="25:25" s="28" customFormat="1" x14ac:dyDescent="0.25">
      <c r="Y92" s="24"/>
    </row>
    <row r="93" spans="25:25" s="28" customFormat="1" x14ac:dyDescent="0.25">
      <c r="Y93" s="24"/>
    </row>
    <row r="94" spans="25:25" s="28" customFormat="1" x14ac:dyDescent="0.25">
      <c r="Y94" s="24"/>
    </row>
    <row r="95" spans="25:25" s="28" customFormat="1" x14ac:dyDescent="0.25">
      <c r="Y95" s="24"/>
    </row>
    <row r="96" spans="25:25" s="28" customFormat="1" x14ac:dyDescent="0.25">
      <c r="Y96" s="24"/>
    </row>
    <row r="97" spans="25:25" s="28" customFormat="1" x14ac:dyDescent="0.25">
      <c r="Y97" s="24"/>
    </row>
    <row r="98" spans="25:25" s="28" customFormat="1" x14ac:dyDescent="0.25">
      <c r="Y98" s="24"/>
    </row>
    <row r="99" spans="25:25" s="28" customFormat="1" x14ac:dyDescent="0.25">
      <c r="Y99" s="24"/>
    </row>
    <row r="100" spans="25:25" s="28" customFormat="1" x14ac:dyDescent="0.25">
      <c r="Y100" s="24"/>
    </row>
    <row r="101" spans="25:25" s="28" customFormat="1" x14ac:dyDescent="0.25">
      <c r="Y101" s="24"/>
    </row>
    <row r="102" spans="25:25" s="28" customFormat="1" x14ac:dyDescent="0.25">
      <c r="Y102" s="24"/>
    </row>
    <row r="103" spans="25:25" s="28" customFormat="1" x14ac:dyDescent="0.25">
      <c r="Y103" s="24"/>
    </row>
    <row r="104" spans="25:25" s="28" customFormat="1" x14ac:dyDescent="0.25">
      <c r="Y104" s="24"/>
    </row>
    <row r="105" spans="25:25" s="28" customFormat="1" x14ac:dyDescent="0.25">
      <c r="Y105" s="24"/>
    </row>
    <row r="106" spans="25:25" s="28" customFormat="1" x14ac:dyDescent="0.25">
      <c r="Y106" s="24"/>
    </row>
    <row r="107" spans="25:25" s="28" customFormat="1" x14ac:dyDescent="0.25">
      <c r="Y107" s="24"/>
    </row>
    <row r="108" spans="25:25" s="28" customFormat="1" x14ac:dyDescent="0.25">
      <c r="Y108" s="24"/>
    </row>
    <row r="109" spans="25:25" s="28" customFormat="1" x14ac:dyDescent="0.25">
      <c r="Y109" s="24"/>
    </row>
    <row r="110" spans="25:25" s="28" customFormat="1" x14ac:dyDescent="0.25">
      <c r="Y110" s="24"/>
    </row>
    <row r="111" spans="25:25" s="28" customFormat="1" x14ac:dyDescent="0.25">
      <c r="Y111" s="24"/>
    </row>
    <row r="112" spans="25:25" s="28" customFormat="1" x14ac:dyDescent="0.25">
      <c r="Y112" s="24"/>
    </row>
    <row r="113" spans="25:25" s="28" customFormat="1" x14ac:dyDescent="0.25">
      <c r="Y113" s="24"/>
    </row>
    <row r="114" spans="25:25" s="28" customFormat="1" x14ac:dyDescent="0.25">
      <c r="Y114" s="24"/>
    </row>
    <row r="115" spans="25:25" s="28" customFormat="1" x14ac:dyDescent="0.25">
      <c r="Y115" s="24"/>
    </row>
    <row r="116" spans="25:25" s="28" customFormat="1" x14ac:dyDescent="0.25">
      <c r="Y116" s="24"/>
    </row>
    <row r="117" spans="25:25" s="28" customFormat="1" x14ac:dyDescent="0.25">
      <c r="Y117" s="24"/>
    </row>
    <row r="118" spans="25:25" s="28" customFormat="1" x14ac:dyDescent="0.25">
      <c r="Y118" s="24"/>
    </row>
    <row r="119" spans="25:25" s="28" customFormat="1" x14ac:dyDescent="0.25">
      <c r="Y119" s="24"/>
    </row>
    <row r="120" spans="25:25" s="28" customFormat="1" x14ac:dyDescent="0.25">
      <c r="Y120" s="24"/>
    </row>
    <row r="121" spans="25:25" s="28" customFormat="1" x14ac:dyDescent="0.25">
      <c r="Y121" s="24"/>
    </row>
    <row r="122" spans="25:25" s="28" customFormat="1" x14ac:dyDescent="0.25">
      <c r="Y122" s="24"/>
    </row>
    <row r="123" spans="25:25" s="28" customFormat="1" x14ac:dyDescent="0.25">
      <c r="Y123" s="24"/>
    </row>
    <row r="124" spans="25:25" s="28" customFormat="1" x14ac:dyDescent="0.25">
      <c r="Y124" s="24"/>
    </row>
    <row r="125" spans="25:25" s="28" customFormat="1" x14ac:dyDescent="0.25">
      <c r="Y125" s="24"/>
    </row>
    <row r="126" spans="25:25" s="28" customFormat="1" x14ac:dyDescent="0.25">
      <c r="Y126" s="24"/>
    </row>
    <row r="127" spans="25:25" s="28" customFormat="1" x14ac:dyDescent="0.25">
      <c r="Y127" s="24"/>
    </row>
    <row r="128" spans="25:25" s="28" customFormat="1" x14ac:dyDescent="0.25">
      <c r="Y128" s="24"/>
    </row>
    <row r="129" spans="25:25" s="28" customFormat="1" x14ac:dyDescent="0.25">
      <c r="Y129" s="24"/>
    </row>
    <row r="130" spans="25:25" s="28" customFormat="1" x14ac:dyDescent="0.25">
      <c r="Y130" s="24"/>
    </row>
    <row r="131" spans="25:25" s="28" customFormat="1" x14ac:dyDescent="0.25">
      <c r="Y131" s="24"/>
    </row>
    <row r="132" spans="25:25" s="28" customFormat="1" x14ac:dyDescent="0.25">
      <c r="Y132" s="24"/>
    </row>
    <row r="133" spans="25:25" s="28" customFormat="1" x14ac:dyDescent="0.25">
      <c r="Y133" s="24"/>
    </row>
    <row r="134" spans="25:25" s="28" customFormat="1" x14ac:dyDescent="0.25">
      <c r="Y134" s="24"/>
    </row>
    <row r="135" spans="25:25" s="28" customFormat="1" x14ac:dyDescent="0.25">
      <c r="Y135" s="24"/>
    </row>
    <row r="136" spans="25:25" s="28" customFormat="1" x14ac:dyDescent="0.25">
      <c r="Y136" s="24"/>
    </row>
    <row r="137" spans="25:25" s="28" customFormat="1" x14ac:dyDescent="0.25">
      <c r="Y137" s="24"/>
    </row>
    <row r="138" spans="25:25" s="28" customFormat="1" x14ac:dyDescent="0.25">
      <c r="Y138" s="24"/>
    </row>
    <row r="139" spans="25:25" s="28" customFormat="1" x14ac:dyDescent="0.25">
      <c r="Y139" s="24"/>
    </row>
    <row r="140" spans="25:25" s="28" customFormat="1" x14ac:dyDescent="0.25">
      <c r="Y140" s="24"/>
    </row>
    <row r="141" spans="25:25" s="28" customFormat="1" x14ac:dyDescent="0.25">
      <c r="Y141" s="24"/>
    </row>
    <row r="142" spans="25:25" s="28" customFormat="1" x14ac:dyDescent="0.25">
      <c r="Y142" s="24"/>
    </row>
    <row r="143" spans="25:25" s="28" customFormat="1" x14ac:dyDescent="0.25">
      <c r="Y143" s="24"/>
    </row>
    <row r="144" spans="25:25" s="28" customFormat="1" x14ac:dyDescent="0.25">
      <c r="Y144" s="24"/>
    </row>
    <row r="145" spans="25:25" s="28" customFormat="1" x14ac:dyDescent="0.25">
      <c r="Y145" s="24"/>
    </row>
    <row r="146" spans="25:25" s="28" customFormat="1" x14ac:dyDescent="0.25">
      <c r="Y146" s="24"/>
    </row>
    <row r="147" spans="25:25" s="28" customFormat="1" x14ac:dyDescent="0.25">
      <c r="Y147" s="24"/>
    </row>
    <row r="148" spans="25:25" s="28" customFormat="1" x14ac:dyDescent="0.25">
      <c r="Y148" s="24"/>
    </row>
    <row r="149" spans="25:25" s="28" customFormat="1" x14ac:dyDescent="0.25">
      <c r="Y149" s="24"/>
    </row>
    <row r="150" spans="25:25" s="28" customFormat="1" x14ac:dyDescent="0.25">
      <c r="Y150" s="24"/>
    </row>
    <row r="151" spans="25:25" s="28" customFormat="1" x14ac:dyDescent="0.25">
      <c r="Y151" s="24"/>
    </row>
    <row r="152" spans="25:25" s="28" customFormat="1" x14ac:dyDescent="0.25">
      <c r="Y152" s="24"/>
    </row>
    <row r="153" spans="25:25" s="28" customFormat="1" x14ac:dyDescent="0.25">
      <c r="Y153" s="24"/>
    </row>
    <row r="154" spans="25:25" s="28" customFormat="1" x14ac:dyDescent="0.25">
      <c r="Y154" s="24"/>
    </row>
    <row r="155" spans="25:25" s="28" customFormat="1" x14ac:dyDescent="0.25">
      <c r="Y155" s="24"/>
    </row>
    <row r="156" spans="25:25" s="28" customFormat="1" x14ac:dyDescent="0.25">
      <c r="Y156" s="24"/>
    </row>
    <row r="157" spans="25:25" s="28" customFormat="1" x14ac:dyDescent="0.25">
      <c r="Y157" s="24"/>
    </row>
    <row r="158" spans="25:25" s="28" customFormat="1" x14ac:dyDescent="0.25">
      <c r="Y158" s="24"/>
    </row>
    <row r="159" spans="25:25" s="28" customFormat="1" x14ac:dyDescent="0.25">
      <c r="Y159" s="24"/>
    </row>
    <row r="160" spans="25:25" s="28" customFormat="1" x14ac:dyDescent="0.25">
      <c r="Y160" s="24"/>
    </row>
    <row r="161" spans="25:25" s="28" customFormat="1" x14ac:dyDescent="0.25">
      <c r="Y161" s="24"/>
    </row>
    <row r="162" spans="25:25" s="28" customFormat="1" x14ac:dyDescent="0.25">
      <c r="Y162" s="24"/>
    </row>
    <row r="163" spans="25:25" s="28" customFormat="1" x14ac:dyDescent="0.25">
      <c r="Y163" s="24"/>
    </row>
    <row r="164" spans="25:25" s="28" customFormat="1" x14ac:dyDescent="0.25">
      <c r="Y164" s="24"/>
    </row>
    <row r="165" spans="25:25" s="28" customFormat="1" x14ac:dyDescent="0.25">
      <c r="Y165" s="24"/>
    </row>
    <row r="166" spans="25:25" s="28" customFormat="1" x14ac:dyDescent="0.25">
      <c r="Y166" s="24"/>
    </row>
    <row r="167" spans="25:25" s="28" customFormat="1" x14ac:dyDescent="0.25">
      <c r="Y167" s="24"/>
    </row>
    <row r="168" spans="25:25" s="28" customFormat="1" x14ac:dyDescent="0.25">
      <c r="Y168" s="24"/>
    </row>
    <row r="169" spans="25:25" s="28" customFormat="1" x14ac:dyDescent="0.25">
      <c r="Y169" s="24"/>
    </row>
    <row r="170" spans="25:25" s="28" customFormat="1" x14ac:dyDescent="0.25">
      <c r="Y170" s="24"/>
    </row>
    <row r="171" spans="25:25" s="28" customFormat="1" x14ac:dyDescent="0.25">
      <c r="Y171" s="24"/>
    </row>
    <row r="172" spans="25:25" s="28" customFormat="1" x14ac:dyDescent="0.25">
      <c r="Y172" s="24"/>
    </row>
    <row r="173" spans="25:25" s="28" customFormat="1" x14ac:dyDescent="0.25">
      <c r="Y173" s="24"/>
    </row>
    <row r="174" spans="25:25" s="28" customFormat="1" x14ac:dyDescent="0.25">
      <c r="Y174" s="24"/>
    </row>
    <row r="175" spans="25:25" s="28" customFormat="1" x14ac:dyDescent="0.25">
      <c r="Y175" s="24"/>
    </row>
    <row r="176" spans="25:25" s="28" customFormat="1" x14ac:dyDescent="0.25">
      <c r="Y176" s="24"/>
    </row>
    <row r="177" spans="25:25" s="28" customFormat="1" x14ac:dyDescent="0.25">
      <c r="Y177" s="24"/>
    </row>
    <row r="178" spans="25:25" s="28" customFormat="1" x14ac:dyDescent="0.25">
      <c r="Y178" s="24"/>
    </row>
    <row r="179" spans="25:25" s="28" customFormat="1" x14ac:dyDescent="0.25">
      <c r="Y179" s="24"/>
    </row>
    <row r="180" spans="25:25" s="28" customFormat="1" x14ac:dyDescent="0.25">
      <c r="Y180" s="24"/>
    </row>
    <row r="181" spans="25:25" s="28" customFormat="1" x14ac:dyDescent="0.25">
      <c r="Y181" s="24"/>
    </row>
    <row r="182" spans="25:25" s="28" customFormat="1" x14ac:dyDescent="0.25">
      <c r="Y182" s="24"/>
    </row>
    <row r="183" spans="25:25" s="28" customFormat="1" x14ac:dyDescent="0.25">
      <c r="Y183" s="24"/>
    </row>
    <row r="184" spans="25:25" s="28" customFormat="1" x14ac:dyDescent="0.25">
      <c r="Y184" s="24"/>
    </row>
    <row r="185" spans="25:25" s="28" customFormat="1" x14ac:dyDescent="0.25">
      <c r="Y185" s="24"/>
    </row>
    <row r="186" spans="25:25" s="28" customFormat="1" x14ac:dyDescent="0.25">
      <c r="Y186" s="24"/>
    </row>
    <row r="187" spans="25:25" s="28" customFormat="1" x14ac:dyDescent="0.25">
      <c r="Y187" s="24"/>
    </row>
    <row r="188" spans="25:25" s="28" customFormat="1" x14ac:dyDescent="0.25">
      <c r="Y188" s="24"/>
    </row>
    <row r="189" spans="25:25" s="28" customFormat="1" x14ac:dyDescent="0.25">
      <c r="Y189" s="24"/>
    </row>
    <row r="190" spans="25:25" s="28" customFormat="1" x14ac:dyDescent="0.25">
      <c r="Y190" s="24"/>
    </row>
    <row r="191" spans="25:25" s="28" customFormat="1" x14ac:dyDescent="0.25">
      <c r="Y191" s="24"/>
    </row>
    <row r="192" spans="25:25" s="28" customFormat="1" x14ac:dyDescent="0.25">
      <c r="Y192" s="24"/>
    </row>
    <row r="193" spans="25:25" s="28" customFormat="1" x14ac:dyDescent="0.25">
      <c r="Y193" s="24"/>
    </row>
    <row r="194" spans="25:25" s="28" customFormat="1" x14ac:dyDescent="0.25">
      <c r="Y194" s="24"/>
    </row>
    <row r="195" spans="25:25" s="28" customFormat="1" x14ac:dyDescent="0.25">
      <c r="Y195" s="24"/>
    </row>
    <row r="196" spans="25:25" s="28" customFormat="1" x14ac:dyDescent="0.25">
      <c r="Y196" s="24"/>
    </row>
    <row r="197" spans="25:25" s="28" customFormat="1" x14ac:dyDescent="0.25">
      <c r="Y197" s="24"/>
    </row>
    <row r="198" spans="25:25" s="28" customFormat="1" x14ac:dyDescent="0.25">
      <c r="Y198" s="24"/>
    </row>
    <row r="199" spans="25:25" s="28" customFormat="1" x14ac:dyDescent="0.25">
      <c r="Y199" s="24"/>
    </row>
    <row r="200" spans="25:25" s="28" customFormat="1" x14ac:dyDescent="0.25">
      <c r="Y200" s="24"/>
    </row>
    <row r="201" spans="25:25" s="28" customFormat="1" x14ac:dyDescent="0.25">
      <c r="Y201" s="24"/>
    </row>
    <row r="202" spans="25:25" s="28" customFormat="1" x14ac:dyDescent="0.25">
      <c r="Y202" s="24"/>
    </row>
    <row r="203" spans="25:25" s="28" customFormat="1" x14ac:dyDescent="0.25">
      <c r="Y203" s="24"/>
    </row>
    <row r="204" spans="25:25" s="28" customFormat="1" x14ac:dyDescent="0.25">
      <c r="Y204" s="24"/>
    </row>
    <row r="205" spans="25:25" s="28" customFormat="1" x14ac:dyDescent="0.25">
      <c r="Y205" s="24"/>
    </row>
    <row r="206" spans="25:25" s="28" customFormat="1" x14ac:dyDescent="0.25">
      <c r="Y206" s="24"/>
    </row>
    <row r="207" spans="25:25" s="28" customFormat="1" x14ac:dyDescent="0.25">
      <c r="Y207" s="24"/>
    </row>
    <row r="208" spans="25:25" s="28" customFormat="1" x14ac:dyDescent="0.25">
      <c r="Y208" s="24"/>
    </row>
    <row r="209" spans="25:25" s="28" customFormat="1" x14ac:dyDescent="0.25">
      <c r="Y209" s="24"/>
    </row>
    <row r="210" spans="25:25" s="28" customFormat="1" x14ac:dyDescent="0.25">
      <c r="Y210" s="24"/>
    </row>
    <row r="211" spans="25:25" s="28" customFormat="1" x14ac:dyDescent="0.25">
      <c r="Y211" s="24"/>
    </row>
    <row r="212" spans="25:25" s="28" customFormat="1" x14ac:dyDescent="0.25">
      <c r="Y212" s="24"/>
    </row>
    <row r="213" spans="25:25" s="28" customFormat="1" x14ac:dyDescent="0.25">
      <c r="Y213" s="24"/>
    </row>
    <row r="214" spans="25:25" s="28" customFormat="1" x14ac:dyDescent="0.25">
      <c r="Y214" s="24"/>
    </row>
    <row r="215" spans="25:25" s="28" customFormat="1" x14ac:dyDescent="0.25">
      <c r="Y215" s="24"/>
    </row>
    <row r="216" spans="25:25" s="28" customFormat="1" x14ac:dyDescent="0.25">
      <c r="Y216" s="24"/>
    </row>
    <row r="217" spans="25:25" s="28" customFormat="1" x14ac:dyDescent="0.25">
      <c r="Y217" s="24"/>
    </row>
    <row r="218" spans="25:25" s="28" customFormat="1" x14ac:dyDescent="0.25">
      <c r="Y218" s="24"/>
    </row>
    <row r="219" spans="25:25" s="28" customFormat="1" x14ac:dyDescent="0.25">
      <c r="Y219" s="24"/>
    </row>
    <row r="220" spans="25:25" s="28" customFormat="1" x14ac:dyDescent="0.25">
      <c r="Y220" s="24"/>
    </row>
    <row r="221" spans="25:25" s="28" customFormat="1" x14ac:dyDescent="0.25">
      <c r="Y221" s="24"/>
    </row>
    <row r="222" spans="25:25" s="28" customFormat="1" x14ac:dyDescent="0.25">
      <c r="Y222" s="24"/>
    </row>
    <row r="223" spans="25:25" s="28" customFormat="1" x14ac:dyDescent="0.25">
      <c r="Y223" s="24"/>
    </row>
    <row r="224" spans="25:25" s="28" customFormat="1" x14ac:dyDescent="0.25">
      <c r="Y224" s="24"/>
    </row>
    <row r="225" spans="25:25" s="28" customFormat="1" x14ac:dyDescent="0.25">
      <c r="Y225" s="24"/>
    </row>
    <row r="226" spans="25:25" s="28" customFormat="1" x14ac:dyDescent="0.25">
      <c r="Y226" s="24"/>
    </row>
    <row r="227" spans="25:25" s="28" customFormat="1" x14ac:dyDescent="0.25">
      <c r="Y227" s="24"/>
    </row>
    <row r="228" spans="25:25" s="28" customFormat="1" x14ac:dyDescent="0.25">
      <c r="Y228" s="24"/>
    </row>
    <row r="229" spans="25:25" s="28" customFormat="1" x14ac:dyDescent="0.25">
      <c r="Y229" s="24"/>
    </row>
    <row r="230" spans="25:25" s="28" customFormat="1" x14ac:dyDescent="0.25">
      <c r="Y230" s="24"/>
    </row>
    <row r="231" spans="25:25" s="28" customFormat="1" x14ac:dyDescent="0.25">
      <c r="Y231" s="24"/>
    </row>
    <row r="232" spans="25:25" s="28" customFormat="1" x14ac:dyDescent="0.25">
      <c r="Y232" s="24"/>
    </row>
    <row r="233" spans="25:25" s="28" customFormat="1" x14ac:dyDescent="0.25">
      <c r="Y233" s="24"/>
    </row>
    <row r="234" spans="25:25" s="28" customFormat="1" x14ac:dyDescent="0.25">
      <c r="Y234" s="24"/>
    </row>
    <row r="235" spans="25:25" s="28" customFormat="1" x14ac:dyDescent="0.25">
      <c r="Y235" s="24"/>
    </row>
    <row r="236" spans="25:25" s="28" customFormat="1" x14ac:dyDescent="0.25">
      <c r="Y236" s="24"/>
    </row>
    <row r="237" spans="25:25" s="28" customFormat="1" x14ac:dyDescent="0.25">
      <c r="Y237" s="24"/>
    </row>
    <row r="238" spans="25:25" s="28" customFormat="1" x14ac:dyDescent="0.25">
      <c r="Y238" s="24"/>
    </row>
    <row r="239" spans="25:25" s="28" customFormat="1" x14ac:dyDescent="0.25">
      <c r="Y239" s="24"/>
    </row>
    <row r="240" spans="25:25" s="28" customFormat="1" x14ac:dyDescent="0.25">
      <c r="Y240" s="24"/>
    </row>
    <row r="241" spans="25:25" s="28" customFormat="1" x14ac:dyDescent="0.25">
      <c r="Y241" s="24"/>
    </row>
    <row r="242" spans="25:25" s="28" customFormat="1" x14ac:dyDescent="0.25">
      <c r="Y242" s="24"/>
    </row>
    <row r="243" spans="25:25" s="28" customFormat="1" x14ac:dyDescent="0.25">
      <c r="Y243" s="24"/>
    </row>
    <row r="244" spans="25:25" s="28" customFormat="1" x14ac:dyDescent="0.25">
      <c r="Y244" s="24"/>
    </row>
    <row r="245" spans="25:25" s="28" customFormat="1" x14ac:dyDescent="0.25">
      <c r="Y245" s="24"/>
    </row>
    <row r="246" spans="25:25" s="28" customFormat="1" x14ac:dyDescent="0.25">
      <c r="Y246" s="24"/>
    </row>
    <row r="247" spans="25:25" s="28" customFormat="1" x14ac:dyDescent="0.25">
      <c r="Y247" s="24"/>
    </row>
    <row r="248" spans="25:25" s="28" customFormat="1" x14ac:dyDescent="0.25">
      <c r="Y248" s="24"/>
    </row>
    <row r="249" spans="25:25" s="28" customFormat="1" x14ac:dyDescent="0.25">
      <c r="Y249" s="24"/>
    </row>
    <row r="250" spans="25:25" s="28" customFormat="1" x14ac:dyDescent="0.25">
      <c r="Y250" s="24"/>
    </row>
    <row r="251" spans="25:25" s="28" customFormat="1" x14ac:dyDescent="0.25">
      <c r="Y251" s="24"/>
    </row>
    <row r="252" spans="25:25" s="28" customFormat="1" x14ac:dyDescent="0.25">
      <c r="Y252" s="24"/>
    </row>
    <row r="253" spans="25:25" s="28" customFormat="1" x14ac:dyDescent="0.25">
      <c r="Y253" s="24"/>
    </row>
    <row r="254" spans="25:25" s="28" customFormat="1" x14ac:dyDescent="0.25">
      <c r="Y254" s="24"/>
    </row>
    <row r="255" spans="25:25" s="28" customFormat="1" x14ac:dyDescent="0.25">
      <c r="Y255" s="24"/>
    </row>
    <row r="256" spans="25:25" s="28" customFormat="1" x14ac:dyDescent="0.25">
      <c r="Y256" s="24"/>
    </row>
    <row r="257" spans="25:25" s="28" customFormat="1" x14ac:dyDescent="0.25">
      <c r="Y257" s="24"/>
    </row>
    <row r="258" spans="25:25" s="28" customFormat="1" x14ac:dyDescent="0.25">
      <c r="Y258" s="24"/>
    </row>
    <row r="259" spans="25:25" s="28" customFormat="1" x14ac:dyDescent="0.25">
      <c r="Y259" s="24"/>
    </row>
    <row r="260" spans="25:25" s="28" customFormat="1" x14ac:dyDescent="0.25">
      <c r="Y260" s="24"/>
    </row>
    <row r="261" spans="25:25" s="28" customFormat="1" x14ac:dyDescent="0.25">
      <c r="Y261" s="24"/>
    </row>
    <row r="262" spans="25:25" s="28" customFormat="1" x14ac:dyDescent="0.25">
      <c r="Y262" s="24"/>
    </row>
    <row r="263" spans="25:25" s="28" customFormat="1" x14ac:dyDescent="0.25">
      <c r="Y263" s="24"/>
    </row>
    <row r="264" spans="25:25" s="28" customFormat="1" x14ac:dyDescent="0.25">
      <c r="Y264" s="24"/>
    </row>
    <row r="265" spans="25:25" s="28" customFormat="1" x14ac:dyDescent="0.25">
      <c r="Y265" s="24"/>
    </row>
    <row r="266" spans="25:25" s="28" customFormat="1" x14ac:dyDescent="0.25">
      <c r="Y266" s="24"/>
    </row>
    <row r="267" spans="25:25" s="28" customFormat="1" x14ac:dyDescent="0.25">
      <c r="Y267" s="24"/>
    </row>
    <row r="268" spans="25:25" s="28" customFormat="1" x14ac:dyDescent="0.25">
      <c r="Y268" s="24"/>
    </row>
    <row r="269" spans="25:25" s="28" customFormat="1" x14ac:dyDescent="0.25">
      <c r="Y269" s="24"/>
    </row>
    <row r="270" spans="25:25" s="28" customFormat="1" x14ac:dyDescent="0.25">
      <c r="Y270" s="24"/>
    </row>
    <row r="271" spans="25:25" s="28" customFormat="1" x14ac:dyDescent="0.25">
      <c r="Y271" s="24"/>
    </row>
    <row r="272" spans="25:25" s="28" customFormat="1" x14ac:dyDescent="0.25">
      <c r="Y272" s="24"/>
    </row>
    <row r="273" spans="25:25" s="28" customFormat="1" x14ac:dyDescent="0.25">
      <c r="Y273" s="24"/>
    </row>
    <row r="274" spans="25:25" s="28" customFormat="1" x14ac:dyDescent="0.25">
      <c r="Y274" s="24"/>
    </row>
    <row r="275" spans="25:25" s="28" customFormat="1" x14ac:dyDescent="0.25">
      <c r="Y275" s="24"/>
    </row>
    <row r="276" spans="25:25" s="28" customFormat="1" x14ac:dyDescent="0.25">
      <c r="Y276" s="24"/>
    </row>
    <row r="277" spans="25:25" s="28" customFormat="1" x14ac:dyDescent="0.25">
      <c r="Y277" s="24"/>
    </row>
    <row r="278" spans="25:25" s="28" customFormat="1" x14ac:dyDescent="0.25">
      <c r="Y278" s="24"/>
    </row>
    <row r="279" spans="25:25" s="28" customFormat="1" x14ac:dyDescent="0.25">
      <c r="Y279" s="24"/>
    </row>
    <row r="280" spans="25:25" s="28" customFormat="1" x14ac:dyDescent="0.25">
      <c r="Y280" s="24"/>
    </row>
    <row r="281" spans="25:25" s="28" customFormat="1" x14ac:dyDescent="0.25">
      <c r="Y281" s="24"/>
    </row>
    <row r="282" spans="25:25" s="28" customFormat="1" x14ac:dyDescent="0.25">
      <c r="Y282" s="24"/>
    </row>
    <row r="283" spans="25:25" s="28" customFormat="1" x14ac:dyDescent="0.25">
      <c r="Y283" s="24"/>
    </row>
    <row r="284" spans="25:25" s="28" customFormat="1" x14ac:dyDescent="0.25">
      <c r="Y284" s="24"/>
    </row>
    <row r="285" spans="25:25" s="28" customFormat="1" x14ac:dyDescent="0.25">
      <c r="Y285" s="24"/>
    </row>
    <row r="286" spans="25:25" s="28" customFormat="1" x14ac:dyDescent="0.25">
      <c r="Y286" s="24"/>
    </row>
    <row r="287" spans="25:25" s="28" customFormat="1" x14ac:dyDescent="0.25">
      <c r="Y287" s="24"/>
    </row>
    <row r="288" spans="25:25" s="28" customFormat="1" x14ac:dyDescent="0.25">
      <c r="Y288" s="24"/>
    </row>
    <row r="289" spans="25:25" s="28" customFormat="1" x14ac:dyDescent="0.25">
      <c r="Y289" s="24"/>
    </row>
    <row r="290" spans="25:25" s="28" customFormat="1" x14ac:dyDescent="0.25">
      <c r="Y290" s="24"/>
    </row>
    <row r="291" spans="25:25" s="28" customFormat="1" x14ac:dyDescent="0.25">
      <c r="Y291" s="24"/>
    </row>
    <row r="292" spans="25:25" s="28" customFormat="1" x14ac:dyDescent="0.25">
      <c r="Y292" s="24"/>
    </row>
    <row r="293" spans="25:25" s="28" customFormat="1" x14ac:dyDescent="0.25">
      <c r="Y293" s="24"/>
    </row>
    <row r="294" spans="25:25" s="28" customFormat="1" x14ac:dyDescent="0.25">
      <c r="Y294" s="24"/>
    </row>
    <row r="295" spans="25:25" s="28" customFormat="1" x14ac:dyDescent="0.25">
      <c r="Y295" s="24"/>
    </row>
    <row r="296" spans="25:25" s="28" customFormat="1" x14ac:dyDescent="0.25">
      <c r="Y296" s="24"/>
    </row>
    <row r="297" spans="25:25" s="28" customFormat="1" x14ac:dyDescent="0.25">
      <c r="Y297" s="24"/>
    </row>
    <row r="298" spans="25:25" s="28" customFormat="1" x14ac:dyDescent="0.25">
      <c r="Y298" s="24"/>
    </row>
    <row r="299" spans="25:25" s="28" customFormat="1" x14ac:dyDescent="0.25">
      <c r="Y299" s="24"/>
    </row>
    <row r="300" spans="25:25" s="28" customFormat="1" x14ac:dyDescent="0.25">
      <c r="Y300" s="24"/>
    </row>
    <row r="301" spans="25:25" s="28" customFormat="1" x14ac:dyDescent="0.25">
      <c r="Y301" s="24"/>
    </row>
    <row r="302" spans="25:25" s="28" customFormat="1" x14ac:dyDescent="0.25">
      <c r="Y302" s="24"/>
    </row>
    <row r="303" spans="25:25" s="28" customFormat="1" x14ac:dyDescent="0.25">
      <c r="Y303" s="24"/>
    </row>
    <row r="304" spans="25:25" s="28" customFormat="1" x14ac:dyDescent="0.25">
      <c r="Y304" s="24"/>
    </row>
    <row r="305" spans="25:25" s="28" customFormat="1" x14ac:dyDescent="0.25">
      <c r="Y305" s="24"/>
    </row>
    <row r="306" spans="25:25" s="28" customFormat="1" x14ac:dyDescent="0.25">
      <c r="Y306" s="24"/>
    </row>
    <row r="307" spans="25:25" s="28" customFormat="1" x14ac:dyDescent="0.25">
      <c r="Y307" s="24"/>
    </row>
    <row r="308" spans="25:25" s="28" customFormat="1" x14ac:dyDescent="0.25">
      <c r="Y308" s="24"/>
    </row>
    <row r="309" spans="25:25" s="28" customFormat="1" x14ac:dyDescent="0.25">
      <c r="Y309" s="24"/>
    </row>
    <row r="310" spans="25:25" s="28" customFormat="1" x14ac:dyDescent="0.25">
      <c r="Y310" s="24"/>
    </row>
    <row r="311" spans="25:25" s="28" customFormat="1" x14ac:dyDescent="0.25">
      <c r="Y311" s="24"/>
    </row>
    <row r="312" spans="25:25" s="28" customFormat="1" x14ac:dyDescent="0.25">
      <c r="Y312" s="24"/>
    </row>
    <row r="313" spans="25:25" s="28" customFormat="1" x14ac:dyDescent="0.25">
      <c r="Y313" s="24"/>
    </row>
    <row r="314" spans="25:25" s="28" customFormat="1" x14ac:dyDescent="0.25">
      <c r="Y314" s="24"/>
    </row>
    <row r="315" spans="25:25" s="28" customFormat="1" x14ac:dyDescent="0.25">
      <c r="Y315" s="24"/>
    </row>
    <row r="316" spans="25:25" s="28" customFormat="1" x14ac:dyDescent="0.25">
      <c r="Y316" s="24"/>
    </row>
    <row r="317" spans="25:25" s="28" customFormat="1" x14ac:dyDescent="0.25">
      <c r="Y317" s="24"/>
    </row>
    <row r="318" spans="25:25" s="28" customFormat="1" x14ac:dyDescent="0.25">
      <c r="Y318" s="24"/>
    </row>
    <row r="319" spans="25:25" s="28" customFormat="1" x14ac:dyDescent="0.25">
      <c r="Y319" s="24"/>
    </row>
    <row r="320" spans="25:25" s="28" customFormat="1" x14ac:dyDescent="0.25">
      <c r="Y320" s="24"/>
    </row>
    <row r="321" spans="25:25" s="28" customFormat="1" x14ac:dyDescent="0.25">
      <c r="Y321" s="24"/>
    </row>
    <row r="322" spans="25:25" s="28" customFormat="1" x14ac:dyDescent="0.25">
      <c r="Y322" s="24"/>
    </row>
    <row r="323" spans="25:25" s="28" customFormat="1" x14ac:dyDescent="0.25">
      <c r="Y323" s="24"/>
    </row>
    <row r="324" spans="25:25" s="28" customFormat="1" x14ac:dyDescent="0.25">
      <c r="Y324" s="24"/>
    </row>
    <row r="325" spans="25:25" s="28" customFormat="1" x14ac:dyDescent="0.25">
      <c r="Y325" s="24"/>
    </row>
    <row r="326" spans="25:25" s="28" customFormat="1" x14ac:dyDescent="0.25">
      <c r="Y326" s="24"/>
    </row>
    <row r="327" spans="25:25" s="28" customFormat="1" x14ac:dyDescent="0.25">
      <c r="Y327" s="24"/>
    </row>
    <row r="328" spans="25:25" s="28" customFormat="1" x14ac:dyDescent="0.25">
      <c r="Y328" s="24"/>
    </row>
    <row r="329" spans="25:25" s="28" customFormat="1" x14ac:dyDescent="0.25">
      <c r="Y329" s="24"/>
    </row>
    <row r="330" spans="25:25" s="28" customFormat="1" x14ac:dyDescent="0.25">
      <c r="Y330" s="24"/>
    </row>
    <row r="331" spans="25:25" s="28" customFormat="1" x14ac:dyDescent="0.25">
      <c r="Y331" s="24"/>
    </row>
    <row r="332" spans="25:25" s="28" customFormat="1" x14ac:dyDescent="0.25">
      <c r="Y332" s="24"/>
    </row>
    <row r="333" spans="25:25" s="28" customFormat="1" x14ac:dyDescent="0.25">
      <c r="Y333" s="24"/>
    </row>
    <row r="334" spans="25:25" s="28" customFormat="1" x14ac:dyDescent="0.25">
      <c r="Y334" s="24"/>
    </row>
    <row r="335" spans="25:25" s="28" customFormat="1" x14ac:dyDescent="0.25">
      <c r="Y335" s="24"/>
    </row>
    <row r="336" spans="25:25" s="28" customFormat="1" x14ac:dyDescent="0.25">
      <c r="Y336" s="24"/>
    </row>
    <row r="337" spans="25:25" s="28" customFormat="1" x14ac:dyDescent="0.25">
      <c r="Y337" s="24"/>
    </row>
    <row r="338" spans="25:25" s="28" customFormat="1" x14ac:dyDescent="0.25">
      <c r="Y338" s="24"/>
    </row>
    <row r="339" spans="25:25" s="28" customFormat="1" x14ac:dyDescent="0.25">
      <c r="Y339" s="24"/>
    </row>
    <row r="340" spans="25:25" s="28" customFormat="1" x14ac:dyDescent="0.25">
      <c r="Y340" s="24"/>
    </row>
    <row r="341" spans="25:25" s="28" customFormat="1" x14ac:dyDescent="0.25">
      <c r="Y341" s="24"/>
    </row>
    <row r="342" spans="25:25" s="28" customFormat="1" x14ac:dyDescent="0.25">
      <c r="Y342" s="24"/>
    </row>
    <row r="343" spans="25:25" s="28" customFormat="1" x14ac:dyDescent="0.25">
      <c r="Y343" s="24"/>
    </row>
    <row r="344" spans="25:25" s="28" customFormat="1" x14ac:dyDescent="0.25">
      <c r="Y344" s="24"/>
    </row>
    <row r="345" spans="25:25" s="28" customFormat="1" x14ac:dyDescent="0.25">
      <c r="Y345" s="24"/>
    </row>
    <row r="346" spans="25:25" s="28" customFormat="1" x14ac:dyDescent="0.25">
      <c r="Y346" s="24"/>
    </row>
    <row r="347" spans="25:25" s="28" customFormat="1" x14ac:dyDescent="0.25">
      <c r="Y347" s="24"/>
    </row>
    <row r="348" spans="25:25" s="28" customFormat="1" x14ac:dyDescent="0.25">
      <c r="Y348" s="24"/>
    </row>
    <row r="349" spans="25:25" s="28" customFormat="1" x14ac:dyDescent="0.25">
      <c r="Y349" s="24"/>
    </row>
    <row r="350" spans="25:25" s="28" customFormat="1" x14ac:dyDescent="0.25">
      <c r="Y350" s="24"/>
    </row>
    <row r="351" spans="25:25" s="28" customFormat="1" x14ac:dyDescent="0.25">
      <c r="Y351" s="24"/>
    </row>
    <row r="352" spans="25:25" s="28" customFormat="1" x14ac:dyDescent="0.25">
      <c r="Y352" s="24"/>
    </row>
    <row r="353" spans="25:25" s="28" customFormat="1" x14ac:dyDescent="0.25">
      <c r="Y353" s="24"/>
    </row>
    <row r="354" spans="25:25" s="28" customFormat="1" x14ac:dyDescent="0.25">
      <c r="Y354" s="24"/>
    </row>
    <row r="355" spans="25:25" s="28" customFormat="1" x14ac:dyDescent="0.25">
      <c r="Y355" s="24"/>
    </row>
    <row r="356" spans="25:25" s="28" customFormat="1" x14ac:dyDescent="0.25">
      <c r="Y356" s="24"/>
    </row>
    <row r="357" spans="25:25" s="28" customFormat="1" x14ac:dyDescent="0.25">
      <c r="Y357" s="24"/>
    </row>
    <row r="358" spans="25:25" s="28" customFormat="1" x14ac:dyDescent="0.25">
      <c r="Y358" s="24"/>
    </row>
    <row r="359" spans="25:25" s="28" customFormat="1" x14ac:dyDescent="0.25">
      <c r="Y359" s="24"/>
    </row>
    <row r="360" spans="25:25" s="28" customFormat="1" x14ac:dyDescent="0.25">
      <c r="Y360" s="24"/>
    </row>
    <row r="361" spans="25:25" s="28" customFormat="1" x14ac:dyDescent="0.25">
      <c r="Y361" s="24"/>
    </row>
    <row r="362" spans="25:25" s="28" customFormat="1" x14ac:dyDescent="0.25">
      <c r="Y362" s="24"/>
    </row>
    <row r="363" spans="25:25" s="28" customFormat="1" x14ac:dyDescent="0.25">
      <c r="Y363" s="24"/>
    </row>
    <row r="364" spans="25:25" s="28" customFormat="1" x14ac:dyDescent="0.25">
      <c r="Y364" s="24"/>
    </row>
    <row r="365" spans="25:25" s="28" customFormat="1" x14ac:dyDescent="0.25">
      <c r="Y365" s="24"/>
    </row>
    <row r="366" spans="25:25" s="28" customFormat="1" x14ac:dyDescent="0.25">
      <c r="Y366" s="24"/>
    </row>
    <row r="367" spans="25:25" s="28" customFormat="1" x14ac:dyDescent="0.25">
      <c r="Y367" s="24"/>
    </row>
    <row r="368" spans="25:25" s="28" customFormat="1" x14ac:dyDescent="0.25">
      <c r="Y368" s="24"/>
    </row>
    <row r="369" spans="25:25" s="28" customFormat="1" x14ac:dyDescent="0.25">
      <c r="Y369" s="24"/>
    </row>
    <row r="370" spans="25:25" s="28" customFormat="1" x14ac:dyDescent="0.25">
      <c r="Y370" s="24"/>
    </row>
    <row r="371" spans="25:25" s="28" customFormat="1" x14ac:dyDescent="0.25">
      <c r="Y371" s="24"/>
    </row>
    <row r="372" spans="25:25" s="28" customFormat="1" x14ac:dyDescent="0.25">
      <c r="Y372" s="24"/>
    </row>
    <row r="373" spans="25:25" s="28" customFormat="1" x14ac:dyDescent="0.25">
      <c r="Y373" s="24"/>
    </row>
    <row r="374" spans="25:25" s="28" customFormat="1" x14ac:dyDescent="0.25">
      <c r="Y374" s="24"/>
    </row>
    <row r="375" spans="25:25" s="28" customFormat="1" x14ac:dyDescent="0.25">
      <c r="Y375" s="24"/>
    </row>
    <row r="376" spans="25:25" s="28" customFormat="1" x14ac:dyDescent="0.25">
      <c r="Y376" s="24"/>
    </row>
    <row r="377" spans="25:25" s="28" customFormat="1" x14ac:dyDescent="0.25">
      <c r="Y377" s="24"/>
    </row>
    <row r="378" spans="25:25" s="28" customFormat="1" x14ac:dyDescent="0.25">
      <c r="Y378" s="24"/>
    </row>
    <row r="379" spans="25:25" s="28" customFormat="1" x14ac:dyDescent="0.25">
      <c r="Y379" s="24"/>
    </row>
    <row r="380" spans="25:25" s="28" customFormat="1" x14ac:dyDescent="0.25">
      <c r="Y380" s="24"/>
    </row>
    <row r="381" spans="25:25" s="28" customFormat="1" x14ac:dyDescent="0.25">
      <c r="Y381" s="24"/>
    </row>
    <row r="382" spans="25:25" s="28" customFormat="1" x14ac:dyDescent="0.25">
      <c r="Y382" s="24"/>
    </row>
    <row r="383" spans="25:25" s="28" customFormat="1" x14ac:dyDescent="0.25">
      <c r="Y383" s="24"/>
    </row>
    <row r="384" spans="25:25" s="28" customFormat="1" x14ac:dyDescent="0.25">
      <c r="Y384" s="24"/>
    </row>
    <row r="385" spans="25:25" s="28" customFormat="1" x14ac:dyDescent="0.25">
      <c r="Y385" s="24"/>
    </row>
    <row r="386" spans="25:25" s="28" customFormat="1" x14ac:dyDescent="0.25">
      <c r="Y386" s="24"/>
    </row>
    <row r="387" spans="25:25" s="28" customFormat="1" x14ac:dyDescent="0.25">
      <c r="Y387" s="24"/>
    </row>
    <row r="388" spans="25:25" s="28" customFormat="1" x14ac:dyDescent="0.25">
      <c r="Y388" s="24"/>
    </row>
    <row r="389" spans="25:25" s="28" customFormat="1" x14ac:dyDescent="0.25">
      <c r="Y389" s="24"/>
    </row>
    <row r="390" spans="25:25" s="28" customFormat="1" x14ac:dyDescent="0.25">
      <c r="Y390" s="24"/>
    </row>
    <row r="391" spans="25:25" s="28" customFormat="1" x14ac:dyDescent="0.25">
      <c r="Y391" s="24"/>
    </row>
    <row r="392" spans="25:25" s="28" customFormat="1" x14ac:dyDescent="0.25">
      <c r="Y392" s="24"/>
    </row>
    <row r="393" spans="25:25" s="28" customFormat="1" x14ac:dyDescent="0.25">
      <c r="Y393" s="24"/>
    </row>
    <row r="394" spans="25:25" s="28" customFormat="1" x14ac:dyDescent="0.25">
      <c r="Y394" s="24"/>
    </row>
    <row r="395" spans="25:25" s="28" customFormat="1" x14ac:dyDescent="0.25">
      <c r="Y395" s="24"/>
    </row>
    <row r="396" spans="25:25" s="28" customFormat="1" x14ac:dyDescent="0.25">
      <c r="Y396" s="24"/>
    </row>
    <row r="397" spans="25:25" s="28" customFormat="1" x14ac:dyDescent="0.25">
      <c r="Y397" s="24"/>
    </row>
    <row r="398" spans="25:25" s="28" customFormat="1" x14ac:dyDescent="0.25">
      <c r="Y398" s="24"/>
    </row>
    <row r="399" spans="25:25" s="28" customFormat="1" x14ac:dyDescent="0.25">
      <c r="Y399" s="24"/>
    </row>
    <row r="400" spans="25:25" s="28" customFormat="1" x14ac:dyDescent="0.25">
      <c r="Y400" s="24"/>
    </row>
    <row r="401" spans="25:25" s="28" customFormat="1" x14ac:dyDescent="0.25">
      <c r="Y401" s="24"/>
    </row>
    <row r="402" spans="25:25" s="28" customFormat="1" x14ac:dyDescent="0.25">
      <c r="Y402" s="24"/>
    </row>
    <row r="403" spans="25:25" s="28" customFormat="1" x14ac:dyDescent="0.25">
      <c r="Y403" s="24"/>
    </row>
    <row r="404" spans="25:25" s="28" customFormat="1" x14ac:dyDescent="0.25">
      <c r="Y404" s="24"/>
    </row>
    <row r="405" spans="25:25" s="28" customFormat="1" x14ac:dyDescent="0.25">
      <c r="Y405" s="24"/>
    </row>
    <row r="406" spans="25:25" s="28" customFormat="1" x14ac:dyDescent="0.25">
      <c r="Y406" s="24"/>
    </row>
    <row r="407" spans="25:25" s="28" customFormat="1" x14ac:dyDescent="0.25">
      <c r="Y407" s="24"/>
    </row>
    <row r="408" spans="25:25" s="28" customFormat="1" x14ac:dyDescent="0.25">
      <c r="Y408" s="24"/>
    </row>
    <row r="409" spans="25:25" s="28" customFormat="1" x14ac:dyDescent="0.25">
      <c r="Y409" s="24"/>
    </row>
    <row r="410" spans="25:25" s="28" customFormat="1" x14ac:dyDescent="0.25">
      <c r="Y410" s="24"/>
    </row>
    <row r="411" spans="25:25" s="28" customFormat="1" x14ac:dyDescent="0.25">
      <c r="Y411" s="24"/>
    </row>
    <row r="412" spans="25:25" s="28" customFormat="1" x14ac:dyDescent="0.25">
      <c r="Y412" s="24"/>
    </row>
    <row r="413" spans="25:25" s="28" customFormat="1" x14ac:dyDescent="0.25">
      <c r="Y413" s="24"/>
    </row>
    <row r="414" spans="25:25" s="28" customFormat="1" x14ac:dyDescent="0.25">
      <c r="Y414" s="24"/>
    </row>
    <row r="415" spans="25:25" s="28" customFormat="1" x14ac:dyDescent="0.25">
      <c r="Y415" s="24"/>
    </row>
    <row r="416" spans="25:25" s="28" customFormat="1" x14ac:dyDescent="0.25">
      <c r="Y416" s="24"/>
    </row>
    <row r="417" spans="25:25" s="28" customFormat="1" x14ac:dyDescent="0.25">
      <c r="Y417" s="24"/>
    </row>
    <row r="418" spans="25:25" s="28" customFormat="1" x14ac:dyDescent="0.25">
      <c r="Y418" s="24"/>
    </row>
    <row r="419" spans="25:25" s="28" customFormat="1" x14ac:dyDescent="0.25">
      <c r="Y419" s="24"/>
    </row>
    <row r="420" spans="25:25" s="28" customFormat="1" x14ac:dyDescent="0.25">
      <c r="Y420" s="24"/>
    </row>
    <row r="421" spans="25:25" s="28" customFormat="1" x14ac:dyDescent="0.25">
      <c r="Y421" s="24"/>
    </row>
    <row r="422" spans="25:25" s="28" customFormat="1" x14ac:dyDescent="0.25">
      <c r="Y422" s="24"/>
    </row>
    <row r="423" spans="25:25" s="28" customFormat="1" x14ac:dyDescent="0.25">
      <c r="Y423" s="24"/>
    </row>
    <row r="424" spans="25:25" s="28" customFormat="1" x14ac:dyDescent="0.25">
      <c r="Y424" s="24"/>
    </row>
    <row r="425" spans="25:25" s="28" customFormat="1" x14ac:dyDescent="0.25">
      <c r="Y425" s="24"/>
    </row>
    <row r="426" spans="25:25" s="28" customFormat="1" x14ac:dyDescent="0.25">
      <c r="Y426" s="24"/>
    </row>
    <row r="427" spans="25:25" s="28" customFormat="1" x14ac:dyDescent="0.25">
      <c r="Y427" s="24"/>
    </row>
    <row r="428" spans="25:25" s="28" customFormat="1" x14ac:dyDescent="0.25">
      <c r="Y428" s="24"/>
    </row>
    <row r="429" spans="25:25" s="28" customFormat="1" x14ac:dyDescent="0.25">
      <c r="Y429" s="24"/>
    </row>
    <row r="430" spans="25:25" s="28" customFormat="1" x14ac:dyDescent="0.25">
      <c r="Y430" s="24"/>
    </row>
    <row r="431" spans="25:25" s="28" customFormat="1" x14ac:dyDescent="0.25">
      <c r="Y431" s="24"/>
    </row>
    <row r="432" spans="25:25" s="28" customFormat="1" x14ac:dyDescent="0.25">
      <c r="Y432" s="24"/>
    </row>
    <row r="433" spans="25:25" s="28" customFormat="1" x14ac:dyDescent="0.25">
      <c r="Y433" s="24"/>
    </row>
    <row r="434" spans="25:25" s="28" customFormat="1" x14ac:dyDescent="0.25">
      <c r="Y434" s="24"/>
    </row>
    <row r="435" spans="25:25" s="28" customFormat="1" x14ac:dyDescent="0.25">
      <c r="Y435" s="24"/>
    </row>
    <row r="436" spans="25:25" s="28" customFormat="1" x14ac:dyDescent="0.25">
      <c r="Y436" s="24"/>
    </row>
    <row r="437" spans="25:25" s="28" customFormat="1" x14ac:dyDescent="0.25">
      <c r="Y437" s="24"/>
    </row>
    <row r="438" spans="25:25" s="28" customFormat="1" x14ac:dyDescent="0.25">
      <c r="Y438" s="24"/>
    </row>
    <row r="439" spans="25:25" s="28" customFormat="1" x14ac:dyDescent="0.25">
      <c r="Y439" s="24"/>
    </row>
    <row r="440" spans="25:25" s="28" customFormat="1" x14ac:dyDescent="0.25">
      <c r="Y440" s="24"/>
    </row>
    <row r="441" spans="25:25" s="28" customFormat="1" x14ac:dyDescent="0.25">
      <c r="Y441" s="24"/>
    </row>
    <row r="442" spans="25:25" s="28" customFormat="1" x14ac:dyDescent="0.25">
      <c r="Y442" s="24"/>
    </row>
    <row r="443" spans="25:25" s="28" customFormat="1" x14ac:dyDescent="0.25">
      <c r="Y443" s="24"/>
    </row>
    <row r="444" spans="25:25" s="28" customFormat="1" x14ac:dyDescent="0.25">
      <c r="Y444" s="24"/>
    </row>
    <row r="445" spans="25:25" s="28" customFormat="1" x14ac:dyDescent="0.25">
      <c r="Y445" s="24"/>
    </row>
    <row r="446" spans="25:25" s="28" customFormat="1" x14ac:dyDescent="0.25">
      <c r="Y446" s="24"/>
    </row>
    <row r="447" spans="25:25" s="28" customFormat="1" x14ac:dyDescent="0.25">
      <c r="Y447" s="24"/>
    </row>
    <row r="448" spans="25:25" s="28" customFormat="1" x14ac:dyDescent="0.25">
      <c r="Y448" s="24"/>
    </row>
    <row r="449" spans="25:25" s="28" customFormat="1" x14ac:dyDescent="0.25">
      <c r="Y449" s="24"/>
    </row>
    <row r="450" spans="25:25" s="28" customFormat="1" x14ac:dyDescent="0.25">
      <c r="Y450" s="24"/>
    </row>
    <row r="451" spans="25:25" s="28" customFormat="1" x14ac:dyDescent="0.25">
      <c r="Y451" s="24"/>
    </row>
    <row r="452" spans="25:25" s="28" customFormat="1" x14ac:dyDescent="0.25">
      <c r="Y452" s="24"/>
    </row>
    <row r="453" spans="25:25" s="28" customFormat="1" x14ac:dyDescent="0.25">
      <c r="Y453" s="24"/>
    </row>
    <row r="454" spans="25:25" s="28" customFormat="1" x14ac:dyDescent="0.25">
      <c r="Y454" s="24"/>
    </row>
    <row r="455" spans="25:25" s="28" customFormat="1" x14ac:dyDescent="0.25">
      <c r="Y455" s="24"/>
    </row>
    <row r="456" spans="25:25" s="28" customFormat="1" x14ac:dyDescent="0.25">
      <c r="Y456" s="24"/>
    </row>
    <row r="457" spans="25:25" s="28" customFormat="1" x14ac:dyDescent="0.25">
      <c r="Y457" s="24"/>
    </row>
    <row r="458" spans="25:25" s="28" customFormat="1" x14ac:dyDescent="0.25">
      <c r="Y458" s="24"/>
    </row>
    <row r="459" spans="25:25" s="28" customFormat="1" x14ac:dyDescent="0.25">
      <c r="Y459" s="24"/>
    </row>
    <row r="460" spans="25:25" s="28" customFormat="1" x14ac:dyDescent="0.25">
      <c r="Y460" s="24"/>
    </row>
    <row r="461" spans="25:25" s="28" customFormat="1" x14ac:dyDescent="0.25">
      <c r="Y461" s="24"/>
    </row>
    <row r="462" spans="25:25" s="28" customFormat="1" x14ac:dyDescent="0.25">
      <c r="Y462" s="24"/>
    </row>
    <row r="463" spans="25:25" s="28" customFormat="1" x14ac:dyDescent="0.25">
      <c r="Y463" s="24"/>
    </row>
    <row r="464" spans="25:25" s="28" customFormat="1" x14ac:dyDescent="0.25">
      <c r="Y464" s="24"/>
    </row>
    <row r="465" spans="25:25" s="28" customFormat="1" x14ac:dyDescent="0.25">
      <c r="Y465" s="24"/>
    </row>
    <row r="466" spans="25:25" s="28" customFormat="1" x14ac:dyDescent="0.25">
      <c r="Y466" s="24"/>
    </row>
    <row r="467" spans="25:25" s="28" customFormat="1" x14ac:dyDescent="0.25">
      <c r="Y467" s="24"/>
    </row>
    <row r="468" spans="25:25" s="28" customFormat="1" x14ac:dyDescent="0.25">
      <c r="Y468" s="24"/>
    </row>
    <row r="469" spans="25:25" s="28" customFormat="1" x14ac:dyDescent="0.25">
      <c r="Y469" s="24"/>
    </row>
    <row r="470" spans="25:25" s="28" customFormat="1" x14ac:dyDescent="0.25">
      <c r="Y470" s="24"/>
    </row>
    <row r="471" spans="25:25" s="28" customFormat="1" x14ac:dyDescent="0.25">
      <c r="Y471" s="24"/>
    </row>
    <row r="472" spans="25:25" s="28" customFormat="1" x14ac:dyDescent="0.25">
      <c r="Y472" s="24"/>
    </row>
    <row r="473" spans="25:25" s="28" customFormat="1" x14ac:dyDescent="0.25">
      <c r="Y473" s="24"/>
    </row>
    <row r="474" spans="25:25" s="28" customFormat="1" x14ac:dyDescent="0.25">
      <c r="Y474" s="24"/>
    </row>
    <row r="475" spans="25:25" s="28" customFormat="1" x14ac:dyDescent="0.25">
      <c r="Y475" s="24"/>
    </row>
    <row r="476" spans="25:25" s="28" customFormat="1" x14ac:dyDescent="0.25">
      <c r="Y476" s="24"/>
    </row>
    <row r="477" spans="25:25" s="28" customFormat="1" x14ac:dyDescent="0.25">
      <c r="Y477" s="24"/>
    </row>
    <row r="478" spans="25:25" s="28" customFormat="1" x14ac:dyDescent="0.25">
      <c r="Y478" s="24"/>
    </row>
    <row r="479" spans="25:25" s="28" customFormat="1" x14ac:dyDescent="0.25">
      <c r="Y479" s="24"/>
    </row>
    <row r="480" spans="25:25" s="28" customFormat="1" x14ac:dyDescent="0.25">
      <c r="Y480" s="24"/>
    </row>
    <row r="481" spans="25:25" s="28" customFormat="1" x14ac:dyDescent="0.25">
      <c r="Y481" s="24"/>
    </row>
    <row r="482" spans="25:25" s="28" customFormat="1" x14ac:dyDescent="0.25">
      <c r="Y482" s="24"/>
    </row>
    <row r="483" spans="25:25" s="28" customFormat="1" x14ac:dyDescent="0.25">
      <c r="Y483" s="24"/>
    </row>
    <row r="484" spans="25:25" s="28" customFormat="1" x14ac:dyDescent="0.25">
      <c r="Y484" s="24"/>
    </row>
    <row r="485" spans="25:25" s="28" customFormat="1" x14ac:dyDescent="0.25">
      <c r="Y485" s="24"/>
    </row>
    <row r="486" spans="25:25" s="28" customFormat="1" x14ac:dyDescent="0.25">
      <c r="Y486" s="24"/>
    </row>
    <row r="487" spans="25:25" s="28" customFormat="1" x14ac:dyDescent="0.25">
      <c r="Y487" s="24"/>
    </row>
    <row r="488" spans="25:25" s="28" customFormat="1" x14ac:dyDescent="0.25">
      <c r="Y488" s="24"/>
    </row>
    <row r="489" spans="25:25" s="28" customFormat="1" x14ac:dyDescent="0.25">
      <c r="Y489" s="24"/>
    </row>
    <row r="490" spans="25:25" s="28" customFormat="1" x14ac:dyDescent="0.25">
      <c r="Y490" s="24"/>
    </row>
    <row r="491" spans="25:25" s="28" customFormat="1" x14ac:dyDescent="0.25">
      <c r="Y491" s="24"/>
    </row>
    <row r="492" spans="25:25" s="28" customFormat="1" x14ac:dyDescent="0.25">
      <c r="Y492" s="24"/>
    </row>
    <row r="493" spans="25:25" s="28" customFormat="1" x14ac:dyDescent="0.25">
      <c r="Y493" s="24"/>
    </row>
    <row r="494" spans="25:25" s="28" customFormat="1" x14ac:dyDescent="0.25">
      <c r="Y494" s="24"/>
    </row>
    <row r="495" spans="25:25" s="28" customFormat="1" x14ac:dyDescent="0.25">
      <c r="Y495" s="24"/>
    </row>
    <row r="496" spans="25:25" s="28" customFormat="1" x14ac:dyDescent="0.25">
      <c r="Y496" s="24"/>
    </row>
    <row r="497" spans="25:25" s="28" customFormat="1" x14ac:dyDescent="0.25">
      <c r="Y497" s="24"/>
    </row>
    <row r="498" spans="25:25" s="28" customFormat="1" x14ac:dyDescent="0.25">
      <c r="Y498" s="24"/>
    </row>
    <row r="499" spans="25:25" s="28" customFormat="1" x14ac:dyDescent="0.25">
      <c r="Y499" s="24"/>
    </row>
    <row r="500" spans="25:25" s="28" customFormat="1" x14ac:dyDescent="0.25">
      <c r="Y500" s="24"/>
    </row>
    <row r="501" spans="25:25" s="28" customFormat="1" x14ac:dyDescent="0.25">
      <c r="Y501" s="24"/>
    </row>
    <row r="502" spans="25:25" s="28" customFormat="1" x14ac:dyDescent="0.25">
      <c r="Y502" s="24"/>
    </row>
    <row r="503" spans="25:25" s="28" customFormat="1" x14ac:dyDescent="0.25">
      <c r="Y503" s="24"/>
    </row>
    <row r="504" spans="25:25" s="28" customFormat="1" x14ac:dyDescent="0.25">
      <c r="Y504" s="24"/>
    </row>
    <row r="505" spans="25:25" s="28" customFormat="1" x14ac:dyDescent="0.25">
      <c r="Y505" s="24"/>
    </row>
    <row r="506" spans="25:25" s="28" customFormat="1" x14ac:dyDescent="0.25">
      <c r="Y506" s="24"/>
    </row>
    <row r="507" spans="25:25" s="28" customFormat="1" x14ac:dyDescent="0.25">
      <c r="Y507" s="24"/>
    </row>
    <row r="508" spans="25:25" s="28" customFormat="1" x14ac:dyDescent="0.25">
      <c r="Y508" s="24"/>
    </row>
    <row r="509" spans="25:25" s="28" customFormat="1" x14ac:dyDescent="0.25">
      <c r="Y509" s="24"/>
    </row>
    <row r="510" spans="25:25" s="28" customFormat="1" x14ac:dyDescent="0.25">
      <c r="Y510" s="24"/>
    </row>
    <row r="511" spans="25:25" s="28" customFormat="1" x14ac:dyDescent="0.25">
      <c r="Y511" s="24"/>
    </row>
    <row r="512" spans="25:25" s="28" customFormat="1" x14ac:dyDescent="0.25">
      <c r="Y512" s="24"/>
    </row>
    <row r="513" spans="25:25" s="28" customFormat="1" x14ac:dyDescent="0.25">
      <c r="Y513" s="24"/>
    </row>
    <row r="514" spans="25:25" s="28" customFormat="1" x14ac:dyDescent="0.25">
      <c r="Y514" s="24"/>
    </row>
    <row r="515" spans="25:25" s="28" customFormat="1" x14ac:dyDescent="0.25">
      <c r="Y515" s="24"/>
    </row>
    <row r="516" spans="25:25" s="28" customFormat="1" x14ac:dyDescent="0.25">
      <c r="Y516" s="24"/>
    </row>
    <row r="517" spans="25:25" s="28" customFormat="1" x14ac:dyDescent="0.25">
      <c r="Y517" s="24"/>
    </row>
    <row r="518" spans="25:25" s="28" customFormat="1" x14ac:dyDescent="0.25">
      <c r="Y518" s="24"/>
    </row>
    <row r="519" spans="25:25" s="28" customFormat="1" x14ac:dyDescent="0.25">
      <c r="Y519" s="24"/>
    </row>
    <row r="520" spans="25:25" s="28" customFormat="1" x14ac:dyDescent="0.25">
      <c r="Y520" s="24"/>
    </row>
    <row r="521" spans="25:25" s="28" customFormat="1" x14ac:dyDescent="0.25">
      <c r="Y521" s="24"/>
    </row>
    <row r="522" spans="25:25" s="28" customFormat="1" x14ac:dyDescent="0.25">
      <c r="Y522" s="24"/>
    </row>
    <row r="523" spans="25:25" s="28" customFormat="1" x14ac:dyDescent="0.25">
      <c r="Y523" s="24"/>
    </row>
    <row r="524" spans="25:25" s="28" customFormat="1" x14ac:dyDescent="0.25">
      <c r="Y524" s="24"/>
    </row>
    <row r="525" spans="25:25" s="28" customFormat="1" x14ac:dyDescent="0.25">
      <c r="Y525" s="24"/>
    </row>
    <row r="526" spans="25:25" s="28" customFormat="1" x14ac:dyDescent="0.25">
      <c r="Y526" s="24"/>
    </row>
    <row r="527" spans="25:25" s="28" customFormat="1" x14ac:dyDescent="0.25">
      <c r="Y527" s="24"/>
    </row>
    <row r="528" spans="25:25" s="28" customFormat="1" x14ac:dyDescent="0.25">
      <c r="Y528" s="24"/>
    </row>
    <row r="529" spans="25:25" s="28" customFormat="1" x14ac:dyDescent="0.25">
      <c r="Y529" s="24"/>
    </row>
    <row r="530" spans="25:25" s="28" customFormat="1" x14ac:dyDescent="0.25">
      <c r="Y530" s="24"/>
    </row>
    <row r="531" spans="25:25" s="28" customFormat="1" x14ac:dyDescent="0.25">
      <c r="Y531" s="24"/>
    </row>
    <row r="532" spans="25:25" s="28" customFormat="1" x14ac:dyDescent="0.25">
      <c r="Y532" s="24"/>
    </row>
    <row r="533" spans="25:25" s="28" customFormat="1" x14ac:dyDescent="0.25">
      <c r="Y533" s="24"/>
    </row>
    <row r="534" spans="25:25" s="28" customFormat="1" x14ac:dyDescent="0.25">
      <c r="Y534" s="24"/>
    </row>
    <row r="535" spans="25:25" s="28" customFormat="1" x14ac:dyDescent="0.25">
      <c r="Y535" s="24"/>
    </row>
    <row r="536" spans="25:25" s="28" customFormat="1" x14ac:dyDescent="0.25">
      <c r="Y536" s="24"/>
    </row>
    <row r="537" spans="25:25" s="28" customFormat="1" x14ac:dyDescent="0.25">
      <c r="Y537" s="24"/>
    </row>
    <row r="538" spans="25:25" s="28" customFormat="1" x14ac:dyDescent="0.25">
      <c r="Y538" s="24"/>
    </row>
    <row r="539" spans="25:25" s="28" customFormat="1" x14ac:dyDescent="0.25">
      <c r="Y539" s="24"/>
    </row>
    <row r="540" spans="25:25" s="28" customFormat="1" x14ac:dyDescent="0.25">
      <c r="Y540" s="24"/>
    </row>
    <row r="541" spans="25:25" s="28" customFormat="1" x14ac:dyDescent="0.25">
      <c r="Y541" s="24"/>
    </row>
    <row r="542" spans="25:25" s="28" customFormat="1" x14ac:dyDescent="0.25">
      <c r="Y542" s="24"/>
    </row>
    <row r="543" spans="25:25" s="28" customFormat="1" x14ac:dyDescent="0.25">
      <c r="Y543" s="24"/>
    </row>
    <row r="544" spans="25:25" s="28" customFormat="1" x14ac:dyDescent="0.25">
      <c r="Y544" s="24"/>
    </row>
    <row r="545" spans="25:25" s="28" customFormat="1" x14ac:dyDescent="0.25">
      <c r="Y545" s="24"/>
    </row>
    <row r="546" spans="25:25" s="28" customFormat="1" x14ac:dyDescent="0.25">
      <c r="Y546" s="24"/>
    </row>
    <row r="547" spans="25:25" s="28" customFormat="1" x14ac:dyDescent="0.25">
      <c r="Y547" s="24"/>
    </row>
    <row r="548" spans="25:25" s="28" customFormat="1" x14ac:dyDescent="0.25">
      <c r="Y548" s="24"/>
    </row>
    <row r="549" spans="25:25" s="28" customFormat="1" x14ac:dyDescent="0.25">
      <c r="Y549" s="24"/>
    </row>
    <row r="550" spans="25:25" s="28" customFormat="1" x14ac:dyDescent="0.25">
      <c r="Y550" s="24"/>
    </row>
    <row r="551" spans="25:25" s="28" customFormat="1" x14ac:dyDescent="0.25">
      <c r="Y551" s="24"/>
    </row>
    <row r="552" spans="25:25" s="28" customFormat="1" x14ac:dyDescent="0.25">
      <c r="Y552" s="24"/>
    </row>
    <row r="553" spans="25:25" s="28" customFormat="1" x14ac:dyDescent="0.25">
      <c r="Y553" s="24"/>
    </row>
    <row r="554" spans="25:25" s="28" customFormat="1" x14ac:dyDescent="0.25">
      <c r="Y554" s="24"/>
    </row>
    <row r="555" spans="25:25" s="28" customFormat="1" x14ac:dyDescent="0.25">
      <c r="Y555" s="24"/>
    </row>
    <row r="556" spans="25:25" s="28" customFormat="1" x14ac:dyDescent="0.25">
      <c r="Y556" s="24"/>
    </row>
    <row r="557" spans="25:25" s="28" customFormat="1" x14ac:dyDescent="0.25">
      <c r="Y557" s="24"/>
    </row>
    <row r="558" spans="25:25" s="28" customFormat="1" x14ac:dyDescent="0.25">
      <c r="Y558" s="24"/>
    </row>
    <row r="559" spans="25:25" s="28" customFormat="1" x14ac:dyDescent="0.25">
      <c r="Y559" s="24"/>
    </row>
    <row r="560" spans="25:25" s="28" customFormat="1" x14ac:dyDescent="0.25">
      <c r="Y560" s="24"/>
    </row>
    <row r="561" spans="25:25" s="28" customFormat="1" x14ac:dyDescent="0.25">
      <c r="Y561" s="24"/>
    </row>
    <row r="562" spans="25:25" s="28" customFormat="1" x14ac:dyDescent="0.25">
      <c r="Y562" s="24"/>
    </row>
    <row r="563" spans="25:25" s="28" customFormat="1" x14ac:dyDescent="0.25">
      <c r="Y563" s="24"/>
    </row>
    <row r="564" spans="25:25" s="28" customFormat="1" x14ac:dyDescent="0.25">
      <c r="Y564" s="24"/>
    </row>
    <row r="565" spans="25:25" s="28" customFormat="1" x14ac:dyDescent="0.25">
      <c r="Y565" s="24"/>
    </row>
    <row r="566" spans="25:25" s="28" customFormat="1" x14ac:dyDescent="0.25">
      <c r="Y566" s="24"/>
    </row>
    <row r="567" spans="25:25" s="28" customFormat="1" x14ac:dyDescent="0.25">
      <c r="Y567" s="24"/>
    </row>
    <row r="568" spans="25:25" s="28" customFormat="1" x14ac:dyDescent="0.25">
      <c r="Y568" s="24"/>
    </row>
    <row r="569" spans="25:25" s="28" customFormat="1" x14ac:dyDescent="0.25">
      <c r="Y569" s="24"/>
    </row>
    <row r="570" spans="25:25" s="28" customFormat="1" x14ac:dyDescent="0.25">
      <c r="Y570" s="24"/>
    </row>
    <row r="571" spans="25:25" s="28" customFormat="1" x14ac:dyDescent="0.25">
      <c r="Y571" s="24"/>
    </row>
    <row r="572" spans="25:25" s="28" customFormat="1" x14ac:dyDescent="0.25">
      <c r="Y572" s="24"/>
    </row>
    <row r="573" spans="25:25" s="28" customFormat="1" x14ac:dyDescent="0.25">
      <c r="Y573" s="24"/>
    </row>
    <row r="574" spans="25:25" s="28" customFormat="1" x14ac:dyDescent="0.25">
      <c r="Y574" s="24"/>
    </row>
    <row r="575" spans="25:25" s="28" customFormat="1" x14ac:dyDescent="0.25">
      <c r="Y575" s="24"/>
    </row>
    <row r="576" spans="25:25" s="28" customFormat="1" x14ac:dyDescent="0.25">
      <c r="Y576" s="24"/>
    </row>
    <row r="577" spans="25:25" s="28" customFormat="1" x14ac:dyDescent="0.25">
      <c r="Y577" s="24"/>
    </row>
    <row r="578" spans="25:25" s="28" customFormat="1" x14ac:dyDescent="0.25">
      <c r="Y578" s="24"/>
    </row>
    <row r="579" spans="25:25" s="28" customFormat="1" x14ac:dyDescent="0.25">
      <c r="Y579" s="24"/>
    </row>
    <row r="580" spans="25:25" s="28" customFormat="1" x14ac:dyDescent="0.25">
      <c r="Y580" s="24"/>
    </row>
    <row r="581" spans="25:25" s="28" customFormat="1" x14ac:dyDescent="0.25">
      <c r="Y581" s="24"/>
    </row>
    <row r="582" spans="25:25" s="28" customFormat="1" x14ac:dyDescent="0.25">
      <c r="Y582" s="24"/>
    </row>
    <row r="583" spans="25:25" s="28" customFormat="1" x14ac:dyDescent="0.25">
      <c r="Y583" s="24"/>
    </row>
    <row r="584" spans="25:25" s="28" customFormat="1" x14ac:dyDescent="0.25">
      <c r="Y584" s="24"/>
    </row>
    <row r="585" spans="25:25" s="28" customFormat="1" x14ac:dyDescent="0.25">
      <c r="Y585" s="24"/>
    </row>
    <row r="586" spans="25:25" s="28" customFormat="1" x14ac:dyDescent="0.25">
      <c r="Y586" s="24"/>
    </row>
    <row r="587" spans="25:25" s="28" customFormat="1" x14ac:dyDescent="0.25">
      <c r="Y587" s="24"/>
    </row>
    <row r="588" spans="25:25" s="28" customFormat="1" x14ac:dyDescent="0.25">
      <c r="Y588" s="24"/>
    </row>
    <row r="589" spans="25:25" s="28" customFormat="1" x14ac:dyDescent="0.25">
      <c r="Y589" s="24"/>
    </row>
    <row r="590" spans="25:25" s="28" customFormat="1" x14ac:dyDescent="0.25">
      <c r="Y590" s="24"/>
    </row>
    <row r="591" spans="25:25" s="28" customFormat="1" x14ac:dyDescent="0.25">
      <c r="Y591" s="24"/>
    </row>
    <row r="592" spans="25:25" s="28" customFormat="1" x14ac:dyDescent="0.25">
      <c r="Y592" s="24"/>
    </row>
    <row r="593" spans="20:25" s="28" customFormat="1" x14ac:dyDescent="0.25">
      <c r="Y593" s="24"/>
    </row>
    <row r="594" spans="20:25" s="28" customFormat="1" x14ac:dyDescent="0.25">
      <c r="Y594" s="24"/>
    </row>
    <row r="595" spans="20:25" s="28" customFormat="1" x14ac:dyDescent="0.25">
      <c r="Y595" s="24"/>
    </row>
    <row r="596" spans="20:25" s="28" customFormat="1" x14ac:dyDescent="0.25">
      <c r="Y596" s="24"/>
    </row>
    <row r="597" spans="20:25" s="28" customFormat="1" x14ac:dyDescent="0.25">
      <c r="Y597" s="24"/>
    </row>
    <row r="598" spans="20:25" s="28" customFormat="1" x14ac:dyDescent="0.25">
      <c r="Y598" s="24"/>
    </row>
    <row r="599" spans="20:25" s="28" customFormat="1" x14ac:dyDescent="0.25">
      <c r="Y599" s="24"/>
    </row>
    <row r="600" spans="20:25" s="28" customFormat="1" x14ac:dyDescent="0.25">
      <c r="T600" s="28" t="b">
        <f>IF(R1608="Display","",IF(U599,F1607,IF(V599,F1607,IF(W599,F1607))))</f>
        <v>0</v>
      </c>
      <c r="Y600" s="24"/>
    </row>
    <row r="601" spans="20:25" s="28" customFormat="1" x14ac:dyDescent="0.25">
      <c r="Y601" s="24"/>
    </row>
    <row r="602" spans="20:25" s="28" customFormat="1" x14ac:dyDescent="0.25">
      <c r="Y602" s="24"/>
    </row>
    <row r="603" spans="20:25" s="28" customFormat="1" x14ac:dyDescent="0.25">
      <c r="Y603" s="24"/>
    </row>
    <row r="604" spans="20:25" s="28" customFormat="1" x14ac:dyDescent="0.25">
      <c r="Y604" s="24"/>
    </row>
    <row r="605" spans="20:25" s="28" customFormat="1" x14ac:dyDescent="0.25">
      <c r="Y605" s="24"/>
    </row>
    <row r="606" spans="20:25" s="28" customFormat="1" x14ac:dyDescent="0.25">
      <c r="Y606" s="24"/>
    </row>
    <row r="607" spans="20:25" s="28" customFormat="1" x14ac:dyDescent="0.25">
      <c r="Y607" s="24"/>
    </row>
    <row r="608" spans="20:25" s="28" customFormat="1" x14ac:dyDescent="0.25">
      <c r="Y608" s="24"/>
    </row>
    <row r="609" spans="25:25" s="28" customFormat="1" x14ac:dyDescent="0.25">
      <c r="Y609" s="24"/>
    </row>
    <row r="610" spans="25:25" s="28" customFormat="1" x14ac:dyDescent="0.25">
      <c r="Y610" s="24"/>
    </row>
    <row r="611" spans="25:25" s="28" customFormat="1" x14ac:dyDescent="0.25">
      <c r="Y611" s="24"/>
    </row>
    <row r="612" spans="25:25" s="28" customFormat="1" x14ac:dyDescent="0.25">
      <c r="Y612" s="24"/>
    </row>
    <row r="613" spans="25:25" s="28" customFormat="1" x14ac:dyDescent="0.25">
      <c r="Y613" s="24"/>
    </row>
    <row r="614" spans="25:25" s="28" customFormat="1" x14ac:dyDescent="0.25">
      <c r="Y614" s="24"/>
    </row>
    <row r="615" spans="25:25" s="28" customFormat="1" x14ac:dyDescent="0.25">
      <c r="Y615" s="24"/>
    </row>
    <row r="616" spans="25:25" s="28" customFormat="1" x14ac:dyDescent="0.25">
      <c r="Y616" s="24"/>
    </row>
    <row r="617" spans="25:25" s="28" customFormat="1" x14ac:dyDescent="0.25">
      <c r="Y617" s="24"/>
    </row>
    <row r="618" spans="25:25" s="28" customFormat="1" x14ac:dyDescent="0.25">
      <c r="Y618" s="24"/>
    </row>
    <row r="619" spans="25:25" s="28" customFormat="1" x14ac:dyDescent="0.25">
      <c r="Y619" s="24"/>
    </row>
    <row r="620" spans="25:25" s="28" customFormat="1" x14ac:dyDescent="0.25">
      <c r="Y620" s="24"/>
    </row>
    <row r="621" spans="25:25" s="28" customFormat="1" x14ac:dyDescent="0.25">
      <c r="Y621" s="24"/>
    </row>
    <row r="622" spans="25:25" s="28" customFormat="1" x14ac:dyDescent="0.25">
      <c r="Y622" s="24"/>
    </row>
    <row r="623" spans="25:25" s="28" customFormat="1" x14ac:dyDescent="0.25">
      <c r="Y623" s="24"/>
    </row>
    <row r="624" spans="25:25" s="28" customFormat="1" x14ac:dyDescent="0.25">
      <c r="Y624" s="24"/>
    </row>
    <row r="625" spans="25:25" s="28" customFormat="1" x14ac:dyDescent="0.25">
      <c r="Y625" s="24"/>
    </row>
    <row r="626" spans="25:25" s="28" customFormat="1" x14ac:dyDescent="0.25">
      <c r="Y626" s="24"/>
    </row>
    <row r="627" spans="25:25" s="28" customFormat="1" x14ac:dyDescent="0.25">
      <c r="Y627" s="24"/>
    </row>
    <row r="628" spans="25:25" s="28" customFormat="1" x14ac:dyDescent="0.25">
      <c r="Y628" s="24"/>
    </row>
    <row r="629" spans="25:25" s="28" customFormat="1" x14ac:dyDescent="0.25">
      <c r="Y629" s="24"/>
    </row>
    <row r="630" spans="25:25" s="28" customFormat="1" x14ac:dyDescent="0.25">
      <c r="Y630" s="24"/>
    </row>
    <row r="631" spans="25:25" s="28" customFormat="1" x14ac:dyDescent="0.25">
      <c r="Y631" s="24"/>
    </row>
    <row r="632" spans="25:25" s="28" customFormat="1" x14ac:dyDescent="0.25">
      <c r="Y632" s="24"/>
    </row>
    <row r="633" spans="25:25" s="28" customFormat="1" x14ac:dyDescent="0.25">
      <c r="Y633" s="24"/>
    </row>
    <row r="634" spans="25:25" s="28" customFormat="1" x14ac:dyDescent="0.25">
      <c r="Y634" s="24"/>
    </row>
    <row r="635" spans="25:25" s="28" customFormat="1" x14ac:dyDescent="0.25">
      <c r="Y635" s="24"/>
    </row>
    <row r="636" spans="25:25" s="28" customFormat="1" x14ac:dyDescent="0.25">
      <c r="Y636" s="24"/>
    </row>
    <row r="637" spans="25:25" s="28" customFormat="1" x14ac:dyDescent="0.25">
      <c r="Y637" s="24"/>
    </row>
    <row r="638" spans="25:25" s="28" customFormat="1" x14ac:dyDescent="0.25">
      <c r="Y638" s="24"/>
    </row>
    <row r="639" spans="25:25" s="28" customFormat="1" x14ac:dyDescent="0.25">
      <c r="Y639" s="24"/>
    </row>
    <row r="640" spans="25:25" s="28" customFormat="1" x14ac:dyDescent="0.25">
      <c r="Y640" s="24"/>
    </row>
    <row r="641" spans="25:25" s="28" customFormat="1" x14ac:dyDescent="0.25">
      <c r="Y641" s="24"/>
    </row>
    <row r="642" spans="25:25" s="28" customFormat="1" x14ac:dyDescent="0.25">
      <c r="Y642" s="24"/>
    </row>
    <row r="643" spans="25:25" s="28" customFormat="1" x14ac:dyDescent="0.25">
      <c r="Y643" s="24"/>
    </row>
    <row r="644" spans="25:25" s="28" customFormat="1" x14ac:dyDescent="0.25">
      <c r="Y644" s="24"/>
    </row>
    <row r="645" spans="25:25" s="28" customFormat="1" x14ac:dyDescent="0.25">
      <c r="Y645" s="24"/>
    </row>
    <row r="646" spans="25:25" s="28" customFormat="1" x14ac:dyDescent="0.25">
      <c r="Y646" s="24"/>
    </row>
    <row r="647" spans="25:25" s="28" customFormat="1" x14ac:dyDescent="0.25">
      <c r="Y647" s="24"/>
    </row>
    <row r="648" spans="25:25" s="28" customFormat="1" x14ac:dyDescent="0.25">
      <c r="Y648" s="24"/>
    </row>
    <row r="649" spans="25:25" s="28" customFormat="1" x14ac:dyDescent="0.25">
      <c r="Y649" s="24"/>
    </row>
    <row r="650" spans="25:25" s="28" customFormat="1" x14ac:dyDescent="0.25">
      <c r="Y650" s="24"/>
    </row>
    <row r="651" spans="25:25" s="28" customFormat="1" x14ac:dyDescent="0.25">
      <c r="Y651" s="24"/>
    </row>
    <row r="652" spans="25:25" s="28" customFormat="1" x14ac:dyDescent="0.25">
      <c r="Y652" s="24"/>
    </row>
    <row r="653" spans="25:25" s="28" customFormat="1" x14ac:dyDescent="0.25">
      <c r="Y653" s="24"/>
    </row>
    <row r="654" spans="25:25" s="28" customFormat="1" x14ac:dyDescent="0.25">
      <c r="Y654" s="24"/>
    </row>
    <row r="655" spans="25:25" s="28" customFormat="1" x14ac:dyDescent="0.25">
      <c r="Y655" s="24"/>
    </row>
    <row r="656" spans="25:25" s="28" customFormat="1" x14ac:dyDescent="0.25">
      <c r="Y656" s="24"/>
    </row>
    <row r="657" spans="1:25" s="28" customFormat="1" x14ac:dyDescent="0.25">
      <c r="Y657" s="24"/>
    </row>
    <row r="658" spans="1:25" s="28" customFormat="1" x14ac:dyDescent="0.25">
      <c r="Y658" s="24"/>
    </row>
    <row r="659" spans="1:25" s="28" customFormat="1" x14ac:dyDescent="0.25">
      <c r="Y659" s="24"/>
    </row>
    <row r="660" spans="1:25" s="28" customFormat="1" x14ac:dyDescent="0.25">
      <c r="Y660" s="24"/>
    </row>
    <row r="661" spans="1:25" s="28" customFormat="1" x14ac:dyDescent="0.25">
      <c r="Y661" s="24"/>
    </row>
    <row r="662" spans="1:25" s="28" customFormat="1" x14ac:dyDescent="0.25">
      <c r="Y662" s="24"/>
    </row>
    <row r="663" spans="1:25" s="28" customFormat="1" x14ac:dyDescent="0.25">
      <c r="Y663" s="24"/>
    </row>
    <row r="664" spans="1:25" s="28" customFormat="1" x14ac:dyDescent="0.25">
      <c r="Y664" s="24"/>
    </row>
    <row r="665" spans="1:25" x14ac:dyDescent="0.25">
      <c r="A665" s="63"/>
      <c r="B665" s="64"/>
      <c r="C665" s="64"/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28"/>
    </row>
    <row r="666" spans="1:25" x14ac:dyDescent="0.25">
      <c r="A666" s="63"/>
      <c r="B666" s="64"/>
      <c r="C666" s="64"/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28"/>
    </row>
    <row r="667" spans="1:25" x14ac:dyDescent="0.25">
      <c r="A667" s="63"/>
      <c r="B667" s="64"/>
      <c r="C667" s="64"/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28"/>
    </row>
    <row r="668" spans="1:25" x14ac:dyDescent="0.25">
      <c r="A668" s="63"/>
      <c r="B668" s="64"/>
      <c r="C668" s="64"/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28"/>
    </row>
    <row r="669" spans="1:25" x14ac:dyDescent="0.25">
      <c r="A669" s="63"/>
      <c r="B669" s="64"/>
      <c r="C669" s="64"/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28"/>
    </row>
    <row r="670" spans="1:25" x14ac:dyDescent="0.25">
      <c r="A670" s="63"/>
      <c r="B670" s="64"/>
      <c r="C670" s="64"/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28"/>
    </row>
    <row r="671" spans="1:25" x14ac:dyDescent="0.25">
      <c r="A671" s="63"/>
      <c r="B671" s="64"/>
      <c r="C671" s="64"/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28"/>
    </row>
    <row r="672" spans="1:25" x14ac:dyDescent="0.25">
      <c r="A672" s="63"/>
      <c r="B672" s="64"/>
      <c r="C672" s="64"/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28"/>
    </row>
    <row r="673" spans="1:18" x14ac:dyDescent="0.25">
      <c r="A673" s="63"/>
      <c r="B673" s="64"/>
      <c r="C673" s="64"/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28"/>
    </row>
    <row r="674" spans="1:18" x14ac:dyDescent="0.25">
      <c r="A674" s="63"/>
      <c r="B674" s="64"/>
      <c r="C674" s="64"/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28"/>
    </row>
    <row r="675" spans="1:18" x14ac:dyDescent="0.25">
      <c r="A675" s="63"/>
      <c r="B675" s="64"/>
      <c r="C675" s="64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28"/>
    </row>
    <row r="676" spans="1:18" x14ac:dyDescent="0.25">
      <c r="A676" s="63"/>
      <c r="B676" s="64"/>
      <c r="C676" s="64"/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28"/>
    </row>
    <row r="677" spans="1:18" x14ac:dyDescent="0.25">
      <c r="A677" s="63"/>
      <c r="B677" s="64"/>
      <c r="C677" s="64"/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28"/>
    </row>
    <row r="678" spans="1:18" x14ac:dyDescent="0.25">
      <c r="A678" s="63"/>
      <c r="B678" s="64"/>
      <c r="C678" s="64"/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28"/>
    </row>
    <row r="679" spans="1:18" x14ac:dyDescent="0.25">
      <c r="A679" s="63"/>
      <c r="B679" s="64"/>
      <c r="C679" s="64"/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28"/>
    </row>
    <row r="680" spans="1:18" x14ac:dyDescent="0.25">
      <c r="A680" s="63"/>
      <c r="B680" s="64"/>
      <c r="C680" s="64"/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28"/>
    </row>
    <row r="681" spans="1:18" x14ac:dyDescent="0.25">
      <c r="A681" s="63"/>
      <c r="B681" s="64"/>
      <c r="C681" s="64"/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28"/>
    </row>
    <row r="682" spans="1:18" x14ac:dyDescent="0.25">
      <c r="A682" s="63"/>
      <c r="B682" s="64"/>
      <c r="C682" s="64"/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28"/>
    </row>
    <row r="683" spans="1:18" x14ac:dyDescent="0.25">
      <c r="A683" s="63"/>
      <c r="B683" s="64"/>
      <c r="C683" s="64"/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28"/>
    </row>
    <row r="684" spans="1:18" x14ac:dyDescent="0.25">
      <c r="A684" s="63"/>
      <c r="B684" s="64"/>
      <c r="C684" s="64"/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28"/>
    </row>
    <row r="685" spans="1:18" x14ac:dyDescent="0.25">
      <c r="A685" s="63"/>
      <c r="B685" s="64"/>
      <c r="C685" s="64"/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28"/>
    </row>
    <row r="686" spans="1:18" x14ac:dyDescent="0.25">
      <c r="A686" s="63"/>
      <c r="B686" s="64"/>
      <c r="C686" s="64"/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28"/>
    </row>
    <row r="687" spans="1:18" x14ac:dyDescent="0.25">
      <c r="A687" s="63"/>
      <c r="B687" s="64"/>
      <c r="C687" s="64"/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28"/>
    </row>
    <row r="688" spans="1:18" x14ac:dyDescent="0.25">
      <c r="A688" s="63"/>
      <c r="B688" s="64"/>
      <c r="C688" s="64"/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28"/>
    </row>
    <row r="689" spans="1:18" x14ac:dyDescent="0.25">
      <c r="A689" s="63"/>
      <c r="B689" s="64"/>
      <c r="C689" s="64"/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28"/>
    </row>
    <row r="690" spans="1:18" x14ac:dyDescent="0.25">
      <c r="A690" s="63"/>
      <c r="B690" s="64"/>
      <c r="C690" s="64"/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28"/>
    </row>
    <row r="691" spans="1:18" x14ac:dyDescent="0.25">
      <c r="A691" s="63"/>
      <c r="B691" s="64"/>
      <c r="C691" s="64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28"/>
    </row>
    <row r="692" spans="1:18" x14ac:dyDescent="0.25">
      <c r="A692" s="63"/>
      <c r="B692" s="64"/>
      <c r="C692" s="64"/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28"/>
    </row>
    <row r="693" spans="1:18" x14ac:dyDescent="0.25">
      <c r="A693" s="63"/>
      <c r="B693" s="64"/>
      <c r="C693" s="64"/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28"/>
    </row>
    <row r="694" spans="1:18" x14ac:dyDescent="0.25">
      <c r="A694" s="63"/>
      <c r="B694" s="64"/>
      <c r="C694" s="64"/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28"/>
    </row>
    <row r="695" spans="1:18" x14ac:dyDescent="0.25">
      <c r="A695" s="63"/>
      <c r="B695" s="64"/>
      <c r="C695" s="64"/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28"/>
    </row>
    <row r="696" spans="1:18" x14ac:dyDescent="0.25">
      <c r="A696" s="63"/>
      <c r="B696" s="64"/>
      <c r="C696" s="64"/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28"/>
    </row>
    <row r="697" spans="1:18" x14ac:dyDescent="0.25">
      <c r="A697" s="63"/>
      <c r="B697" s="64"/>
      <c r="C697" s="64"/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28"/>
    </row>
    <row r="698" spans="1:18" x14ac:dyDescent="0.25">
      <c r="A698" s="63"/>
      <c r="B698" s="64"/>
      <c r="C698" s="64"/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28"/>
    </row>
    <row r="699" spans="1:18" x14ac:dyDescent="0.25">
      <c r="A699" s="63"/>
      <c r="B699" s="64"/>
      <c r="C699" s="64"/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28"/>
    </row>
    <row r="700" spans="1:18" x14ac:dyDescent="0.25">
      <c r="A700" s="63"/>
      <c r="B700" s="64"/>
      <c r="C700" s="64"/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28"/>
    </row>
    <row r="701" spans="1:18" x14ac:dyDescent="0.25">
      <c r="A701" s="63"/>
      <c r="B701" s="64"/>
      <c r="C701" s="64"/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28"/>
    </row>
    <row r="702" spans="1:18" x14ac:dyDescent="0.25">
      <c r="A702" s="63"/>
      <c r="B702" s="64"/>
      <c r="C702" s="64"/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28"/>
    </row>
    <row r="703" spans="1:18" x14ac:dyDescent="0.25">
      <c r="A703" s="63"/>
      <c r="B703" s="64"/>
      <c r="C703" s="64"/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28"/>
    </row>
    <row r="704" spans="1:18" x14ac:dyDescent="0.25">
      <c r="A704" s="63"/>
      <c r="B704" s="64"/>
      <c r="C704" s="64"/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28"/>
    </row>
    <row r="705" spans="1:18" x14ac:dyDescent="0.25">
      <c r="A705" s="63"/>
      <c r="B705" s="64"/>
      <c r="C705" s="64"/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28"/>
    </row>
    <row r="706" spans="1:18" x14ac:dyDescent="0.25">
      <c r="A706" s="63"/>
      <c r="B706" s="64"/>
      <c r="C706" s="64"/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28"/>
    </row>
    <row r="707" spans="1:18" x14ac:dyDescent="0.25">
      <c r="A707" s="63"/>
      <c r="B707" s="64"/>
      <c r="C707" s="64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28"/>
    </row>
    <row r="708" spans="1:18" x14ac:dyDescent="0.25">
      <c r="A708" s="63"/>
      <c r="B708" s="64"/>
      <c r="C708" s="64"/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28"/>
    </row>
    <row r="709" spans="1:18" x14ac:dyDescent="0.25">
      <c r="A709" s="63"/>
      <c r="B709" s="64"/>
      <c r="C709" s="64"/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28"/>
    </row>
    <row r="710" spans="1:18" x14ac:dyDescent="0.25">
      <c r="A710" s="63"/>
      <c r="B710" s="64"/>
      <c r="C710" s="64"/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28"/>
    </row>
    <row r="711" spans="1:18" x14ac:dyDescent="0.25">
      <c r="A711" s="63"/>
      <c r="B711" s="64"/>
      <c r="C711" s="64"/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28"/>
    </row>
    <row r="712" spans="1:18" x14ac:dyDescent="0.25">
      <c r="A712" s="63"/>
      <c r="B712" s="64"/>
      <c r="C712" s="64"/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28"/>
    </row>
    <row r="713" spans="1:18" x14ac:dyDescent="0.25">
      <c r="A713" s="63"/>
      <c r="B713" s="64"/>
      <c r="C713" s="64"/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28"/>
    </row>
    <row r="714" spans="1:18" x14ac:dyDescent="0.25">
      <c r="A714" s="63"/>
      <c r="B714" s="64"/>
      <c r="C714" s="64"/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28"/>
    </row>
    <row r="715" spans="1:18" x14ac:dyDescent="0.25">
      <c r="A715" s="63"/>
      <c r="B715" s="64"/>
      <c r="C715" s="64"/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28"/>
    </row>
    <row r="716" spans="1:18" x14ac:dyDescent="0.25">
      <c r="A716" s="63"/>
      <c r="B716" s="64"/>
      <c r="C716" s="64"/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28"/>
    </row>
    <row r="717" spans="1:18" x14ac:dyDescent="0.25">
      <c r="A717" s="63"/>
      <c r="B717" s="64"/>
      <c r="C717" s="64"/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28"/>
    </row>
    <row r="718" spans="1:18" x14ac:dyDescent="0.25">
      <c r="A718" s="63"/>
      <c r="B718" s="64"/>
      <c r="C718" s="64"/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28"/>
    </row>
    <row r="719" spans="1:18" x14ac:dyDescent="0.25">
      <c r="A719" s="63"/>
      <c r="B719" s="64"/>
      <c r="C719" s="64"/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28"/>
    </row>
    <row r="720" spans="1:18" x14ac:dyDescent="0.25">
      <c r="A720" s="63"/>
      <c r="B720" s="64"/>
      <c r="C720" s="64"/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28"/>
    </row>
    <row r="721" spans="1:18" x14ac:dyDescent="0.25">
      <c r="A721" s="63"/>
      <c r="B721" s="64"/>
      <c r="C721" s="64"/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28"/>
    </row>
    <row r="722" spans="1:18" x14ac:dyDescent="0.25">
      <c r="A722" s="63"/>
      <c r="B722" s="64"/>
      <c r="C722" s="64"/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28"/>
    </row>
    <row r="723" spans="1:18" x14ac:dyDescent="0.25">
      <c r="A723" s="63"/>
      <c r="B723" s="64"/>
      <c r="C723" s="64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28"/>
    </row>
    <row r="724" spans="1:18" x14ac:dyDescent="0.25">
      <c r="A724" s="63"/>
      <c r="B724" s="64"/>
      <c r="C724" s="64"/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28"/>
    </row>
    <row r="725" spans="1:18" x14ac:dyDescent="0.25">
      <c r="A725" s="63"/>
      <c r="B725" s="64"/>
      <c r="C725" s="64"/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28"/>
    </row>
    <row r="726" spans="1:18" x14ac:dyDescent="0.25">
      <c r="A726" s="63"/>
      <c r="B726" s="64"/>
      <c r="C726" s="64"/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28"/>
    </row>
    <row r="727" spans="1:18" x14ac:dyDescent="0.25">
      <c r="A727" s="63"/>
      <c r="B727" s="64"/>
      <c r="C727" s="64"/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28"/>
    </row>
    <row r="728" spans="1:18" x14ac:dyDescent="0.25">
      <c r="A728" s="63"/>
      <c r="B728" s="64"/>
      <c r="C728" s="64"/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28"/>
    </row>
    <row r="729" spans="1:18" x14ac:dyDescent="0.25">
      <c r="A729" s="63"/>
      <c r="B729" s="64"/>
      <c r="C729" s="64"/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28"/>
    </row>
    <row r="730" spans="1:18" x14ac:dyDescent="0.25">
      <c r="A730" s="63"/>
      <c r="B730" s="64"/>
      <c r="C730" s="64"/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28"/>
    </row>
    <row r="731" spans="1:18" x14ac:dyDescent="0.25">
      <c r="A731" s="63"/>
      <c r="B731" s="64"/>
      <c r="C731" s="64"/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28"/>
    </row>
    <row r="732" spans="1:18" x14ac:dyDescent="0.25">
      <c r="A732" s="63"/>
      <c r="B732" s="64"/>
      <c r="C732" s="64"/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28"/>
    </row>
    <row r="733" spans="1:18" x14ac:dyDescent="0.25">
      <c r="A733" s="63"/>
      <c r="B733" s="64"/>
      <c r="C733" s="64"/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28"/>
    </row>
    <row r="734" spans="1:18" x14ac:dyDescent="0.25">
      <c r="A734" s="63"/>
      <c r="B734" s="64"/>
      <c r="C734" s="64"/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28"/>
    </row>
    <row r="735" spans="1:18" x14ac:dyDescent="0.25">
      <c r="A735" s="63"/>
      <c r="B735" s="64"/>
      <c r="C735" s="64"/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28"/>
    </row>
    <row r="736" spans="1:18" x14ac:dyDescent="0.25">
      <c r="A736" s="63"/>
      <c r="B736" s="64"/>
      <c r="C736" s="64"/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28"/>
    </row>
    <row r="737" spans="1:18" x14ac:dyDescent="0.25">
      <c r="A737" s="63"/>
      <c r="B737" s="64"/>
      <c r="C737" s="64"/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28"/>
    </row>
    <row r="738" spans="1:18" x14ac:dyDescent="0.25">
      <c r="A738" s="63"/>
      <c r="B738" s="64"/>
      <c r="C738" s="64"/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28"/>
    </row>
    <row r="739" spans="1:18" x14ac:dyDescent="0.25">
      <c r="A739" s="63"/>
      <c r="B739" s="64"/>
      <c r="C739" s="64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28"/>
    </row>
    <row r="740" spans="1:18" x14ac:dyDescent="0.25">
      <c r="A740" s="63"/>
      <c r="B740" s="64"/>
      <c r="C740" s="64"/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28"/>
    </row>
    <row r="741" spans="1:18" x14ac:dyDescent="0.25">
      <c r="A741" s="63"/>
      <c r="B741" s="64"/>
      <c r="C741" s="64"/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28"/>
    </row>
    <row r="742" spans="1:18" x14ac:dyDescent="0.25">
      <c r="A742" s="63"/>
      <c r="B742" s="64"/>
      <c r="C742" s="64"/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28"/>
    </row>
    <row r="743" spans="1:18" x14ac:dyDescent="0.25">
      <c r="A743" s="63"/>
      <c r="B743" s="64"/>
      <c r="C743" s="64"/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28"/>
    </row>
    <row r="744" spans="1:18" x14ac:dyDescent="0.25">
      <c r="A744" s="63"/>
      <c r="B744" s="64"/>
      <c r="C744" s="64"/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28"/>
    </row>
    <row r="745" spans="1:18" x14ac:dyDescent="0.25">
      <c r="A745" s="63"/>
      <c r="B745" s="64"/>
      <c r="C745" s="64"/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28"/>
    </row>
    <row r="746" spans="1:18" x14ac:dyDescent="0.25">
      <c r="A746" s="63"/>
      <c r="B746" s="64"/>
      <c r="C746" s="64"/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28"/>
    </row>
    <row r="747" spans="1:18" x14ac:dyDescent="0.25">
      <c r="A747" s="63"/>
      <c r="B747" s="64"/>
      <c r="C747" s="64"/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28"/>
    </row>
    <row r="748" spans="1:18" x14ac:dyDescent="0.25">
      <c r="A748" s="63"/>
      <c r="B748" s="64"/>
      <c r="C748" s="64"/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28"/>
    </row>
    <row r="749" spans="1:18" x14ac:dyDescent="0.25">
      <c r="A749" s="63"/>
      <c r="B749" s="64"/>
      <c r="C749" s="64"/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28"/>
    </row>
    <row r="750" spans="1:18" x14ac:dyDescent="0.25">
      <c r="A750" s="63"/>
      <c r="B750" s="64"/>
      <c r="C750" s="64"/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28"/>
    </row>
    <row r="751" spans="1:18" x14ac:dyDescent="0.25">
      <c r="A751" s="63"/>
      <c r="B751" s="64"/>
      <c r="C751" s="64"/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28"/>
    </row>
    <row r="752" spans="1:18" x14ac:dyDescent="0.25">
      <c r="A752" s="63"/>
      <c r="B752" s="64"/>
      <c r="C752" s="64"/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28"/>
    </row>
    <row r="753" spans="1:18" x14ac:dyDescent="0.25">
      <c r="A753" s="63"/>
      <c r="B753" s="64"/>
      <c r="C753" s="64"/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28"/>
    </row>
    <row r="754" spans="1:18" x14ac:dyDescent="0.25">
      <c r="A754" s="63"/>
      <c r="B754" s="64"/>
      <c r="C754" s="64"/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28"/>
    </row>
    <row r="755" spans="1:18" x14ac:dyDescent="0.25">
      <c r="A755" s="63"/>
      <c r="B755" s="64"/>
      <c r="C755" s="64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28"/>
    </row>
    <row r="756" spans="1:18" x14ac:dyDescent="0.25">
      <c r="A756" s="63"/>
      <c r="B756" s="64"/>
      <c r="C756" s="64"/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28"/>
    </row>
    <row r="757" spans="1:18" x14ac:dyDescent="0.25">
      <c r="A757" s="63"/>
      <c r="B757" s="64"/>
      <c r="C757" s="64"/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28"/>
    </row>
    <row r="758" spans="1:18" x14ac:dyDescent="0.25">
      <c r="A758" s="63"/>
      <c r="B758" s="64"/>
      <c r="C758" s="64"/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28"/>
    </row>
    <row r="759" spans="1:18" x14ac:dyDescent="0.25">
      <c r="A759" s="63"/>
      <c r="B759" s="64"/>
      <c r="C759" s="64"/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28"/>
    </row>
    <row r="760" spans="1:18" x14ac:dyDescent="0.25">
      <c r="A760" s="63"/>
      <c r="B760" s="64"/>
      <c r="C760" s="64"/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28"/>
    </row>
    <row r="761" spans="1:18" x14ac:dyDescent="0.25">
      <c r="A761" s="63"/>
      <c r="B761" s="64"/>
      <c r="C761" s="64"/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28"/>
    </row>
    <row r="762" spans="1:18" x14ac:dyDescent="0.25">
      <c r="A762" s="63"/>
      <c r="B762" s="64"/>
      <c r="C762" s="64"/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28"/>
    </row>
    <row r="763" spans="1:18" x14ac:dyDescent="0.25">
      <c r="A763" s="63"/>
      <c r="B763" s="64"/>
      <c r="C763" s="64"/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28"/>
    </row>
    <row r="764" spans="1:18" x14ac:dyDescent="0.25">
      <c r="A764" s="63"/>
      <c r="B764" s="64"/>
      <c r="C764" s="64"/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28"/>
    </row>
    <row r="765" spans="1:18" x14ac:dyDescent="0.25">
      <c r="A765" s="63"/>
      <c r="B765" s="64"/>
      <c r="C765" s="64"/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28"/>
    </row>
    <row r="766" spans="1:18" x14ac:dyDescent="0.25">
      <c r="A766" s="63"/>
      <c r="B766" s="64"/>
      <c r="C766" s="64"/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28"/>
    </row>
    <row r="767" spans="1:18" x14ac:dyDescent="0.25">
      <c r="A767" s="63"/>
      <c r="B767" s="64"/>
      <c r="C767" s="64"/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28"/>
    </row>
    <row r="768" spans="1:18" x14ac:dyDescent="0.25">
      <c r="A768" s="63"/>
      <c r="B768" s="64"/>
      <c r="C768" s="64"/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28"/>
    </row>
    <row r="769" spans="1:18" x14ac:dyDescent="0.25">
      <c r="A769" s="63"/>
      <c r="B769" s="64"/>
      <c r="C769" s="64"/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28"/>
    </row>
    <row r="770" spans="1:18" x14ac:dyDescent="0.25">
      <c r="A770" s="63"/>
      <c r="B770" s="64"/>
      <c r="C770" s="64"/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28"/>
    </row>
    <row r="771" spans="1:18" x14ac:dyDescent="0.25">
      <c r="A771" s="63"/>
      <c r="B771" s="64"/>
      <c r="C771" s="64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28"/>
    </row>
    <row r="772" spans="1:18" x14ac:dyDescent="0.25">
      <c r="A772" s="63"/>
      <c r="B772" s="64"/>
      <c r="C772" s="64"/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28"/>
    </row>
    <row r="773" spans="1:18" x14ac:dyDescent="0.25">
      <c r="A773" s="63"/>
      <c r="B773" s="64"/>
      <c r="C773" s="64"/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28"/>
    </row>
    <row r="774" spans="1:18" x14ac:dyDescent="0.25">
      <c r="A774" s="63"/>
      <c r="B774" s="64"/>
      <c r="C774" s="64"/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28"/>
    </row>
    <row r="775" spans="1:18" x14ac:dyDescent="0.25">
      <c r="A775" s="63"/>
      <c r="B775" s="64"/>
      <c r="C775" s="64"/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28"/>
    </row>
    <row r="776" spans="1:18" x14ac:dyDescent="0.25">
      <c r="A776" s="63"/>
      <c r="B776" s="64"/>
      <c r="C776" s="64"/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28"/>
    </row>
    <row r="777" spans="1:18" x14ac:dyDescent="0.25">
      <c r="A777" s="63"/>
      <c r="B777" s="64"/>
      <c r="C777" s="64"/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28"/>
    </row>
    <row r="778" spans="1:18" x14ac:dyDescent="0.25">
      <c r="A778" s="63"/>
      <c r="B778" s="64"/>
      <c r="C778" s="64"/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28"/>
    </row>
    <row r="779" spans="1:18" x14ac:dyDescent="0.25">
      <c r="A779" s="63"/>
      <c r="B779" s="64"/>
      <c r="C779" s="64"/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28"/>
    </row>
    <row r="780" spans="1:18" x14ac:dyDescent="0.25">
      <c r="A780" s="63"/>
      <c r="B780" s="64"/>
      <c r="C780" s="64"/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28"/>
    </row>
    <row r="781" spans="1:18" x14ac:dyDescent="0.25">
      <c r="A781" s="63"/>
      <c r="B781" s="64"/>
      <c r="C781" s="64"/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28"/>
    </row>
    <row r="782" spans="1:18" x14ac:dyDescent="0.25">
      <c r="A782" s="63"/>
      <c r="B782" s="64"/>
      <c r="C782" s="64"/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28"/>
    </row>
    <row r="783" spans="1:18" x14ac:dyDescent="0.25">
      <c r="A783" s="63"/>
      <c r="B783" s="64"/>
      <c r="C783" s="64"/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28"/>
    </row>
    <row r="784" spans="1:18" x14ac:dyDescent="0.25">
      <c r="A784" s="63"/>
      <c r="B784" s="64"/>
      <c r="C784" s="64"/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28"/>
    </row>
    <row r="785" spans="1:18" x14ac:dyDescent="0.25">
      <c r="A785" s="63"/>
      <c r="B785" s="64"/>
      <c r="C785" s="64"/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28"/>
    </row>
    <row r="786" spans="1:18" x14ac:dyDescent="0.25">
      <c r="A786" s="63"/>
      <c r="B786" s="64"/>
      <c r="C786" s="64"/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28"/>
    </row>
    <row r="787" spans="1:18" x14ac:dyDescent="0.25">
      <c r="A787" s="63"/>
      <c r="B787" s="64"/>
      <c r="C787" s="64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28"/>
    </row>
    <row r="788" spans="1:18" x14ac:dyDescent="0.25">
      <c r="A788" s="63"/>
      <c r="B788" s="64"/>
      <c r="C788" s="64"/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28"/>
    </row>
    <row r="789" spans="1:18" x14ac:dyDescent="0.25">
      <c r="A789" s="63"/>
      <c r="B789" s="64"/>
      <c r="C789" s="64"/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28"/>
    </row>
    <row r="790" spans="1:18" x14ac:dyDescent="0.25">
      <c r="A790" s="63"/>
      <c r="B790" s="64"/>
      <c r="C790" s="64"/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28"/>
    </row>
    <row r="791" spans="1:18" x14ac:dyDescent="0.25">
      <c r="A791" s="63"/>
      <c r="B791" s="64"/>
      <c r="C791" s="64"/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28"/>
    </row>
    <row r="792" spans="1:18" x14ac:dyDescent="0.25">
      <c r="A792" s="63"/>
      <c r="B792" s="64"/>
      <c r="C792" s="64"/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28"/>
    </row>
    <row r="793" spans="1:18" x14ac:dyDescent="0.25">
      <c r="A793" s="63"/>
      <c r="B793" s="64"/>
      <c r="C793" s="64"/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28"/>
    </row>
    <row r="794" spans="1:18" x14ac:dyDescent="0.25">
      <c r="A794" s="63"/>
      <c r="B794" s="64"/>
      <c r="C794" s="64"/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28"/>
    </row>
    <row r="795" spans="1:18" x14ac:dyDescent="0.25">
      <c r="A795" s="63"/>
      <c r="B795" s="64"/>
      <c r="C795" s="64"/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28"/>
    </row>
    <row r="796" spans="1:18" x14ac:dyDescent="0.25">
      <c r="A796" s="63"/>
      <c r="B796" s="64"/>
      <c r="C796" s="64"/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28"/>
    </row>
    <row r="797" spans="1:18" x14ac:dyDescent="0.25">
      <c r="A797" s="63"/>
      <c r="B797" s="64"/>
      <c r="C797" s="64"/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28"/>
    </row>
    <row r="798" spans="1:18" x14ac:dyDescent="0.25">
      <c r="A798" s="63"/>
      <c r="B798" s="64"/>
      <c r="C798" s="64"/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28"/>
    </row>
    <row r="799" spans="1:18" x14ac:dyDescent="0.25">
      <c r="A799" s="63"/>
      <c r="B799" s="64"/>
      <c r="C799" s="64"/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28"/>
    </row>
    <row r="800" spans="1:18" x14ac:dyDescent="0.25">
      <c r="A800" s="63"/>
      <c r="B800" s="64"/>
      <c r="C800" s="64"/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28"/>
    </row>
    <row r="801" spans="1:18" x14ac:dyDescent="0.25">
      <c r="A801" s="63"/>
      <c r="B801" s="64"/>
      <c r="C801" s="64"/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28"/>
    </row>
    <row r="802" spans="1:18" x14ac:dyDescent="0.25">
      <c r="A802" s="63"/>
      <c r="B802" s="64"/>
      <c r="C802" s="64"/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28"/>
    </row>
    <row r="803" spans="1:18" x14ac:dyDescent="0.25">
      <c r="A803" s="63"/>
      <c r="B803" s="64"/>
      <c r="C803" s="64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28"/>
    </row>
    <row r="804" spans="1:18" x14ac:dyDescent="0.25">
      <c r="A804" s="63"/>
      <c r="B804" s="64"/>
      <c r="C804" s="64"/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28"/>
    </row>
    <row r="805" spans="1:18" x14ac:dyDescent="0.25">
      <c r="A805" s="63"/>
      <c r="B805" s="64"/>
      <c r="C805" s="64"/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28"/>
    </row>
    <row r="806" spans="1:18" x14ac:dyDescent="0.25">
      <c r="A806" s="63"/>
      <c r="B806" s="64"/>
      <c r="C806" s="64"/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28"/>
    </row>
    <row r="807" spans="1:18" x14ac:dyDescent="0.25">
      <c r="A807" s="63"/>
      <c r="B807" s="64"/>
      <c r="C807" s="64"/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28"/>
    </row>
    <row r="808" spans="1:18" x14ac:dyDescent="0.25">
      <c r="A808" s="63"/>
      <c r="B808" s="64"/>
      <c r="C808" s="64"/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28"/>
    </row>
    <row r="809" spans="1:18" x14ac:dyDescent="0.25">
      <c r="A809" s="63"/>
      <c r="B809" s="64"/>
      <c r="C809" s="64"/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28"/>
    </row>
    <row r="810" spans="1:18" x14ac:dyDescent="0.25">
      <c r="A810" s="63"/>
      <c r="B810" s="64"/>
      <c r="C810" s="64"/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28"/>
    </row>
    <row r="811" spans="1:18" x14ac:dyDescent="0.25">
      <c r="A811" s="63"/>
      <c r="B811" s="64"/>
      <c r="C811" s="64"/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28"/>
    </row>
    <row r="812" spans="1:18" x14ac:dyDescent="0.25">
      <c r="A812" s="63"/>
      <c r="B812" s="64"/>
      <c r="C812" s="64"/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28"/>
    </row>
    <row r="813" spans="1:18" x14ac:dyDescent="0.25">
      <c r="A813" s="63"/>
      <c r="B813" s="64"/>
      <c r="C813" s="64"/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28"/>
    </row>
    <row r="814" spans="1:18" x14ac:dyDescent="0.25">
      <c r="A814" s="63"/>
      <c r="B814" s="64"/>
      <c r="C814" s="64"/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28"/>
    </row>
    <row r="815" spans="1:18" x14ac:dyDescent="0.25">
      <c r="A815" s="63"/>
      <c r="B815" s="64"/>
      <c r="C815" s="64"/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28"/>
    </row>
    <row r="816" spans="1:18" x14ac:dyDescent="0.25">
      <c r="A816" s="63"/>
      <c r="B816" s="64"/>
      <c r="C816" s="64"/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28"/>
    </row>
    <row r="817" spans="1:18" x14ac:dyDescent="0.25">
      <c r="A817" s="63"/>
      <c r="B817" s="64"/>
      <c r="C817" s="64"/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28"/>
    </row>
    <row r="818" spans="1:18" x14ac:dyDescent="0.25">
      <c r="A818" s="63"/>
      <c r="B818" s="64"/>
      <c r="C818" s="64"/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28"/>
    </row>
    <row r="819" spans="1:18" x14ac:dyDescent="0.25">
      <c r="A819" s="63"/>
      <c r="B819" s="64"/>
      <c r="C819" s="64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28"/>
    </row>
    <row r="820" spans="1:18" x14ac:dyDescent="0.25">
      <c r="A820" s="63"/>
      <c r="B820" s="64"/>
      <c r="C820" s="64"/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28"/>
    </row>
    <row r="821" spans="1:18" x14ac:dyDescent="0.25">
      <c r="A821" s="63"/>
      <c r="B821" s="64"/>
      <c r="C821" s="64"/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28"/>
    </row>
    <row r="822" spans="1:18" x14ac:dyDescent="0.25">
      <c r="A822" s="63"/>
      <c r="B822" s="64"/>
      <c r="C822" s="64"/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28"/>
    </row>
    <row r="823" spans="1:18" x14ac:dyDescent="0.25">
      <c r="A823" s="63"/>
      <c r="B823" s="64"/>
      <c r="C823" s="64"/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28"/>
    </row>
    <row r="824" spans="1:18" x14ac:dyDescent="0.25">
      <c r="A824" s="63"/>
      <c r="B824" s="64"/>
      <c r="C824" s="64"/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28"/>
    </row>
    <row r="825" spans="1:18" x14ac:dyDescent="0.25">
      <c r="A825" s="63"/>
      <c r="B825" s="64"/>
      <c r="C825" s="64"/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28"/>
    </row>
    <row r="826" spans="1:18" x14ac:dyDescent="0.25">
      <c r="A826" s="63"/>
      <c r="B826" s="64"/>
      <c r="C826" s="64"/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28"/>
    </row>
    <row r="827" spans="1:18" x14ac:dyDescent="0.25">
      <c r="A827" s="63"/>
      <c r="B827" s="64"/>
      <c r="C827" s="64"/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28"/>
    </row>
    <row r="828" spans="1:18" x14ac:dyDescent="0.25">
      <c r="A828" s="63"/>
      <c r="B828" s="64"/>
      <c r="C828" s="64"/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28"/>
    </row>
    <row r="829" spans="1:18" x14ac:dyDescent="0.25">
      <c r="A829" s="63"/>
      <c r="B829" s="64"/>
      <c r="C829" s="64"/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28"/>
    </row>
    <row r="830" spans="1:18" x14ac:dyDescent="0.25">
      <c r="A830" s="63"/>
      <c r="B830" s="64"/>
      <c r="C830" s="64"/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28"/>
    </row>
    <row r="831" spans="1:18" x14ac:dyDescent="0.25">
      <c r="A831" s="63"/>
      <c r="B831" s="64"/>
      <c r="C831" s="64"/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28"/>
    </row>
    <row r="832" spans="1:18" x14ac:dyDescent="0.25">
      <c r="A832" s="63"/>
      <c r="B832" s="64"/>
      <c r="C832" s="64"/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28"/>
    </row>
    <row r="833" spans="1:18" x14ac:dyDescent="0.25">
      <c r="A833" s="63"/>
      <c r="B833" s="64"/>
      <c r="C833" s="64"/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28"/>
    </row>
    <row r="834" spans="1:18" x14ac:dyDescent="0.25">
      <c r="A834" s="63"/>
      <c r="B834" s="64"/>
      <c r="C834" s="64"/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28"/>
    </row>
    <row r="835" spans="1:18" x14ac:dyDescent="0.25">
      <c r="A835" s="63"/>
      <c r="B835" s="64"/>
      <c r="C835" s="64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28"/>
    </row>
    <row r="836" spans="1:18" x14ac:dyDescent="0.25">
      <c r="A836" s="63"/>
      <c r="B836" s="64"/>
      <c r="C836" s="64"/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28"/>
    </row>
    <row r="837" spans="1:18" x14ac:dyDescent="0.25">
      <c r="A837" s="63"/>
      <c r="B837" s="64"/>
      <c r="C837" s="64"/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28"/>
    </row>
    <row r="838" spans="1:18" x14ac:dyDescent="0.25">
      <c r="A838" s="63"/>
      <c r="B838" s="64"/>
      <c r="C838" s="64"/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28"/>
    </row>
    <row r="839" spans="1:18" x14ac:dyDescent="0.25">
      <c r="A839" s="63"/>
      <c r="B839" s="64"/>
      <c r="C839" s="64"/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28"/>
    </row>
    <row r="840" spans="1:18" x14ac:dyDescent="0.25">
      <c r="A840" s="63"/>
      <c r="B840" s="64"/>
      <c r="C840" s="64"/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28"/>
    </row>
    <row r="841" spans="1:18" x14ac:dyDescent="0.25">
      <c r="A841" s="63"/>
      <c r="B841" s="64"/>
      <c r="C841" s="64"/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28"/>
    </row>
    <row r="842" spans="1:18" x14ac:dyDescent="0.25">
      <c r="A842" s="63"/>
      <c r="B842" s="64"/>
      <c r="C842" s="64"/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28"/>
    </row>
    <row r="843" spans="1:18" x14ac:dyDescent="0.25">
      <c r="A843" s="63"/>
      <c r="B843" s="64"/>
      <c r="C843" s="64"/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28"/>
    </row>
    <row r="844" spans="1:18" x14ac:dyDescent="0.25">
      <c r="A844" s="63"/>
      <c r="B844" s="64"/>
      <c r="C844" s="64"/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28"/>
    </row>
    <row r="845" spans="1:18" x14ac:dyDescent="0.25">
      <c r="A845" s="63"/>
      <c r="B845" s="64"/>
      <c r="C845" s="64"/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28"/>
    </row>
    <row r="846" spans="1:18" x14ac:dyDescent="0.25">
      <c r="A846" s="63"/>
      <c r="B846" s="64"/>
      <c r="C846" s="64"/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28"/>
    </row>
    <row r="847" spans="1:18" x14ac:dyDescent="0.25">
      <c r="A847" s="63"/>
      <c r="B847" s="64"/>
      <c r="C847" s="64"/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28"/>
    </row>
    <row r="848" spans="1:18" x14ac:dyDescent="0.25">
      <c r="A848" s="63"/>
      <c r="B848" s="64"/>
      <c r="C848" s="64"/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28"/>
    </row>
    <row r="849" spans="1:18" x14ac:dyDescent="0.25">
      <c r="A849" s="63"/>
      <c r="B849" s="64"/>
      <c r="C849" s="64"/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28"/>
    </row>
    <row r="850" spans="1:18" x14ac:dyDescent="0.25">
      <c r="A850" s="63"/>
      <c r="B850" s="64"/>
      <c r="C850" s="64"/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28"/>
    </row>
    <row r="851" spans="1:18" x14ac:dyDescent="0.25">
      <c r="A851" s="63"/>
      <c r="B851" s="64"/>
      <c r="C851" s="64"/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28"/>
    </row>
    <row r="852" spans="1:18" x14ac:dyDescent="0.25">
      <c r="A852" s="63"/>
      <c r="B852" s="64"/>
      <c r="C852" s="64"/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28"/>
    </row>
    <row r="853" spans="1:18" x14ac:dyDescent="0.25">
      <c r="A853" s="63"/>
      <c r="B853" s="64"/>
      <c r="C853" s="64"/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28"/>
    </row>
    <row r="854" spans="1:18" x14ac:dyDescent="0.25">
      <c r="A854" s="63"/>
      <c r="B854" s="64"/>
      <c r="C854" s="64"/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28"/>
    </row>
    <row r="855" spans="1:18" x14ac:dyDescent="0.25">
      <c r="A855" s="63"/>
      <c r="B855" s="64"/>
      <c r="C855" s="64"/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28"/>
    </row>
    <row r="856" spans="1:18" x14ac:dyDescent="0.25">
      <c r="A856" s="63"/>
      <c r="B856" s="64"/>
      <c r="C856" s="64"/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28"/>
    </row>
    <row r="857" spans="1:18" x14ac:dyDescent="0.25">
      <c r="A857" s="63"/>
      <c r="B857" s="64"/>
      <c r="C857" s="64"/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28"/>
    </row>
    <row r="858" spans="1:18" x14ac:dyDescent="0.25">
      <c r="A858" s="63"/>
      <c r="B858" s="64"/>
      <c r="C858" s="64"/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28"/>
    </row>
    <row r="859" spans="1:18" x14ac:dyDescent="0.25">
      <c r="A859" s="63"/>
      <c r="B859" s="64"/>
      <c r="C859" s="64"/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28"/>
    </row>
    <row r="860" spans="1:18" x14ac:dyDescent="0.25">
      <c r="A860" s="63"/>
      <c r="B860" s="64"/>
      <c r="C860" s="64"/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28"/>
    </row>
    <row r="861" spans="1:18" x14ac:dyDescent="0.25">
      <c r="A861" s="63"/>
      <c r="B861" s="64"/>
      <c r="C861" s="64"/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28"/>
    </row>
    <row r="862" spans="1:18" x14ac:dyDescent="0.25">
      <c r="A862" s="63"/>
      <c r="B862" s="64"/>
      <c r="C862" s="64"/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28"/>
    </row>
    <row r="863" spans="1:18" x14ac:dyDescent="0.25">
      <c r="A863" s="63"/>
      <c r="B863" s="64"/>
      <c r="C863" s="64"/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28"/>
    </row>
    <row r="864" spans="1:18" x14ac:dyDescent="0.25">
      <c r="A864" s="63"/>
      <c r="B864" s="64"/>
      <c r="C864" s="64"/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28"/>
    </row>
    <row r="865" spans="1:18" x14ac:dyDescent="0.25">
      <c r="A865" s="63"/>
      <c r="B865" s="64"/>
      <c r="C865" s="64"/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28"/>
    </row>
    <row r="866" spans="1:18" x14ac:dyDescent="0.25">
      <c r="A866" s="63"/>
      <c r="B866" s="64"/>
      <c r="C866" s="64"/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28"/>
    </row>
    <row r="867" spans="1:18" x14ac:dyDescent="0.25">
      <c r="A867" s="63"/>
      <c r="B867" s="64"/>
      <c r="C867" s="64"/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28"/>
    </row>
    <row r="868" spans="1:18" x14ac:dyDescent="0.25">
      <c r="A868" s="63"/>
      <c r="B868" s="64"/>
      <c r="C868" s="64"/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28"/>
    </row>
    <row r="869" spans="1:18" x14ac:dyDescent="0.25">
      <c r="A869" s="63"/>
      <c r="B869" s="64"/>
      <c r="C869" s="64"/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28"/>
    </row>
    <row r="870" spans="1:18" x14ac:dyDescent="0.25">
      <c r="A870" s="63"/>
      <c r="B870" s="64"/>
      <c r="C870" s="64"/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28"/>
    </row>
    <row r="871" spans="1:18" x14ac:dyDescent="0.25">
      <c r="A871" s="63"/>
      <c r="B871" s="64"/>
      <c r="C871" s="64"/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28"/>
    </row>
    <row r="872" spans="1:18" x14ac:dyDescent="0.25">
      <c r="A872" s="63"/>
      <c r="B872" s="64"/>
      <c r="C872" s="64"/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28"/>
    </row>
    <row r="873" spans="1:18" x14ac:dyDescent="0.25">
      <c r="A873" s="63"/>
      <c r="B873" s="64"/>
      <c r="C873" s="64"/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28"/>
    </row>
    <row r="874" spans="1:18" x14ac:dyDescent="0.25">
      <c r="A874" s="63"/>
      <c r="B874" s="64"/>
      <c r="C874" s="64"/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28"/>
    </row>
    <row r="875" spans="1:18" x14ac:dyDescent="0.25">
      <c r="A875" s="63"/>
      <c r="B875" s="64"/>
      <c r="C875" s="64"/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28"/>
    </row>
    <row r="876" spans="1:18" x14ac:dyDescent="0.25">
      <c r="A876" s="63"/>
      <c r="B876" s="64"/>
      <c r="C876" s="64"/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28"/>
    </row>
    <row r="877" spans="1:18" x14ac:dyDescent="0.25">
      <c r="A877" s="63"/>
      <c r="B877" s="64"/>
      <c r="C877" s="64"/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28"/>
    </row>
    <row r="878" spans="1:18" x14ac:dyDescent="0.25">
      <c r="A878" s="63"/>
      <c r="B878" s="64"/>
      <c r="C878" s="64"/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28"/>
    </row>
    <row r="879" spans="1:18" x14ac:dyDescent="0.25">
      <c r="A879" s="63"/>
      <c r="B879" s="64"/>
      <c r="C879" s="64"/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28"/>
    </row>
    <row r="880" spans="1:18" x14ac:dyDescent="0.25">
      <c r="A880" s="63"/>
      <c r="B880" s="64"/>
      <c r="C880" s="64"/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28"/>
    </row>
    <row r="881" spans="1:18" x14ac:dyDescent="0.25">
      <c r="A881" s="63"/>
      <c r="B881" s="64"/>
      <c r="C881" s="64"/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28"/>
    </row>
    <row r="882" spans="1:18" x14ac:dyDescent="0.25">
      <c r="A882" s="63"/>
      <c r="B882" s="64"/>
      <c r="C882" s="64"/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28"/>
    </row>
    <row r="883" spans="1:18" x14ac:dyDescent="0.25">
      <c r="A883" s="63"/>
      <c r="B883" s="64"/>
      <c r="C883" s="64"/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28"/>
    </row>
    <row r="884" spans="1:18" x14ac:dyDescent="0.25">
      <c r="A884" s="63"/>
      <c r="B884" s="64"/>
      <c r="C884" s="64"/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28"/>
    </row>
    <row r="885" spans="1:18" x14ac:dyDescent="0.25">
      <c r="A885" s="63"/>
      <c r="B885" s="64"/>
      <c r="C885" s="64"/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28"/>
    </row>
    <row r="886" spans="1:18" x14ac:dyDescent="0.25">
      <c r="A886" s="63"/>
      <c r="B886" s="64"/>
      <c r="C886" s="64"/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28"/>
    </row>
    <row r="887" spans="1:18" x14ac:dyDescent="0.25">
      <c r="A887" s="63"/>
      <c r="B887" s="64"/>
      <c r="C887" s="64"/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28"/>
    </row>
    <row r="888" spans="1:18" x14ac:dyDescent="0.25">
      <c r="A888" s="63"/>
      <c r="B888" s="64"/>
      <c r="C888" s="64"/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28"/>
    </row>
    <row r="889" spans="1:18" x14ac:dyDescent="0.25">
      <c r="A889" s="63"/>
      <c r="B889" s="64"/>
      <c r="C889" s="64"/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28"/>
    </row>
    <row r="890" spans="1:18" x14ac:dyDescent="0.25">
      <c r="A890" s="63"/>
      <c r="B890" s="64"/>
      <c r="C890" s="64"/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28"/>
    </row>
    <row r="891" spans="1:18" x14ac:dyDescent="0.25">
      <c r="A891" s="63"/>
      <c r="B891" s="64"/>
      <c r="C891" s="64"/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28"/>
    </row>
    <row r="892" spans="1:18" x14ac:dyDescent="0.25">
      <c r="A892" s="63"/>
      <c r="B892" s="64"/>
      <c r="C892" s="64"/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28"/>
    </row>
    <row r="893" spans="1:18" x14ac:dyDescent="0.25">
      <c r="A893" s="63"/>
      <c r="B893" s="64"/>
      <c r="C893" s="64"/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28"/>
    </row>
    <row r="894" spans="1:18" x14ac:dyDescent="0.25">
      <c r="A894" s="63"/>
      <c r="B894" s="64"/>
      <c r="C894" s="64"/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28"/>
    </row>
    <row r="895" spans="1:18" x14ac:dyDescent="0.25">
      <c r="A895" s="63"/>
      <c r="B895" s="64"/>
      <c r="C895" s="64"/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28"/>
    </row>
    <row r="896" spans="1:18" x14ac:dyDescent="0.25">
      <c r="A896" s="63"/>
      <c r="B896" s="64"/>
      <c r="C896" s="64"/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28"/>
    </row>
    <row r="897" spans="1:18" x14ac:dyDescent="0.25">
      <c r="A897" s="63"/>
      <c r="B897" s="64"/>
      <c r="C897" s="64"/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28"/>
    </row>
    <row r="898" spans="1:18" x14ac:dyDescent="0.25">
      <c r="A898" s="63"/>
      <c r="B898" s="64"/>
      <c r="C898" s="64"/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28"/>
    </row>
    <row r="899" spans="1:18" x14ac:dyDescent="0.25">
      <c r="A899" s="63"/>
      <c r="B899" s="64"/>
      <c r="C899" s="64"/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28"/>
    </row>
    <row r="900" spans="1:18" x14ac:dyDescent="0.25">
      <c r="A900" s="63"/>
      <c r="B900" s="64"/>
      <c r="C900" s="64"/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28"/>
    </row>
    <row r="901" spans="1:18" x14ac:dyDescent="0.25">
      <c r="A901" s="63"/>
      <c r="B901" s="64"/>
      <c r="C901" s="64"/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28"/>
    </row>
    <row r="902" spans="1:18" x14ac:dyDescent="0.25">
      <c r="A902" s="63"/>
      <c r="B902" s="64"/>
      <c r="C902" s="64"/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28"/>
    </row>
    <row r="903" spans="1:18" x14ac:dyDescent="0.25">
      <c r="A903" s="63"/>
      <c r="B903" s="64"/>
      <c r="C903" s="64"/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28"/>
    </row>
    <row r="904" spans="1:18" x14ac:dyDescent="0.25">
      <c r="A904" s="63"/>
      <c r="B904" s="64"/>
      <c r="C904" s="64"/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28"/>
    </row>
    <row r="905" spans="1:18" x14ac:dyDescent="0.25">
      <c r="A905" s="63"/>
      <c r="B905" s="64"/>
      <c r="C905" s="64"/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28"/>
    </row>
    <row r="906" spans="1:18" x14ac:dyDescent="0.25">
      <c r="A906" s="63"/>
      <c r="B906" s="64"/>
      <c r="C906" s="64"/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28"/>
    </row>
    <row r="907" spans="1:18" x14ac:dyDescent="0.25">
      <c r="A907" s="63"/>
      <c r="B907" s="64"/>
      <c r="C907" s="64"/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28"/>
    </row>
    <row r="908" spans="1:18" x14ac:dyDescent="0.25">
      <c r="A908" s="63"/>
      <c r="B908" s="64"/>
      <c r="C908" s="64"/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28"/>
    </row>
    <row r="909" spans="1:18" x14ac:dyDescent="0.25">
      <c r="A909" s="63"/>
      <c r="B909" s="64"/>
      <c r="C909" s="64"/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28"/>
    </row>
    <row r="910" spans="1:18" x14ac:dyDescent="0.25">
      <c r="A910" s="63"/>
      <c r="B910" s="64"/>
      <c r="C910" s="64"/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28"/>
    </row>
    <row r="911" spans="1:18" x14ac:dyDescent="0.25">
      <c r="A911" s="63"/>
      <c r="B911" s="64"/>
      <c r="C911" s="64"/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28"/>
    </row>
    <row r="912" spans="1:18" x14ac:dyDescent="0.25">
      <c r="A912" s="63"/>
      <c r="B912" s="64"/>
      <c r="C912" s="64"/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28"/>
    </row>
    <row r="913" spans="1:18" x14ac:dyDescent="0.25">
      <c r="A913" s="63"/>
      <c r="B913" s="64"/>
      <c r="C913" s="64"/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28"/>
    </row>
    <row r="914" spans="1:18" x14ac:dyDescent="0.25">
      <c r="A914" s="63"/>
      <c r="B914" s="64"/>
      <c r="C914" s="64"/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28"/>
    </row>
    <row r="915" spans="1:18" x14ac:dyDescent="0.25">
      <c r="A915" s="63"/>
      <c r="B915" s="64"/>
      <c r="C915" s="64"/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28"/>
    </row>
    <row r="916" spans="1:18" x14ac:dyDescent="0.25">
      <c r="A916" s="63"/>
      <c r="B916" s="64"/>
      <c r="C916" s="64"/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28"/>
    </row>
    <row r="917" spans="1:18" x14ac:dyDescent="0.25">
      <c r="A917" s="63"/>
      <c r="B917" s="64"/>
      <c r="C917" s="64"/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28"/>
    </row>
    <row r="918" spans="1:18" x14ac:dyDescent="0.25">
      <c r="A918" s="63"/>
      <c r="B918" s="64"/>
      <c r="C918" s="64"/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28"/>
    </row>
    <row r="919" spans="1:18" x14ac:dyDescent="0.25">
      <c r="A919" s="63"/>
      <c r="B919" s="64"/>
      <c r="C919" s="64"/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28"/>
    </row>
    <row r="920" spans="1:18" x14ac:dyDescent="0.25">
      <c r="A920" s="63"/>
      <c r="B920" s="64"/>
      <c r="C920" s="64"/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28"/>
    </row>
    <row r="921" spans="1:18" x14ac:dyDescent="0.25">
      <c r="A921" s="63"/>
      <c r="B921" s="64"/>
      <c r="C921" s="64"/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28"/>
    </row>
    <row r="922" spans="1:18" x14ac:dyDescent="0.25">
      <c r="A922" s="63"/>
      <c r="B922" s="64"/>
      <c r="C922" s="64"/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28"/>
    </row>
    <row r="923" spans="1:18" x14ac:dyDescent="0.25">
      <c r="A923" s="63"/>
      <c r="B923" s="64"/>
      <c r="C923" s="64"/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28"/>
    </row>
    <row r="924" spans="1:18" x14ac:dyDescent="0.25">
      <c r="A924" s="63"/>
      <c r="B924" s="64"/>
      <c r="C924" s="64"/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28"/>
    </row>
    <row r="925" spans="1:18" x14ac:dyDescent="0.25">
      <c r="A925" s="63"/>
      <c r="B925" s="64"/>
      <c r="C925" s="64"/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28"/>
    </row>
    <row r="926" spans="1:18" x14ac:dyDescent="0.25">
      <c r="A926" s="63"/>
      <c r="B926" s="64"/>
      <c r="C926" s="64"/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28"/>
    </row>
    <row r="927" spans="1:18" x14ac:dyDescent="0.25">
      <c r="A927" s="63"/>
      <c r="B927" s="64"/>
      <c r="C927" s="64"/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28"/>
    </row>
    <row r="928" spans="1:18" x14ac:dyDescent="0.25">
      <c r="A928" s="63"/>
      <c r="B928" s="64"/>
      <c r="C928" s="64"/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28"/>
    </row>
    <row r="929" spans="1:18" x14ac:dyDescent="0.25">
      <c r="A929" s="63"/>
      <c r="B929" s="64"/>
      <c r="C929" s="64"/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28"/>
    </row>
    <row r="930" spans="1:18" x14ac:dyDescent="0.25">
      <c r="A930" s="63"/>
      <c r="B930" s="64"/>
      <c r="C930" s="64"/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28"/>
    </row>
    <row r="931" spans="1:18" x14ac:dyDescent="0.25">
      <c r="A931" s="63"/>
      <c r="B931" s="64"/>
      <c r="C931" s="64"/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28"/>
    </row>
    <row r="932" spans="1:18" x14ac:dyDescent="0.25">
      <c r="A932" s="63"/>
      <c r="B932" s="64"/>
      <c r="C932" s="64"/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28"/>
    </row>
    <row r="933" spans="1:18" x14ac:dyDescent="0.25">
      <c r="A933" s="63"/>
      <c r="B933" s="64"/>
      <c r="C933" s="64"/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28"/>
    </row>
    <row r="934" spans="1:18" x14ac:dyDescent="0.25">
      <c r="A934" s="63"/>
      <c r="B934" s="64"/>
      <c r="C934" s="64"/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28"/>
    </row>
    <row r="935" spans="1:18" x14ac:dyDescent="0.25">
      <c r="A935" s="63"/>
      <c r="B935" s="64"/>
      <c r="C935" s="64"/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28"/>
    </row>
    <row r="936" spans="1:18" x14ac:dyDescent="0.25">
      <c r="A936" s="63"/>
      <c r="B936" s="64"/>
      <c r="C936" s="64"/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28"/>
    </row>
    <row r="937" spans="1:18" x14ac:dyDescent="0.25">
      <c r="A937" s="63"/>
      <c r="B937" s="64"/>
      <c r="C937" s="64"/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28"/>
    </row>
    <row r="938" spans="1:18" x14ac:dyDescent="0.25">
      <c r="A938" s="63"/>
      <c r="B938" s="64"/>
      <c r="C938" s="64"/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28"/>
    </row>
    <row r="939" spans="1:18" x14ac:dyDescent="0.25">
      <c r="A939" s="63"/>
      <c r="B939" s="64"/>
      <c r="C939" s="64"/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28"/>
    </row>
    <row r="940" spans="1:18" x14ac:dyDescent="0.25">
      <c r="A940" s="63"/>
      <c r="B940" s="64"/>
      <c r="C940" s="64"/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28"/>
    </row>
    <row r="941" spans="1:18" x14ac:dyDescent="0.25">
      <c r="A941" s="63"/>
      <c r="B941" s="64"/>
      <c r="C941" s="64"/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28"/>
    </row>
    <row r="942" spans="1:18" x14ac:dyDescent="0.25">
      <c r="A942" s="63"/>
      <c r="B942" s="64"/>
      <c r="C942" s="64"/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28"/>
    </row>
    <row r="943" spans="1:18" x14ac:dyDescent="0.25">
      <c r="A943" s="63"/>
      <c r="B943" s="64"/>
      <c r="C943" s="64"/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28"/>
    </row>
    <row r="944" spans="1:18" x14ac:dyDescent="0.25">
      <c r="A944" s="63"/>
      <c r="B944" s="64"/>
      <c r="C944" s="64"/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28"/>
    </row>
    <row r="945" spans="1:18" x14ac:dyDescent="0.25">
      <c r="A945" s="63"/>
      <c r="B945" s="64"/>
      <c r="C945" s="64"/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28"/>
    </row>
    <row r="946" spans="1:18" x14ac:dyDescent="0.25">
      <c r="A946" s="63"/>
      <c r="B946" s="64"/>
      <c r="C946" s="64"/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28"/>
    </row>
    <row r="947" spans="1:18" x14ac:dyDescent="0.25">
      <c r="A947" s="63"/>
      <c r="B947" s="64"/>
      <c r="C947" s="64"/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28"/>
    </row>
    <row r="948" spans="1:18" x14ac:dyDescent="0.25">
      <c r="A948" s="63"/>
      <c r="B948" s="64"/>
      <c r="C948" s="64"/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28"/>
    </row>
    <row r="949" spans="1:18" x14ac:dyDescent="0.25">
      <c r="A949" s="63"/>
      <c r="B949" s="64"/>
      <c r="C949" s="64"/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28"/>
    </row>
    <row r="950" spans="1:18" x14ac:dyDescent="0.25">
      <c r="A950" s="63"/>
      <c r="B950" s="64"/>
      <c r="C950" s="64"/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28"/>
    </row>
    <row r="951" spans="1:18" x14ac:dyDescent="0.25">
      <c r="A951" s="63"/>
      <c r="B951" s="64"/>
      <c r="C951" s="64"/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28"/>
    </row>
    <row r="952" spans="1:18" x14ac:dyDescent="0.25">
      <c r="A952" s="63"/>
      <c r="B952" s="64"/>
      <c r="C952" s="64"/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28"/>
    </row>
    <row r="953" spans="1:18" x14ac:dyDescent="0.25">
      <c r="A953" s="63"/>
      <c r="B953" s="64"/>
      <c r="C953" s="64"/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28"/>
    </row>
    <row r="954" spans="1:18" x14ac:dyDescent="0.25">
      <c r="A954" s="63"/>
      <c r="B954" s="64"/>
      <c r="C954" s="64"/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28"/>
    </row>
    <row r="955" spans="1:18" x14ac:dyDescent="0.25">
      <c r="A955" s="63"/>
      <c r="B955" s="64"/>
      <c r="C955" s="64"/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28"/>
    </row>
    <row r="956" spans="1:18" x14ac:dyDescent="0.25">
      <c r="A956" s="63"/>
      <c r="B956" s="64"/>
      <c r="C956" s="64"/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28"/>
    </row>
    <row r="957" spans="1:18" x14ac:dyDescent="0.25">
      <c r="A957" s="63"/>
      <c r="B957" s="64"/>
      <c r="C957" s="64"/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28"/>
    </row>
    <row r="958" spans="1:18" x14ac:dyDescent="0.25">
      <c r="A958" s="63"/>
      <c r="B958" s="64"/>
      <c r="C958" s="64"/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28"/>
    </row>
    <row r="959" spans="1:18" x14ac:dyDescent="0.25">
      <c r="A959" s="63"/>
      <c r="B959" s="64"/>
      <c r="C959" s="64"/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28"/>
    </row>
    <row r="960" spans="1:18" x14ac:dyDescent="0.25">
      <c r="A960" s="63"/>
      <c r="B960" s="64"/>
      <c r="C960" s="64"/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28"/>
    </row>
    <row r="961" spans="1:18" x14ac:dyDescent="0.25">
      <c r="A961" s="63"/>
      <c r="B961" s="64"/>
      <c r="C961" s="64"/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28"/>
    </row>
    <row r="962" spans="1:18" x14ac:dyDescent="0.25">
      <c r="A962" s="63"/>
      <c r="B962" s="64"/>
      <c r="C962" s="64"/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28"/>
    </row>
    <row r="963" spans="1:18" x14ac:dyDescent="0.25">
      <c r="A963" s="63"/>
      <c r="B963" s="64"/>
      <c r="C963" s="64"/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28"/>
    </row>
    <row r="964" spans="1:18" x14ac:dyDescent="0.25">
      <c r="A964" s="63"/>
      <c r="B964" s="64"/>
      <c r="C964" s="64"/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28"/>
    </row>
    <row r="965" spans="1:18" x14ac:dyDescent="0.25">
      <c r="A965" s="63"/>
      <c r="B965" s="64"/>
      <c r="C965" s="64"/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28"/>
    </row>
    <row r="966" spans="1:18" x14ac:dyDescent="0.25">
      <c r="A966" s="63"/>
      <c r="B966" s="64"/>
      <c r="C966" s="64"/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28"/>
    </row>
    <row r="967" spans="1:18" x14ac:dyDescent="0.25">
      <c r="A967" s="63"/>
      <c r="B967" s="64"/>
      <c r="C967" s="64"/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28"/>
    </row>
    <row r="968" spans="1:18" x14ac:dyDescent="0.25">
      <c r="A968" s="63"/>
      <c r="B968" s="64"/>
      <c r="C968" s="64"/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28"/>
    </row>
    <row r="969" spans="1:18" x14ac:dyDescent="0.25">
      <c r="A969" s="63"/>
      <c r="B969" s="64"/>
      <c r="C969" s="64"/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28"/>
    </row>
    <row r="970" spans="1:18" x14ac:dyDescent="0.25">
      <c r="A970" s="63"/>
      <c r="B970" s="64"/>
      <c r="C970" s="64"/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28"/>
    </row>
    <row r="971" spans="1:18" x14ac:dyDescent="0.25">
      <c r="A971" s="63"/>
      <c r="B971" s="64"/>
      <c r="C971" s="64"/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28"/>
    </row>
    <row r="972" spans="1:18" x14ac:dyDescent="0.25">
      <c r="A972" s="63"/>
      <c r="B972" s="64"/>
      <c r="C972" s="64"/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28"/>
    </row>
    <row r="973" spans="1:18" x14ac:dyDescent="0.25">
      <c r="A973" s="63"/>
      <c r="B973" s="64"/>
      <c r="C973" s="64"/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28"/>
    </row>
    <row r="974" spans="1:18" x14ac:dyDescent="0.25">
      <c r="A974" s="63"/>
      <c r="B974" s="64"/>
      <c r="C974" s="64"/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28"/>
    </row>
    <row r="975" spans="1:18" x14ac:dyDescent="0.25">
      <c r="A975" s="63"/>
      <c r="B975" s="64"/>
      <c r="C975" s="64"/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28"/>
    </row>
    <row r="976" spans="1:18" x14ac:dyDescent="0.25">
      <c r="A976" s="63"/>
      <c r="B976" s="64"/>
      <c r="C976" s="64"/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28"/>
    </row>
    <row r="977" spans="1:18" x14ac:dyDescent="0.25">
      <c r="A977" s="63"/>
      <c r="B977" s="64"/>
      <c r="C977" s="64"/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28"/>
    </row>
    <row r="978" spans="1:18" x14ac:dyDescent="0.25">
      <c r="A978" s="63"/>
      <c r="B978" s="64"/>
      <c r="C978" s="64"/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28"/>
    </row>
    <row r="979" spans="1:18" x14ac:dyDescent="0.25">
      <c r="A979" s="63"/>
      <c r="B979" s="64"/>
      <c r="C979" s="64"/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28"/>
    </row>
    <row r="980" spans="1:18" x14ac:dyDescent="0.25">
      <c r="A980" s="63"/>
      <c r="B980" s="64"/>
      <c r="C980" s="64"/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28"/>
    </row>
    <row r="981" spans="1:18" x14ac:dyDescent="0.25">
      <c r="A981" s="63"/>
      <c r="B981" s="64"/>
      <c r="C981" s="64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28"/>
    </row>
    <row r="982" spans="1:18" x14ac:dyDescent="0.25">
      <c r="A982" s="63"/>
      <c r="B982" s="64"/>
      <c r="C982" s="64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28"/>
    </row>
    <row r="983" spans="1:18" x14ac:dyDescent="0.25">
      <c r="A983" s="63"/>
      <c r="B983" s="64"/>
      <c r="C983" s="64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28"/>
    </row>
    <row r="984" spans="1:18" x14ac:dyDescent="0.25">
      <c r="A984" s="63"/>
      <c r="B984" s="64"/>
      <c r="C984" s="64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28"/>
    </row>
    <row r="985" spans="1:18" x14ac:dyDescent="0.25">
      <c r="A985" s="63"/>
      <c r="B985" s="64"/>
      <c r="C985" s="64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28"/>
    </row>
    <row r="986" spans="1:18" x14ac:dyDescent="0.25">
      <c r="A986" s="63"/>
      <c r="B986" s="64"/>
      <c r="C986" s="64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28"/>
    </row>
    <row r="987" spans="1:18" x14ac:dyDescent="0.25">
      <c r="A987" s="63"/>
      <c r="B987" s="64"/>
      <c r="C987" s="64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28"/>
    </row>
    <row r="988" spans="1:18" x14ac:dyDescent="0.25">
      <c r="A988" s="63"/>
      <c r="B988" s="64"/>
      <c r="C988" s="64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28"/>
    </row>
    <row r="989" spans="1:18" x14ac:dyDescent="0.25">
      <c r="A989" s="63"/>
      <c r="B989" s="64"/>
      <c r="C989" s="64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28"/>
    </row>
    <row r="990" spans="1:18" x14ac:dyDescent="0.25">
      <c r="A990" s="63"/>
      <c r="B990" s="64"/>
      <c r="C990" s="64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28"/>
    </row>
    <row r="991" spans="1:18" x14ac:dyDescent="0.25">
      <c r="A991" s="63"/>
      <c r="B991" s="64"/>
      <c r="C991" s="64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28"/>
    </row>
    <row r="992" spans="1:18" x14ac:dyDescent="0.25">
      <c r="A992" s="63"/>
      <c r="B992" s="64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28"/>
    </row>
    <row r="993" spans="1:18" x14ac:dyDescent="0.25">
      <c r="A993" s="63"/>
      <c r="B993" s="64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28"/>
    </row>
    <row r="994" spans="1:18" x14ac:dyDescent="0.25">
      <c r="A994" s="63"/>
      <c r="B994" s="64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28"/>
    </row>
    <row r="995" spans="1:18" x14ac:dyDescent="0.25">
      <c r="A995" s="63"/>
      <c r="B995" s="64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28"/>
    </row>
    <row r="996" spans="1:18" x14ac:dyDescent="0.25">
      <c r="A996" s="63"/>
      <c r="B996" s="64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28"/>
    </row>
    <row r="997" spans="1:18" x14ac:dyDescent="0.25">
      <c r="A997" s="63"/>
      <c r="B997" s="64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28"/>
    </row>
    <row r="998" spans="1:18" x14ac:dyDescent="0.25">
      <c r="A998" s="63"/>
      <c r="B998" s="64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28"/>
    </row>
    <row r="999" spans="1:18" x14ac:dyDescent="0.25">
      <c r="A999" s="63"/>
      <c r="B999" s="64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28"/>
    </row>
    <row r="1000" spans="1:18" x14ac:dyDescent="0.25">
      <c r="A1000" s="63"/>
      <c r="B1000" s="64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28"/>
    </row>
    <row r="1001" spans="1:18" x14ac:dyDescent="0.25">
      <c r="A1001" s="63"/>
      <c r="B1001" s="64"/>
      <c r="C1001" s="64"/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  <c r="Q1001" s="64"/>
      <c r="R1001" s="28"/>
    </row>
    <row r="1002" spans="1:18" x14ac:dyDescent="0.25">
      <c r="A1002" s="63"/>
      <c r="B1002" s="64"/>
      <c r="C1002" s="64"/>
      <c r="D1002" s="64"/>
      <c r="E1002" s="64"/>
      <c r="F1002" s="64"/>
      <c r="G1002" s="64"/>
      <c r="H1002" s="64"/>
      <c r="I1002" s="64"/>
      <c r="J1002" s="64"/>
      <c r="K1002" s="64"/>
      <c r="L1002" s="64"/>
      <c r="M1002" s="64"/>
      <c r="N1002" s="64"/>
      <c r="O1002" s="64"/>
      <c r="P1002" s="64"/>
      <c r="Q1002" s="64"/>
      <c r="R1002" s="28"/>
    </row>
    <row r="1003" spans="1:18" x14ac:dyDescent="0.25">
      <c r="A1003" s="63"/>
      <c r="B1003" s="64"/>
      <c r="C1003" s="64"/>
      <c r="D1003" s="64"/>
      <c r="E1003" s="64"/>
      <c r="F1003" s="64"/>
      <c r="G1003" s="64"/>
      <c r="H1003" s="64"/>
      <c r="I1003" s="64"/>
      <c r="J1003" s="64"/>
      <c r="K1003" s="64"/>
      <c r="L1003" s="64"/>
      <c r="M1003" s="64"/>
      <c r="N1003" s="64"/>
      <c r="O1003" s="64"/>
      <c r="P1003" s="64"/>
      <c r="Q1003" s="64"/>
      <c r="R1003" s="28"/>
    </row>
    <row r="1004" spans="1:18" x14ac:dyDescent="0.25">
      <c r="A1004" s="63"/>
      <c r="B1004" s="64"/>
      <c r="C1004" s="64"/>
      <c r="D1004" s="64"/>
      <c r="E1004" s="64"/>
      <c r="F1004" s="64"/>
      <c r="G1004" s="64"/>
      <c r="H1004" s="64"/>
      <c r="I1004" s="64"/>
      <c r="J1004" s="64"/>
      <c r="K1004" s="64"/>
      <c r="L1004" s="64"/>
      <c r="M1004" s="64"/>
      <c r="N1004" s="64"/>
      <c r="O1004" s="64"/>
      <c r="P1004" s="64"/>
      <c r="Q1004" s="64"/>
      <c r="R1004" s="28"/>
    </row>
    <row r="1005" spans="1:18" x14ac:dyDescent="0.25">
      <c r="A1005" s="63"/>
      <c r="B1005" s="64"/>
      <c r="C1005" s="64"/>
      <c r="D1005" s="64"/>
      <c r="E1005" s="64"/>
      <c r="F1005" s="64"/>
      <c r="G1005" s="64"/>
      <c r="H1005" s="64"/>
      <c r="I1005" s="64"/>
      <c r="J1005" s="64"/>
      <c r="K1005" s="64"/>
      <c r="L1005" s="64"/>
      <c r="M1005" s="64"/>
      <c r="N1005" s="64"/>
      <c r="O1005" s="64"/>
      <c r="P1005" s="64"/>
      <c r="Q1005" s="64"/>
      <c r="R1005" s="28"/>
    </row>
    <row r="1006" spans="1:18" x14ac:dyDescent="0.25">
      <c r="A1006" s="63"/>
      <c r="B1006" s="64"/>
      <c r="C1006" s="64"/>
      <c r="D1006" s="64"/>
      <c r="E1006" s="64"/>
      <c r="F1006" s="64"/>
      <c r="G1006" s="64"/>
      <c r="H1006" s="64"/>
      <c r="I1006" s="64"/>
      <c r="J1006" s="64"/>
      <c r="K1006" s="64"/>
      <c r="L1006" s="64"/>
      <c r="M1006" s="64"/>
      <c r="N1006" s="64"/>
      <c r="O1006" s="64"/>
      <c r="P1006" s="64"/>
      <c r="Q1006" s="64"/>
      <c r="R1006" s="28"/>
    </row>
    <row r="1007" spans="1:18" x14ac:dyDescent="0.25">
      <c r="A1007" s="63"/>
      <c r="B1007" s="64"/>
      <c r="C1007" s="64"/>
      <c r="D1007" s="64"/>
      <c r="E1007" s="64"/>
      <c r="F1007" s="64"/>
      <c r="G1007" s="64"/>
      <c r="H1007" s="64"/>
      <c r="I1007" s="64"/>
      <c r="J1007" s="64"/>
      <c r="K1007" s="64"/>
      <c r="L1007" s="64"/>
      <c r="M1007" s="64"/>
      <c r="N1007" s="64"/>
      <c r="O1007" s="64"/>
      <c r="P1007" s="64"/>
      <c r="Q1007" s="64"/>
      <c r="R1007" s="28"/>
    </row>
    <row r="1008" spans="1:18" x14ac:dyDescent="0.25">
      <c r="A1008" s="63"/>
      <c r="B1008" s="64"/>
      <c r="C1008" s="64"/>
      <c r="D1008" s="64"/>
      <c r="E1008" s="64"/>
      <c r="F1008" s="64"/>
      <c r="G1008" s="64"/>
      <c r="H1008" s="64"/>
      <c r="I1008" s="64"/>
      <c r="J1008" s="64"/>
      <c r="K1008" s="64"/>
      <c r="L1008" s="64"/>
      <c r="M1008" s="64"/>
      <c r="N1008" s="64"/>
      <c r="O1008" s="64"/>
      <c r="P1008" s="64"/>
      <c r="Q1008" s="64"/>
      <c r="R1008" s="28"/>
    </row>
    <row r="1009" spans="1:18" x14ac:dyDescent="0.25">
      <c r="A1009" s="63"/>
      <c r="B1009" s="64"/>
      <c r="C1009" s="64"/>
      <c r="D1009" s="64"/>
      <c r="E1009" s="64"/>
      <c r="F1009" s="64"/>
      <c r="G1009" s="64"/>
      <c r="H1009" s="64"/>
      <c r="I1009" s="64"/>
      <c r="J1009" s="64"/>
      <c r="K1009" s="64"/>
      <c r="L1009" s="64"/>
      <c r="M1009" s="64"/>
      <c r="N1009" s="64"/>
      <c r="O1009" s="64"/>
      <c r="P1009" s="64"/>
      <c r="Q1009" s="64"/>
      <c r="R1009" s="28"/>
    </row>
    <row r="1010" spans="1:18" x14ac:dyDescent="0.25">
      <c r="A1010" s="63"/>
      <c r="B1010" s="64"/>
      <c r="C1010" s="64"/>
      <c r="D1010" s="64"/>
      <c r="E1010" s="64"/>
      <c r="F1010" s="64"/>
      <c r="G1010" s="64"/>
      <c r="H1010" s="64"/>
      <c r="I1010" s="64"/>
      <c r="J1010" s="64"/>
      <c r="K1010" s="64"/>
      <c r="L1010" s="64"/>
      <c r="M1010" s="64"/>
      <c r="N1010" s="64"/>
      <c r="O1010" s="64"/>
      <c r="P1010" s="64"/>
      <c r="Q1010" s="64"/>
      <c r="R1010" s="28"/>
    </row>
    <row r="1011" spans="1:18" x14ac:dyDescent="0.25">
      <c r="A1011" s="63"/>
      <c r="B1011" s="64"/>
      <c r="C1011" s="64"/>
      <c r="D1011" s="64"/>
      <c r="E1011" s="64"/>
      <c r="F1011" s="64"/>
      <c r="G1011" s="64"/>
      <c r="H1011" s="64"/>
      <c r="I1011" s="64"/>
      <c r="J1011" s="64"/>
      <c r="K1011" s="64"/>
      <c r="L1011" s="64"/>
      <c r="M1011" s="64"/>
      <c r="N1011" s="64"/>
      <c r="O1011" s="64"/>
      <c r="P1011" s="64"/>
      <c r="Q1011" s="64"/>
      <c r="R1011" s="28"/>
    </row>
    <row r="1012" spans="1:18" x14ac:dyDescent="0.25">
      <c r="A1012" s="63"/>
      <c r="B1012" s="64"/>
      <c r="C1012" s="64"/>
      <c r="D1012" s="64"/>
      <c r="E1012" s="64"/>
      <c r="F1012" s="64"/>
      <c r="G1012" s="64"/>
      <c r="H1012" s="64"/>
      <c r="I1012" s="64"/>
      <c r="J1012" s="64"/>
      <c r="K1012" s="64"/>
      <c r="L1012" s="64"/>
      <c r="M1012" s="64"/>
      <c r="N1012" s="64"/>
      <c r="O1012" s="64"/>
      <c r="P1012" s="64"/>
      <c r="Q1012" s="64"/>
      <c r="R1012" s="28"/>
    </row>
    <row r="1013" spans="1:18" x14ac:dyDescent="0.25">
      <c r="A1013" s="63"/>
      <c r="B1013" s="64"/>
      <c r="C1013" s="64"/>
      <c r="D1013" s="64"/>
      <c r="E1013" s="64"/>
      <c r="F1013" s="64"/>
      <c r="G1013" s="64"/>
      <c r="H1013" s="64"/>
      <c r="I1013" s="64"/>
      <c r="J1013" s="64"/>
      <c r="K1013" s="64"/>
      <c r="L1013" s="64"/>
      <c r="M1013" s="64"/>
      <c r="N1013" s="64"/>
      <c r="O1013" s="64"/>
      <c r="P1013" s="64"/>
      <c r="Q1013" s="64"/>
      <c r="R1013" s="28"/>
    </row>
    <row r="1014" spans="1:18" x14ac:dyDescent="0.25">
      <c r="A1014" s="63"/>
      <c r="B1014" s="64"/>
      <c r="C1014" s="64"/>
      <c r="D1014" s="64"/>
      <c r="E1014" s="64"/>
      <c r="F1014" s="64"/>
      <c r="G1014" s="64"/>
      <c r="H1014" s="64"/>
      <c r="I1014" s="64"/>
      <c r="J1014" s="64"/>
      <c r="K1014" s="64"/>
      <c r="L1014" s="64"/>
      <c r="M1014" s="64"/>
      <c r="N1014" s="64"/>
      <c r="O1014" s="64"/>
      <c r="P1014" s="64"/>
      <c r="Q1014" s="64"/>
      <c r="R1014" s="28"/>
    </row>
    <row r="1015" spans="1:18" x14ac:dyDescent="0.25">
      <c r="A1015" s="63"/>
      <c r="B1015" s="64"/>
      <c r="C1015" s="64"/>
      <c r="D1015" s="64"/>
      <c r="E1015" s="64"/>
      <c r="F1015" s="64"/>
      <c r="G1015" s="64"/>
      <c r="H1015" s="64"/>
      <c r="I1015" s="64"/>
      <c r="J1015" s="64"/>
      <c r="K1015" s="64"/>
      <c r="L1015" s="64"/>
      <c r="M1015" s="64"/>
      <c r="N1015" s="64"/>
      <c r="O1015" s="64"/>
      <c r="P1015" s="64"/>
      <c r="Q1015" s="64"/>
      <c r="R1015" s="28"/>
    </row>
    <row r="1016" spans="1:18" x14ac:dyDescent="0.25">
      <c r="A1016" s="63"/>
      <c r="B1016" s="64"/>
      <c r="C1016" s="64"/>
      <c r="D1016" s="64"/>
      <c r="E1016" s="64"/>
      <c r="F1016" s="64"/>
      <c r="G1016" s="64"/>
      <c r="H1016" s="64"/>
      <c r="I1016" s="64"/>
      <c r="J1016" s="64"/>
      <c r="K1016" s="64"/>
      <c r="L1016" s="64"/>
      <c r="M1016" s="64"/>
      <c r="N1016" s="64"/>
      <c r="O1016" s="64"/>
      <c r="P1016" s="64"/>
      <c r="Q1016" s="64"/>
      <c r="R1016" s="28"/>
    </row>
    <row r="1017" spans="1:18" x14ac:dyDescent="0.25">
      <c r="A1017" s="63"/>
      <c r="B1017" s="64"/>
      <c r="C1017" s="64"/>
      <c r="D1017" s="64"/>
      <c r="E1017" s="64"/>
      <c r="F1017" s="64"/>
      <c r="G1017" s="64"/>
      <c r="H1017" s="64"/>
      <c r="I1017" s="64"/>
      <c r="J1017" s="64"/>
      <c r="K1017" s="64"/>
      <c r="L1017" s="64"/>
      <c r="M1017" s="64"/>
      <c r="N1017" s="64"/>
      <c r="O1017" s="64"/>
      <c r="P1017" s="64"/>
      <c r="Q1017" s="64"/>
      <c r="R1017" s="28"/>
    </row>
    <row r="1018" spans="1:18" x14ac:dyDescent="0.25">
      <c r="A1018" s="63"/>
      <c r="B1018" s="64"/>
      <c r="C1018" s="64"/>
      <c r="D1018" s="64"/>
      <c r="E1018" s="64"/>
      <c r="F1018" s="64"/>
      <c r="G1018" s="64"/>
      <c r="H1018" s="64"/>
      <c r="I1018" s="64"/>
      <c r="J1018" s="64"/>
      <c r="K1018" s="64"/>
      <c r="L1018" s="64"/>
      <c r="M1018" s="64"/>
      <c r="N1018" s="64"/>
      <c r="O1018" s="64"/>
      <c r="P1018" s="64"/>
      <c r="Q1018" s="64"/>
      <c r="R1018" s="28"/>
    </row>
    <row r="1019" spans="1:18" x14ac:dyDescent="0.25">
      <c r="A1019" s="63"/>
      <c r="B1019" s="64"/>
      <c r="C1019" s="64"/>
      <c r="D1019" s="64"/>
      <c r="E1019" s="64"/>
      <c r="F1019" s="64"/>
      <c r="G1019" s="64"/>
      <c r="H1019" s="64"/>
      <c r="I1019" s="64"/>
      <c r="J1019" s="64"/>
      <c r="K1019" s="64"/>
      <c r="L1019" s="64"/>
      <c r="M1019" s="64"/>
      <c r="N1019" s="64"/>
      <c r="O1019" s="64"/>
      <c r="P1019" s="64"/>
      <c r="Q1019" s="64"/>
      <c r="R1019" s="28"/>
    </row>
    <row r="1020" spans="1:18" x14ac:dyDescent="0.25">
      <c r="A1020" s="63"/>
      <c r="B1020" s="64"/>
      <c r="C1020" s="64"/>
      <c r="D1020" s="64"/>
      <c r="E1020" s="64"/>
      <c r="F1020" s="64"/>
      <c r="G1020" s="64"/>
      <c r="H1020" s="64"/>
      <c r="I1020" s="64"/>
      <c r="J1020" s="64"/>
      <c r="K1020" s="64"/>
      <c r="L1020" s="64"/>
      <c r="M1020" s="64"/>
      <c r="N1020" s="64"/>
      <c r="O1020" s="64"/>
      <c r="P1020" s="64"/>
      <c r="Q1020" s="64"/>
      <c r="R1020" s="28"/>
    </row>
    <row r="1021" spans="1:18" x14ac:dyDescent="0.25">
      <c r="A1021" s="63"/>
      <c r="B1021" s="64"/>
      <c r="C1021" s="64"/>
      <c r="D1021" s="64"/>
      <c r="E1021" s="64"/>
      <c r="F1021" s="64"/>
      <c r="G1021" s="64"/>
      <c r="H1021" s="64"/>
      <c r="I1021" s="64"/>
      <c r="J1021" s="64"/>
      <c r="K1021" s="64"/>
      <c r="L1021" s="64"/>
      <c r="M1021" s="64"/>
      <c r="N1021" s="64"/>
      <c r="O1021" s="64"/>
      <c r="P1021" s="64"/>
      <c r="Q1021" s="64"/>
      <c r="R1021" s="28"/>
    </row>
    <row r="1022" spans="1:18" x14ac:dyDescent="0.25">
      <c r="A1022" s="63"/>
      <c r="B1022" s="64"/>
      <c r="C1022" s="64"/>
      <c r="D1022" s="64"/>
      <c r="E1022" s="64"/>
      <c r="F1022" s="64"/>
      <c r="G1022" s="64"/>
      <c r="H1022" s="64"/>
      <c r="I1022" s="64"/>
      <c r="J1022" s="64"/>
      <c r="K1022" s="64"/>
      <c r="L1022" s="64"/>
      <c r="M1022" s="64"/>
      <c r="N1022" s="64"/>
      <c r="O1022" s="64"/>
      <c r="P1022" s="64"/>
      <c r="Q1022" s="64"/>
      <c r="R1022" s="28"/>
    </row>
    <row r="1023" spans="1:18" x14ac:dyDescent="0.25">
      <c r="A1023" s="63"/>
      <c r="B1023" s="64"/>
      <c r="C1023" s="64"/>
      <c r="D1023" s="64"/>
      <c r="E1023" s="64"/>
      <c r="F1023" s="64"/>
      <c r="G1023" s="64"/>
      <c r="H1023" s="64"/>
      <c r="I1023" s="64"/>
      <c r="J1023" s="64"/>
      <c r="K1023" s="64"/>
      <c r="L1023" s="64"/>
      <c r="M1023" s="64"/>
      <c r="N1023" s="64"/>
      <c r="O1023" s="64"/>
      <c r="P1023" s="64"/>
      <c r="Q1023" s="64"/>
      <c r="R1023" s="28"/>
    </row>
    <row r="1024" spans="1:18" x14ac:dyDescent="0.25">
      <c r="A1024" s="63"/>
      <c r="B1024" s="64"/>
      <c r="C1024" s="64"/>
      <c r="D1024" s="64"/>
      <c r="E1024" s="64"/>
      <c r="F1024" s="64"/>
      <c r="G1024" s="64"/>
      <c r="H1024" s="64"/>
      <c r="I1024" s="64"/>
      <c r="J1024" s="64"/>
      <c r="K1024" s="64"/>
      <c r="L1024" s="64"/>
      <c r="M1024" s="64"/>
      <c r="N1024" s="64"/>
      <c r="O1024" s="64"/>
      <c r="P1024" s="64"/>
      <c r="Q1024" s="64"/>
      <c r="R1024" s="28"/>
    </row>
    <row r="1025" spans="1:18" x14ac:dyDescent="0.25">
      <c r="A1025" s="63"/>
      <c r="B1025" s="64"/>
      <c r="C1025" s="64"/>
      <c r="D1025" s="64"/>
      <c r="E1025" s="64"/>
      <c r="F1025" s="64"/>
      <c r="G1025" s="64"/>
      <c r="H1025" s="64"/>
      <c r="I1025" s="64"/>
      <c r="J1025" s="64"/>
      <c r="K1025" s="64"/>
      <c r="L1025" s="64"/>
      <c r="M1025" s="64"/>
      <c r="N1025" s="64"/>
      <c r="O1025" s="64"/>
      <c r="P1025" s="64"/>
      <c r="Q1025" s="64"/>
      <c r="R1025" s="28"/>
    </row>
    <row r="1026" spans="1:18" x14ac:dyDescent="0.25">
      <c r="A1026" s="63"/>
      <c r="B1026" s="64"/>
      <c r="C1026" s="64"/>
      <c r="D1026" s="64"/>
      <c r="E1026" s="64"/>
      <c r="F1026" s="64"/>
      <c r="G1026" s="64"/>
      <c r="H1026" s="64"/>
      <c r="I1026" s="64"/>
      <c r="J1026" s="64"/>
      <c r="K1026" s="64"/>
      <c r="L1026" s="64"/>
      <c r="M1026" s="64"/>
      <c r="N1026" s="64"/>
      <c r="O1026" s="64"/>
      <c r="P1026" s="64"/>
      <c r="Q1026" s="64"/>
      <c r="R1026" s="28"/>
    </row>
    <row r="1027" spans="1:18" x14ac:dyDescent="0.25">
      <c r="A1027" s="63"/>
      <c r="B1027" s="64"/>
      <c r="C1027" s="64"/>
      <c r="D1027" s="64"/>
      <c r="E1027" s="64"/>
      <c r="F1027" s="64"/>
      <c r="G1027" s="64"/>
      <c r="H1027" s="64"/>
      <c r="I1027" s="64"/>
      <c r="J1027" s="64"/>
      <c r="K1027" s="64"/>
      <c r="L1027" s="64"/>
      <c r="M1027" s="64"/>
      <c r="N1027" s="64"/>
      <c r="O1027" s="64"/>
      <c r="P1027" s="64"/>
      <c r="Q1027" s="64"/>
      <c r="R1027" s="28"/>
    </row>
    <row r="1028" spans="1:18" x14ac:dyDescent="0.25">
      <c r="A1028" s="63"/>
      <c r="B1028" s="64"/>
      <c r="C1028" s="64"/>
      <c r="D1028" s="64"/>
      <c r="E1028" s="64"/>
      <c r="F1028" s="64"/>
      <c r="G1028" s="64"/>
      <c r="H1028" s="64"/>
      <c r="I1028" s="64"/>
      <c r="J1028" s="64"/>
      <c r="K1028" s="64"/>
      <c r="L1028" s="64"/>
      <c r="M1028" s="64"/>
      <c r="N1028" s="64"/>
      <c r="O1028" s="64"/>
      <c r="P1028" s="64"/>
      <c r="Q1028" s="64"/>
      <c r="R1028" s="28"/>
    </row>
    <row r="1029" spans="1:18" x14ac:dyDescent="0.25">
      <c r="A1029" s="63"/>
      <c r="B1029" s="64"/>
      <c r="C1029" s="64"/>
      <c r="D1029" s="64"/>
      <c r="E1029" s="64"/>
      <c r="F1029" s="64"/>
      <c r="G1029" s="64"/>
      <c r="H1029" s="64"/>
      <c r="I1029" s="64"/>
      <c r="J1029" s="64"/>
      <c r="K1029" s="64"/>
      <c r="L1029" s="64"/>
      <c r="M1029" s="64"/>
      <c r="N1029" s="64"/>
      <c r="O1029" s="64"/>
      <c r="P1029" s="64"/>
      <c r="Q1029" s="64"/>
      <c r="R1029" s="28"/>
    </row>
    <row r="1030" spans="1:18" x14ac:dyDescent="0.25">
      <c r="A1030" s="63"/>
      <c r="B1030" s="64"/>
      <c r="C1030" s="64"/>
      <c r="D1030" s="64"/>
      <c r="E1030" s="64"/>
      <c r="F1030" s="64"/>
      <c r="G1030" s="64"/>
      <c r="H1030" s="64"/>
      <c r="I1030" s="64"/>
      <c r="J1030" s="64"/>
      <c r="K1030" s="64"/>
      <c r="L1030" s="64"/>
      <c r="M1030" s="64"/>
      <c r="N1030" s="64"/>
      <c r="O1030" s="64"/>
      <c r="P1030" s="64"/>
      <c r="Q1030" s="64"/>
      <c r="R1030" s="28"/>
    </row>
    <row r="1031" spans="1:18" x14ac:dyDescent="0.25">
      <c r="A1031" s="63"/>
      <c r="B1031" s="64"/>
      <c r="C1031" s="64"/>
      <c r="D1031" s="64"/>
      <c r="E1031" s="64"/>
      <c r="F1031" s="64"/>
      <c r="G1031" s="64"/>
      <c r="H1031" s="64"/>
      <c r="I1031" s="64"/>
      <c r="J1031" s="64"/>
      <c r="K1031" s="64"/>
      <c r="L1031" s="64"/>
      <c r="M1031" s="64"/>
      <c r="N1031" s="64"/>
      <c r="O1031" s="64"/>
      <c r="P1031" s="64"/>
      <c r="Q1031" s="64"/>
      <c r="R1031" s="28"/>
    </row>
    <row r="1032" spans="1:18" x14ac:dyDescent="0.25">
      <c r="A1032" s="63"/>
      <c r="B1032" s="64"/>
      <c r="C1032" s="64"/>
      <c r="D1032" s="64"/>
      <c r="E1032" s="64"/>
      <c r="F1032" s="64"/>
      <c r="G1032" s="64"/>
      <c r="H1032" s="64"/>
      <c r="I1032" s="64"/>
      <c r="J1032" s="64"/>
      <c r="K1032" s="64"/>
      <c r="L1032" s="64"/>
      <c r="M1032" s="64"/>
      <c r="N1032" s="64"/>
      <c r="O1032" s="64"/>
      <c r="P1032" s="64"/>
      <c r="Q1032" s="64"/>
      <c r="R1032" s="28"/>
    </row>
    <row r="1033" spans="1:18" x14ac:dyDescent="0.25">
      <c r="A1033" s="63"/>
      <c r="B1033" s="64"/>
      <c r="C1033" s="64"/>
      <c r="D1033" s="64"/>
      <c r="E1033" s="64"/>
      <c r="F1033" s="64"/>
      <c r="G1033" s="64"/>
      <c r="H1033" s="64"/>
      <c r="I1033" s="64"/>
      <c r="J1033" s="64"/>
      <c r="K1033" s="64"/>
      <c r="L1033" s="64"/>
      <c r="M1033" s="64"/>
      <c r="N1033" s="64"/>
      <c r="O1033" s="64"/>
      <c r="P1033" s="64"/>
      <c r="Q1033" s="64"/>
      <c r="R1033" s="28"/>
    </row>
    <row r="1034" spans="1:18" x14ac:dyDescent="0.25">
      <c r="A1034" s="63"/>
      <c r="B1034" s="64"/>
      <c r="C1034" s="64"/>
      <c r="D1034" s="64"/>
      <c r="E1034" s="64"/>
      <c r="F1034" s="64"/>
      <c r="G1034" s="64"/>
      <c r="H1034" s="64"/>
      <c r="I1034" s="64"/>
      <c r="J1034" s="64"/>
      <c r="K1034" s="64"/>
      <c r="L1034" s="64"/>
      <c r="M1034" s="64"/>
      <c r="N1034" s="64"/>
      <c r="O1034" s="64"/>
      <c r="P1034" s="64"/>
      <c r="Q1034" s="64"/>
      <c r="R1034" s="28"/>
    </row>
    <row r="1035" spans="1:18" x14ac:dyDescent="0.25">
      <c r="A1035" s="63"/>
      <c r="B1035" s="64"/>
      <c r="C1035" s="64"/>
      <c r="D1035" s="64"/>
      <c r="E1035" s="64"/>
      <c r="F1035" s="64"/>
      <c r="G1035" s="64"/>
      <c r="H1035" s="64"/>
      <c r="I1035" s="64"/>
      <c r="J1035" s="64"/>
      <c r="K1035" s="64"/>
      <c r="L1035" s="64"/>
      <c r="M1035" s="64"/>
      <c r="N1035" s="64"/>
      <c r="O1035" s="64"/>
      <c r="P1035" s="64"/>
      <c r="Q1035" s="64"/>
      <c r="R1035" s="28"/>
    </row>
    <row r="1036" spans="1:18" x14ac:dyDescent="0.25">
      <c r="A1036" s="63"/>
      <c r="B1036" s="64"/>
      <c r="C1036" s="64"/>
      <c r="D1036" s="64"/>
      <c r="E1036" s="64"/>
      <c r="F1036" s="64"/>
      <c r="G1036" s="64"/>
      <c r="H1036" s="64"/>
      <c r="I1036" s="64"/>
      <c r="J1036" s="64"/>
      <c r="K1036" s="64"/>
      <c r="L1036" s="64"/>
      <c r="M1036" s="64"/>
      <c r="N1036" s="64"/>
      <c r="O1036" s="64"/>
      <c r="P1036" s="64"/>
      <c r="Q1036" s="64"/>
      <c r="R1036" s="28"/>
    </row>
    <row r="1037" spans="1:18" x14ac:dyDescent="0.25">
      <c r="A1037" s="63"/>
      <c r="B1037" s="64"/>
      <c r="C1037" s="64"/>
      <c r="D1037" s="64"/>
      <c r="E1037" s="64"/>
      <c r="F1037" s="64"/>
      <c r="G1037" s="64"/>
      <c r="H1037" s="64"/>
      <c r="I1037" s="64"/>
      <c r="J1037" s="64"/>
      <c r="K1037" s="64"/>
      <c r="L1037" s="64"/>
      <c r="M1037" s="64"/>
      <c r="N1037" s="64"/>
      <c r="O1037" s="64"/>
      <c r="P1037" s="64"/>
      <c r="Q1037" s="64"/>
      <c r="R1037" s="28"/>
    </row>
    <row r="1038" spans="1:18" x14ac:dyDescent="0.25">
      <c r="A1038" s="63"/>
      <c r="B1038" s="64"/>
      <c r="C1038" s="64"/>
      <c r="D1038" s="64"/>
      <c r="E1038" s="64"/>
      <c r="F1038" s="64"/>
      <c r="G1038" s="64"/>
      <c r="H1038" s="64"/>
      <c r="I1038" s="64"/>
      <c r="J1038" s="64"/>
      <c r="K1038" s="64"/>
      <c r="L1038" s="64"/>
      <c r="M1038" s="64"/>
      <c r="N1038" s="64"/>
      <c r="O1038" s="64"/>
      <c r="P1038" s="64"/>
      <c r="Q1038" s="64"/>
      <c r="R1038" s="28"/>
    </row>
    <row r="1039" spans="1:18" x14ac:dyDescent="0.25">
      <c r="A1039" s="63"/>
      <c r="B1039" s="64"/>
      <c r="C1039" s="64"/>
      <c r="D1039" s="64"/>
      <c r="E1039" s="64"/>
      <c r="F1039" s="64"/>
      <c r="G1039" s="64"/>
      <c r="H1039" s="64"/>
      <c r="I1039" s="64"/>
      <c r="J1039" s="64"/>
      <c r="K1039" s="64"/>
      <c r="L1039" s="64"/>
      <c r="M1039" s="64"/>
      <c r="N1039" s="64"/>
      <c r="O1039" s="64"/>
      <c r="P1039" s="64"/>
      <c r="Q1039" s="64"/>
      <c r="R1039" s="28"/>
    </row>
    <row r="1040" spans="1:18" x14ac:dyDescent="0.25">
      <c r="A1040" s="63"/>
      <c r="B1040" s="64"/>
      <c r="C1040" s="64"/>
      <c r="D1040" s="64"/>
      <c r="E1040" s="64"/>
      <c r="F1040" s="64"/>
      <c r="G1040" s="64"/>
      <c r="H1040" s="64"/>
      <c r="I1040" s="64"/>
      <c r="J1040" s="64"/>
      <c r="K1040" s="64"/>
      <c r="L1040" s="64"/>
      <c r="M1040" s="64"/>
      <c r="N1040" s="64"/>
      <c r="O1040" s="64"/>
      <c r="P1040" s="64"/>
      <c r="Q1040" s="64"/>
      <c r="R1040" s="28"/>
    </row>
    <row r="1041" spans="1:18" x14ac:dyDescent="0.25">
      <c r="A1041" s="63"/>
      <c r="B1041" s="64"/>
      <c r="C1041" s="64"/>
      <c r="D1041" s="64"/>
      <c r="E1041" s="64"/>
      <c r="F1041" s="64"/>
      <c r="G1041" s="64"/>
      <c r="H1041" s="64"/>
      <c r="I1041" s="64"/>
      <c r="J1041" s="64"/>
      <c r="K1041" s="64"/>
      <c r="L1041" s="64"/>
      <c r="M1041" s="64"/>
      <c r="N1041" s="64"/>
      <c r="O1041" s="64"/>
      <c r="P1041" s="64"/>
      <c r="Q1041" s="64"/>
      <c r="R1041" s="28"/>
    </row>
    <row r="1042" spans="1:18" x14ac:dyDescent="0.25">
      <c r="A1042" s="63"/>
      <c r="B1042" s="64"/>
      <c r="C1042" s="64"/>
      <c r="D1042" s="64"/>
      <c r="E1042" s="64"/>
      <c r="F1042" s="64"/>
      <c r="G1042" s="64"/>
      <c r="H1042" s="64"/>
      <c r="I1042" s="64"/>
      <c r="J1042" s="64"/>
      <c r="K1042" s="64"/>
      <c r="L1042" s="64"/>
      <c r="M1042" s="64"/>
      <c r="N1042" s="64"/>
      <c r="O1042" s="64"/>
      <c r="P1042" s="64"/>
      <c r="Q1042" s="64"/>
      <c r="R1042" s="28"/>
    </row>
    <row r="1043" spans="1:18" x14ac:dyDescent="0.25">
      <c r="A1043" s="63"/>
      <c r="B1043" s="64"/>
      <c r="C1043" s="64"/>
      <c r="D1043" s="64"/>
      <c r="E1043" s="64"/>
      <c r="F1043" s="64"/>
      <c r="G1043" s="64"/>
      <c r="H1043" s="64"/>
      <c r="I1043" s="64"/>
      <c r="J1043" s="64"/>
      <c r="K1043" s="64"/>
      <c r="L1043" s="64"/>
      <c r="M1043" s="64"/>
      <c r="N1043" s="64"/>
      <c r="O1043" s="64"/>
      <c r="P1043" s="64"/>
      <c r="Q1043" s="64"/>
      <c r="R1043" s="28"/>
    </row>
    <row r="1044" spans="1:18" x14ac:dyDescent="0.25">
      <c r="A1044" s="63"/>
      <c r="B1044" s="64"/>
      <c r="C1044" s="64"/>
      <c r="D1044" s="64"/>
      <c r="E1044" s="64"/>
      <c r="F1044" s="64"/>
      <c r="G1044" s="64"/>
      <c r="H1044" s="64"/>
      <c r="I1044" s="64"/>
      <c r="J1044" s="64"/>
      <c r="K1044" s="64"/>
      <c r="L1044" s="64"/>
      <c r="M1044" s="64"/>
      <c r="N1044" s="64"/>
      <c r="O1044" s="64"/>
      <c r="P1044" s="64"/>
      <c r="Q1044" s="64"/>
      <c r="R1044" s="28"/>
    </row>
    <row r="1045" spans="1:18" x14ac:dyDescent="0.25">
      <c r="A1045" s="63"/>
      <c r="B1045" s="64"/>
      <c r="C1045" s="64"/>
      <c r="D1045" s="64"/>
      <c r="E1045" s="64"/>
      <c r="F1045" s="64"/>
      <c r="G1045" s="64"/>
      <c r="H1045" s="64"/>
      <c r="I1045" s="64"/>
      <c r="J1045" s="64"/>
      <c r="K1045" s="64"/>
      <c r="L1045" s="64"/>
      <c r="M1045" s="64"/>
      <c r="N1045" s="64"/>
      <c r="O1045" s="64"/>
      <c r="P1045" s="64"/>
      <c r="Q1045" s="64"/>
      <c r="R1045" s="28"/>
    </row>
    <row r="1046" spans="1:18" x14ac:dyDescent="0.25">
      <c r="A1046" s="63"/>
      <c r="B1046" s="64"/>
      <c r="C1046" s="64"/>
      <c r="D1046" s="64"/>
      <c r="E1046" s="64"/>
      <c r="F1046" s="64"/>
      <c r="G1046" s="64"/>
      <c r="H1046" s="64"/>
      <c r="I1046" s="64"/>
      <c r="J1046" s="64"/>
      <c r="K1046" s="64"/>
      <c r="L1046" s="64"/>
      <c r="M1046" s="64"/>
      <c r="N1046" s="64"/>
      <c r="O1046" s="64"/>
      <c r="P1046" s="64"/>
      <c r="Q1046" s="64"/>
      <c r="R1046" s="28"/>
    </row>
    <row r="1047" spans="1:18" x14ac:dyDescent="0.25">
      <c r="A1047" s="63"/>
      <c r="B1047" s="64"/>
      <c r="C1047" s="64"/>
      <c r="D1047" s="64"/>
      <c r="E1047" s="64"/>
      <c r="F1047" s="64"/>
      <c r="G1047" s="64"/>
      <c r="H1047" s="64"/>
      <c r="I1047" s="64"/>
      <c r="J1047" s="64"/>
      <c r="K1047" s="64"/>
      <c r="L1047" s="64"/>
      <c r="M1047" s="64"/>
      <c r="N1047" s="64"/>
      <c r="O1047" s="64"/>
      <c r="P1047" s="64"/>
      <c r="Q1047" s="64"/>
      <c r="R1047" s="28"/>
    </row>
    <row r="1048" spans="1:18" x14ac:dyDescent="0.25">
      <c r="A1048" s="63"/>
      <c r="B1048" s="64"/>
      <c r="C1048" s="64"/>
      <c r="D1048" s="64"/>
      <c r="E1048" s="64"/>
      <c r="F1048" s="64"/>
      <c r="G1048" s="64"/>
      <c r="H1048" s="64"/>
      <c r="I1048" s="64"/>
      <c r="J1048" s="64"/>
      <c r="K1048" s="64"/>
      <c r="L1048" s="64"/>
      <c r="M1048" s="64"/>
      <c r="N1048" s="64"/>
      <c r="O1048" s="64"/>
      <c r="P1048" s="64"/>
      <c r="Q1048" s="64"/>
      <c r="R1048" s="28"/>
    </row>
    <row r="1049" spans="1:18" x14ac:dyDescent="0.25">
      <c r="A1049" s="63"/>
      <c r="B1049" s="64"/>
      <c r="C1049" s="64"/>
      <c r="D1049" s="64"/>
      <c r="E1049" s="64"/>
      <c r="F1049" s="64"/>
      <c r="G1049" s="64"/>
      <c r="H1049" s="64"/>
      <c r="I1049" s="64"/>
      <c r="J1049" s="64"/>
      <c r="K1049" s="64"/>
      <c r="L1049" s="64"/>
      <c r="M1049" s="64"/>
      <c r="N1049" s="64"/>
      <c r="O1049" s="64"/>
      <c r="P1049" s="64"/>
      <c r="Q1049" s="64"/>
      <c r="R1049" s="28"/>
    </row>
    <row r="1050" spans="1:18" x14ac:dyDescent="0.25">
      <c r="A1050" s="63"/>
      <c r="B1050" s="64"/>
      <c r="C1050" s="64"/>
      <c r="D1050" s="64"/>
      <c r="E1050" s="64"/>
      <c r="F1050" s="64"/>
      <c r="G1050" s="64"/>
      <c r="H1050" s="64"/>
      <c r="I1050" s="64"/>
      <c r="J1050" s="64"/>
      <c r="K1050" s="64"/>
      <c r="L1050" s="64"/>
      <c r="M1050" s="64"/>
      <c r="N1050" s="64"/>
      <c r="O1050" s="64"/>
      <c r="P1050" s="64"/>
      <c r="Q1050" s="64"/>
      <c r="R1050" s="28"/>
    </row>
    <row r="1051" spans="1:18" x14ac:dyDescent="0.25">
      <c r="A1051" s="63"/>
      <c r="B1051" s="64"/>
      <c r="C1051" s="64"/>
      <c r="D1051" s="64"/>
      <c r="E1051" s="64"/>
      <c r="F1051" s="64"/>
      <c r="G1051" s="64"/>
      <c r="H1051" s="64"/>
      <c r="I1051" s="64"/>
      <c r="J1051" s="64"/>
      <c r="K1051" s="64"/>
      <c r="L1051" s="64"/>
      <c r="M1051" s="64"/>
      <c r="N1051" s="64"/>
      <c r="O1051" s="64"/>
      <c r="P1051" s="64"/>
      <c r="Q1051" s="64"/>
      <c r="R1051" s="28"/>
    </row>
    <row r="1052" spans="1:18" x14ac:dyDescent="0.25">
      <c r="A1052" s="63"/>
      <c r="B1052" s="64"/>
      <c r="C1052" s="64"/>
      <c r="D1052" s="64"/>
      <c r="E1052" s="64"/>
      <c r="F1052" s="64"/>
      <c r="G1052" s="64"/>
      <c r="H1052" s="64"/>
      <c r="I1052" s="64"/>
      <c r="J1052" s="64"/>
      <c r="K1052" s="64"/>
      <c r="L1052" s="64"/>
      <c r="M1052" s="64"/>
      <c r="N1052" s="64"/>
      <c r="O1052" s="64"/>
      <c r="P1052" s="64"/>
      <c r="Q1052" s="64"/>
      <c r="R1052" s="28"/>
    </row>
    <row r="1053" spans="1:18" x14ac:dyDescent="0.25">
      <c r="A1053" s="63"/>
      <c r="B1053" s="64"/>
      <c r="C1053" s="64"/>
      <c r="D1053" s="64"/>
      <c r="E1053" s="64"/>
      <c r="F1053" s="64"/>
      <c r="G1053" s="64"/>
      <c r="H1053" s="64"/>
      <c r="I1053" s="64"/>
      <c r="J1053" s="64"/>
      <c r="K1053" s="64"/>
      <c r="L1053" s="64"/>
      <c r="M1053" s="64"/>
      <c r="N1053" s="64"/>
      <c r="O1053" s="64"/>
      <c r="P1053" s="64"/>
      <c r="Q1053" s="64"/>
      <c r="R1053" s="28"/>
    </row>
    <row r="1054" spans="1:18" x14ac:dyDescent="0.25">
      <c r="A1054" s="63"/>
      <c r="B1054" s="64"/>
      <c r="C1054" s="64"/>
      <c r="D1054" s="64"/>
      <c r="E1054" s="64"/>
      <c r="F1054" s="64"/>
      <c r="G1054" s="64"/>
      <c r="H1054" s="64"/>
      <c r="I1054" s="64"/>
      <c r="J1054" s="64"/>
      <c r="K1054" s="64"/>
      <c r="L1054" s="64"/>
      <c r="M1054" s="64"/>
      <c r="N1054" s="64"/>
      <c r="O1054" s="64"/>
      <c r="P1054" s="64"/>
      <c r="Q1054" s="64"/>
      <c r="R1054" s="28"/>
    </row>
    <row r="1055" spans="1:18" x14ac:dyDescent="0.25">
      <c r="A1055" s="63"/>
      <c r="B1055" s="64"/>
      <c r="C1055" s="64"/>
      <c r="D1055" s="64"/>
      <c r="E1055" s="64"/>
      <c r="F1055" s="64"/>
      <c r="G1055" s="64"/>
      <c r="H1055" s="64"/>
      <c r="I1055" s="64"/>
      <c r="J1055" s="64"/>
      <c r="K1055" s="64"/>
      <c r="L1055" s="64"/>
      <c r="M1055" s="64"/>
      <c r="N1055" s="64"/>
      <c r="O1055" s="64"/>
      <c r="P1055" s="64"/>
      <c r="Q1055" s="64"/>
      <c r="R1055" s="28"/>
    </row>
    <row r="1056" spans="1:18" x14ac:dyDescent="0.25">
      <c r="A1056" s="63"/>
      <c r="B1056" s="64"/>
      <c r="C1056" s="64"/>
      <c r="D1056" s="64"/>
      <c r="E1056" s="64"/>
      <c r="F1056" s="64"/>
      <c r="G1056" s="64"/>
      <c r="H1056" s="64"/>
      <c r="I1056" s="64"/>
      <c r="J1056" s="64"/>
      <c r="K1056" s="64"/>
      <c r="L1056" s="64"/>
      <c r="M1056" s="64"/>
      <c r="N1056" s="64"/>
      <c r="O1056" s="64"/>
      <c r="P1056" s="64"/>
      <c r="Q1056" s="64"/>
      <c r="R1056" s="28"/>
    </row>
    <row r="1057" spans="1:18" x14ac:dyDescent="0.25">
      <c r="A1057" s="63"/>
      <c r="B1057" s="64"/>
      <c r="C1057" s="64"/>
      <c r="D1057" s="64"/>
      <c r="E1057" s="64"/>
      <c r="F1057" s="64"/>
      <c r="G1057" s="64"/>
      <c r="H1057" s="64"/>
      <c r="I1057" s="64"/>
      <c r="J1057" s="64"/>
      <c r="K1057" s="64"/>
      <c r="L1057" s="64"/>
      <c r="M1057" s="64"/>
      <c r="N1057" s="64"/>
      <c r="O1057" s="64"/>
      <c r="P1057" s="64"/>
      <c r="Q1057" s="64"/>
      <c r="R1057" s="28"/>
    </row>
    <row r="1058" spans="1:18" x14ac:dyDescent="0.25">
      <c r="A1058" s="63"/>
      <c r="B1058" s="64"/>
      <c r="C1058" s="64"/>
      <c r="D1058" s="64"/>
      <c r="E1058" s="64"/>
      <c r="F1058" s="64"/>
      <c r="G1058" s="64"/>
      <c r="H1058" s="64"/>
      <c r="I1058" s="64"/>
      <c r="J1058" s="64"/>
      <c r="K1058" s="64"/>
      <c r="L1058" s="64"/>
      <c r="M1058" s="64"/>
      <c r="N1058" s="64"/>
      <c r="O1058" s="64"/>
      <c r="P1058" s="64"/>
      <c r="Q1058" s="64"/>
      <c r="R1058" s="28"/>
    </row>
    <row r="1059" spans="1:18" x14ac:dyDescent="0.25">
      <c r="A1059" s="63"/>
      <c r="B1059" s="64"/>
      <c r="C1059" s="64"/>
      <c r="D1059" s="64"/>
      <c r="E1059" s="64"/>
      <c r="F1059" s="64"/>
      <c r="G1059" s="64"/>
      <c r="H1059" s="64"/>
      <c r="I1059" s="64"/>
      <c r="J1059" s="64"/>
      <c r="K1059" s="64"/>
      <c r="L1059" s="64"/>
      <c r="M1059" s="64"/>
      <c r="N1059" s="64"/>
      <c r="O1059" s="64"/>
      <c r="P1059" s="64"/>
      <c r="Q1059" s="64"/>
      <c r="R1059" s="28"/>
    </row>
    <row r="1060" spans="1:18" x14ac:dyDescent="0.25">
      <c r="A1060" s="63"/>
      <c r="B1060" s="64"/>
      <c r="C1060" s="64"/>
      <c r="D1060" s="64"/>
      <c r="E1060" s="64"/>
      <c r="F1060" s="64"/>
      <c r="G1060" s="64"/>
      <c r="H1060" s="64"/>
      <c r="I1060" s="64"/>
      <c r="J1060" s="64"/>
      <c r="K1060" s="64"/>
      <c r="L1060" s="64"/>
      <c r="M1060" s="64"/>
      <c r="N1060" s="64"/>
      <c r="O1060" s="64"/>
      <c r="P1060" s="64"/>
      <c r="Q1060" s="64"/>
      <c r="R1060" s="28"/>
    </row>
    <row r="1061" spans="1:18" x14ac:dyDescent="0.25">
      <c r="A1061" s="63"/>
      <c r="B1061" s="64"/>
      <c r="C1061" s="64"/>
      <c r="D1061" s="64"/>
      <c r="E1061" s="64"/>
      <c r="F1061" s="64"/>
      <c r="G1061" s="64"/>
      <c r="H1061" s="64"/>
      <c r="I1061" s="64"/>
      <c r="J1061" s="64"/>
      <c r="K1061" s="64"/>
      <c r="L1061" s="64"/>
      <c r="M1061" s="64"/>
      <c r="N1061" s="64"/>
      <c r="O1061" s="64"/>
      <c r="P1061" s="64"/>
      <c r="Q1061" s="64"/>
      <c r="R1061" s="28"/>
    </row>
    <row r="1062" spans="1:18" x14ac:dyDescent="0.25">
      <c r="A1062" s="63"/>
      <c r="B1062" s="64"/>
      <c r="C1062" s="64"/>
      <c r="D1062" s="64"/>
      <c r="E1062" s="64"/>
      <c r="F1062" s="64"/>
      <c r="G1062" s="64"/>
      <c r="H1062" s="64"/>
      <c r="I1062" s="64"/>
      <c r="J1062" s="64"/>
      <c r="K1062" s="64"/>
      <c r="L1062" s="64"/>
      <c r="M1062" s="64"/>
      <c r="N1062" s="64"/>
      <c r="O1062" s="64"/>
      <c r="P1062" s="64"/>
      <c r="Q1062" s="64"/>
      <c r="R1062" s="28"/>
    </row>
    <row r="1063" spans="1:18" x14ac:dyDescent="0.25">
      <c r="A1063" s="63"/>
      <c r="B1063" s="64"/>
      <c r="C1063" s="64"/>
      <c r="D1063" s="64"/>
      <c r="E1063" s="64"/>
      <c r="F1063" s="64"/>
      <c r="G1063" s="64"/>
      <c r="H1063" s="64"/>
      <c r="I1063" s="64"/>
      <c r="J1063" s="64"/>
      <c r="K1063" s="64"/>
      <c r="L1063" s="64"/>
      <c r="M1063" s="64"/>
      <c r="N1063" s="64"/>
      <c r="O1063" s="64"/>
      <c r="P1063" s="64"/>
      <c r="Q1063" s="64"/>
      <c r="R1063" s="28"/>
    </row>
    <row r="1064" spans="1:18" x14ac:dyDescent="0.25">
      <c r="A1064" s="63"/>
      <c r="B1064" s="64"/>
      <c r="C1064" s="64"/>
      <c r="D1064" s="64"/>
      <c r="E1064" s="64"/>
      <c r="F1064" s="64"/>
      <c r="G1064" s="64"/>
      <c r="H1064" s="64"/>
      <c r="I1064" s="64"/>
      <c r="J1064" s="64"/>
      <c r="K1064" s="64"/>
      <c r="L1064" s="64"/>
      <c r="M1064" s="64"/>
      <c r="N1064" s="64"/>
      <c r="O1064" s="64"/>
      <c r="P1064" s="64"/>
      <c r="Q1064" s="64"/>
      <c r="R1064" s="28"/>
    </row>
    <row r="1065" spans="1:18" x14ac:dyDescent="0.25">
      <c r="A1065" s="63"/>
      <c r="B1065" s="64"/>
      <c r="C1065" s="64"/>
      <c r="D1065" s="64"/>
      <c r="E1065" s="64"/>
      <c r="F1065" s="64"/>
      <c r="G1065" s="64"/>
      <c r="H1065" s="64"/>
      <c r="I1065" s="64"/>
      <c r="J1065" s="64"/>
      <c r="K1065" s="64"/>
      <c r="L1065" s="64"/>
      <c r="M1065" s="64"/>
      <c r="N1065" s="64"/>
      <c r="O1065" s="64"/>
      <c r="P1065" s="64"/>
      <c r="Q1065" s="64"/>
      <c r="R1065" s="28"/>
    </row>
    <row r="1066" spans="1:18" x14ac:dyDescent="0.25">
      <c r="A1066" s="63"/>
      <c r="B1066" s="64"/>
      <c r="C1066" s="64"/>
      <c r="D1066" s="64"/>
      <c r="E1066" s="64"/>
      <c r="F1066" s="64"/>
      <c r="G1066" s="64"/>
      <c r="H1066" s="64"/>
      <c r="I1066" s="64"/>
      <c r="J1066" s="64"/>
      <c r="K1066" s="64"/>
      <c r="L1066" s="64"/>
      <c r="M1066" s="64"/>
      <c r="N1066" s="64"/>
      <c r="O1066" s="64"/>
      <c r="P1066" s="64"/>
      <c r="Q1066" s="64"/>
      <c r="R1066" s="28"/>
    </row>
    <row r="1067" spans="1:18" x14ac:dyDescent="0.25">
      <c r="A1067" s="63"/>
      <c r="B1067" s="64"/>
      <c r="C1067" s="64"/>
      <c r="D1067" s="64"/>
      <c r="E1067" s="64"/>
      <c r="F1067" s="64"/>
      <c r="G1067" s="64"/>
      <c r="H1067" s="64"/>
      <c r="I1067" s="64"/>
      <c r="J1067" s="64"/>
      <c r="K1067" s="64"/>
      <c r="L1067" s="64"/>
      <c r="M1067" s="64"/>
      <c r="N1067" s="64"/>
      <c r="O1067" s="64"/>
      <c r="P1067" s="64"/>
      <c r="Q1067" s="64"/>
      <c r="R1067" s="28"/>
    </row>
    <row r="1068" spans="1:18" x14ac:dyDescent="0.25">
      <c r="A1068" s="63"/>
      <c r="B1068" s="64"/>
      <c r="C1068" s="64"/>
      <c r="D1068" s="64"/>
      <c r="E1068" s="64"/>
      <c r="F1068" s="64"/>
      <c r="G1068" s="64"/>
      <c r="H1068" s="64"/>
      <c r="I1068" s="64"/>
      <c r="J1068" s="64"/>
      <c r="K1068" s="64"/>
      <c r="L1068" s="64"/>
      <c r="M1068" s="64"/>
      <c r="N1068" s="64"/>
      <c r="O1068" s="64"/>
      <c r="P1068" s="64"/>
      <c r="Q1068" s="64"/>
      <c r="R1068" s="28"/>
    </row>
    <row r="1069" spans="1:18" x14ac:dyDescent="0.25">
      <c r="A1069" s="63"/>
      <c r="B1069" s="64"/>
      <c r="C1069" s="64"/>
      <c r="D1069" s="64"/>
      <c r="E1069" s="64"/>
      <c r="F1069" s="64"/>
      <c r="G1069" s="64"/>
      <c r="H1069" s="64"/>
      <c r="I1069" s="64"/>
      <c r="J1069" s="64"/>
      <c r="K1069" s="64"/>
      <c r="L1069" s="64"/>
      <c r="M1069" s="64"/>
      <c r="N1069" s="64"/>
      <c r="O1069" s="64"/>
      <c r="P1069" s="64"/>
      <c r="Q1069" s="64"/>
      <c r="R1069" s="28"/>
    </row>
    <row r="1070" spans="1:18" x14ac:dyDescent="0.25">
      <c r="A1070" s="63"/>
      <c r="B1070" s="64"/>
      <c r="C1070" s="64"/>
      <c r="D1070" s="64"/>
      <c r="E1070" s="64"/>
      <c r="F1070" s="64"/>
      <c r="G1070" s="64"/>
      <c r="H1070" s="64"/>
      <c r="I1070" s="64"/>
      <c r="J1070" s="64"/>
      <c r="K1070" s="64"/>
      <c r="L1070" s="64"/>
      <c r="M1070" s="64"/>
      <c r="N1070" s="64"/>
      <c r="O1070" s="64"/>
      <c r="P1070" s="64"/>
      <c r="Q1070" s="64"/>
      <c r="R1070" s="28"/>
    </row>
    <row r="1071" spans="1:18" x14ac:dyDescent="0.25">
      <c r="A1071" s="63"/>
      <c r="B1071" s="64"/>
      <c r="C1071" s="64"/>
      <c r="D1071" s="64"/>
      <c r="E1071" s="64"/>
      <c r="F1071" s="64"/>
      <c r="G1071" s="64"/>
      <c r="H1071" s="64"/>
      <c r="I1071" s="64"/>
      <c r="J1071" s="64"/>
      <c r="K1071" s="64"/>
      <c r="L1071" s="64"/>
      <c r="M1071" s="64"/>
      <c r="N1071" s="64"/>
      <c r="O1071" s="64"/>
      <c r="P1071" s="64"/>
      <c r="Q1071" s="64"/>
      <c r="R1071" s="28"/>
    </row>
    <row r="1072" spans="1:18" x14ac:dyDescent="0.25">
      <c r="A1072" s="63"/>
      <c r="B1072" s="64"/>
      <c r="C1072" s="64"/>
      <c r="D1072" s="64"/>
      <c r="E1072" s="64"/>
      <c r="F1072" s="64"/>
      <c r="G1072" s="64"/>
      <c r="H1072" s="64"/>
      <c r="I1072" s="64"/>
      <c r="J1072" s="64"/>
      <c r="K1072" s="64"/>
      <c r="L1072" s="64"/>
      <c r="M1072" s="64"/>
      <c r="N1072" s="64"/>
      <c r="O1072" s="64"/>
      <c r="P1072" s="64"/>
      <c r="Q1072" s="64"/>
      <c r="R1072" s="28"/>
    </row>
    <row r="1073" spans="1:18" x14ac:dyDescent="0.25">
      <c r="A1073" s="63"/>
      <c r="B1073" s="64"/>
      <c r="C1073" s="64"/>
      <c r="D1073" s="64"/>
      <c r="E1073" s="64"/>
      <c r="F1073" s="64"/>
      <c r="G1073" s="64"/>
      <c r="H1073" s="64"/>
      <c r="I1073" s="64"/>
      <c r="J1073" s="64"/>
      <c r="K1073" s="64"/>
      <c r="L1073" s="64"/>
      <c r="M1073" s="64"/>
      <c r="N1073" s="64"/>
      <c r="O1073" s="64"/>
      <c r="P1073" s="64"/>
      <c r="Q1073" s="64"/>
      <c r="R1073" s="28"/>
    </row>
    <row r="1074" spans="1:18" x14ac:dyDescent="0.25">
      <c r="A1074" s="63"/>
      <c r="B1074" s="64"/>
      <c r="C1074" s="64"/>
      <c r="D1074" s="64"/>
      <c r="E1074" s="64"/>
      <c r="F1074" s="64"/>
      <c r="G1074" s="64"/>
      <c r="H1074" s="64"/>
      <c r="I1074" s="64"/>
      <c r="J1074" s="64"/>
      <c r="K1074" s="64"/>
      <c r="L1074" s="64"/>
      <c r="M1074" s="64"/>
      <c r="N1074" s="64"/>
      <c r="O1074" s="64"/>
      <c r="P1074" s="64"/>
      <c r="Q1074" s="64"/>
      <c r="R1074" s="28"/>
    </row>
    <row r="1075" spans="1:18" x14ac:dyDescent="0.25">
      <c r="A1075" s="63"/>
      <c r="B1075" s="64"/>
      <c r="C1075" s="64"/>
      <c r="D1075" s="64"/>
      <c r="E1075" s="64"/>
      <c r="F1075" s="64"/>
      <c r="G1075" s="64"/>
      <c r="H1075" s="64"/>
      <c r="I1075" s="64"/>
      <c r="J1075" s="64"/>
      <c r="K1075" s="64"/>
      <c r="L1075" s="64"/>
      <c r="M1075" s="64"/>
      <c r="N1075" s="64"/>
      <c r="O1075" s="64"/>
      <c r="P1075" s="64"/>
      <c r="Q1075" s="64"/>
      <c r="R1075" s="28"/>
    </row>
    <row r="1076" spans="1:18" x14ac:dyDescent="0.25">
      <c r="A1076" s="63"/>
      <c r="B1076" s="64"/>
      <c r="C1076" s="64"/>
      <c r="D1076" s="64"/>
      <c r="E1076" s="64"/>
      <c r="F1076" s="64"/>
      <c r="G1076" s="64"/>
      <c r="H1076" s="64"/>
      <c r="I1076" s="64"/>
      <c r="J1076" s="64"/>
      <c r="K1076" s="64"/>
      <c r="L1076" s="64"/>
      <c r="M1076" s="64"/>
      <c r="N1076" s="64"/>
      <c r="O1076" s="64"/>
      <c r="P1076" s="64"/>
      <c r="Q1076" s="64"/>
      <c r="R1076" s="28"/>
    </row>
    <row r="1077" spans="1:18" x14ac:dyDescent="0.25">
      <c r="A1077" s="63"/>
      <c r="B1077" s="64"/>
      <c r="C1077" s="64"/>
      <c r="D1077" s="64"/>
      <c r="E1077" s="64"/>
      <c r="F1077" s="64"/>
      <c r="G1077" s="64"/>
      <c r="H1077" s="64"/>
      <c r="I1077" s="64"/>
      <c r="J1077" s="64"/>
      <c r="K1077" s="64"/>
      <c r="L1077" s="64"/>
      <c r="M1077" s="64"/>
      <c r="N1077" s="64"/>
      <c r="O1077" s="64"/>
      <c r="P1077" s="64"/>
      <c r="Q1077" s="64"/>
      <c r="R1077" s="28"/>
    </row>
    <row r="1078" spans="1:18" x14ac:dyDescent="0.25">
      <c r="A1078" s="63"/>
      <c r="B1078" s="64"/>
      <c r="C1078" s="64"/>
      <c r="D1078" s="64"/>
      <c r="E1078" s="64"/>
      <c r="F1078" s="64"/>
      <c r="G1078" s="64"/>
      <c r="H1078" s="64"/>
      <c r="I1078" s="64"/>
      <c r="J1078" s="64"/>
      <c r="K1078" s="64"/>
      <c r="L1078" s="64"/>
      <c r="M1078" s="64"/>
      <c r="N1078" s="64"/>
      <c r="O1078" s="64"/>
      <c r="P1078" s="64"/>
      <c r="Q1078" s="64"/>
      <c r="R1078" s="28"/>
    </row>
    <row r="1079" spans="1:18" x14ac:dyDescent="0.25">
      <c r="A1079" s="63"/>
      <c r="B1079" s="64"/>
      <c r="C1079" s="64"/>
      <c r="D1079" s="64"/>
      <c r="E1079" s="64"/>
      <c r="F1079" s="64"/>
      <c r="G1079" s="64"/>
      <c r="H1079" s="64"/>
      <c r="I1079" s="64"/>
      <c r="J1079" s="64"/>
      <c r="K1079" s="64"/>
      <c r="L1079" s="64"/>
      <c r="M1079" s="64"/>
      <c r="N1079" s="64"/>
      <c r="O1079" s="64"/>
      <c r="P1079" s="64"/>
      <c r="Q1079" s="64"/>
      <c r="R1079" s="28"/>
    </row>
    <row r="1080" spans="1:18" x14ac:dyDescent="0.25">
      <c r="A1080" s="63"/>
      <c r="B1080" s="64"/>
      <c r="C1080" s="64"/>
      <c r="D1080" s="64"/>
      <c r="E1080" s="64"/>
      <c r="F1080" s="64"/>
      <c r="G1080" s="64"/>
      <c r="H1080" s="64"/>
      <c r="I1080" s="64"/>
      <c r="J1080" s="64"/>
      <c r="K1080" s="64"/>
      <c r="L1080" s="64"/>
      <c r="M1080" s="64"/>
      <c r="N1080" s="64"/>
      <c r="O1080" s="64"/>
      <c r="P1080" s="64"/>
      <c r="Q1080" s="64"/>
      <c r="R1080" s="28"/>
    </row>
    <row r="1081" spans="1:18" x14ac:dyDescent="0.25">
      <c r="A1081" s="63"/>
      <c r="B1081" s="64"/>
      <c r="C1081" s="64"/>
      <c r="D1081" s="64"/>
      <c r="E1081" s="64"/>
      <c r="F1081" s="64"/>
      <c r="G1081" s="64"/>
      <c r="H1081" s="64"/>
      <c r="I1081" s="64"/>
      <c r="J1081" s="64"/>
      <c r="K1081" s="64"/>
      <c r="L1081" s="64"/>
      <c r="M1081" s="64"/>
      <c r="N1081" s="64"/>
      <c r="O1081" s="64"/>
      <c r="P1081" s="64"/>
      <c r="Q1081" s="64"/>
      <c r="R1081" s="28"/>
    </row>
    <row r="1082" spans="1:18" x14ac:dyDescent="0.25">
      <c r="A1082" s="63"/>
      <c r="B1082" s="64"/>
      <c r="C1082" s="64"/>
      <c r="D1082" s="64"/>
      <c r="E1082" s="64"/>
      <c r="F1082" s="64"/>
      <c r="G1082" s="64"/>
      <c r="H1082" s="64"/>
      <c r="I1082" s="64"/>
      <c r="J1082" s="64"/>
      <c r="K1082" s="64"/>
      <c r="L1082" s="64"/>
      <c r="M1082" s="64"/>
      <c r="N1082" s="64"/>
      <c r="O1082" s="64"/>
      <c r="P1082" s="64"/>
      <c r="Q1082" s="64"/>
      <c r="R1082" s="28"/>
    </row>
    <row r="1083" spans="1:18" x14ac:dyDescent="0.25">
      <c r="A1083" s="63"/>
      <c r="B1083" s="64"/>
      <c r="C1083" s="64"/>
      <c r="D1083" s="64"/>
      <c r="E1083" s="64"/>
      <c r="F1083" s="64"/>
      <c r="G1083" s="64"/>
      <c r="H1083" s="64"/>
      <c r="I1083" s="64"/>
      <c r="J1083" s="64"/>
      <c r="K1083" s="64"/>
      <c r="L1083" s="64"/>
      <c r="M1083" s="64"/>
      <c r="N1083" s="64"/>
      <c r="O1083" s="64"/>
      <c r="P1083" s="64"/>
      <c r="Q1083" s="64"/>
      <c r="R1083" s="28"/>
    </row>
    <row r="1084" spans="1:18" x14ac:dyDescent="0.25">
      <c r="A1084" s="63"/>
      <c r="B1084" s="64"/>
      <c r="C1084" s="64"/>
      <c r="D1084" s="64"/>
      <c r="E1084" s="64"/>
      <c r="F1084" s="64"/>
      <c r="G1084" s="64"/>
      <c r="H1084" s="64"/>
      <c r="I1084" s="64"/>
      <c r="J1084" s="64"/>
      <c r="K1084" s="64"/>
      <c r="L1084" s="64"/>
      <c r="M1084" s="64"/>
      <c r="N1084" s="64"/>
      <c r="O1084" s="64"/>
      <c r="P1084" s="64"/>
      <c r="Q1084" s="64"/>
      <c r="R1084" s="28"/>
    </row>
    <row r="1085" spans="1:18" x14ac:dyDescent="0.25">
      <c r="A1085" s="63"/>
      <c r="B1085" s="64"/>
      <c r="C1085" s="64"/>
      <c r="D1085" s="64"/>
      <c r="E1085" s="64"/>
      <c r="F1085" s="64"/>
      <c r="G1085" s="64"/>
      <c r="H1085" s="64"/>
      <c r="I1085" s="64"/>
      <c r="J1085" s="64"/>
      <c r="K1085" s="64"/>
      <c r="L1085" s="64"/>
      <c r="M1085" s="64"/>
      <c r="N1085" s="64"/>
      <c r="O1085" s="64"/>
      <c r="P1085" s="64"/>
      <c r="Q1085" s="64"/>
      <c r="R1085" s="28"/>
    </row>
    <row r="1086" spans="1:18" x14ac:dyDescent="0.25">
      <c r="A1086" s="63"/>
      <c r="B1086" s="64"/>
      <c r="C1086" s="64"/>
      <c r="D1086" s="64"/>
      <c r="E1086" s="64"/>
      <c r="F1086" s="64"/>
      <c r="G1086" s="64"/>
      <c r="H1086" s="64"/>
      <c r="I1086" s="64"/>
      <c r="J1086" s="64"/>
      <c r="K1086" s="64"/>
      <c r="L1086" s="64"/>
      <c r="M1086" s="64"/>
      <c r="N1086" s="64"/>
      <c r="O1086" s="64"/>
      <c r="P1086" s="64"/>
      <c r="Q1086" s="64"/>
      <c r="R1086" s="28"/>
    </row>
    <row r="1087" spans="1:18" x14ac:dyDescent="0.25">
      <c r="A1087" s="63"/>
      <c r="B1087" s="64"/>
      <c r="C1087" s="64"/>
      <c r="D1087" s="64"/>
      <c r="E1087" s="64"/>
      <c r="F1087" s="64"/>
      <c r="G1087" s="64"/>
      <c r="H1087" s="64"/>
      <c r="I1087" s="64"/>
      <c r="J1087" s="64"/>
      <c r="K1087" s="64"/>
      <c r="L1087" s="64"/>
      <c r="M1087" s="64"/>
      <c r="N1087" s="64"/>
      <c r="O1087" s="64"/>
      <c r="P1087" s="64"/>
      <c r="Q1087" s="64"/>
      <c r="R1087" s="28"/>
    </row>
    <row r="1088" spans="1:18" x14ac:dyDescent="0.25">
      <c r="A1088" s="63"/>
      <c r="B1088" s="64"/>
      <c r="C1088" s="64"/>
      <c r="D1088" s="64"/>
      <c r="E1088" s="64"/>
      <c r="F1088" s="64"/>
      <c r="G1088" s="64"/>
      <c r="H1088" s="64"/>
      <c r="I1088" s="64"/>
      <c r="J1088" s="64"/>
      <c r="K1088" s="64"/>
      <c r="L1088" s="64"/>
      <c r="M1088" s="64"/>
      <c r="N1088" s="64"/>
      <c r="O1088" s="64"/>
      <c r="P1088" s="64"/>
      <c r="Q1088" s="64"/>
      <c r="R1088" s="28"/>
    </row>
    <row r="1089" spans="1:18" x14ac:dyDescent="0.25">
      <c r="A1089" s="63"/>
      <c r="B1089" s="64"/>
      <c r="C1089" s="64"/>
      <c r="D1089" s="64"/>
      <c r="E1089" s="64"/>
      <c r="F1089" s="64"/>
      <c r="G1089" s="64"/>
      <c r="H1089" s="64"/>
      <c r="I1089" s="64"/>
      <c r="J1089" s="64"/>
      <c r="K1089" s="64"/>
      <c r="L1089" s="64"/>
      <c r="M1089" s="64"/>
      <c r="N1089" s="64"/>
      <c r="O1089" s="64"/>
      <c r="P1089" s="64"/>
      <c r="Q1089" s="64"/>
      <c r="R1089" s="28"/>
    </row>
    <row r="1090" spans="1:18" x14ac:dyDescent="0.25">
      <c r="A1090" s="63"/>
      <c r="B1090" s="64"/>
      <c r="C1090" s="64"/>
      <c r="D1090" s="64"/>
      <c r="E1090" s="64"/>
      <c r="F1090" s="64"/>
      <c r="G1090" s="64"/>
      <c r="H1090" s="64"/>
      <c r="I1090" s="64"/>
      <c r="J1090" s="64"/>
      <c r="K1090" s="64"/>
      <c r="L1090" s="64"/>
      <c r="M1090" s="64"/>
      <c r="N1090" s="64"/>
      <c r="O1090" s="64"/>
      <c r="P1090" s="64"/>
      <c r="Q1090" s="64"/>
      <c r="R1090" s="28"/>
    </row>
    <row r="1091" spans="1:18" x14ac:dyDescent="0.25">
      <c r="A1091" s="63"/>
      <c r="B1091" s="64"/>
      <c r="C1091" s="64"/>
      <c r="D1091" s="64"/>
      <c r="E1091" s="64"/>
      <c r="F1091" s="64"/>
      <c r="G1091" s="64"/>
      <c r="H1091" s="64"/>
      <c r="I1091" s="64"/>
      <c r="J1091" s="64"/>
      <c r="K1091" s="64"/>
      <c r="L1091" s="64"/>
      <c r="M1091" s="64"/>
      <c r="N1091" s="64"/>
      <c r="O1091" s="64"/>
      <c r="P1091" s="64"/>
      <c r="Q1091" s="64"/>
      <c r="R1091" s="28"/>
    </row>
    <row r="1092" spans="1:18" x14ac:dyDescent="0.25">
      <c r="A1092" s="63"/>
      <c r="B1092" s="64"/>
      <c r="C1092" s="64"/>
      <c r="D1092" s="64"/>
      <c r="E1092" s="64"/>
      <c r="F1092" s="64"/>
      <c r="G1092" s="64"/>
      <c r="H1092" s="64"/>
      <c r="I1092" s="64"/>
      <c r="J1092" s="64"/>
      <c r="K1092" s="64"/>
      <c r="L1092" s="64"/>
      <c r="M1092" s="64"/>
      <c r="N1092" s="64"/>
      <c r="O1092" s="64"/>
      <c r="P1092" s="64"/>
      <c r="Q1092" s="64"/>
      <c r="R1092" s="28"/>
    </row>
    <row r="1093" spans="1:18" x14ac:dyDescent="0.25">
      <c r="A1093" s="63"/>
      <c r="B1093" s="64"/>
      <c r="C1093" s="64"/>
      <c r="D1093" s="64"/>
      <c r="E1093" s="64"/>
      <c r="F1093" s="64"/>
      <c r="G1093" s="64"/>
      <c r="H1093" s="64"/>
      <c r="I1093" s="64"/>
      <c r="J1093" s="64"/>
      <c r="K1093" s="64"/>
      <c r="L1093" s="64"/>
      <c r="M1093" s="64"/>
      <c r="N1093" s="64"/>
      <c r="O1093" s="64"/>
      <c r="P1093" s="64"/>
      <c r="Q1093" s="64"/>
      <c r="R1093" s="28"/>
    </row>
    <row r="1094" spans="1:18" x14ac:dyDescent="0.25">
      <c r="A1094" s="63"/>
      <c r="B1094" s="64"/>
      <c r="C1094" s="64"/>
      <c r="D1094" s="64"/>
      <c r="E1094" s="64"/>
      <c r="F1094" s="64"/>
      <c r="G1094" s="64"/>
      <c r="H1094" s="64"/>
      <c r="I1094" s="64"/>
      <c r="J1094" s="64"/>
      <c r="K1094" s="64"/>
      <c r="L1094" s="64"/>
      <c r="M1094" s="64"/>
      <c r="N1094" s="64"/>
      <c r="O1094" s="64"/>
      <c r="P1094" s="64"/>
      <c r="Q1094" s="64"/>
      <c r="R1094" s="28"/>
    </row>
    <row r="1095" spans="1:18" x14ac:dyDescent="0.25">
      <c r="A1095" s="63"/>
      <c r="B1095" s="64"/>
      <c r="C1095" s="64"/>
      <c r="D1095" s="64"/>
      <c r="E1095" s="64"/>
      <c r="F1095" s="64"/>
      <c r="G1095" s="64"/>
      <c r="H1095" s="64"/>
      <c r="I1095" s="64"/>
      <c r="J1095" s="64"/>
      <c r="K1095" s="64"/>
      <c r="L1095" s="64"/>
      <c r="M1095" s="64"/>
      <c r="N1095" s="64"/>
      <c r="O1095" s="64"/>
      <c r="P1095" s="64"/>
      <c r="Q1095" s="64"/>
      <c r="R1095" s="28"/>
    </row>
    <row r="1096" spans="1:18" x14ac:dyDescent="0.25">
      <c r="A1096" s="63"/>
      <c r="B1096" s="64"/>
      <c r="C1096" s="64"/>
      <c r="D1096" s="64"/>
      <c r="E1096" s="64"/>
      <c r="F1096" s="64"/>
      <c r="G1096" s="64"/>
      <c r="H1096" s="64"/>
      <c r="I1096" s="64"/>
      <c r="J1096" s="64"/>
      <c r="K1096" s="64"/>
      <c r="L1096" s="64"/>
      <c r="M1096" s="64"/>
      <c r="N1096" s="64"/>
      <c r="O1096" s="64"/>
      <c r="P1096" s="64"/>
      <c r="Q1096" s="64"/>
      <c r="R1096" s="28"/>
    </row>
    <row r="1097" spans="1:18" x14ac:dyDescent="0.25">
      <c r="A1097" s="63"/>
      <c r="B1097" s="64"/>
      <c r="C1097" s="64"/>
      <c r="D1097" s="64"/>
      <c r="E1097" s="64"/>
      <c r="F1097" s="64"/>
      <c r="G1097" s="64"/>
      <c r="H1097" s="64"/>
      <c r="I1097" s="64"/>
      <c r="J1097" s="64"/>
      <c r="K1097" s="64"/>
      <c r="L1097" s="64"/>
      <c r="M1097" s="64"/>
      <c r="N1097" s="64"/>
      <c r="O1097" s="64"/>
      <c r="P1097" s="64"/>
      <c r="Q1097" s="64"/>
      <c r="R1097" s="28"/>
    </row>
    <row r="1098" spans="1:18" x14ac:dyDescent="0.25">
      <c r="A1098" s="63"/>
      <c r="B1098" s="64"/>
      <c r="C1098" s="64"/>
      <c r="D1098" s="64"/>
      <c r="E1098" s="64"/>
      <c r="F1098" s="64"/>
      <c r="G1098" s="64"/>
      <c r="H1098" s="64"/>
      <c r="I1098" s="64"/>
      <c r="J1098" s="64"/>
      <c r="K1098" s="64"/>
      <c r="L1098" s="64"/>
      <c r="M1098" s="64"/>
      <c r="N1098" s="64"/>
      <c r="O1098" s="64"/>
      <c r="P1098" s="64"/>
      <c r="Q1098" s="64"/>
      <c r="R1098" s="28"/>
    </row>
    <row r="1099" spans="1:18" x14ac:dyDescent="0.25">
      <c r="A1099" s="63"/>
      <c r="B1099" s="64"/>
      <c r="C1099" s="64"/>
      <c r="D1099" s="64"/>
      <c r="E1099" s="64"/>
      <c r="F1099" s="64"/>
      <c r="G1099" s="64"/>
      <c r="H1099" s="64"/>
      <c r="I1099" s="64"/>
      <c r="J1099" s="64"/>
      <c r="K1099" s="64"/>
      <c r="L1099" s="64"/>
      <c r="M1099" s="64"/>
      <c r="N1099" s="64"/>
      <c r="O1099" s="64"/>
      <c r="P1099" s="64"/>
      <c r="Q1099" s="64"/>
      <c r="R1099" s="28"/>
    </row>
    <row r="1100" spans="1:18" x14ac:dyDescent="0.25">
      <c r="A1100" s="63"/>
      <c r="B1100" s="64"/>
      <c r="C1100" s="64"/>
      <c r="D1100" s="64"/>
      <c r="E1100" s="64"/>
      <c r="F1100" s="64"/>
      <c r="G1100" s="64"/>
      <c r="H1100" s="64"/>
      <c r="I1100" s="64"/>
      <c r="J1100" s="64"/>
      <c r="K1100" s="64"/>
      <c r="L1100" s="64"/>
      <c r="M1100" s="64"/>
      <c r="N1100" s="64"/>
      <c r="O1100" s="64"/>
      <c r="P1100" s="64"/>
      <c r="Q1100" s="64"/>
      <c r="R1100" s="28"/>
    </row>
    <row r="1101" spans="1:18" x14ac:dyDescent="0.25">
      <c r="A1101" s="63"/>
      <c r="B1101" s="64"/>
      <c r="C1101" s="64"/>
      <c r="D1101" s="64"/>
      <c r="E1101" s="64"/>
      <c r="F1101" s="64"/>
      <c r="G1101" s="64"/>
      <c r="H1101" s="64"/>
      <c r="I1101" s="64"/>
      <c r="J1101" s="64"/>
      <c r="K1101" s="64"/>
      <c r="L1101" s="64"/>
      <c r="M1101" s="64"/>
      <c r="N1101" s="64"/>
      <c r="O1101" s="64"/>
      <c r="P1101" s="64"/>
      <c r="Q1101" s="64"/>
      <c r="R1101" s="28"/>
    </row>
    <row r="1102" spans="1:18" x14ac:dyDescent="0.25">
      <c r="A1102" s="63"/>
      <c r="B1102" s="64"/>
      <c r="C1102" s="64"/>
      <c r="D1102" s="64"/>
      <c r="E1102" s="64"/>
      <c r="F1102" s="64"/>
      <c r="G1102" s="64"/>
      <c r="H1102" s="64"/>
      <c r="I1102" s="64"/>
      <c r="J1102" s="64"/>
      <c r="K1102" s="64"/>
      <c r="L1102" s="64"/>
      <c r="M1102" s="64"/>
      <c r="N1102" s="64"/>
      <c r="O1102" s="64"/>
      <c r="P1102" s="64"/>
      <c r="Q1102" s="64"/>
      <c r="R1102" s="28"/>
    </row>
    <row r="1103" spans="1:18" x14ac:dyDescent="0.25">
      <c r="A1103" s="63"/>
      <c r="B1103" s="64"/>
      <c r="C1103" s="64"/>
      <c r="D1103" s="64"/>
      <c r="E1103" s="64"/>
      <c r="F1103" s="64"/>
      <c r="G1103" s="64"/>
      <c r="H1103" s="64"/>
      <c r="I1103" s="64"/>
      <c r="J1103" s="64"/>
      <c r="K1103" s="64"/>
      <c r="L1103" s="64"/>
      <c r="M1103" s="64"/>
      <c r="N1103" s="64"/>
      <c r="O1103" s="64"/>
      <c r="P1103" s="64"/>
      <c r="Q1103" s="64"/>
      <c r="R1103" s="28"/>
    </row>
    <row r="1104" spans="1:18" x14ac:dyDescent="0.25">
      <c r="A1104" s="63"/>
      <c r="B1104" s="64"/>
      <c r="C1104" s="64"/>
      <c r="D1104" s="64"/>
      <c r="E1104" s="64"/>
      <c r="F1104" s="64"/>
      <c r="G1104" s="64"/>
      <c r="H1104" s="64"/>
      <c r="I1104" s="64"/>
      <c r="J1104" s="64"/>
      <c r="K1104" s="64"/>
      <c r="L1104" s="64"/>
      <c r="M1104" s="64"/>
      <c r="N1104" s="64"/>
      <c r="O1104" s="64"/>
      <c r="P1104" s="64"/>
      <c r="Q1104" s="64"/>
      <c r="R1104" s="28"/>
    </row>
    <row r="1105" spans="1:18" x14ac:dyDescent="0.25">
      <c r="A1105" s="63"/>
      <c r="B1105" s="64"/>
      <c r="C1105" s="64"/>
      <c r="D1105" s="64"/>
      <c r="E1105" s="64"/>
      <c r="F1105" s="64"/>
      <c r="G1105" s="64"/>
      <c r="H1105" s="64"/>
      <c r="I1105" s="64"/>
      <c r="J1105" s="64"/>
      <c r="K1105" s="64"/>
      <c r="L1105" s="64"/>
      <c r="M1105" s="64"/>
      <c r="N1105" s="64"/>
      <c r="O1105" s="64"/>
      <c r="P1105" s="64"/>
      <c r="Q1105" s="64"/>
      <c r="R1105" s="28"/>
    </row>
    <row r="1106" spans="1:18" x14ac:dyDescent="0.25">
      <c r="A1106" s="63"/>
      <c r="B1106" s="64"/>
      <c r="C1106" s="64"/>
      <c r="D1106" s="64"/>
      <c r="E1106" s="64"/>
      <c r="F1106" s="64"/>
      <c r="G1106" s="64"/>
      <c r="H1106" s="64"/>
      <c r="I1106" s="64"/>
      <c r="J1106" s="64"/>
      <c r="K1106" s="64"/>
      <c r="L1106" s="64"/>
      <c r="M1106" s="64"/>
      <c r="N1106" s="64"/>
      <c r="O1106" s="64"/>
      <c r="P1106" s="64"/>
      <c r="Q1106" s="64"/>
      <c r="R1106" s="28"/>
    </row>
    <row r="1107" spans="1:18" x14ac:dyDescent="0.25">
      <c r="A1107" s="63"/>
      <c r="B1107" s="64"/>
      <c r="C1107" s="64"/>
      <c r="D1107" s="64"/>
      <c r="E1107" s="64"/>
      <c r="F1107" s="64"/>
      <c r="G1107" s="64"/>
      <c r="H1107" s="64"/>
      <c r="I1107" s="64"/>
      <c r="J1107" s="64"/>
      <c r="K1107" s="64"/>
      <c r="L1107" s="64"/>
      <c r="M1107" s="64"/>
      <c r="N1107" s="64"/>
      <c r="O1107" s="64"/>
      <c r="P1107" s="64"/>
      <c r="Q1107" s="64"/>
      <c r="R1107" s="28"/>
    </row>
    <row r="1108" spans="1:18" x14ac:dyDescent="0.25">
      <c r="A1108" s="63"/>
      <c r="B1108" s="64"/>
      <c r="C1108" s="64"/>
      <c r="D1108" s="64"/>
      <c r="E1108" s="64"/>
      <c r="F1108" s="64"/>
      <c r="G1108" s="64"/>
      <c r="H1108" s="64"/>
      <c r="I1108" s="64"/>
      <c r="J1108" s="64"/>
      <c r="K1108" s="64"/>
      <c r="L1108" s="64"/>
      <c r="M1108" s="64"/>
      <c r="N1108" s="64"/>
      <c r="O1108" s="64"/>
      <c r="P1108" s="64"/>
      <c r="Q1108" s="64"/>
      <c r="R1108" s="28"/>
    </row>
    <row r="1109" spans="1:18" x14ac:dyDescent="0.25">
      <c r="A1109" s="63"/>
      <c r="B1109" s="64"/>
      <c r="C1109" s="64"/>
      <c r="D1109" s="64"/>
      <c r="E1109" s="64"/>
      <c r="F1109" s="64"/>
      <c r="G1109" s="64"/>
      <c r="H1109" s="64"/>
      <c r="I1109" s="64"/>
      <c r="J1109" s="64"/>
      <c r="K1109" s="64"/>
      <c r="L1109" s="64"/>
      <c r="M1109" s="64"/>
      <c r="N1109" s="64"/>
      <c r="O1109" s="64"/>
      <c r="P1109" s="64"/>
      <c r="Q1109" s="64"/>
      <c r="R1109" s="28"/>
    </row>
    <row r="1110" spans="1:18" x14ac:dyDescent="0.25">
      <c r="A1110" s="63"/>
      <c r="B1110" s="64"/>
      <c r="C1110" s="64"/>
      <c r="D1110" s="64"/>
      <c r="E1110" s="64"/>
      <c r="F1110" s="64"/>
      <c r="G1110" s="64"/>
      <c r="H1110" s="64"/>
      <c r="I1110" s="64"/>
      <c r="J1110" s="64"/>
      <c r="K1110" s="64"/>
      <c r="L1110" s="64"/>
      <c r="M1110" s="64"/>
      <c r="N1110" s="64"/>
      <c r="O1110" s="64"/>
      <c r="P1110" s="64"/>
      <c r="Q1110" s="64"/>
      <c r="R1110" s="28"/>
    </row>
    <row r="1111" spans="1:18" x14ac:dyDescent="0.25">
      <c r="A1111" s="63"/>
      <c r="B1111" s="64"/>
      <c r="C1111" s="64"/>
      <c r="D1111" s="64"/>
      <c r="E1111" s="64"/>
      <c r="F1111" s="64"/>
      <c r="G1111" s="64"/>
      <c r="H1111" s="64"/>
      <c r="I1111" s="64"/>
      <c r="J1111" s="64"/>
      <c r="K1111" s="64"/>
      <c r="L1111" s="64"/>
      <c r="M1111" s="64"/>
      <c r="N1111" s="64"/>
      <c r="O1111" s="64"/>
      <c r="P1111" s="64"/>
      <c r="Q1111" s="64"/>
      <c r="R1111" s="28"/>
    </row>
    <row r="1112" spans="1:18" x14ac:dyDescent="0.25">
      <c r="A1112" s="63"/>
      <c r="B1112" s="64"/>
      <c r="C1112" s="64"/>
      <c r="D1112" s="64"/>
      <c r="E1112" s="64"/>
      <c r="F1112" s="64"/>
      <c r="G1112" s="64"/>
      <c r="H1112" s="64"/>
      <c r="I1112" s="64"/>
      <c r="J1112" s="64"/>
      <c r="K1112" s="64"/>
      <c r="L1112" s="64"/>
      <c r="M1112" s="64"/>
      <c r="N1112" s="64"/>
      <c r="O1112" s="64"/>
      <c r="P1112" s="64"/>
      <c r="Q1112" s="64"/>
      <c r="R1112" s="28"/>
    </row>
    <row r="1113" spans="1:18" x14ac:dyDescent="0.25">
      <c r="A1113" s="63"/>
      <c r="B1113" s="64"/>
      <c r="C1113" s="64"/>
      <c r="D1113" s="64"/>
      <c r="E1113" s="64"/>
      <c r="F1113" s="64"/>
      <c r="G1113" s="64"/>
      <c r="H1113" s="64"/>
      <c r="I1113" s="64"/>
      <c r="J1113" s="64"/>
      <c r="K1113" s="64"/>
      <c r="L1113" s="64"/>
      <c r="M1113" s="64"/>
      <c r="N1113" s="64"/>
      <c r="O1113" s="64"/>
      <c r="P1113" s="64"/>
      <c r="Q1113" s="64"/>
      <c r="R1113" s="28"/>
    </row>
    <row r="1114" spans="1:18" x14ac:dyDescent="0.25">
      <c r="A1114" s="63"/>
      <c r="B1114" s="64"/>
      <c r="C1114" s="64"/>
      <c r="D1114" s="64"/>
      <c r="E1114" s="64"/>
      <c r="F1114" s="64"/>
      <c r="G1114" s="64"/>
      <c r="H1114" s="64"/>
      <c r="I1114" s="64"/>
      <c r="J1114" s="64"/>
      <c r="K1114" s="64"/>
      <c r="L1114" s="64"/>
      <c r="M1114" s="64"/>
      <c r="N1114" s="64"/>
      <c r="O1114" s="64"/>
      <c r="P1114" s="64"/>
      <c r="Q1114" s="64"/>
      <c r="R1114" s="28"/>
    </row>
    <row r="1115" spans="1:18" x14ac:dyDescent="0.25">
      <c r="A1115" s="63"/>
      <c r="B1115" s="64"/>
      <c r="C1115" s="64"/>
      <c r="D1115" s="64"/>
      <c r="E1115" s="64"/>
      <c r="F1115" s="64"/>
      <c r="G1115" s="64"/>
      <c r="H1115" s="64"/>
      <c r="I1115" s="64"/>
      <c r="J1115" s="64"/>
      <c r="K1115" s="64"/>
      <c r="L1115" s="64"/>
      <c r="M1115" s="64"/>
      <c r="N1115" s="64"/>
      <c r="O1115" s="64"/>
      <c r="P1115" s="64"/>
      <c r="Q1115" s="64"/>
      <c r="R1115" s="28"/>
    </row>
    <row r="1116" spans="1:18" x14ac:dyDescent="0.25">
      <c r="A1116" s="63"/>
      <c r="B1116" s="64"/>
      <c r="C1116" s="64"/>
      <c r="D1116" s="64"/>
      <c r="E1116" s="64"/>
      <c r="F1116" s="64"/>
      <c r="G1116" s="64"/>
      <c r="H1116" s="64"/>
      <c r="I1116" s="64"/>
      <c r="J1116" s="64"/>
      <c r="K1116" s="64"/>
      <c r="L1116" s="64"/>
      <c r="M1116" s="64"/>
      <c r="N1116" s="64"/>
      <c r="O1116" s="64"/>
      <c r="P1116" s="64"/>
      <c r="Q1116" s="64"/>
      <c r="R1116" s="28"/>
    </row>
    <row r="1117" spans="1:18" x14ac:dyDescent="0.25">
      <c r="A1117" s="63"/>
      <c r="B1117" s="64"/>
      <c r="C1117" s="64"/>
      <c r="D1117" s="64"/>
      <c r="E1117" s="64"/>
      <c r="F1117" s="64"/>
      <c r="G1117" s="64"/>
      <c r="H1117" s="64"/>
      <c r="I1117" s="64"/>
      <c r="J1117" s="64"/>
      <c r="K1117" s="64"/>
      <c r="L1117" s="64"/>
      <c r="M1117" s="64"/>
      <c r="N1117" s="64"/>
      <c r="O1117" s="64"/>
      <c r="P1117" s="64"/>
      <c r="Q1117" s="64"/>
      <c r="R1117" s="28"/>
    </row>
    <row r="1118" spans="1:18" x14ac:dyDescent="0.25">
      <c r="A1118" s="63"/>
      <c r="B1118" s="64"/>
      <c r="C1118" s="64"/>
      <c r="D1118" s="64"/>
      <c r="E1118" s="64"/>
      <c r="F1118" s="64"/>
      <c r="G1118" s="64"/>
      <c r="H1118" s="64"/>
      <c r="I1118" s="64"/>
      <c r="J1118" s="64"/>
      <c r="K1118" s="64"/>
      <c r="L1118" s="64"/>
      <c r="M1118" s="64"/>
      <c r="N1118" s="64"/>
      <c r="O1118" s="64"/>
      <c r="P1118" s="64"/>
      <c r="Q1118" s="64"/>
      <c r="R1118" s="28"/>
    </row>
    <row r="1119" spans="1:18" x14ac:dyDescent="0.25">
      <c r="A1119" s="63"/>
      <c r="B1119" s="64"/>
      <c r="C1119" s="64"/>
      <c r="D1119" s="64"/>
      <c r="E1119" s="64"/>
      <c r="F1119" s="64"/>
      <c r="G1119" s="64"/>
      <c r="H1119" s="64"/>
      <c r="I1119" s="64"/>
      <c r="J1119" s="64"/>
      <c r="K1119" s="64"/>
      <c r="L1119" s="64"/>
      <c r="M1119" s="64"/>
      <c r="N1119" s="64"/>
      <c r="O1119" s="64"/>
      <c r="P1119" s="64"/>
      <c r="Q1119" s="64"/>
      <c r="R1119" s="28"/>
    </row>
    <row r="1120" spans="1:18" x14ac:dyDescent="0.25">
      <c r="A1120" s="63"/>
      <c r="B1120" s="64"/>
      <c r="C1120" s="64"/>
      <c r="D1120" s="64"/>
      <c r="E1120" s="64"/>
      <c r="F1120" s="64"/>
      <c r="G1120" s="64"/>
      <c r="H1120" s="64"/>
      <c r="I1120" s="64"/>
      <c r="J1120" s="64"/>
      <c r="K1120" s="64"/>
      <c r="L1120" s="64"/>
      <c r="M1120" s="64"/>
      <c r="N1120" s="64"/>
      <c r="O1120" s="64"/>
      <c r="P1120" s="64"/>
      <c r="Q1120" s="64"/>
      <c r="R1120" s="28"/>
    </row>
    <row r="1121" spans="1:18" x14ac:dyDescent="0.25">
      <c r="A1121" s="63"/>
      <c r="B1121" s="64"/>
      <c r="C1121" s="64"/>
      <c r="D1121" s="64"/>
      <c r="E1121" s="64"/>
      <c r="F1121" s="64"/>
      <c r="G1121" s="64"/>
      <c r="H1121" s="64"/>
      <c r="I1121" s="64"/>
      <c r="J1121" s="64"/>
      <c r="K1121" s="64"/>
      <c r="L1121" s="64"/>
      <c r="M1121" s="64"/>
      <c r="N1121" s="64"/>
      <c r="O1121" s="64"/>
      <c r="P1121" s="64"/>
      <c r="Q1121" s="64"/>
      <c r="R1121" s="28"/>
    </row>
    <row r="1122" spans="1:18" x14ac:dyDescent="0.25">
      <c r="A1122" s="63"/>
      <c r="B1122" s="64"/>
      <c r="C1122" s="64"/>
      <c r="D1122" s="64"/>
      <c r="E1122" s="64"/>
      <c r="F1122" s="64"/>
      <c r="G1122" s="64"/>
      <c r="H1122" s="64"/>
      <c r="I1122" s="64"/>
      <c r="J1122" s="64"/>
      <c r="K1122" s="64"/>
      <c r="L1122" s="64"/>
      <c r="M1122" s="64"/>
      <c r="N1122" s="64"/>
      <c r="O1122" s="64"/>
      <c r="P1122" s="64"/>
      <c r="Q1122" s="64"/>
      <c r="R1122" s="28"/>
    </row>
    <row r="1123" spans="1:18" x14ac:dyDescent="0.25">
      <c r="A1123" s="63"/>
      <c r="B1123" s="64"/>
      <c r="C1123" s="64"/>
      <c r="D1123" s="64"/>
      <c r="E1123" s="64"/>
      <c r="F1123" s="64"/>
      <c r="G1123" s="64"/>
      <c r="H1123" s="64"/>
      <c r="I1123" s="64"/>
      <c r="J1123" s="64"/>
      <c r="K1123" s="64"/>
      <c r="L1123" s="64"/>
      <c r="M1123" s="64"/>
      <c r="N1123" s="64"/>
      <c r="O1123" s="64"/>
      <c r="P1123" s="64"/>
      <c r="Q1123" s="64"/>
      <c r="R1123" s="28"/>
    </row>
    <row r="1124" spans="1:18" x14ac:dyDescent="0.25">
      <c r="A1124" s="63"/>
      <c r="B1124" s="64"/>
      <c r="C1124" s="64"/>
      <c r="D1124" s="64"/>
      <c r="E1124" s="64"/>
      <c r="F1124" s="64"/>
      <c r="G1124" s="64"/>
      <c r="H1124" s="64"/>
      <c r="I1124" s="64"/>
      <c r="J1124" s="64"/>
      <c r="K1124" s="64"/>
      <c r="L1124" s="64"/>
      <c r="M1124" s="64"/>
      <c r="N1124" s="64"/>
      <c r="O1124" s="64"/>
      <c r="P1124" s="64"/>
      <c r="Q1124" s="64"/>
      <c r="R1124" s="28"/>
    </row>
    <row r="1125" spans="1:18" x14ac:dyDescent="0.25">
      <c r="A1125" s="63"/>
      <c r="B1125" s="64"/>
      <c r="C1125" s="64"/>
      <c r="D1125" s="64"/>
      <c r="E1125" s="64"/>
      <c r="F1125" s="64"/>
      <c r="G1125" s="64"/>
      <c r="H1125" s="64"/>
      <c r="I1125" s="64"/>
      <c r="J1125" s="64"/>
      <c r="K1125" s="64"/>
      <c r="L1125" s="64"/>
      <c r="M1125" s="64"/>
      <c r="N1125" s="64"/>
      <c r="O1125" s="64"/>
      <c r="P1125" s="64"/>
      <c r="Q1125" s="64"/>
      <c r="R1125" s="28"/>
    </row>
    <row r="1126" spans="1:18" x14ac:dyDescent="0.25">
      <c r="A1126" s="63"/>
      <c r="B1126" s="64"/>
      <c r="C1126" s="64"/>
      <c r="D1126" s="64"/>
      <c r="E1126" s="64"/>
      <c r="F1126" s="64"/>
      <c r="G1126" s="64"/>
      <c r="H1126" s="64"/>
      <c r="I1126" s="64"/>
      <c r="J1126" s="64"/>
      <c r="K1126" s="64"/>
      <c r="L1126" s="64"/>
      <c r="M1126" s="64"/>
      <c r="N1126" s="64"/>
      <c r="O1126" s="64"/>
      <c r="P1126" s="64"/>
      <c r="Q1126" s="64"/>
      <c r="R1126" s="28"/>
    </row>
    <row r="1127" spans="1:18" x14ac:dyDescent="0.25">
      <c r="A1127" s="63"/>
      <c r="B1127" s="64"/>
      <c r="C1127" s="64"/>
      <c r="D1127" s="64"/>
      <c r="E1127" s="64"/>
      <c r="F1127" s="64"/>
      <c r="G1127" s="64"/>
      <c r="H1127" s="64"/>
      <c r="I1127" s="64"/>
      <c r="J1127" s="64"/>
      <c r="K1127" s="64"/>
      <c r="L1127" s="64"/>
      <c r="M1127" s="64"/>
      <c r="N1127" s="64"/>
      <c r="O1127" s="64"/>
      <c r="P1127" s="64"/>
      <c r="Q1127" s="64"/>
      <c r="R1127" s="28"/>
    </row>
    <row r="1128" spans="1:18" x14ac:dyDescent="0.25">
      <c r="A1128" s="63"/>
      <c r="B1128" s="64"/>
      <c r="C1128" s="64"/>
      <c r="D1128" s="64"/>
      <c r="E1128" s="64"/>
      <c r="F1128" s="64"/>
      <c r="G1128" s="64"/>
      <c r="H1128" s="64"/>
      <c r="I1128" s="64"/>
      <c r="J1128" s="64"/>
      <c r="K1128" s="64"/>
      <c r="L1128" s="64"/>
      <c r="M1128" s="64"/>
      <c r="N1128" s="64"/>
      <c r="O1128" s="64"/>
      <c r="P1128" s="64"/>
      <c r="Q1128" s="64"/>
      <c r="R1128" s="28"/>
    </row>
    <row r="1129" spans="1:18" x14ac:dyDescent="0.25">
      <c r="A1129" s="63"/>
      <c r="B1129" s="64"/>
      <c r="C1129" s="64"/>
      <c r="D1129" s="64"/>
      <c r="E1129" s="64"/>
      <c r="F1129" s="64"/>
      <c r="G1129" s="64"/>
      <c r="H1129" s="64"/>
      <c r="I1129" s="64"/>
      <c r="J1129" s="64"/>
      <c r="K1129" s="64"/>
      <c r="L1129" s="64"/>
      <c r="M1129" s="64"/>
      <c r="N1129" s="64"/>
      <c r="O1129" s="64"/>
      <c r="P1129" s="64"/>
      <c r="Q1129" s="64"/>
      <c r="R1129" s="28"/>
    </row>
    <row r="1130" spans="1:18" x14ac:dyDescent="0.25">
      <c r="A1130" s="63"/>
      <c r="B1130" s="64"/>
      <c r="C1130" s="64"/>
      <c r="D1130" s="64"/>
      <c r="E1130" s="64"/>
      <c r="F1130" s="64"/>
      <c r="G1130" s="64"/>
      <c r="H1130" s="64"/>
      <c r="I1130" s="64"/>
      <c r="J1130" s="64"/>
      <c r="K1130" s="64"/>
      <c r="L1130" s="64"/>
      <c r="M1130" s="64"/>
      <c r="N1130" s="64"/>
      <c r="O1130" s="64"/>
      <c r="P1130" s="64"/>
      <c r="Q1130" s="64"/>
      <c r="R1130" s="28"/>
    </row>
    <row r="1131" spans="1:18" x14ac:dyDescent="0.25">
      <c r="A1131" s="63"/>
      <c r="B1131" s="64"/>
      <c r="C1131" s="64"/>
      <c r="D1131" s="64"/>
      <c r="E1131" s="64"/>
      <c r="F1131" s="64"/>
      <c r="G1131" s="64"/>
      <c r="H1131" s="64"/>
      <c r="I1131" s="64"/>
      <c r="J1131" s="64"/>
      <c r="K1131" s="64"/>
      <c r="L1131" s="64"/>
      <c r="M1131" s="64"/>
      <c r="N1131" s="64"/>
      <c r="O1131" s="64"/>
      <c r="P1131" s="64"/>
      <c r="Q1131" s="64"/>
      <c r="R1131" s="28"/>
    </row>
    <row r="1132" spans="1:18" x14ac:dyDescent="0.25">
      <c r="A1132" s="63"/>
      <c r="B1132" s="64"/>
      <c r="C1132" s="64"/>
      <c r="D1132" s="64"/>
      <c r="E1132" s="64"/>
      <c r="F1132" s="64"/>
      <c r="G1132" s="64"/>
      <c r="H1132" s="64"/>
      <c r="I1132" s="64"/>
      <c r="J1132" s="64"/>
      <c r="K1132" s="64"/>
      <c r="L1132" s="64"/>
      <c r="M1132" s="64"/>
      <c r="N1132" s="64"/>
      <c r="O1132" s="64"/>
      <c r="P1132" s="64"/>
      <c r="Q1132" s="64"/>
      <c r="R1132" s="28"/>
    </row>
    <row r="1133" spans="1:18" x14ac:dyDescent="0.25">
      <c r="A1133" s="63"/>
      <c r="B1133" s="64"/>
      <c r="C1133" s="64"/>
      <c r="D1133" s="64"/>
      <c r="E1133" s="64"/>
      <c r="F1133" s="64"/>
      <c r="G1133" s="64"/>
      <c r="H1133" s="64"/>
      <c r="I1133" s="64"/>
      <c r="J1133" s="64"/>
      <c r="K1133" s="64"/>
      <c r="L1133" s="64"/>
      <c r="M1133" s="64"/>
      <c r="N1133" s="64"/>
      <c r="O1133" s="64"/>
      <c r="P1133" s="64"/>
      <c r="Q1133" s="64"/>
      <c r="R1133" s="28"/>
    </row>
    <row r="1134" spans="1:18" x14ac:dyDescent="0.25">
      <c r="A1134" s="63"/>
      <c r="B1134" s="64"/>
      <c r="C1134" s="64"/>
      <c r="D1134" s="64"/>
      <c r="E1134" s="64"/>
      <c r="F1134" s="64"/>
      <c r="G1134" s="64"/>
      <c r="H1134" s="64"/>
      <c r="I1134" s="64"/>
      <c r="J1134" s="64"/>
      <c r="K1134" s="64"/>
      <c r="L1134" s="64"/>
      <c r="M1134" s="64"/>
      <c r="N1134" s="64"/>
      <c r="O1134" s="64"/>
      <c r="P1134" s="64"/>
      <c r="Q1134" s="64"/>
      <c r="R1134" s="28"/>
    </row>
    <row r="1135" spans="1:18" x14ac:dyDescent="0.25">
      <c r="A1135" s="63"/>
      <c r="B1135" s="64"/>
      <c r="C1135" s="64"/>
      <c r="D1135" s="64"/>
      <c r="E1135" s="64"/>
      <c r="F1135" s="64"/>
      <c r="G1135" s="64"/>
      <c r="H1135" s="64"/>
      <c r="I1135" s="64"/>
      <c r="J1135" s="64"/>
      <c r="K1135" s="64"/>
      <c r="L1135" s="64"/>
      <c r="M1135" s="64"/>
      <c r="N1135" s="64"/>
      <c r="O1135" s="64"/>
      <c r="P1135" s="64"/>
      <c r="Q1135" s="64"/>
      <c r="R1135" s="28"/>
    </row>
    <row r="1136" spans="1:18" x14ac:dyDescent="0.25">
      <c r="A1136" s="63"/>
      <c r="B1136" s="64"/>
      <c r="C1136" s="64"/>
      <c r="D1136" s="64"/>
      <c r="E1136" s="64"/>
      <c r="F1136" s="64"/>
      <c r="G1136" s="64"/>
      <c r="H1136" s="64"/>
      <c r="I1136" s="64"/>
      <c r="J1136" s="64"/>
      <c r="K1136" s="64"/>
      <c r="L1136" s="64"/>
      <c r="M1136" s="64"/>
      <c r="N1136" s="64"/>
      <c r="O1136" s="64"/>
      <c r="P1136" s="64"/>
      <c r="Q1136" s="64"/>
      <c r="R1136" s="28"/>
    </row>
    <row r="1137" spans="1:18" x14ac:dyDescent="0.25">
      <c r="A1137" s="63"/>
      <c r="B1137" s="64"/>
      <c r="C1137" s="64"/>
      <c r="D1137" s="64"/>
      <c r="E1137" s="64"/>
      <c r="F1137" s="64"/>
      <c r="G1137" s="64"/>
      <c r="H1137" s="64"/>
      <c r="I1137" s="64"/>
      <c r="J1137" s="64"/>
      <c r="K1137" s="64"/>
      <c r="L1137" s="64"/>
      <c r="M1137" s="64"/>
      <c r="N1137" s="64"/>
      <c r="O1137" s="64"/>
      <c r="P1137" s="64"/>
      <c r="Q1137" s="64"/>
      <c r="R1137" s="28"/>
    </row>
    <row r="1138" spans="1:18" x14ac:dyDescent="0.25">
      <c r="A1138" s="63"/>
      <c r="B1138" s="64"/>
      <c r="C1138" s="64"/>
      <c r="D1138" s="64"/>
      <c r="E1138" s="64"/>
      <c r="F1138" s="64"/>
      <c r="G1138" s="64"/>
      <c r="H1138" s="64"/>
      <c r="I1138" s="64"/>
      <c r="J1138" s="64"/>
      <c r="K1138" s="64"/>
      <c r="L1138" s="64"/>
      <c r="M1138" s="64"/>
      <c r="N1138" s="64"/>
      <c r="O1138" s="64"/>
      <c r="P1138" s="64"/>
      <c r="Q1138" s="64"/>
      <c r="R1138" s="28"/>
    </row>
    <row r="1139" spans="1:18" x14ac:dyDescent="0.25">
      <c r="A1139" s="63"/>
      <c r="B1139" s="64"/>
      <c r="C1139" s="64"/>
      <c r="D1139" s="64"/>
      <c r="E1139" s="64"/>
      <c r="F1139" s="64"/>
      <c r="G1139" s="64"/>
      <c r="H1139" s="64"/>
      <c r="I1139" s="64"/>
      <c r="J1139" s="64"/>
      <c r="K1139" s="64"/>
      <c r="L1139" s="64"/>
      <c r="M1139" s="64"/>
      <c r="N1139" s="64"/>
      <c r="O1139" s="64"/>
      <c r="P1139" s="64"/>
      <c r="Q1139" s="64"/>
      <c r="R1139" s="28"/>
    </row>
    <row r="1140" spans="1:18" x14ac:dyDescent="0.25">
      <c r="A1140" s="63"/>
      <c r="B1140" s="64"/>
      <c r="C1140" s="64"/>
      <c r="D1140" s="64"/>
      <c r="E1140" s="64"/>
      <c r="F1140" s="64"/>
      <c r="G1140" s="64"/>
      <c r="H1140" s="64"/>
      <c r="I1140" s="64"/>
      <c r="J1140" s="64"/>
      <c r="K1140" s="64"/>
      <c r="L1140" s="64"/>
      <c r="M1140" s="64"/>
      <c r="N1140" s="64"/>
      <c r="O1140" s="64"/>
      <c r="P1140" s="64"/>
      <c r="Q1140" s="64"/>
      <c r="R1140" s="28"/>
    </row>
    <row r="1141" spans="1:18" x14ac:dyDescent="0.25">
      <c r="A1141" s="63"/>
      <c r="B1141" s="64"/>
      <c r="C1141" s="64"/>
      <c r="D1141" s="64"/>
      <c r="E1141" s="64"/>
      <c r="F1141" s="64"/>
      <c r="G1141" s="64"/>
      <c r="H1141" s="64"/>
      <c r="I1141" s="64"/>
      <c r="J1141" s="64"/>
      <c r="K1141" s="64"/>
      <c r="L1141" s="64"/>
      <c r="M1141" s="64"/>
      <c r="N1141" s="64"/>
      <c r="O1141" s="64"/>
      <c r="P1141" s="64"/>
      <c r="Q1141" s="64"/>
      <c r="R1141" s="28"/>
    </row>
    <row r="1142" spans="1:18" x14ac:dyDescent="0.25">
      <c r="A1142" s="63"/>
      <c r="B1142" s="64"/>
      <c r="C1142" s="64"/>
      <c r="D1142" s="64"/>
      <c r="E1142" s="64"/>
      <c r="F1142" s="64"/>
      <c r="G1142" s="64"/>
      <c r="H1142" s="64"/>
      <c r="I1142" s="64"/>
      <c r="J1142" s="64"/>
      <c r="K1142" s="64"/>
      <c r="L1142" s="64"/>
      <c r="M1142" s="64"/>
      <c r="N1142" s="64"/>
      <c r="O1142" s="64"/>
      <c r="P1142" s="64"/>
      <c r="Q1142" s="64"/>
      <c r="R1142" s="28"/>
    </row>
    <row r="1143" spans="1:18" x14ac:dyDescent="0.25">
      <c r="A1143" s="63"/>
      <c r="B1143" s="64"/>
      <c r="C1143" s="64"/>
      <c r="D1143" s="64"/>
      <c r="E1143" s="64"/>
      <c r="F1143" s="64"/>
      <c r="G1143" s="64"/>
      <c r="H1143" s="64"/>
      <c r="I1143" s="64"/>
      <c r="J1143" s="64"/>
      <c r="K1143" s="64"/>
      <c r="L1143" s="64"/>
      <c r="M1143" s="64"/>
      <c r="N1143" s="64"/>
      <c r="O1143" s="64"/>
      <c r="P1143" s="64"/>
      <c r="Q1143" s="64"/>
      <c r="R1143" s="28"/>
    </row>
    <row r="1144" spans="1:18" x14ac:dyDescent="0.25">
      <c r="A1144" s="63"/>
      <c r="B1144" s="64"/>
      <c r="C1144" s="64"/>
      <c r="D1144" s="64"/>
      <c r="E1144" s="64"/>
      <c r="F1144" s="64"/>
      <c r="G1144" s="64"/>
      <c r="H1144" s="64"/>
      <c r="I1144" s="64"/>
      <c r="J1144" s="64"/>
      <c r="K1144" s="64"/>
      <c r="L1144" s="64"/>
      <c r="M1144" s="64"/>
      <c r="N1144" s="64"/>
      <c r="O1144" s="64"/>
      <c r="P1144" s="64"/>
      <c r="Q1144" s="64"/>
      <c r="R1144" s="28"/>
    </row>
    <row r="1145" spans="1:18" x14ac:dyDescent="0.25">
      <c r="A1145" s="63"/>
      <c r="B1145" s="64"/>
      <c r="C1145" s="64"/>
      <c r="D1145" s="64"/>
      <c r="E1145" s="64"/>
      <c r="F1145" s="64"/>
      <c r="G1145" s="64"/>
      <c r="H1145" s="64"/>
      <c r="I1145" s="64"/>
      <c r="J1145" s="64"/>
      <c r="K1145" s="64"/>
      <c r="L1145" s="64"/>
      <c r="M1145" s="64"/>
      <c r="N1145" s="64"/>
      <c r="O1145" s="64"/>
      <c r="P1145" s="64"/>
      <c r="Q1145" s="64"/>
      <c r="R1145" s="28"/>
    </row>
    <row r="1146" spans="1:18" x14ac:dyDescent="0.25">
      <c r="A1146" s="63"/>
      <c r="B1146" s="64"/>
      <c r="C1146" s="64"/>
      <c r="D1146" s="64"/>
      <c r="E1146" s="64"/>
      <c r="F1146" s="64"/>
      <c r="G1146" s="64"/>
      <c r="H1146" s="64"/>
      <c r="I1146" s="64"/>
      <c r="J1146" s="64"/>
      <c r="K1146" s="64"/>
      <c r="L1146" s="64"/>
      <c r="M1146" s="64"/>
      <c r="N1146" s="64"/>
      <c r="O1146" s="64"/>
      <c r="P1146" s="64"/>
      <c r="Q1146" s="64"/>
      <c r="R1146" s="28"/>
    </row>
    <row r="1147" spans="1:18" x14ac:dyDescent="0.25">
      <c r="A1147" s="63"/>
      <c r="B1147" s="64"/>
      <c r="C1147" s="64"/>
      <c r="D1147" s="64"/>
      <c r="E1147" s="64"/>
      <c r="F1147" s="64"/>
      <c r="G1147" s="64"/>
      <c r="H1147" s="64"/>
      <c r="I1147" s="64"/>
      <c r="J1147" s="64"/>
      <c r="K1147" s="64"/>
      <c r="L1147" s="64"/>
      <c r="M1147" s="64"/>
      <c r="N1147" s="64"/>
      <c r="O1147" s="64"/>
      <c r="P1147" s="64"/>
      <c r="Q1147" s="64"/>
      <c r="R1147" s="64"/>
    </row>
    <row r="1148" spans="1:18" x14ac:dyDescent="0.25">
      <c r="A1148" s="63"/>
      <c r="B1148" s="64"/>
      <c r="C1148" s="64"/>
      <c r="D1148" s="64"/>
      <c r="E1148" s="64"/>
      <c r="F1148" s="64"/>
      <c r="G1148" s="64"/>
      <c r="H1148" s="64"/>
      <c r="I1148" s="64"/>
      <c r="J1148" s="64"/>
      <c r="K1148" s="64"/>
      <c r="L1148" s="64"/>
      <c r="M1148" s="64"/>
      <c r="N1148" s="64"/>
      <c r="O1148" s="64"/>
      <c r="P1148" s="64"/>
      <c r="Q1148" s="64"/>
      <c r="R1148" s="64"/>
    </row>
    <row r="1149" spans="1:18" x14ac:dyDescent="0.25">
      <c r="A1149" s="63"/>
      <c r="B1149" s="64"/>
      <c r="C1149" s="64"/>
      <c r="D1149" s="64"/>
      <c r="E1149" s="64"/>
      <c r="F1149" s="64"/>
      <c r="G1149" s="64"/>
      <c r="H1149" s="64"/>
      <c r="I1149" s="64"/>
      <c r="J1149" s="64"/>
      <c r="K1149" s="64"/>
      <c r="L1149" s="64"/>
      <c r="M1149" s="64"/>
      <c r="N1149" s="64"/>
      <c r="O1149" s="64"/>
      <c r="P1149" s="64"/>
      <c r="Q1149" s="64"/>
      <c r="R1149" s="64"/>
    </row>
    <row r="1150" spans="1:18" x14ac:dyDescent="0.25">
      <c r="A1150" s="63"/>
      <c r="B1150" s="64"/>
      <c r="C1150" s="64"/>
      <c r="D1150" s="64"/>
      <c r="E1150" s="64"/>
      <c r="F1150" s="64"/>
      <c r="G1150" s="64"/>
      <c r="H1150" s="64"/>
      <c r="I1150" s="64"/>
      <c r="J1150" s="64"/>
      <c r="K1150" s="64"/>
      <c r="L1150" s="64"/>
      <c r="M1150" s="64"/>
      <c r="N1150" s="64"/>
      <c r="O1150" s="64"/>
      <c r="P1150" s="64"/>
      <c r="Q1150" s="64"/>
      <c r="R1150" s="64"/>
    </row>
    <row r="1151" spans="1:18" x14ac:dyDescent="0.25">
      <c r="A1151" s="63"/>
      <c r="B1151" s="64"/>
      <c r="C1151" s="64"/>
      <c r="D1151" s="64"/>
      <c r="E1151" s="64"/>
      <c r="F1151" s="64"/>
      <c r="G1151" s="64"/>
      <c r="H1151" s="64"/>
      <c r="I1151" s="64"/>
      <c r="J1151" s="64"/>
      <c r="K1151" s="64"/>
      <c r="L1151" s="64"/>
      <c r="M1151" s="64"/>
      <c r="N1151" s="64"/>
      <c r="O1151" s="64"/>
      <c r="P1151" s="64"/>
      <c r="Q1151" s="64"/>
      <c r="R1151" s="64"/>
    </row>
    <row r="1152" spans="1:18" x14ac:dyDescent="0.25">
      <c r="A1152" s="63"/>
      <c r="B1152" s="64"/>
      <c r="C1152" s="64"/>
      <c r="D1152" s="64"/>
      <c r="E1152" s="64"/>
      <c r="F1152" s="64"/>
      <c r="G1152" s="64"/>
      <c r="H1152" s="64"/>
      <c r="I1152" s="64"/>
      <c r="J1152" s="64"/>
      <c r="K1152" s="64"/>
      <c r="L1152" s="64"/>
      <c r="M1152" s="64"/>
      <c r="N1152" s="64"/>
      <c r="O1152" s="64"/>
      <c r="P1152" s="64"/>
      <c r="Q1152" s="64"/>
      <c r="R1152" s="64"/>
    </row>
    <row r="1153" spans="1:18" x14ac:dyDescent="0.25">
      <c r="A1153" s="63"/>
      <c r="B1153" s="64"/>
      <c r="C1153" s="64"/>
      <c r="D1153" s="64"/>
      <c r="E1153" s="64"/>
      <c r="F1153" s="64"/>
      <c r="G1153" s="64"/>
      <c r="H1153" s="64"/>
      <c r="I1153" s="64"/>
      <c r="J1153" s="64"/>
      <c r="K1153" s="64"/>
      <c r="L1153" s="64"/>
      <c r="M1153" s="64"/>
      <c r="N1153" s="64"/>
      <c r="O1153" s="64"/>
      <c r="P1153" s="64"/>
      <c r="Q1153" s="64"/>
      <c r="R1153" s="64"/>
    </row>
    <row r="1154" spans="1:18" x14ac:dyDescent="0.25">
      <c r="A1154" s="63"/>
      <c r="B1154" s="64"/>
      <c r="C1154" s="64"/>
      <c r="D1154" s="64"/>
      <c r="E1154" s="64"/>
      <c r="F1154" s="64"/>
      <c r="G1154" s="64"/>
      <c r="H1154" s="64"/>
      <c r="I1154" s="64"/>
      <c r="J1154" s="64"/>
      <c r="K1154" s="64"/>
      <c r="L1154" s="64"/>
      <c r="M1154" s="64"/>
      <c r="N1154" s="64"/>
      <c r="O1154" s="64"/>
      <c r="P1154" s="64"/>
      <c r="Q1154" s="64"/>
      <c r="R1154" s="64"/>
    </row>
    <row r="1155" spans="1:18" x14ac:dyDescent="0.25">
      <c r="A1155" s="63"/>
      <c r="B1155" s="64"/>
      <c r="C1155" s="64"/>
      <c r="D1155" s="64"/>
      <c r="E1155" s="64"/>
      <c r="F1155" s="64"/>
      <c r="G1155" s="64"/>
      <c r="H1155" s="64"/>
      <c r="I1155" s="64"/>
      <c r="J1155" s="64"/>
      <c r="K1155" s="64"/>
      <c r="L1155" s="64"/>
      <c r="M1155" s="64"/>
      <c r="N1155" s="64"/>
      <c r="O1155" s="64"/>
      <c r="P1155" s="64"/>
      <c r="Q1155" s="64"/>
      <c r="R1155" s="64"/>
    </row>
    <row r="1156" spans="1:18" x14ac:dyDescent="0.25">
      <c r="A1156" s="63"/>
      <c r="B1156" s="64"/>
      <c r="C1156" s="64"/>
      <c r="D1156" s="64"/>
      <c r="E1156" s="64"/>
      <c r="F1156" s="64"/>
      <c r="G1156" s="64"/>
      <c r="H1156" s="64"/>
      <c r="I1156" s="64"/>
      <c r="J1156" s="64"/>
      <c r="K1156" s="64"/>
      <c r="L1156" s="64"/>
      <c r="M1156" s="64"/>
      <c r="N1156" s="64"/>
      <c r="O1156" s="64"/>
      <c r="P1156" s="64"/>
      <c r="Q1156" s="64"/>
      <c r="R1156" s="64"/>
    </row>
    <row r="1157" spans="1:18" x14ac:dyDescent="0.25">
      <c r="A1157" s="63"/>
      <c r="B1157" s="64"/>
      <c r="C1157" s="64"/>
      <c r="D1157" s="64"/>
      <c r="E1157" s="64"/>
      <c r="F1157" s="64"/>
      <c r="G1157" s="64"/>
      <c r="H1157" s="64"/>
      <c r="I1157" s="64"/>
      <c r="J1157" s="64"/>
      <c r="K1157" s="64"/>
      <c r="L1157" s="64"/>
      <c r="M1157" s="64"/>
      <c r="N1157" s="64"/>
      <c r="O1157" s="64"/>
      <c r="P1157" s="64"/>
      <c r="Q1157" s="64"/>
      <c r="R1157" s="64"/>
    </row>
    <row r="1158" spans="1:18" x14ac:dyDescent="0.25">
      <c r="A1158" s="63"/>
      <c r="B1158" s="64"/>
      <c r="C1158" s="64"/>
      <c r="D1158" s="64"/>
      <c r="E1158" s="64"/>
      <c r="F1158" s="64"/>
      <c r="G1158" s="64"/>
      <c r="H1158" s="64"/>
      <c r="I1158" s="64"/>
      <c r="J1158" s="64"/>
      <c r="K1158" s="64"/>
      <c r="L1158" s="64"/>
      <c r="M1158" s="64"/>
      <c r="N1158" s="64"/>
      <c r="O1158" s="64"/>
      <c r="P1158" s="64"/>
      <c r="Q1158" s="64"/>
      <c r="R1158" s="64"/>
    </row>
    <row r="1159" spans="1:18" x14ac:dyDescent="0.25">
      <c r="A1159" s="63"/>
      <c r="B1159" s="64"/>
      <c r="C1159" s="64"/>
      <c r="D1159" s="64"/>
      <c r="E1159" s="64"/>
      <c r="F1159" s="64"/>
      <c r="G1159" s="64"/>
      <c r="H1159" s="64"/>
      <c r="I1159" s="64"/>
      <c r="J1159" s="64"/>
      <c r="K1159" s="64"/>
      <c r="L1159" s="64"/>
      <c r="M1159" s="64"/>
      <c r="N1159" s="64"/>
      <c r="O1159" s="64"/>
      <c r="P1159" s="64"/>
      <c r="Q1159" s="64"/>
      <c r="R1159" s="64"/>
    </row>
    <row r="1160" spans="1:18" x14ac:dyDescent="0.25">
      <c r="A1160" s="63"/>
      <c r="B1160" s="64"/>
      <c r="C1160" s="64"/>
      <c r="D1160" s="64"/>
      <c r="E1160" s="64"/>
      <c r="F1160" s="64"/>
      <c r="G1160" s="64"/>
      <c r="H1160" s="64"/>
      <c r="I1160" s="64"/>
      <c r="J1160" s="64"/>
      <c r="K1160" s="64"/>
      <c r="L1160" s="64"/>
      <c r="M1160" s="64"/>
      <c r="N1160" s="64"/>
      <c r="O1160" s="64"/>
      <c r="P1160" s="64"/>
      <c r="Q1160" s="64"/>
      <c r="R1160" s="64"/>
    </row>
    <row r="1161" spans="1:18" x14ac:dyDescent="0.25">
      <c r="A1161" s="63"/>
      <c r="B1161" s="64"/>
      <c r="C1161" s="64"/>
      <c r="D1161" s="64"/>
      <c r="E1161" s="64"/>
      <c r="F1161" s="64"/>
      <c r="G1161" s="64"/>
      <c r="H1161" s="64"/>
      <c r="I1161" s="64"/>
      <c r="J1161" s="64"/>
      <c r="K1161" s="64"/>
      <c r="L1161" s="64"/>
      <c r="M1161" s="64"/>
      <c r="N1161" s="64"/>
      <c r="O1161" s="64"/>
      <c r="P1161" s="64"/>
      <c r="Q1161" s="64"/>
      <c r="R1161" s="64"/>
    </row>
    <row r="1162" spans="1:18" x14ac:dyDescent="0.25">
      <c r="A1162" s="63"/>
      <c r="B1162" s="64"/>
      <c r="C1162" s="64"/>
      <c r="D1162" s="64"/>
      <c r="E1162" s="64"/>
      <c r="F1162" s="64"/>
      <c r="G1162" s="64"/>
      <c r="H1162" s="64"/>
      <c r="I1162" s="64"/>
      <c r="J1162" s="64"/>
      <c r="K1162" s="64"/>
      <c r="L1162" s="64"/>
      <c r="M1162" s="64"/>
      <c r="N1162" s="64"/>
      <c r="O1162" s="64"/>
      <c r="P1162" s="64"/>
      <c r="Q1162" s="64"/>
      <c r="R1162" s="64"/>
    </row>
    <row r="1163" spans="1:18" x14ac:dyDescent="0.25">
      <c r="A1163" s="63"/>
      <c r="B1163" s="64"/>
      <c r="C1163" s="64"/>
      <c r="D1163" s="64"/>
      <c r="E1163" s="64"/>
      <c r="F1163" s="64"/>
      <c r="G1163" s="64"/>
      <c r="H1163" s="64"/>
      <c r="I1163" s="64"/>
      <c r="J1163" s="64"/>
      <c r="K1163" s="64"/>
      <c r="L1163" s="64"/>
      <c r="M1163" s="64"/>
      <c r="N1163" s="64"/>
      <c r="O1163" s="64"/>
      <c r="P1163" s="64"/>
      <c r="Q1163" s="64"/>
      <c r="R1163" s="64"/>
    </row>
    <row r="1164" spans="1:18" x14ac:dyDescent="0.25">
      <c r="A1164" s="63"/>
      <c r="B1164" s="64"/>
      <c r="C1164" s="64"/>
      <c r="D1164" s="64"/>
      <c r="E1164" s="64"/>
      <c r="F1164" s="64"/>
      <c r="G1164" s="64"/>
      <c r="H1164" s="64"/>
      <c r="I1164" s="64"/>
      <c r="J1164" s="64"/>
      <c r="K1164" s="64"/>
      <c r="L1164" s="64"/>
      <c r="M1164" s="64"/>
      <c r="N1164" s="64"/>
      <c r="O1164" s="64"/>
      <c r="P1164" s="64"/>
      <c r="Q1164" s="64"/>
      <c r="R1164" s="64"/>
    </row>
    <row r="1165" spans="1:18" x14ac:dyDescent="0.25">
      <c r="A1165" s="63"/>
      <c r="B1165" s="64"/>
      <c r="C1165" s="64"/>
      <c r="D1165" s="64"/>
      <c r="E1165" s="64"/>
      <c r="F1165" s="64"/>
      <c r="G1165" s="64"/>
      <c r="H1165" s="64"/>
      <c r="I1165" s="64"/>
      <c r="J1165" s="64"/>
      <c r="K1165" s="64"/>
      <c r="L1165" s="64"/>
      <c r="M1165" s="64"/>
      <c r="N1165" s="64"/>
      <c r="O1165" s="64"/>
      <c r="P1165" s="64"/>
      <c r="Q1165" s="64"/>
      <c r="R1165" s="64"/>
    </row>
    <row r="1166" spans="1:18" x14ac:dyDescent="0.25">
      <c r="A1166" s="63"/>
      <c r="B1166" s="64"/>
      <c r="C1166" s="64"/>
      <c r="D1166" s="64"/>
      <c r="E1166" s="64"/>
      <c r="F1166" s="64"/>
      <c r="G1166" s="64"/>
      <c r="H1166" s="64"/>
      <c r="I1166" s="64"/>
      <c r="J1166" s="64"/>
      <c r="K1166" s="64"/>
      <c r="L1166" s="64"/>
      <c r="M1166" s="64"/>
      <c r="N1166" s="64"/>
      <c r="O1166" s="64"/>
      <c r="P1166" s="64"/>
      <c r="Q1166" s="64"/>
      <c r="R1166" s="64"/>
    </row>
    <row r="1167" spans="1:18" x14ac:dyDescent="0.25">
      <c r="A1167" s="63"/>
      <c r="B1167" s="64"/>
      <c r="C1167" s="64"/>
      <c r="D1167" s="64"/>
      <c r="E1167" s="64"/>
      <c r="F1167" s="64"/>
      <c r="G1167" s="64"/>
      <c r="H1167" s="64"/>
      <c r="I1167" s="64"/>
      <c r="J1167" s="64"/>
      <c r="K1167" s="64"/>
      <c r="L1167" s="64"/>
      <c r="M1167" s="64"/>
      <c r="N1167" s="64"/>
      <c r="O1167" s="64"/>
      <c r="P1167" s="64"/>
      <c r="Q1167" s="64"/>
      <c r="R1167" s="64"/>
    </row>
    <row r="1168" spans="1:18" x14ac:dyDescent="0.25">
      <c r="A1168" s="63"/>
      <c r="B1168" s="64"/>
      <c r="C1168" s="64"/>
      <c r="D1168" s="64"/>
      <c r="E1168" s="64"/>
      <c r="F1168" s="64"/>
      <c r="G1168" s="64"/>
      <c r="H1168" s="64"/>
      <c r="I1168" s="64"/>
      <c r="J1168" s="64"/>
      <c r="K1168" s="64"/>
      <c r="L1168" s="64"/>
      <c r="M1168" s="64"/>
      <c r="N1168" s="64"/>
      <c r="O1168" s="64"/>
      <c r="P1168" s="64"/>
      <c r="Q1168" s="64"/>
      <c r="R1168" s="64"/>
    </row>
    <row r="1169" spans="1:18" x14ac:dyDescent="0.25">
      <c r="A1169" s="63"/>
      <c r="B1169" s="64"/>
      <c r="C1169" s="64"/>
      <c r="D1169" s="64"/>
      <c r="E1169" s="64"/>
      <c r="F1169" s="64"/>
      <c r="G1169" s="64"/>
      <c r="H1169" s="64"/>
      <c r="I1169" s="64"/>
      <c r="J1169" s="64"/>
      <c r="K1169" s="64"/>
      <c r="L1169" s="64"/>
      <c r="M1169" s="64"/>
      <c r="N1169" s="64"/>
      <c r="O1169" s="64"/>
      <c r="P1169" s="64"/>
      <c r="Q1169" s="64"/>
      <c r="R1169" s="64"/>
    </row>
    <row r="1170" spans="1:18" x14ac:dyDescent="0.25">
      <c r="A1170" s="63"/>
      <c r="B1170" s="64"/>
      <c r="C1170" s="64"/>
      <c r="D1170" s="64"/>
      <c r="E1170" s="64"/>
      <c r="F1170" s="64"/>
      <c r="G1170" s="64"/>
      <c r="H1170" s="64"/>
      <c r="I1170" s="64"/>
      <c r="J1170" s="64"/>
      <c r="K1170" s="64"/>
      <c r="L1170" s="64"/>
      <c r="M1170" s="64"/>
      <c r="N1170" s="64"/>
      <c r="O1170" s="64"/>
      <c r="P1170" s="64"/>
      <c r="Q1170" s="64"/>
      <c r="R1170" s="64"/>
    </row>
    <row r="1171" spans="1:18" x14ac:dyDescent="0.25">
      <c r="A1171" s="63"/>
      <c r="B1171" s="64"/>
      <c r="C1171" s="64"/>
      <c r="D1171" s="64"/>
      <c r="E1171" s="64"/>
      <c r="F1171" s="64"/>
      <c r="G1171" s="64"/>
      <c r="H1171" s="64"/>
      <c r="I1171" s="64"/>
      <c r="J1171" s="64"/>
      <c r="K1171" s="64"/>
      <c r="L1171" s="64"/>
      <c r="M1171" s="64"/>
      <c r="N1171" s="64"/>
      <c r="O1171" s="64"/>
      <c r="P1171" s="64"/>
      <c r="Q1171" s="64"/>
      <c r="R1171" s="64"/>
    </row>
    <row r="1172" spans="1:18" x14ac:dyDescent="0.25">
      <c r="A1172" s="63"/>
      <c r="B1172" s="64"/>
      <c r="C1172" s="64"/>
      <c r="D1172" s="64"/>
      <c r="E1172" s="64"/>
      <c r="F1172" s="64"/>
      <c r="G1172" s="64"/>
      <c r="H1172" s="64"/>
      <c r="I1172" s="64"/>
      <c r="J1172" s="64"/>
      <c r="K1172" s="64"/>
      <c r="L1172" s="64"/>
      <c r="M1172" s="64"/>
      <c r="N1172" s="64"/>
      <c r="O1172" s="64"/>
      <c r="P1172" s="64"/>
      <c r="Q1172" s="64"/>
      <c r="R1172" s="64"/>
    </row>
    <row r="1173" spans="1:18" x14ac:dyDescent="0.25">
      <c r="A1173" s="63"/>
      <c r="B1173" s="64"/>
      <c r="C1173" s="64"/>
      <c r="D1173" s="64"/>
      <c r="E1173" s="64"/>
      <c r="F1173" s="64"/>
      <c r="G1173" s="64"/>
      <c r="H1173" s="64"/>
      <c r="I1173" s="64"/>
      <c r="J1173" s="64"/>
      <c r="K1173" s="64"/>
      <c r="L1173" s="64"/>
      <c r="M1173" s="64"/>
      <c r="N1173" s="64"/>
      <c r="O1173" s="64"/>
      <c r="P1173" s="64"/>
      <c r="Q1173" s="64"/>
      <c r="R1173" s="64"/>
    </row>
    <row r="1174" spans="1:18" x14ac:dyDescent="0.25">
      <c r="A1174" s="63"/>
      <c r="B1174" s="64"/>
      <c r="C1174" s="64"/>
      <c r="D1174" s="64"/>
      <c r="E1174" s="64"/>
      <c r="F1174" s="64"/>
      <c r="G1174" s="64"/>
      <c r="H1174" s="64"/>
      <c r="I1174" s="64"/>
      <c r="J1174" s="64"/>
      <c r="K1174" s="64"/>
      <c r="L1174" s="64"/>
      <c r="M1174" s="64"/>
      <c r="N1174" s="64"/>
      <c r="O1174" s="64"/>
      <c r="P1174" s="64"/>
      <c r="Q1174" s="64"/>
      <c r="R1174" s="64"/>
    </row>
    <row r="1175" spans="1:18" x14ac:dyDescent="0.25">
      <c r="A1175" s="63"/>
      <c r="B1175" s="64"/>
      <c r="C1175" s="64"/>
      <c r="D1175" s="64"/>
      <c r="E1175" s="64"/>
      <c r="F1175" s="64"/>
      <c r="G1175" s="64"/>
      <c r="H1175" s="64"/>
      <c r="I1175" s="64"/>
      <c r="J1175" s="64"/>
      <c r="K1175" s="64"/>
      <c r="L1175" s="64"/>
      <c r="M1175" s="64"/>
      <c r="N1175" s="64"/>
      <c r="O1175" s="64"/>
      <c r="P1175" s="64"/>
      <c r="Q1175" s="64"/>
      <c r="R1175" s="64"/>
    </row>
    <row r="1176" spans="1:18" x14ac:dyDescent="0.25">
      <c r="A1176" s="63"/>
      <c r="B1176" s="64"/>
      <c r="C1176" s="64"/>
      <c r="D1176" s="64"/>
      <c r="E1176" s="64"/>
      <c r="F1176" s="64"/>
      <c r="G1176" s="64"/>
      <c r="H1176" s="64"/>
      <c r="I1176" s="64"/>
      <c r="J1176" s="64"/>
      <c r="K1176" s="64"/>
      <c r="L1176" s="64"/>
      <c r="M1176" s="64"/>
      <c r="N1176" s="64"/>
      <c r="O1176" s="64"/>
      <c r="P1176" s="64"/>
      <c r="Q1176" s="64"/>
      <c r="R1176" s="64"/>
    </row>
    <row r="1177" spans="1:18" x14ac:dyDescent="0.25">
      <c r="A1177" s="63"/>
      <c r="B1177" s="64"/>
      <c r="C1177" s="64"/>
      <c r="D1177" s="64"/>
      <c r="E1177" s="64"/>
      <c r="F1177" s="64"/>
      <c r="G1177" s="64"/>
      <c r="H1177" s="64"/>
      <c r="I1177" s="64"/>
      <c r="J1177" s="64"/>
      <c r="K1177" s="64"/>
      <c r="L1177" s="64"/>
      <c r="M1177" s="64"/>
      <c r="N1177" s="64"/>
      <c r="O1177" s="64"/>
      <c r="P1177" s="64"/>
      <c r="Q1177" s="64"/>
      <c r="R1177" s="64"/>
    </row>
    <row r="1178" spans="1:18" x14ac:dyDescent="0.25">
      <c r="A1178" s="63"/>
      <c r="B1178" s="64"/>
      <c r="C1178" s="64"/>
      <c r="D1178" s="64"/>
      <c r="E1178" s="64"/>
      <c r="F1178" s="64"/>
      <c r="G1178" s="64"/>
      <c r="H1178" s="64"/>
      <c r="I1178" s="64"/>
      <c r="J1178" s="64"/>
      <c r="K1178" s="64"/>
      <c r="L1178" s="64"/>
      <c r="M1178" s="64"/>
      <c r="N1178" s="64"/>
      <c r="O1178" s="64"/>
      <c r="P1178" s="64"/>
      <c r="Q1178" s="64"/>
      <c r="R1178" s="64"/>
    </row>
    <row r="1179" spans="1:18" x14ac:dyDescent="0.25">
      <c r="A1179" s="63"/>
      <c r="B1179" s="64"/>
      <c r="C1179" s="64"/>
      <c r="D1179" s="64"/>
      <c r="E1179" s="64"/>
      <c r="F1179" s="64"/>
      <c r="G1179" s="64"/>
      <c r="H1179" s="64"/>
      <c r="I1179" s="64"/>
      <c r="J1179" s="64"/>
      <c r="K1179" s="64"/>
      <c r="L1179" s="64"/>
      <c r="M1179" s="64"/>
      <c r="N1179" s="64"/>
      <c r="O1179" s="64"/>
      <c r="P1179" s="64"/>
      <c r="Q1179" s="64"/>
      <c r="R1179" s="64"/>
    </row>
    <row r="1180" spans="1:18" x14ac:dyDescent="0.25">
      <c r="A1180" s="63"/>
      <c r="B1180" s="64"/>
      <c r="C1180" s="64"/>
      <c r="D1180" s="64"/>
      <c r="E1180" s="64"/>
      <c r="F1180" s="64"/>
      <c r="G1180" s="64"/>
      <c r="H1180" s="64"/>
      <c r="I1180" s="64"/>
      <c r="J1180" s="64"/>
      <c r="K1180" s="64"/>
      <c r="L1180" s="64"/>
      <c r="M1180" s="64"/>
      <c r="N1180" s="64"/>
      <c r="O1180" s="64"/>
      <c r="P1180" s="64"/>
      <c r="Q1180" s="64"/>
      <c r="R1180" s="64"/>
    </row>
    <row r="1181" spans="1:18" x14ac:dyDescent="0.25">
      <c r="A1181" s="63"/>
      <c r="B1181" s="64"/>
      <c r="C1181" s="64"/>
      <c r="D1181" s="64"/>
      <c r="E1181" s="64"/>
      <c r="F1181" s="64"/>
      <c r="G1181" s="64"/>
      <c r="H1181" s="64"/>
      <c r="I1181" s="64"/>
      <c r="J1181" s="64"/>
      <c r="K1181" s="64"/>
      <c r="L1181" s="64"/>
      <c r="M1181" s="64"/>
      <c r="N1181" s="64"/>
      <c r="O1181" s="64"/>
      <c r="P1181" s="64"/>
      <c r="Q1181" s="64"/>
      <c r="R1181" s="64"/>
    </row>
    <row r="1182" spans="1:18" x14ac:dyDescent="0.25">
      <c r="A1182" s="63"/>
      <c r="B1182" s="64"/>
      <c r="C1182" s="64"/>
      <c r="D1182" s="64"/>
      <c r="E1182" s="64"/>
      <c r="F1182" s="64"/>
      <c r="G1182" s="64"/>
      <c r="H1182" s="64"/>
      <c r="I1182" s="64"/>
      <c r="J1182" s="64"/>
      <c r="K1182" s="64"/>
      <c r="L1182" s="64"/>
      <c r="M1182" s="64"/>
      <c r="N1182" s="64"/>
      <c r="O1182" s="64"/>
      <c r="P1182" s="64"/>
      <c r="Q1182" s="64"/>
      <c r="R1182" s="64"/>
    </row>
    <row r="1183" spans="1:18" x14ac:dyDescent="0.25">
      <c r="A1183" s="63"/>
      <c r="B1183" s="64"/>
      <c r="C1183" s="64"/>
      <c r="D1183" s="64"/>
      <c r="E1183" s="64"/>
      <c r="F1183" s="64"/>
      <c r="G1183" s="64"/>
      <c r="H1183" s="64"/>
      <c r="I1183" s="64"/>
      <c r="J1183" s="64"/>
      <c r="K1183" s="64"/>
      <c r="L1183" s="64"/>
      <c r="M1183" s="64"/>
      <c r="N1183" s="64"/>
      <c r="O1183" s="64"/>
      <c r="P1183" s="64"/>
      <c r="Q1183" s="64"/>
      <c r="R1183" s="64"/>
    </row>
    <row r="1184" spans="1:18" x14ac:dyDescent="0.25">
      <c r="A1184" s="63"/>
      <c r="B1184" s="64"/>
      <c r="C1184" s="64"/>
      <c r="D1184" s="64"/>
      <c r="E1184" s="64"/>
      <c r="F1184" s="64"/>
      <c r="G1184" s="64"/>
      <c r="H1184" s="64"/>
      <c r="I1184" s="64"/>
      <c r="J1184" s="64"/>
      <c r="K1184" s="64"/>
      <c r="L1184" s="64"/>
      <c r="M1184" s="64"/>
      <c r="N1184" s="64"/>
      <c r="O1184" s="64"/>
      <c r="P1184" s="64"/>
      <c r="Q1184" s="64"/>
      <c r="R1184" s="64"/>
    </row>
    <row r="1185" spans="1:18" x14ac:dyDescent="0.25">
      <c r="A1185" s="63"/>
      <c r="B1185" s="64"/>
      <c r="C1185" s="64"/>
      <c r="D1185" s="64"/>
      <c r="E1185" s="64"/>
      <c r="F1185" s="64"/>
      <c r="G1185" s="64"/>
      <c r="H1185" s="64"/>
      <c r="I1185" s="64"/>
      <c r="J1185" s="64"/>
      <c r="K1185" s="64"/>
      <c r="L1185" s="64"/>
      <c r="M1185" s="64"/>
      <c r="N1185" s="64"/>
      <c r="O1185" s="64"/>
      <c r="P1185" s="64"/>
      <c r="Q1185" s="64"/>
      <c r="R1185" s="64"/>
    </row>
    <row r="1186" spans="1:18" x14ac:dyDescent="0.25">
      <c r="A1186" s="63"/>
      <c r="B1186" s="64"/>
      <c r="C1186" s="64"/>
      <c r="D1186" s="64"/>
      <c r="E1186" s="64"/>
      <c r="F1186" s="64"/>
      <c r="G1186" s="64"/>
      <c r="H1186" s="64"/>
      <c r="I1186" s="64"/>
      <c r="J1186" s="64"/>
      <c r="K1186" s="64"/>
      <c r="L1186" s="64"/>
      <c r="M1186" s="64"/>
      <c r="N1186" s="64"/>
      <c r="O1186" s="64"/>
      <c r="P1186" s="64"/>
      <c r="Q1186" s="64"/>
      <c r="R1186" s="64"/>
    </row>
    <row r="1187" spans="1:18" x14ac:dyDescent="0.25">
      <c r="A1187" s="63"/>
      <c r="B1187" s="64"/>
      <c r="C1187" s="64"/>
      <c r="D1187" s="64"/>
      <c r="E1187" s="64"/>
      <c r="F1187" s="64"/>
      <c r="G1187" s="64"/>
      <c r="H1187" s="64"/>
      <c r="I1187" s="64"/>
      <c r="J1187" s="64"/>
      <c r="K1187" s="64"/>
      <c r="L1187" s="64"/>
      <c r="M1187" s="64"/>
      <c r="N1187" s="64"/>
      <c r="O1187" s="64"/>
      <c r="P1187" s="64"/>
      <c r="Q1187" s="64"/>
      <c r="R1187" s="64"/>
    </row>
    <row r="1188" spans="1:18" x14ac:dyDescent="0.25">
      <c r="A1188" s="63"/>
      <c r="B1188" s="64"/>
      <c r="C1188" s="64"/>
      <c r="D1188" s="64"/>
      <c r="E1188" s="64"/>
      <c r="F1188" s="64"/>
      <c r="G1188" s="64"/>
      <c r="H1188" s="64"/>
      <c r="I1188" s="64"/>
      <c r="J1188" s="64"/>
      <c r="K1188" s="64"/>
      <c r="L1188" s="64"/>
      <c r="M1188" s="64"/>
      <c r="N1188" s="64"/>
      <c r="O1188" s="64"/>
      <c r="P1188" s="64"/>
      <c r="Q1188" s="64"/>
      <c r="R1188" s="64"/>
    </row>
    <row r="1189" spans="1:18" x14ac:dyDescent="0.25">
      <c r="A1189" s="63"/>
      <c r="B1189" s="64"/>
      <c r="C1189" s="64"/>
      <c r="D1189" s="64"/>
      <c r="E1189" s="64"/>
      <c r="F1189" s="64"/>
      <c r="G1189" s="64"/>
      <c r="H1189" s="64"/>
      <c r="I1189" s="64"/>
      <c r="J1189" s="64"/>
      <c r="K1189" s="64"/>
      <c r="L1189" s="64"/>
      <c r="M1189" s="64"/>
      <c r="N1189" s="64"/>
      <c r="O1189" s="64"/>
      <c r="P1189" s="64"/>
      <c r="Q1189" s="64"/>
      <c r="R1189" s="64"/>
    </row>
    <row r="1190" spans="1:18" x14ac:dyDescent="0.25">
      <c r="A1190" s="63"/>
      <c r="B1190" s="64"/>
      <c r="C1190" s="64"/>
      <c r="D1190" s="64"/>
      <c r="E1190" s="64"/>
      <c r="F1190" s="64"/>
      <c r="G1190" s="64"/>
      <c r="H1190" s="64"/>
      <c r="I1190" s="64"/>
      <c r="J1190" s="64"/>
      <c r="K1190" s="64"/>
      <c r="L1190" s="64"/>
      <c r="M1190" s="64"/>
      <c r="N1190" s="64"/>
      <c r="O1190" s="64"/>
      <c r="P1190" s="64"/>
      <c r="Q1190" s="64"/>
      <c r="R1190" s="64"/>
    </row>
    <row r="1191" spans="1:18" x14ac:dyDescent="0.25">
      <c r="A1191" s="63"/>
      <c r="B1191" s="64"/>
      <c r="C1191" s="64"/>
      <c r="D1191" s="64"/>
      <c r="E1191" s="64"/>
      <c r="F1191" s="64"/>
      <c r="G1191" s="64"/>
      <c r="H1191" s="64"/>
      <c r="I1191" s="64"/>
      <c r="J1191" s="64"/>
      <c r="K1191" s="64"/>
      <c r="L1191" s="64"/>
      <c r="M1191" s="64"/>
      <c r="N1191" s="64"/>
      <c r="O1191" s="64"/>
      <c r="P1191" s="64"/>
      <c r="Q1191" s="64"/>
      <c r="R1191" s="64"/>
    </row>
    <row r="1192" spans="1:18" x14ac:dyDescent="0.25">
      <c r="A1192" s="63"/>
      <c r="B1192" s="64"/>
      <c r="C1192" s="64"/>
      <c r="D1192" s="64"/>
      <c r="E1192" s="64"/>
      <c r="F1192" s="64"/>
      <c r="G1192" s="64"/>
      <c r="H1192" s="64"/>
      <c r="I1192" s="64"/>
      <c r="J1192" s="64"/>
      <c r="K1192" s="64"/>
      <c r="L1192" s="64"/>
      <c r="M1192" s="64"/>
      <c r="N1192" s="64"/>
      <c r="O1192" s="64"/>
      <c r="P1192" s="64"/>
      <c r="Q1192" s="64"/>
      <c r="R1192" s="64"/>
    </row>
    <row r="1193" spans="1:18" x14ac:dyDescent="0.25">
      <c r="A1193" s="63"/>
      <c r="B1193" s="64"/>
      <c r="C1193" s="64"/>
      <c r="D1193" s="64"/>
      <c r="E1193" s="64"/>
      <c r="F1193" s="64"/>
      <c r="G1193" s="64"/>
      <c r="H1193" s="64"/>
      <c r="I1193" s="64"/>
      <c r="J1193" s="64"/>
      <c r="K1193" s="64"/>
      <c r="L1193" s="64"/>
      <c r="M1193" s="64"/>
      <c r="N1193" s="64"/>
      <c r="O1193" s="64"/>
      <c r="P1193" s="64"/>
      <c r="Q1193" s="64"/>
      <c r="R1193" s="64"/>
    </row>
    <row r="1194" spans="1:18" x14ac:dyDescent="0.25">
      <c r="A1194" s="63"/>
      <c r="B1194" s="64"/>
      <c r="C1194" s="64"/>
      <c r="D1194" s="64"/>
      <c r="E1194" s="64"/>
      <c r="F1194" s="64"/>
      <c r="G1194" s="64"/>
      <c r="H1194" s="64"/>
      <c r="I1194" s="64"/>
      <c r="J1194" s="64"/>
      <c r="K1194" s="64"/>
      <c r="L1194" s="64"/>
      <c r="M1194" s="64"/>
      <c r="N1194" s="64"/>
      <c r="O1194" s="64"/>
      <c r="P1194" s="64"/>
      <c r="Q1194" s="64"/>
      <c r="R1194" s="64"/>
    </row>
    <row r="1195" spans="1:18" x14ac:dyDescent="0.25">
      <c r="A1195" s="63"/>
      <c r="B1195" s="64"/>
      <c r="C1195" s="64"/>
      <c r="D1195" s="64"/>
      <c r="E1195" s="64"/>
      <c r="F1195" s="64"/>
      <c r="G1195" s="64"/>
      <c r="H1195" s="64"/>
      <c r="I1195" s="64"/>
      <c r="J1195" s="64"/>
      <c r="K1195" s="64"/>
      <c r="L1195" s="64"/>
      <c r="M1195" s="64"/>
      <c r="N1195" s="64"/>
      <c r="O1195" s="64"/>
      <c r="P1195" s="64"/>
      <c r="Q1195" s="64"/>
      <c r="R1195" s="64"/>
    </row>
    <row r="1196" spans="1:18" x14ac:dyDescent="0.25">
      <c r="A1196" s="63"/>
      <c r="B1196" s="64"/>
      <c r="C1196" s="64"/>
      <c r="D1196" s="64"/>
      <c r="E1196" s="64"/>
      <c r="F1196" s="64"/>
      <c r="G1196" s="64"/>
      <c r="H1196" s="64"/>
      <c r="I1196" s="64"/>
      <c r="J1196" s="64"/>
      <c r="K1196" s="64"/>
      <c r="L1196" s="64"/>
      <c r="M1196" s="64"/>
      <c r="N1196" s="64"/>
      <c r="O1196" s="64"/>
      <c r="P1196" s="64"/>
      <c r="Q1196" s="64"/>
      <c r="R1196" s="64"/>
    </row>
    <row r="1197" spans="1:18" x14ac:dyDescent="0.25">
      <c r="A1197" s="63"/>
      <c r="B1197" s="64"/>
      <c r="C1197" s="64"/>
      <c r="D1197" s="64"/>
      <c r="E1197" s="64"/>
      <c r="F1197" s="64"/>
      <c r="G1197" s="64"/>
      <c r="H1197" s="64"/>
      <c r="I1197" s="64"/>
      <c r="J1197" s="64"/>
      <c r="K1197" s="64"/>
      <c r="L1197" s="64"/>
      <c r="M1197" s="64"/>
      <c r="N1197" s="64"/>
      <c r="O1197" s="64"/>
      <c r="P1197" s="64"/>
      <c r="Q1197" s="64"/>
      <c r="R1197" s="64"/>
    </row>
    <row r="1198" spans="1:18" x14ac:dyDescent="0.25">
      <c r="A1198" s="63"/>
      <c r="B1198" s="64"/>
      <c r="C1198" s="64"/>
      <c r="D1198" s="64"/>
      <c r="E1198" s="64"/>
      <c r="F1198" s="64"/>
      <c r="G1198" s="64"/>
      <c r="H1198" s="64"/>
      <c r="I1198" s="64"/>
      <c r="J1198" s="64"/>
      <c r="K1198" s="64"/>
      <c r="L1198" s="64"/>
      <c r="M1198" s="64"/>
      <c r="N1198" s="64"/>
      <c r="O1198" s="64"/>
      <c r="P1198" s="64"/>
      <c r="Q1198" s="64"/>
      <c r="R1198" s="64"/>
    </row>
    <row r="1199" spans="1:18" x14ac:dyDescent="0.25">
      <c r="A1199" s="63"/>
      <c r="B1199" s="64"/>
      <c r="C1199" s="64"/>
      <c r="D1199" s="64"/>
      <c r="E1199" s="64"/>
      <c r="F1199" s="64"/>
      <c r="G1199" s="64"/>
      <c r="H1199" s="64"/>
      <c r="I1199" s="64"/>
      <c r="J1199" s="64"/>
      <c r="K1199" s="64"/>
      <c r="L1199" s="64"/>
      <c r="M1199" s="64"/>
      <c r="N1199" s="64"/>
      <c r="O1199" s="64"/>
      <c r="P1199" s="64"/>
      <c r="Q1199" s="64"/>
      <c r="R1199" s="64"/>
    </row>
    <row r="1200" spans="1:18" x14ac:dyDescent="0.25">
      <c r="A1200" s="63"/>
      <c r="B1200" s="64"/>
      <c r="C1200" s="64"/>
      <c r="D1200" s="64"/>
      <c r="E1200" s="64"/>
      <c r="F1200" s="64"/>
      <c r="G1200" s="64"/>
      <c r="H1200" s="64"/>
      <c r="I1200" s="64"/>
      <c r="J1200" s="64"/>
      <c r="K1200" s="64"/>
      <c r="L1200" s="64"/>
      <c r="M1200" s="64"/>
      <c r="N1200" s="64"/>
      <c r="O1200" s="64"/>
      <c r="P1200" s="64"/>
      <c r="Q1200" s="64"/>
      <c r="R1200" s="64"/>
    </row>
    <row r="1201" spans="1:18" x14ac:dyDescent="0.25">
      <c r="A1201" s="63"/>
      <c r="B1201" s="64"/>
      <c r="C1201" s="64"/>
      <c r="D1201" s="64"/>
      <c r="E1201" s="64"/>
      <c r="F1201" s="64"/>
      <c r="G1201" s="64"/>
      <c r="H1201" s="64"/>
      <c r="I1201" s="64"/>
      <c r="J1201" s="64"/>
      <c r="K1201" s="64"/>
      <c r="L1201" s="64"/>
      <c r="M1201" s="64"/>
      <c r="N1201" s="64"/>
      <c r="O1201" s="64"/>
      <c r="P1201" s="64"/>
      <c r="Q1201" s="64"/>
      <c r="R1201" s="64"/>
    </row>
    <row r="1202" spans="1:18" x14ac:dyDescent="0.25">
      <c r="A1202" s="63"/>
      <c r="B1202" s="64"/>
      <c r="C1202" s="64"/>
      <c r="D1202" s="64"/>
      <c r="E1202" s="64"/>
      <c r="F1202" s="64"/>
      <c r="G1202" s="64"/>
      <c r="H1202" s="64"/>
      <c r="I1202" s="64"/>
      <c r="J1202" s="64"/>
      <c r="K1202" s="64"/>
      <c r="L1202" s="64"/>
      <c r="M1202" s="64"/>
      <c r="N1202" s="64"/>
      <c r="O1202" s="64"/>
      <c r="P1202" s="64"/>
      <c r="Q1202" s="64"/>
      <c r="R1202" s="64"/>
    </row>
    <row r="1203" spans="1:18" x14ac:dyDescent="0.25">
      <c r="A1203" s="63"/>
      <c r="B1203" s="64"/>
      <c r="C1203" s="64"/>
      <c r="D1203" s="64"/>
      <c r="E1203" s="64"/>
      <c r="F1203" s="64"/>
      <c r="G1203" s="64"/>
      <c r="H1203" s="64"/>
      <c r="I1203" s="64"/>
      <c r="J1203" s="64"/>
      <c r="K1203" s="64"/>
      <c r="L1203" s="64"/>
      <c r="M1203" s="64"/>
      <c r="N1203" s="64"/>
      <c r="O1203" s="64"/>
      <c r="P1203" s="64"/>
      <c r="Q1203" s="64"/>
      <c r="R1203" s="64"/>
    </row>
    <row r="1204" spans="1:18" x14ac:dyDescent="0.25">
      <c r="A1204" s="63"/>
      <c r="B1204" s="64"/>
      <c r="C1204" s="64"/>
      <c r="D1204" s="64"/>
      <c r="E1204" s="64"/>
      <c r="F1204" s="64"/>
      <c r="G1204" s="64"/>
      <c r="H1204" s="64"/>
      <c r="I1204" s="64"/>
      <c r="J1204" s="64"/>
      <c r="K1204" s="64"/>
      <c r="L1204" s="64"/>
      <c r="M1204" s="64"/>
      <c r="N1204" s="64"/>
      <c r="O1204" s="64"/>
      <c r="P1204" s="64"/>
      <c r="Q1204" s="64"/>
      <c r="R1204" s="64"/>
    </row>
    <row r="1205" spans="1:18" x14ac:dyDescent="0.25">
      <c r="A1205" s="63"/>
      <c r="B1205" s="64"/>
      <c r="C1205" s="64"/>
      <c r="D1205" s="64"/>
      <c r="E1205" s="64"/>
      <c r="F1205" s="64"/>
      <c r="G1205" s="64"/>
      <c r="H1205" s="64"/>
      <c r="I1205" s="64"/>
      <c r="J1205" s="64"/>
      <c r="K1205" s="64"/>
      <c r="L1205" s="64"/>
      <c r="M1205" s="64"/>
      <c r="N1205" s="64"/>
      <c r="O1205" s="64"/>
      <c r="P1205" s="64"/>
      <c r="Q1205" s="64"/>
      <c r="R1205" s="64"/>
    </row>
    <row r="1206" spans="1:18" x14ac:dyDescent="0.25">
      <c r="A1206" s="63"/>
      <c r="B1206" s="64"/>
      <c r="C1206" s="64"/>
      <c r="D1206" s="64"/>
      <c r="E1206" s="64"/>
      <c r="F1206" s="64"/>
      <c r="G1206" s="64"/>
      <c r="H1206" s="64"/>
      <c r="I1206" s="64"/>
      <c r="J1206" s="64"/>
      <c r="K1206" s="64"/>
      <c r="L1206" s="64"/>
      <c r="M1206" s="64"/>
      <c r="N1206" s="64"/>
      <c r="O1206" s="64"/>
      <c r="P1206" s="64"/>
      <c r="Q1206" s="64"/>
      <c r="R1206" s="64"/>
    </row>
    <row r="1207" spans="1:18" x14ac:dyDescent="0.25">
      <c r="A1207" s="63"/>
      <c r="B1207" s="64"/>
      <c r="C1207" s="64"/>
      <c r="D1207" s="64"/>
      <c r="E1207" s="64"/>
      <c r="F1207" s="64"/>
      <c r="G1207" s="64"/>
      <c r="H1207" s="64"/>
      <c r="I1207" s="64"/>
      <c r="J1207" s="64"/>
      <c r="K1207" s="64"/>
      <c r="L1207" s="64"/>
      <c r="M1207" s="64"/>
      <c r="N1207" s="64"/>
      <c r="O1207" s="64"/>
      <c r="P1207" s="64"/>
      <c r="Q1207" s="64"/>
      <c r="R1207" s="64"/>
    </row>
    <row r="1208" spans="1:18" x14ac:dyDescent="0.25">
      <c r="A1208" s="63"/>
      <c r="B1208" s="64"/>
      <c r="C1208" s="64"/>
      <c r="D1208" s="64"/>
      <c r="E1208" s="64"/>
      <c r="F1208" s="64"/>
      <c r="G1208" s="64"/>
      <c r="H1208" s="64"/>
      <c r="I1208" s="64"/>
      <c r="J1208" s="64"/>
      <c r="K1208" s="64"/>
      <c r="L1208" s="64"/>
      <c r="M1208" s="64"/>
      <c r="N1208" s="64"/>
      <c r="O1208" s="64"/>
      <c r="P1208" s="64"/>
      <c r="Q1208" s="64"/>
      <c r="R1208" s="64"/>
    </row>
    <row r="1209" spans="1:18" x14ac:dyDescent="0.25">
      <c r="A1209" s="63"/>
      <c r="B1209" s="64"/>
      <c r="C1209" s="64"/>
      <c r="D1209" s="64"/>
      <c r="E1209" s="64"/>
      <c r="F1209" s="64"/>
      <c r="G1209" s="64"/>
      <c r="H1209" s="64"/>
      <c r="I1209" s="64"/>
      <c r="J1209" s="64"/>
      <c r="K1209" s="64"/>
      <c r="L1209" s="64"/>
      <c r="M1209" s="64"/>
      <c r="N1209" s="64"/>
      <c r="O1209" s="64"/>
      <c r="P1209" s="64"/>
      <c r="Q1209" s="64"/>
      <c r="R1209" s="64"/>
    </row>
    <row r="1210" spans="1:18" x14ac:dyDescent="0.25">
      <c r="A1210" s="63"/>
      <c r="B1210" s="64"/>
      <c r="C1210" s="64"/>
      <c r="D1210" s="64"/>
      <c r="E1210" s="64"/>
      <c r="F1210" s="64"/>
      <c r="G1210" s="64"/>
      <c r="H1210" s="64"/>
      <c r="I1210" s="64"/>
      <c r="J1210" s="64"/>
      <c r="K1210" s="64"/>
      <c r="L1210" s="64"/>
      <c r="M1210" s="64"/>
      <c r="N1210" s="64"/>
      <c r="O1210" s="64"/>
      <c r="P1210" s="64"/>
      <c r="Q1210" s="64"/>
      <c r="R1210" s="64"/>
    </row>
    <row r="1211" spans="1:18" x14ac:dyDescent="0.25">
      <c r="A1211" s="63"/>
      <c r="B1211" s="64"/>
      <c r="C1211" s="64"/>
      <c r="D1211" s="64"/>
      <c r="E1211" s="64"/>
      <c r="F1211" s="64"/>
      <c r="G1211" s="64"/>
      <c r="H1211" s="64"/>
      <c r="I1211" s="64"/>
      <c r="J1211" s="64"/>
      <c r="K1211" s="64"/>
      <c r="L1211" s="64"/>
      <c r="M1211" s="64"/>
      <c r="N1211" s="64"/>
      <c r="O1211" s="64"/>
      <c r="P1211" s="64"/>
      <c r="Q1211" s="64"/>
      <c r="R1211" s="64"/>
    </row>
    <row r="1212" spans="1:18" x14ac:dyDescent="0.25">
      <c r="A1212" s="63"/>
      <c r="B1212" s="64"/>
      <c r="C1212" s="64"/>
      <c r="D1212" s="64"/>
      <c r="E1212" s="64"/>
      <c r="F1212" s="64"/>
      <c r="G1212" s="64"/>
      <c r="H1212" s="64"/>
      <c r="I1212" s="64"/>
      <c r="J1212" s="64"/>
      <c r="K1212" s="64"/>
      <c r="L1212" s="64"/>
      <c r="M1212" s="64"/>
      <c r="N1212" s="64"/>
      <c r="O1212" s="64"/>
      <c r="P1212" s="64"/>
      <c r="Q1212" s="64"/>
      <c r="R1212" s="64"/>
    </row>
    <row r="1213" spans="1:18" x14ac:dyDescent="0.25">
      <c r="A1213" s="63"/>
      <c r="B1213" s="64"/>
      <c r="C1213" s="64"/>
      <c r="D1213" s="64"/>
      <c r="E1213" s="64"/>
      <c r="F1213" s="64"/>
      <c r="G1213" s="64"/>
      <c r="H1213" s="64"/>
      <c r="I1213" s="64"/>
      <c r="J1213" s="64"/>
      <c r="K1213" s="64"/>
      <c r="L1213" s="64"/>
      <c r="M1213" s="64"/>
      <c r="N1213" s="64"/>
      <c r="O1213" s="64"/>
      <c r="P1213" s="64"/>
      <c r="Q1213" s="64"/>
      <c r="R1213" s="64"/>
    </row>
    <row r="1214" spans="1:18" x14ac:dyDescent="0.25">
      <c r="A1214" s="63"/>
      <c r="B1214" s="64"/>
      <c r="C1214" s="64"/>
      <c r="D1214" s="64"/>
      <c r="E1214" s="64"/>
      <c r="F1214" s="64"/>
      <c r="G1214" s="64"/>
      <c r="H1214" s="64"/>
      <c r="I1214" s="64"/>
      <c r="J1214" s="64"/>
      <c r="K1214" s="64"/>
      <c r="L1214" s="64"/>
      <c r="M1214" s="64"/>
      <c r="N1214" s="64"/>
      <c r="O1214" s="64"/>
      <c r="P1214" s="64"/>
      <c r="Q1214" s="64"/>
      <c r="R1214" s="64"/>
    </row>
    <row r="1215" spans="1:18" x14ac:dyDescent="0.25">
      <c r="A1215" s="63"/>
      <c r="B1215" s="64"/>
      <c r="C1215" s="64"/>
      <c r="D1215" s="64"/>
      <c r="E1215" s="64"/>
      <c r="F1215" s="64"/>
      <c r="G1215" s="64"/>
      <c r="H1215" s="64"/>
      <c r="I1215" s="64"/>
      <c r="J1215" s="64"/>
      <c r="K1215" s="64"/>
      <c r="L1215" s="64"/>
      <c r="M1215" s="64"/>
      <c r="N1215" s="64"/>
      <c r="O1215" s="64"/>
      <c r="P1215" s="64"/>
      <c r="Q1215" s="64"/>
      <c r="R1215" s="64"/>
    </row>
    <row r="1216" spans="1:18" x14ac:dyDescent="0.25">
      <c r="A1216" s="63"/>
      <c r="B1216" s="64"/>
      <c r="C1216" s="64"/>
      <c r="D1216" s="64"/>
      <c r="E1216" s="64"/>
      <c r="F1216" s="64"/>
      <c r="G1216" s="64"/>
      <c r="H1216" s="64"/>
      <c r="I1216" s="64"/>
      <c r="J1216" s="64"/>
      <c r="K1216" s="64"/>
      <c r="L1216" s="64"/>
      <c r="M1216" s="64"/>
      <c r="N1216" s="64"/>
      <c r="O1216" s="64"/>
      <c r="P1216" s="64"/>
      <c r="Q1216" s="64"/>
      <c r="R1216" s="64"/>
    </row>
    <row r="1217" spans="1:18" x14ac:dyDescent="0.25">
      <c r="A1217" s="63"/>
      <c r="B1217" s="64"/>
      <c r="C1217" s="64"/>
      <c r="D1217" s="64"/>
      <c r="E1217" s="64"/>
      <c r="F1217" s="64"/>
      <c r="G1217" s="64"/>
      <c r="H1217" s="64"/>
      <c r="I1217" s="64"/>
      <c r="J1217" s="64"/>
      <c r="K1217" s="64"/>
      <c r="L1217" s="64"/>
      <c r="M1217" s="64"/>
      <c r="N1217" s="64"/>
      <c r="O1217" s="64"/>
      <c r="P1217" s="64"/>
      <c r="Q1217" s="64"/>
      <c r="R1217" s="64"/>
    </row>
    <row r="1218" spans="1:18" x14ac:dyDescent="0.25">
      <c r="A1218" s="63"/>
      <c r="B1218" s="64"/>
      <c r="C1218" s="64"/>
      <c r="D1218" s="64"/>
      <c r="E1218" s="64"/>
      <c r="F1218" s="64"/>
      <c r="G1218" s="64"/>
      <c r="H1218" s="64"/>
      <c r="I1218" s="64"/>
      <c r="J1218" s="64"/>
      <c r="K1218" s="64"/>
      <c r="L1218" s="64"/>
      <c r="M1218" s="64"/>
      <c r="N1218" s="64"/>
      <c r="O1218" s="64"/>
      <c r="P1218" s="64"/>
      <c r="Q1218" s="64"/>
      <c r="R1218" s="64"/>
    </row>
    <row r="1219" spans="1:18" x14ac:dyDescent="0.25">
      <c r="A1219" s="63"/>
      <c r="B1219" s="64"/>
      <c r="C1219" s="64"/>
      <c r="D1219" s="64"/>
      <c r="E1219" s="64"/>
      <c r="F1219" s="64"/>
      <c r="G1219" s="64"/>
      <c r="H1219" s="64"/>
      <c r="I1219" s="64"/>
      <c r="J1219" s="64"/>
      <c r="K1219" s="64"/>
      <c r="L1219" s="64"/>
      <c r="M1219" s="64"/>
      <c r="N1219" s="64"/>
      <c r="O1219" s="64"/>
      <c r="P1219" s="64"/>
      <c r="Q1219" s="64"/>
      <c r="R1219" s="64"/>
    </row>
    <row r="1220" spans="1:18" x14ac:dyDescent="0.25">
      <c r="A1220" s="63"/>
      <c r="B1220" s="64"/>
      <c r="C1220" s="64"/>
      <c r="D1220" s="64"/>
      <c r="E1220" s="64"/>
      <c r="F1220" s="64"/>
      <c r="G1220" s="64"/>
      <c r="H1220" s="64"/>
      <c r="I1220" s="64"/>
      <c r="J1220" s="64"/>
      <c r="K1220" s="64"/>
      <c r="L1220" s="64"/>
      <c r="M1220" s="64"/>
      <c r="N1220" s="64"/>
      <c r="O1220" s="64"/>
      <c r="P1220" s="64"/>
      <c r="Q1220" s="64"/>
      <c r="R1220" s="64"/>
    </row>
    <row r="1221" spans="1:18" x14ac:dyDescent="0.25">
      <c r="A1221" s="63"/>
      <c r="B1221" s="64"/>
      <c r="C1221" s="64"/>
      <c r="D1221" s="64"/>
      <c r="E1221" s="64"/>
      <c r="F1221" s="64"/>
      <c r="G1221" s="64"/>
      <c r="H1221" s="64"/>
      <c r="I1221" s="64"/>
      <c r="J1221" s="64"/>
      <c r="K1221" s="64"/>
      <c r="L1221" s="64"/>
      <c r="M1221" s="64"/>
      <c r="N1221" s="64"/>
      <c r="O1221" s="64"/>
      <c r="P1221" s="64"/>
      <c r="Q1221" s="64"/>
      <c r="R1221" s="64"/>
    </row>
    <row r="1222" spans="1:18" x14ac:dyDescent="0.25">
      <c r="A1222" s="63"/>
      <c r="B1222" s="64"/>
      <c r="C1222" s="64"/>
      <c r="D1222" s="64"/>
      <c r="E1222" s="64"/>
      <c r="F1222" s="64"/>
      <c r="G1222" s="64"/>
      <c r="H1222" s="64"/>
      <c r="I1222" s="64"/>
      <c r="J1222" s="64"/>
      <c r="K1222" s="64"/>
      <c r="L1222" s="64"/>
      <c r="M1222" s="64"/>
      <c r="N1222" s="64"/>
      <c r="O1222" s="64"/>
      <c r="P1222" s="64"/>
      <c r="Q1222" s="64"/>
      <c r="R1222" s="64"/>
    </row>
    <row r="1223" spans="1:18" x14ac:dyDescent="0.25">
      <c r="A1223" s="63"/>
      <c r="B1223" s="64"/>
      <c r="C1223" s="64"/>
      <c r="D1223" s="64"/>
      <c r="E1223" s="64"/>
      <c r="F1223" s="64"/>
      <c r="G1223" s="64"/>
      <c r="H1223" s="64"/>
      <c r="I1223" s="64"/>
      <c r="J1223" s="64"/>
      <c r="K1223" s="64"/>
      <c r="L1223" s="64"/>
      <c r="M1223" s="64"/>
      <c r="N1223" s="64"/>
      <c r="O1223" s="64"/>
      <c r="P1223" s="64"/>
      <c r="Q1223" s="64"/>
      <c r="R1223" s="64"/>
    </row>
    <row r="1224" spans="1:18" x14ac:dyDescent="0.25">
      <c r="A1224" s="63"/>
      <c r="B1224" s="64"/>
      <c r="C1224" s="64"/>
      <c r="D1224" s="64"/>
      <c r="E1224" s="64"/>
      <c r="F1224" s="64"/>
      <c r="G1224" s="64"/>
      <c r="H1224" s="64"/>
      <c r="I1224" s="64"/>
      <c r="J1224" s="64"/>
      <c r="K1224" s="64"/>
      <c r="L1224" s="64"/>
      <c r="M1224" s="64"/>
      <c r="N1224" s="64"/>
      <c r="O1224" s="64"/>
      <c r="P1224" s="64"/>
      <c r="Q1224" s="64"/>
      <c r="R1224" s="64"/>
    </row>
    <row r="1225" spans="1:18" x14ac:dyDescent="0.25">
      <c r="A1225" s="63"/>
      <c r="B1225" s="64"/>
      <c r="C1225" s="64"/>
      <c r="D1225" s="64"/>
      <c r="E1225" s="64"/>
      <c r="F1225" s="64"/>
      <c r="G1225" s="64"/>
      <c r="H1225" s="64"/>
      <c r="I1225" s="64"/>
      <c r="J1225" s="64"/>
      <c r="K1225" s="64"/>
      <c r="L1225" s="64"/>
      <c r="M1225" s="64"/>
      <c r="N1225" s="64"/>
      <c r="O1225" s="64"/>
      <c r="P1225" s="64"/>
      <c r="Q1225" s="64"/>
      <c r="R1225" s="64"/>
    </row>
    <row r="1226" spans="1:18" x14ac:dyDescent="0.25">
      <c r="A1226" s="63"/>
      <c r="B1226" s="64"/>
      <c r="C1226" s="64"/>
      <c r="D1226" s="64"/>
      <c r="E1226" s="64"/>
      <c r="F1226" s="64"/>
      <c r="G1226" s="64"/>
      <c r="H1226" s="64"/>
      <c r="I1226" s="64"/>
      <c r="J1226" s="64"/>
      <c r="K1226" s="64"/>
      <c r="L1226" s="64"/>
      <c r="M1226" s="64"/>
      <c r="N1226" s="64"/>
      <c r="O1226" s="64"/>
      <c r="P1226" s="64"/>
      <c r="Q1226" s="64"/>
      <c r="R1226" s="64"/>
    </row>
    <row r="1227" spans="1:18" x14ac:dyDescent="0.25">
      <c r="A1227" s="63"/>
      <c r="B1227" s="64"/>
      <c r="C1227" s="64"/>
      <c r="D1227" s="64"/>
      <c r="E1227" s="64"/>
      <c r="F1227" s="64"/>
      <c r="G1227" s="64"/>
      <c r="H1227" s="64"/>
      <c r="I1227" s="64"/>
      <c r="J1227" s="64"/>
      <c r="K1227" s="64"/>
      <c r="L1227" s="64"/>
      <c r="M1227" s="64"/>
      <c r="N1227" s="64"/>
      <c r="O1227" s="64"/>
      <c r="P1227" s="64"/>
      <c r="Q1227" s="64"/>
      <c r="R1227" s="64"/>
    </row>
    <row r="1228" spans="1:18" x14ac:dyDescent="0.25">
      <c r="A1228" s="63"/>
      <c r="B1228" s="64"/>
      <c r="C1228" s="64"/>
      <c r="D1228" s="64"/>
      <c r="E1228" s="64"/>
      <c r="F1228" s="64"/>
      <c r="G1228" s="64"/>
      <c r="H1228" s="64"/>
      <c r="I1228" s="64"/>
      <c r="J1228" s="64"/>
      <c r="K1228" s="64"/>
      <c r="L1228" s="64"/>
      <c r="M1228" s="64"/>
      <c r="N1228" s="64"/>
      <c r="O1228" s="64"/>
      <c r="P1228" s="64"/>
      <c r="Q1228" s="64"/>
      <c r="R1228" s="64"/>
    </row>
    <row r="1229" spans="1:18" x14ac:dyDescent="0.25">
      <c r="A1229" s="63"/>
      <c r="B1229" s="64"/>
      <c r="C1229" s="64"/>
      <c r="D1229" s="64"/>
      <c r="E1229" s="64"/>
      <c r="F1229" s="64"/>
      <c r="G1229" s="64"/>
      <c r="H1229" s="64"/>
      <c r="I1229" s="64"/>
      <c r="J1229" s="64"/>
      <c r="K1229" s="64"/>
      <c r="L1229" s="64"/>
      <c r="M1229" s="64"/>
      <c r="N1229" s="64"/>
      <c r="O1229" s="64"/>
      <c r="P1229" s="64"/>
      <c r="Q1229" s="64"/>
      <c r="R1229" s="64"/>
    </row>
    <row r="1230" spans="1:18" x14ac:dyDescent="0.25">
      <c r="A1230" s="63"/>
      <c r="B1230" s="64"/>
      <c r="C1230" s="64"/>
      <c r="D1230" s="64"/>
      <c r="E1230" s="64"/>
      <c r="F1230" s="64"/>
      <c r="G1230" s="64"/>
      <c r="H1230" s="64"/>
      <c r="I1230" s="64"/>
      <c r="J1230" s="64"/>
      <c r="K1230" s="64"/>
      <c r="L1230" s="64"/>
      <c r="M1230" s="64"/>
      <c r="N1230" s="64"/>
      <c r="O1230" s="64"/>
      <c r="P1230" s="64"/>
      <c r="Q1230" s="64"/>
      <c r="R1230" s="64"/>
    </row>
    <row r="1231" spans="1:18" x14ac:dyDescent="0.25">
      <c r="A1231" s="63"/>
      <c r="B1231" s="64"/>
      <c r="C1231" s="64"/>
      <c r="D1231" s="64"/>
      <c r="E1231" s="64"/>
      <c r="F1231" s="64"/>
      <c r="G1231" s="64"/>
      <c r="H1231" s="64"/>
      <c r="I1231" s="64"/>
      <c r="J1231" s="64"/>
      <c r="K1231" s="64"/>
      <c r="L1231" s="64"/>
      <c r="M1231" s="64"/>
      <c r="N1231" s="64"/>
      <c r="O1231" s="64"/>
      <c r="P1231" s="64"/>
      <c r="Q1231" s="64"/>
      <c r="R1231" s="64"/>
    </row>
    <row r="1232" spans="1:18" x14ac:dyDescent="0.25">
      <c r="A1232" s="63"/>
      <c r="B1232" s="64"/>
      <c r="C1232" s="64"/>
      <c r="D1232" s="64"/>
      <c r="E1232" s="64"/>
      <c r="F1232" s="64"/>
      <c r="G1232" s="64"/>
      <c r="H1232" s="64"/>
      <c r="I1232" s="64"/>
      <c r="J1232" s="64"/>
      <c r="K1232" s="64"/>
      <c r="L1232" s="64"/>
      <c r="M1232" s="64"/>
      <c r="N1232" s="64"/>
      <c r="O1232" s="64"/>
      <c r="P1232" s="64"/>
      <c r="Q1232" s="64"/>
      <c r="R1232" s="64"/>
    </row>
    <row r="1233" spans="1:18" x14ac:dyDescent="0.25">
      <c r="A1233" s="63"/>
      <c r="B1233" s="64"/>
      <c r="C1233" s="64"/>
      <c r="D1233" s="64"/>
      <c r="E1233" s="64"/>
      <c r="F1233" s="64"/>
      <c r="G1233" s="64"/>
      <c r="H1233" s="64"/>
      <c r="I1233" s="64"/>
      <c r="J1233" s="64"/>
      <c r="K1233" s="64"/>
      <c r="L1233" s="64"/>
      <c r="M1233" s="64"/>
      <c r="N1233" s="64"/>
      <c r="O1233" s="64"/>
      <c r="P1233" s="64"/>
      <c r="Q1233" s="64"/>
      <c r="R1233" s="64"/>
    </row>
    <row r="1234" spans="1:18" x14ac:dyDescent="0.25">
      <c r="A1234" s="63"/>
      <c r="B1234" s="64"/>
      <c r="C1234" s="64"/>
      <c r="D1234" s="64"/>
      <c r="E1234" s="64"/>
      <c r="F1234" s="64"/>
      <c r="G1234" s="64"/>
      <c r="H1234" s="64"/>
      <c r="I1234" s="64"/>
      <c r="J1234" s="64"/>
      <c r="K1234" s="64"/>
      <c r="L1234" s="64"/>
      <c r="M1234" s="64"/>
      <c r="N1234" s="64"/>
      <c r="O1234" s="64"/>
      <c r="P1234" s="64"/>
      <c r="Q1234" s="64"/>
      <c r="R1234" s="64"/>
    </row>
    <row r="1235" spans="1:18" x14ac:dyDescent="0.25">
      <c r="A1235" s="63"/>
      <c r="B1235" s="64"/>
      <c r="C1235" s="64"/>
      <c r="D1235" s="64"/>
      <c r="E1235" s="64"/>
      <c r="F1235" s="64"/>
      <c r="G1235" s="64"/>
      <c r="H1235" s="64"/>
      <c r="I1235" s="64"/>
      <c r="J1235" s="64"/>
      <c r="K1235" s="64"/>
      <c r="L1235" s="64"/>
      <c r="M1235" s="64"/>
      <c r="N1235" s="64"/>
      <c r="O1235" s="64"/>
      <c r="P1235" s="64"/>
      <c r="Q1235" s="64"/>
      <c r="R1235" s="64"/>
    </row>
    <row r="1236" spans="1:18" x14ac:dyDescent="0.25">
      <c r="A1236" s="63"/>
      <c r="B1236" s="64"/>
      <c r="C1236" s="64"/>
      <c r="D1236" s="64"/>
      <c r="E1236" s="64"/>
      <c r="F1236" s="64"/>
      <c r="G1236" s="64"/>
      <c r="H1236" s="64"/>
      <c r="I1236" s="64"/>
      <c r="J1236" s="64"/>
      <c r="K1236" s="64"/>
      <c r="L1236" s="64"/>
      <c r="M1236" s="64"/>
      <c r="N1236" s="64"/>
      <c r="O1236" s="64"/>
      <c r="P1236" s="64"/>
      <c r="Q1236" s="64"/>
      <c r="R1236" s="64"/>
    </row>
    <row r="1237" spans="1:18" x14ac:dyDescent="0.25">
      <c r="A1237" s="63"/>
      <c r="B1237" s="64"/>
      <c r="C1237" s="64"/>
      <c r="D1237" s="64"/>
      <c r="E1237" s="64"/>
      <c r="F1237" s="64"/>
      <c r="G1237" s="64"/>
      <c r="H1237" s="64"/>
      <c r="I1237" s="64"/>
      <c r="J1237" s="64"/>
      <c r="K1237" s="64"/>
      <c r="L1237" s="64"/>
      <c r="M1237" s="64"/>
      <c r="N1237" s="64"/>
      <c r="O1237" s="64"/>
      <c r="P1237" s="64"/>
      <c r="Q1237" s="64"/>
      <c r="R1237" s="64"/>
    </row>
    <row r="1238" spans="1:18" x14ac:dyDescent="0.25">
      <c r="A1238" s="63"/>
      <c r="B1238" s="64"/>
      <c r="C1238" s="64"/>
      <c r="D1238" s="64"/>
      <c r="E1238" s="64"/>
      <c r="F1238" s="64"/>
      <c r="G1238" s="64"/>
      <c r="H1238" s="64"/>
      <c r="I1238" s="64"/>
      <c r="J1238" s="64"/>
      <c r="K1238" s="64"/>
      <c r="L1238" s="64"/>
      <c r="M1238" s="64"/>
      <c r="N1238" s="64"/>
      <c r="O1238" s="64"/>
      <c r="P1238" s="64"/>
      <c r="Q1238" s="64"/>
      <c r="R1238" s="64"/>
    </row>
    <row r="1239" spans="1:18" x14ac:dyDescent="0.25">
      <c r="A1239" s="63"/>
      <c r="B1239" s="64"/>
      <c r="C1239" s="64"/>
      <c r="D1239" s="64"/>
      <c r="E1239" s="64"/>
      <c r="F1239" s="64"/>
      <c r="G1239" s="64"/>
      <c r="H1239" s="64"/>
      <c r="I1239" s="64"/>
      <c r="J1239" s="64"/>
      <c r="K1239" s="64"/>
      <c r="L1239" s="64"/>
      <c r="M1239" s="64"/>
      <c r="N1239" s="64"/>
      <c r="O1239" s="64"/>
      <c r="P1239" s="64"/>
      <c r="Q1239" s="64"/>
      <c r="R1239" s="64"/>
    </row>
    <row r="1240" spans="1:18" x14ac:dyDescent="0.25">
      <c r="A1240" s="63"/>
      <c r="B1240" s="64"/>
      <c r="C1240" s="64"/>
      <c r="D1240" s="64"/>
      <c r="E1240" s="64"/>
      <c r="F1240" s="64"/>
      <c r="G1240" s="64"/>
      <c r="H1240" s="64"/>
      <c r="I1240" s="64"/>
      <c r="J1240" s="64"/>
      <c r="K1240" s="64"/>
      <c r="L1240" s="64"/>
      <c r="M1240" s="64"/>
      <c r="N1240" s="64"/>
      <c r="O1240" s="64"/>
      <c r="P1240" s="64"/>
      <c r="Q1240" s="64"/>
      <c r="R1240" s="64"/>
    </row>
    <row r="1241" spans="1:18" x14ac:dyDescent="0.25">
      <c r="A1241" s="63"/>
      <c r="B1241" s="64"/>
      <c r="C1241" s="64"/>
      <c r="D1241" s="64"/>
      <c r="E1241" s="64"/>
      <c r="F1241" s="64"/>
      <c r="G1241" s="64"/>
      <c r="H1241" s="64"/>
      <c r="I1241" s="64"/>
      <c r="J1241" s="64"/>
      <c r="K1241" s="64"/>
      <c r="L1241" s="64"/>
      <c r="M1241" s="64"/>
      <c r="N1241" s="64"/>
      <c r="O1241" s="64"/>
      <c r="P1241" s="64"/>
      <c r="Q1241" s="64"/>
      <c r="R1241" s="64"/>
    </row>
    <row r="1242" spans="1:18" x14ac:dyDescent="0.25">
      <c r="A1242" s="63"/>
      <c r="B1242" s="64"/>
      <c r="C1242" s="64"/>
      <c r="D1242" s="64"/>
      <c r="E1242" s="64"/>
      <c r="F1242" s="64"/>
      <c r="G1242" s="64"/>
      <c r="H1242" s="64"/>
      <c r="I1242" s="64"/>
      <c r="J1242" s="64"/>
      <c r="K1242" s="64"/>
      <c r="L1242" s="64"/>
      <c r="M1242" s="64"/>
      <c r="N1242" s="64"/>
      <c r="O1242" s="64"/>
      <c r="P1242" s="64"/>
      <c r="Q1242" s="64"/>
      <c r="R1242" s="64"/>
    </row>
    <row r="1243" spans="1:18" x14ac:dyDescent="0.25">
      <c r="A1243" s="63"/>
      <c r="B1243" s="64"/>
      <c r="C1243" s="64"/>
      <c r="D1243" s="64"/>
      <c r="E1243" s="64"/>
      <c r="F1243" s="64"/>
      <c r="G1243" s="64"/>
      <c r="H1243" s="64"/>
      <c r="I1243" s="64"/>
      <c r="J1243" s="64"/>
      <c r="K1243" s="64"/>
      <c r="L1243" s="64"/>
      <c r="M1243" s="64"/>
      <c r="N1243" s="64"/>
      <c r="O1243" s="64"/>
      <c r="P1243" s="64"/>
      <c r="Q1243" s="64"/>
      <c r="R1243" s="64"/>
    </row>
    <row r="1244" spans="1:18" x14ac:dyDescent="0.25">
      <c r="A1244" s="63"/>
      <c r="B1244" s="64"/>
      <c r="C1244" s="64"/>
      <c r="D1244" s="64"/>
      <c r="E1244" s="64"/>
      <c r="F1244" s="64"/>
      <c r="G1244" s="64"/>
      <c r="H1244" s="64"/>
      <c r="I1244" s="64"/>
      <c r="J1244" s="64"/>
      <c r="K1244" s="64"/>
      <c r="L1244" s="64"/>
      <c r="M1244" s="64"/>
      <c r="N1244" s="64"/>
      <c r="O1244" s="64"/>
      <c r="P1244" s="64"/>
      <c r="Q1244" s="64"/>
      <c r="R1244" s="64"/>
    </row>
    <row r="1245" spans="1:18" x14ac:dyDescent="0.25">
      <c r="A1245" s="63"/>
      <c r="B1245" s="64"/>
      <c r="C1245" s="64"/>
      <c r="D1245" s="64"/>
      <c r="E1245" s="64"/>
      <c r="F1245" s="64"/>
      <c r="G1245" s="64"/>
      <c r="H1245" s="64"/>
      <c r="I1245" s="64"/>
      <c r="J1245" s="64"/>
      <c r="K1245" s="64"/>
      <c r="L1245" s="64"/>
      <c r="M1245" s="64"/>
      <c r="N1245" s="64"/>
      <c r="O1245" s="64"/>
      <c r="P1245" s="64"/>
      <c r="Q1245" s="64"/>
      <c r="R1245" s="64"/>
    </row>
    <row r="1246" spans="1:18" x14ac:dyDescent="0.25">
      <c r="A1246" s="63"/>
      <c r="B1246" s="64"/>
      <c r="C1246" s="64"/>
      <c r="D1246" s="64"/>
      <c r="E1246" s="64"/>
      <c r="F1246" s="64"/>
      <c r="G1246" s="64"/>
      <c r="H1246" s="64"/>
      <c r="I1246" s="64"/>
      <c r="J1246" s="64"/>
      <c r="K1246" s="64"/>
      <c r="L1246" s="64"/>
      <c r="M1246" s="64"/>
      <c r="N1246" s="64"/>
      <c r="O1246" s="64"/>
      <c r="P1246" s="64"/>
      <c r="Q1246" s="64"/>
      <c r="R1246" s="64"/>
    </row>
    <row r="1247" spans="1:18" x14ac:dyDescent="0.25">
      <c r="A1247" s="63"/>
      <c r="B1247" s="64"/>
      <c r="C1247" s="64"/>
      <c r="D1247" s="64"/>
      <c r="E1247" s="64"/>
      <c r="F1247" s="64"/>
      <c r="G1247" s="64"/>
      <c r="H1247" s="64"/>
      <c r="I1247" s="64"/>
      <c r="J1247" s="64"/>
      <c r="K1247" s="64"/>
      <c r="L1247" s="64"/>
      <c r="M1247" s="64"/>
      <c r="N1247" s="64"/>
      <c r="O1247" s="64"/>
      <c r="P1247" s="64"/>
      <c r="Q1247" s="64"/>
      <c r="R1247" s="64"/>
    </row>
    <row r="1248" spans="1:18" x14ac:dyDescent="0.25">
      <c r="A1248" s="63"/>
      <c r="B1248" s="64"/>
      <c r="C1248" s="64"/>
      <c r="D1248" s="64"/>
      <c r="E1248" s="64"/>
      <c r="F1248" s="64"/>
      <c r="G1248" s="64"/>
      <c r="H1248" s="64"/>
      <c r="I1248" s="64"/>
      <c r="J1248" s="64"/>
      <c r="K1248" s="64"/>
      <c r="L1248" s="64"/>
      <c r="M1248" s="64"/>
      <c r="N1248" s="64"/>
      <c r="O1248" s="64"/>
      <c r="P1248" s="64"/>
      <c r="Q1248" s="64"/>
      <c r="R1248" s="64"/>
    </row>
    <row r="1249" spans="1:18" x14ac:dyDescent="0.25">
      <c r="A1249" s="63"/>
      <c r="B1249" s="64"/>
      <c r="C1249" s="64"/>
      <c r="D1249" s="64"/>
      <c r="E1249" s="64"/>
      <c r="F1249" s="64"/>
      <c r="G1249" s="64"/>
      <c r="H1249" s="64"/>
      <c r="I1249" s="64"/>
      <c r="J1249" s="64"/>
      <c r="K1249" s="64"/>
      <c r="L1249" s="64"/>
      <c r="M1249" s="64"/>
      <c r="N1249" s="64"/>
      <c r="O1249" s="64"/>
      <c r="P1249" s="64"/>
      <c r="Q1249" s="64"/>
      <c r="R1249" s="64"/>
    </row>
    <row r="1250" spans="1:18" x14ac:dyDescent="0.25">
      <c r="A1250" s="63"/>
      <c r="B1250" s="64"/>
      <c r="C1250" s="64"/>
      <c r="D1250" s="64"/>
      <c r="E1250" s="64"/>
      <c r="F1250" s="64"/>
      <c r="G1250" s="64"/>
      <c r="H1250" s="64"/>
      <c r="I1250" s="64"/>
      <c r="J1250" s="64"/>
      <c r="K1250" s="64"/>
      <c r="L1250" s="64"/>
      <c r="M1250" s="64"/>
      <c r="N1250" s="64"/>
      <c r="O1250" s="64"/>
      <c r="P1250" s="64"/>
      <c r="Q1250" s="64"/>
      <c r="R1250" s="64"/>
    </row>
    <row r="1251" spans="1:18" x14ac:dyDescent="0.25">
      <c r="A1251" s="63"/>
      <c r="B1251" s="64"/>
      <c r="C1251" s="64"/>
      <c r="D1251" s="64"/>
      <c r="E1251" s="64"/>
      <c r="F1251" s="64"/>
      <c r="G1251" s="64"/>
      <c r="H1251" s="64"/>
      <c r="I1251" s="64"/>
      <c r="J1251" s="64"/>
      <c r="K1251" s="64"/>
      <c r="L1251" s="64"/>
      <c r="M1251" s="64"/>
      <c r="N1251" s="64"/>
      <c r="O1251" s="64"/>
      <c r="P1251" s="64"/>
      <c r="Q1251" s="64"/>
      <c r="R1251" s="64"/>
    </row>
    <row r="1252" spans="1:18" x14ac:dyDescent="0.25">
      <c r="A1252" s="63"/>
      <c r="B1252" s="64"/>
      <c r="C1252" s="64"/>
      <c r="D1252" s="64"/>
      <c r="E1252" s="64"/>
      <c r="F1252" s="64"/>
      <c r="G1252" s="64"/>
      <c r="H1252" s="64"/>
      <c r="I1252" s="64"/>
      <c r="J1252" s="64"/>
      <c r="K1252" s="64"/>
      <c r="L1252" s="64"/>
      <c r="M1252" s="64"/>
      <c r="N1252" s="64"/>
      <c r="O1252" s="64"/>
      <c r="P1252" s="64"/>
      <c r="Q1252" s="64"/>
      <c r="R1252" s="64"/>
    </row>
    <row r="1253" spans="1:18" x14ac:dyDescent="0.25">
      <c r="A1253" s="63"/>
      <c r="B1253" s="64"/>
      <c r="C1253" s="64"/>
      <c r="D1253" s="64"/>
      <c r="E1253" s="64"/>
      <c r="F1253" s="64"/>
      <c r="G1253" s="64"/>
      <c r="H1253" s="64"/>
      <c r="I1253" s="64"/>
      <c r="J1253" s="64"/>
      <c r="K1253" s="64"/>
      <c r="L1253" s="64"/>
      <c r="M1253" s="64"/>
      <c r="N1253" s="64"/>
      <c r="O1253" s="64"/>
      <c r="P1253" s="64"/>
      <c r="Q1253" s="64"/>
      <c r="R1253" s="64"/>
    </row>
    <row r="1254" spans="1:18" x14ac:dyDescent="0.25">
      <c r="A1254" s="63"/>
      <c r="B1254" s="64"/>
      <c r="C1254" s="64"/>
      <c r="D1254" s="64"/>
      <c r="E1254" s="64"/>
      <c r="F1254" s="64"/>
      <c r="G1254" s="64"/>
      <c r="H1254" s="64"/>
      <c r="I1254" s="64"/>
      <c r="J1254" s="64"/>
      <c r="K1254" s="64"/>
      <c r="L1254" s="64"/>
      <c r="M1254" s="64"/>
      <c r="N1254" s="64"/>
      <c r="O1254" s="64"/>
      <c r="P1254" s="64"/>
      <c r="Q1254" s="64"/>
      <c r="R1254" s="64"/>
    </row>
    <row r="1255" spans="1:18" x14ac:dyDescent="0.25">
      <c r="A1255" s="63"/>
      <c r="B1255" s="64"/>
      <c r="C1255" s="64"/>
      <c r="D1255" s="64"/>
      <c r="E1255" s="64"/>
      <c r="F1255" s="64"/>
      <c r="G1255" s="64"/>
      <c r="H1255" s="64"/>
      <c r="I1255" s="64"/>
      <c r="J1255" s="64"/>
      <c r="K1255" s="64"/>
      <c r="L1255" s="64"/>
      <c r="M1255" s="64"/>
      <c r="N1255" s="64"/>
      <c r="O1255" s="64"/>
      <c r="P1255" s="64"/>
      <c r="Q1255" s="64"/>
      <c r="R1255" s="64"/>
    </row>
    <row r="1256" spans="1:18" x14ac:dyDescent="0.25">
      <c r="A1256" s="63"/>
      <c r="B1256" s="64"/>
      <c r="C1256" s="64"/>
      <c r="D1256" s="64"/>
      <c r="E1256" s="64"/>
      <c r="F1256" s="64"/>
      <c r="G1256" s="64"/>
      <c r="H1256" s="64"/>
      <c r="I1256" s="64"/>
      <c r="J1256" s="64"/>
      <c r="K1256" s="64"/>
      <c r="L1256" s="64"/>
      <c r="M1256" s="64"/>
      <c r="N1256" s="64"/>
      <c r="O1256" s="64"/>
      <c r="P1256" s="64"/>
      <c r="Q1256" s="64"/>
      <c r="R1256" s="64"/>
    </row>
    <row r="1257" spans="1:18" x14ac:dyDescent="0.25">
      <c r="A1257" s="63"/>
      <c r="B1257" s="64"/>
      <c r="C1257" s="64"/>
      <c r="D1257" s="64"/>
      <c r="E1257" s="64"/>
      <c r="F1257" s="64"/>
      <c r="G1257" s="64"/>
      <c r="H1257" s="64"/>
      <c r="I1257" s="64"/>
      <c r="J1257" s="64"/>
      <c r="K1257" s="64"/>
      <c r="L1257" s="64"/>
      <c r="M1257" s="64"/>
      <c r="N1257" s="64"/>
      <c r="O1257" s="64"/>
      <c r="P1257" s="64"/>
      <c r="Q1257" s="64"/>
      <c r="R1257" s="64"/>
    </row>
    <row r="1258" spans="1:18" x14ac:dyDescent="0.25">
      <c r="A1258" s="63"/>
      <c r="B1258" s="64"/>
      <c r="C1258" s="64"/>
      <c r="D1258" s="64"/>
      <c r="E1258" s="64"/>
      <c r="F1258" s="64"/>
      <c r="G1258" s="64"/>
      <c r="H1258" s="64"/>
      <c r="I1258" s="64"/>
      <c r="J1258" s="64"/>
      <c r="K1258" s="64"/>
      <c r="L1258" s="64"/>
      <c r="M1258" s="64"/>
      <c r="N1258" s="64"/>
      <c r="O1258" s="64"/>
      <c r="P1258" s="64"/>
      <c r="Q1258" s="64"/>
      <c r="R1258" s="64"/>
    </row>
    <row r="1259" spans="1:18" x14ac:dyDescent="0.25">
      <c r="A1259" s="63"/>
      <c r="B1259" s="64"/>
      <c r="C1259" s="64"/>
      <c r="D1259" s="64"/>
      <c r="E1259" s="64"/>
      <c r="F1259" s="64"/>
      <c r="G1259" s="64"/>
      <c r="H1259" s="64"/>
      <c r="I1259" s="64"/>
      <c r="J1259" s="64"/>
      <c r="K1259" s="64"/>
      <c r="L1259" s="64"/>
      <c r="M1259" s="64"/>
      <c r="N1259" s="64"/>
      <c r="O1259" s="64"/>
      <c r="P1259" s="64"/>
      <c r="Q1259" s="64"/>
      <c r="R1259" s="64"/>
    </row>
    <row r="1260" spans="1:18" x14ac:dyDescent="0.25">
      <c r="A1260" s="63"/>
      <c r="B1260" s="64"/>
      <c r="C1260" s="64"/>
      <c r="D1260" s="64"/>
      <c r="E1260" s="64"/>
      <c r="F1260" s="64"/>
      <c r="G1260" s="64"/>
      <c r="H1260" s="64"/>
      <c r="I1260" s="64"/>
      <c r="J1260" s="64"/>
      <c r="K1260" s="64"/>
      <c r="L1260" s="64"/>
      <c r="M1260" s="64"/>
      <c r="N1260" s="64"/>
      <c r="O1260" s="64"/>
      <c r="P1260" s="64"/>
      <c r="Q1260" s="64"/>
      <c r="R1260" s="64"/>
    </row>
    <row r="1261" spans="1:18" x14ac:dyDescent="0.25">
      <c r="A1261" s="63"/>
      <c r="B1261" s="64"/>
      <c r="C1261" s="64"/>
      <c r="D1261" s="64"/>
      <c r="E1261" s="64"/>
      <c r="F1261" s="64"/>
      <c r="G1261" s="64"/>
      <c r="H1261" s="64"/>
      <c r="I1261" s="64"/>
      <c r="J1261" s="64"/>
      <c r="K1261" s="64"/>
      <c r="L1261" s="64"/>
      <c r="M1261" s="64"/>
      <c r="N1261" s="64"/>
      <c r="O1261" s="64"/>
      <c r="P1261" s="64"/>
      <c r="Q1261" s="64"/>
      <c r="R1261" s="64"/>
    </row>
    <row r="1262" spans="1:18" x14ac:dyDescent="0.25">
      <c r="A1262" s="63"/>
      <c r="B1262" s="64"/>
      <c r="C1262" s="64"/>
      <c r="D1262" s="64"/>
      <c r="E1262" s="64"/>
      <c r="F1262" s="64"/>
      <c r="G1262" s="64"/>
      <c r="H1262" s="64"/>
      <c r="I1262" s="64"/>
      <c r="J1262" s="64"/>
      <c r="K1262" s="64"/>
      <c r="L1262" s="64"/>
      <c r="M1262" s="64"/>
      <c r="N1262" s="64"/>
      <c r="O1262" s="64"/>
      <c r="P1262" s="64"/>
      <c r="Q1262" s="64"/>
      <c r="R1262" s="64"/>
    </row>
    <row r="1263" spans="1:18" x14ac:dyDescent="0.25">
      <c r="A1263" s="63"/>
      <c r="B1263" s="64"/>
      <c r="C1263" s="64"/>
      <c r="D1263" s="64"/>
      <c r="E1263" s="64"/>
      <c r="F1263" s="64"/>
      <c r="G1263" s="64"/>
      <c r="H1263" s="64"/>
      <c r="I1263" s="64"/>
      <c r="J1263" s="64"/>
      <c r="K1263" s="64"/>
      <c r="L1263" s="64"/>
      <c r="M1263" s="64"/>
      <c r="N1263" s="64"/>
      <c r="O1263" s="64"/>
      <c r="P1263" s="64"/>
      <c r="Q1263" s="64"/>
      <c r="R1263" s="64"/>
    </row>
    <row r="1264" spans="1:18" x14ac:dyDescent="0.25">
      <c r="A1264" s="63"/>
      <c r="B1264" s="64"/>
      <c r="C1264" s="64"/>
      <c r="D1264" s="64"/>
      <c r="E1264" s="64"/>
      <c r="F1264" s="64"/>
      <c r="G1264" s="64"/>
      <c r="H1264" s="64"/>
      <c r="I1264" s="64"/>
      <c r="J1264" s="64"/>
      <c r="K1264" s="64"/>
      <c r="L1264" s="64"/>
      <c r="M1264" s="64"/>
      <c r="N1264" s="64"/>
      <c r="O1264" s="64"/>
      <c r="P1264" s="64"/>
      <c r="Q1264" s="64"/>
      <c r="R1264" s="64"/>
    </row>
    <row r="1265" spans="1:18" x14ac:dyDescent="0.25">
      <c r="A1265" s="63"/>
      <c r="B1265" s="64"/>
      <c r="C1265" s="64"/>
      <c r="D1265" s="64"/>
      <c r="E1265" s="64"/>
      <c r="F1265" s="64"/>
      <c r="G1265" s="64"/>
      <c r="H1265" s="64"/>
      <c r="I1265" s="64"/>
      <c r="J1265" s="64"/>
      <c r="K1265" s="64"/>
      <c r="L1265" s="64"/>
      <c r="M1265" s="64"/>
      <c r="N1265" s="64"/>
      <c r="O1265" s="64"/>
      <c r="P1265" s="64"/>
      <c r="Q1265" s="64"/>
      <c r="R1265" s="64"/>
    </row>
    <row r="1266" spans="1:18" x14ac:dyDescent="0.25">
      <c r="A1266" s="63"/>
      <c r="B1266" s="64"/>
      <c r="C1266" s="64"/>
      <c r="D1266" s="64"/>
      <c r="E1266" s="64"/>
      <c r="F1266" s="64"/>
      <c r="G1266" s="64"/>
      <c r="H1266" s="64"/>
      <c r="I1266" s="64"/>
      <c r="J1266" s="64"/>
      <c r="K1266" s="64"/>
      <c r="L1266" s="64"/>
      <c r="M1266" s="64"/>
      <c r="N1266" s="64"/>
      <c r="O1266" s="64"/>
      <c r="P1266" s="64"/>
      <c r="Q1266" s="64"/>
      <c r="R1266" s="64"/>
    </row>
    <row r="1267" spans="1:18" x14ac:dyDescent="0.25">
      <c r="A1267" s="63"/>
      <c r="B1267" s="64"/>
      <c r="C1267" s="64"/>
      <c r="D1267" s="64"/>
      <c r="E1267" s="64"/>
      <c r="F1267" s="64"/>
      <c r="G1267" s="64"/>
      <c r="H1267" s="64"/>
      <c r="I1267" s="64"/>
      <c r="J1267" s="64"/>
      <c r="K1267" s="64"/>
      <c r="L1267" s="64"/>
      <c r="M1267" s="64"/>
      <c r="N1267" s="64"/>
      <c r="O1267" s="64"/>
      <c r="P1267" s="64"/>
      <c r="Q1267" s="64"/>
      <c r="R1267" s="64"/>
    </row>
    <row r="1268" spans="1:18" x14ac:dyDescent="0.25">
      <c r="A1268" s="63"/>
      <c r="B1268" s="64"/>
      <c r="C1268" s="64"/>
      <c r="D1268" s="64"/>
      <c r="E1268" s="64"/>
      <c r="F1268" s="64"/>
      <c r="G1268" s="64"/>
      <c r="H1268" s="64"/>
      <c r="I1268" s="64"/>
      <c r="J1268" s="64"/>
      <c r="K1268" s="64"/>
      <c r="L1268" s="64"/>
      <c r="M1268" s="64"/>
      <c r="N1268" s="64"/>
      <c r="O1268" s="64"/>
      <c r="P1268" s="64"/>
      <c r="Q1268" s="64"/>
      <c r="R1268" s="64"/>
    </row>
    <row r="1269" spans="1:18" x14ac:dyDescent="0.25">
      <c r="A1269" s="63"/>
      <c r="B1269" s="64"/>
      <c r="C1269" s="64"/>
      <c r="D1269" s="64"/>
      <c r="E1269" s="64"/>
      <c r="F1269" s="64"/>
      <c r="G1269" s="64"/>
      <c r="H1269" s="64"/>
      <c r="I1269" s="64"/>
      <c r="J1269" s="64"/>
      <c r="K1269" s="64"/>
      <c r="L1269" s="64"/>
      <c r="M1269" s="64"/>
      <c r="N1269" s="64"/>
      <c r="O1269" s="64"/>
      <c r="P1269" s="64"/>
      <c r="Q1269" s="64"/>
      <c r="R1269" s="64"/>
    </row>
    <row r="1270" spans="1:18" x14ac:dyDescent="0.25">
      <c r="A1270" s="63"/>
      <c r="B1270" s="64"/>
      <c r="C1270" s="64"/>
      <c r="D1270" s="64"/>
      <c r="E1270" s="64"/>
      <c r="F1270" s="64"/>
      <c r="G1270" s="64"/>
      <c r="H1270" s="64"/>
      <c r="I1270" s="64"/>
      <c r="J1270" s="64"/>
      <c r="K1270" s="64"/>
      <c r="L1270" s="64"/>
      <c r="M1270" s="64"/>
      <c r="N1270" s="64"/>
      <c r="O1270" s="64"/>
      <c r="P1270" s="64"/>
      <c r="Q1270" s="64"/>
      <c r="R1270" s="64"/>
    </row>
    <row r="1271" spans="1:18" x14ac:dyDescent="0.25">
      <c r="A1271" s="63"/>
      <c r="B1271" s="64"/>
      <c r="C1271" s="64"/>
      <c r="D1271" s="64"/>
      <c r="E1271" s="64"/>
      <c r="F1271" s="64"/>
      <c r="G1271" s="64"/>
      <c r="H1271" s="64"/>
      <c r="I1271" s="64"/>
      <c r="J1271" s="64"/>
      <c r="K1271" s="64"/>
      <c r="L1271" s="64"/>
      <c r="M1271" s="64"/>
      <c r="N1271" s="64"/>
      <c r="O1271" s="64"/>
      <c r="P1271" s="64"/>
      <c r="Q1271" s="64"/>
      <c r="R1271" s="64"/>
    </row>
    <row r="1272" spans="1:18" x14ac:dyDescent="0.25">
      <c r="A1272" s="63"/>
      <c r="B1272" s="64"/>
      <c r="C1272" s="64"/>
      <c r="D1272" s="64"/>
      <c r="E1272" s="64"/>
      <c r="F1272" s="64"/>
      <c r="G1272" s="64"/>
      <c r="H1272" s="64"/>
      <c r="I1272" s="64"/>
      <c r="J1272" s="64"/>
      <c r="K1272" s="64"/>
      <c r="L1272" s="64"/>
      <c r="M1272" s="64"/>
      <c r="N1272" s="64"/>
      <c r="O1272" s="64"/>
      <c r="P1272" s="64"/>
      <c r="Q1272" s="64"/>
      <c r="R1272" s="64"/>
    </row>
    <row r="1273" spans="1:18" x14ac:dyDescent="0.25">
      <c r="A1273" s="63"/>
      <c r="B1273" s="64"/>
      <c r="C1273" s="64"/>
      <c r="D1273" s="64"/>
      <c r="E1273" s="64"/>
      <c r="F1273" s="64"/>
      <c r="G1273" s="64"/>
      <c r="H1273" s="64"/>
      <c r="I1273" s="64"/>
      <c r="J1273" s="64"/>
      <c r="K1273" s="64"/>
      <c r="L1273" s="64"/>
      <c r="M1273" s="64"/>
      <c r="N1273" s="64"/>
      <c r="O1273" s="64"/>
      <c r="P1273" s="64"/>
      <c r="Q1273" s="64"/>
      <c r="R1273" s="64"/>
    </row>
    <row r="1274" spans="1:18" x14ac:dyDescent="0.25">
      <c r="A1274" s="63"/>
      <c r="B1274" s="64"/>
      <c r="C1274" s="64"/>
      <c r="D1274" s="64"/>
      <c r="E1274" s="64"/>
      <c r="F1274" s="64"/>
      <c r="G1274" s="64"/>
      <c r="H1274" s="64"/>
      <c r="I1274" s="64"/>
      <c r="J1274" s="64"/>
      <c r="K1274" s="64"/>
      <c r="L1274" s="64"/>
      <c r="M1274" s="64"/>
      <c r="N1274" s="64"/>
      <c r="O1274" s="64"/>
      <c r="P1274" s="64"/>
      <c r="Q1274" s="64"/>
      <c r="R1274" s="64"/>
    </row>
    <row r="1275" spans="1:18" x14ac:dyDescent="0.25">
      <c r="A1275" s="63"/>
      <c r="B1275" s="64"/>
      <c r="C1275" s="64"/>
      <c r="D1275" s="64"/>
      <c r="E1275" s="64"/>
      <c r="F1275" s="64"/>
      <c r="G1275" s="64"/>
      <c r="H1275" s="64"/>
      <c r="I1275" s="64"/>
      <c r="J1275" s="64"/>
      <c r="K1275" s="64"/>
      <c r="L1275" s="64"/>
      <c r="M1275" s="64"/>
      <c r="N1275" s="64"/>
      <c r="O1275" s="64"/>
      <c r="P1275" s="64"/>
      <c r="Q1275" s="64"/>
      <c r="R1275" s="64"/>
    </row>
    <row r="1276" spans="1:18" x14ac:dyDescent="0.25">
      <c r="A1276" s="63"/>
      <c r="B1276" s="64"/>
      <c r="C1276" s="64"/>
      <c r="D1276" s="64"/>
      <c r="E1276" s="64"/>
      <c r="F1276" s="64"/>
      <c r="G1276" s="64"/>
      <c r="H1276" s="64"/>
      <c r="I1276" s="64"/>
      <c r="J1276" s="64"/>
      <c r="K1276" s="64"/>
      <c r="L1276" s="64"/>
      <c r="M1276" s="64"/>
      <c r="N1276" s="64"/>
      <c r="O1276" s="64"/>
      <c r="P1276" s="64"/>
      <c r="Q1276" s="64"/>
      <c r="R1276" s="64"/>
    </row>
    <row r="1277" spans="1:18" x14ac:dyDescent="0.25">
      <c r="A1277" s="63"/>
      <c r="B1277" s="64"/>
      <c r="C1277" s="64"/>
      <c r="D1277" s="64"/>
      <c r="E1277" s="64"/>
      <c r="F1277" s="64"/>
      <c r="G1277" s="64"/>
      <c r="H1277" s="64"/>
      <c r="I1277" s="64"/>
      <c r="J1277" s="64"/>
      <c r="K1277" s="64"/>
      <c r="L1277" s="64"/>
      <c r="M1277" s="64"/>
      <c r="N1277" s="64"/>
      <c r="O1277" s="64"/>
      <c r="P1277" s="64"/>
      <c r="Q1277" s="64"/>
      <c r="R1277" s="64"/>
    </row>
    <row r="1278" spans="1:18" x14ac:dyDescent="0.25">
      <c r="A1278" s="63"/>
      <c r="B1278" s="64"/>
      <c r="C1278" s="64"/>
      <c r="D1278" s="64"/>
      <c r="E1278" s="64"/>
      <c r="F1278" s="64"/>
      <c r="G1278" s="64"/>
      <c r="H1278" s="64"/>
      <c r="I1278" s="64"/>
      <c r="J1278" s="64"/>
      <c r="K1278" s="64"/>
      <c r="L1278" s="64"/>
      <c r="M1278" s="64"/>
      <c r="N1278" s="64"/>
      <c r="O1278" s="64"/>
      <c r="P1278" s="64"/>
      <c r="Q1278" s="64"/>
      <c r="R1278" s="64"/>
    </row>
    <row r="1279" spans="1:18" x14ac:dyDescent="0.25">
      <c r="A1279" s="63"/>
      <c r="B1279" s="64"/>
      <c r="C1279" s="64"/>
      <c r="D1279" s="64"/>
      <c r="E1279" s="64"/>
      <c r="F1279" s="64"/>
      <c r="G1279" s="64"/>
      <c r="H1279" s="64"/>
      <c r="I1279" s="64"/>
      <c r="J1279" s="64"/>
      <c r="K1279" s="64"/>
      <c r="L1279" s="64"/>
      <c r="M1279" s="64"/>
      <c r="N1279" s="64"/>
      <c r="O1279" s="64"/>
      <c r="P1279" s="64"/>
      <c r="Q1279" s="64"/>
      <c r="R1279" s="64"/>
    </row>
    <row r="1280" spans="1:18" x14ac:dyDescent="0.25">
      <c r="A1280" s="63"/>
      <c r="B1280" s="64"/>
      <c r="C1280" s="64"/>
      <c r="D1280" s="64"/>
      <c r="E1280" s="64"/>
      <c r="F1280" s="64"/>
      <c r="G1280" s="64"/>
      <c r="H1280" s="64"/>
      <c r="I1280" s="64"/>
      <c r="J1280" s="64"/>
      <c r="K1280" s="64"/>
      <c r="L1280" s="64"/>
      <c r="M1280" s="64"/>
      <c r="N1280" s="64"/>
      <c r="O1280" s="64"/>
      <c r="P1280" s="64"/>
      <c r="Q1280" s="64"/>
      <c r="R1280" s="64"/>
    </row>
    <row r="1281" spans="1:18" x14ac:dyDescent="0.25">
      <c r="A1281" s="63"/>
      <c r="B1281" s="64"/>
      <c r="C1281" s="64"/>
      <c r="D1281" s="64"/>
      <c r="E1281" s="64"/>
      <c r="F1281" s="64"/>
      <c r="G1281" s="64"/>
      <c r="H1281" s="64"/>
      <c r="I1281" s="64"/>
      <c r="J1281" s="64"/>
      <c r="K1281" s="64"/>
      <c r="L1281" s="64"/>
      <c r="M1281" s="64"/>
      <c r="N1281" s="64"/>
      <c r="O1281" s="64"/>
      <c r="P1281" s="64"/>
      <c r="Q1281" s="64"/>
      <c r="R1281" s="64"/>
    </row>
    <row r="1282" spans="1:18" x14ac:dyDescent="0.25">
      <c r="A1282" s="63"/>
      <c r="B1282" s="64"/>
      <c r="C1282" s="64"/>
      <c r="D1282" s="64"/>
      <c r="E1282" s="64"/>
      <c r="F1282" s="64"/>
      <c r="G1282" s="64"/>
      <c r="H1282" s="64"/>
      <c r="I1282" s="64"/>
      <c r="J1282" s="64"/>
      <c r="K1282" s="64"/>
      <c r="L1282" s="64"/>
      <c r="M1282" s="64"/>
      <c r="N1282" s="64"/>
      <c r="O1282" s="64"/>
      <c r="P1282" s="64"/>
      <c r="Q1282" s="64"/>
      <c r="R1282" s="64"/>
    </row>
    <row r="1283" spans="1:18" x14ac:dyDescent="0.25">
      <c r="A1283" s="63"/>
      <c r="B1283" s="64"/>
      <c r="C1283" s="64"/>
      <c r="D1283" s="64"/>
      <c r="E1283" s="64"/>
      <c r="F1283" s="64"/>
      <c r="G1283" s="64"/>
      <c r="H1283" s="64"/>
      <c r="I1283" s="64"/>
      <c r="J1283" s="64"/>
      <c r="K1283" s="64"/>
      <c r="L1283" s="64"/>
      <c r="M1283" s="64"/>
      <c r="N1283" s="64"/>
      <c r="O1283" s="64"/>
      <c r="P1283" s="64"/>
      <c r="Q1283" s="64"/>
      <c r="R1283" s="64"/>
    </row>
    <row r="1284" spans="1:18" x14ac:dyDescent="0.25">
      <c r="A1284" s="63"/>
      <c r="B1284" s="64"/>
      <c r="C1284" s="64"/>
      <c r="D1284" s="64"/>
      <c r="E1284" s="64"/>
      <c r="F1284" s="64"/>
      <c r="G1284" s="64"/>
      <c r="H1284" s="64"/>
      <c r="I1284" s="64"/>
      <c r="J1284" s="64"/>
      <c r="K1284" s="64"/>
      <c r="L1284" s="64"/>
      <c r="M1284" s="64"/>
      <c r="N1284" s="64"/>
      <c r="O1284" s="64"/>
      <c r="P1284" s="64"/>
      <c r="Q1284" s="64"/>
      <c r="R1284" s="64"/>
    </row>
    <row r="1285" spans="1:18" x14ac:dyDescent="0.25">
      <c r="A1285" s="63"/>
      <c r="B1285" s="64"/>
      <c r="C1285" s="64"/>
      <c r="D1285" s="64"/>
      <c r="E1285" s="64"/>
      <c r="F1285" s="64"/>
      <c r="G1285" s="64"/>
      <c r="H1285" s="64"/>
      <c r="I1285" s="64"/>
      <c r="J1285" s="64"/>
      <c r="K1285" s="64"/>
      <c r="L1285" s="64"/>
      <c r="M1285" s="64"/>
      <c r="N1285" s="64"/>
      <c r="O1285" s="64"/>
      <c r="P1285" s="64"/>
      <c r="Q1285" s="64"/>
      <c r="R1285" s="64"/>
    </row>
    <row r="1286" spans="1:18" x14ac:dyDescent="0.25">
      <c r="A1286" s="63"/>
      <c r="B1286" s="64"/>
      <c r="C1286" s="64"/>
      <c r="D1286" s="64"/>
      <c r="E1286" s="64"/>
      <c r="F1286" s="64"/>
      <c r="G1286" s="64"/>
      <c r="H1286" s="64"/>
      <c r="I1286" s="64"/>
      <c r="J1286" s="64"/>
      <c r="K1286" s="64"/>
      <c r="L1286" s="64"/>
      <c r="M1286" s="64"/>
      <c r="N1286" s="64"/>
      <c r="O1286" s="64"/>
      <c r="P1286" s="64"/>
      <c r="Q1286" s="64"/>
      <c r="R1286" s="64"/>
    </row>
    <row r="1287" spans="1:18" x14ac:dyDescent="0.25">
      <c r="A1287" s="63"/>
      <c r="B1287" s="64"/>
      <c r="C1287" s="64"/>
      <c r="D1287" s="64"/>
      <c r="E1287" s="64"/>
      <c r="F1287" s="64"/>
      <c r="G1287" s="64"/>
      <c r="H1287" s="64"/>
      <c r="I1287" s="64"/>
      <c r="J1287" s="64"/>
      <c r="K1287" s="64"/>
      <c r="L1287" s="64"/>
      <c r="M1287" s="64"/>
      <c r="N1287" s="64"/>
      <c r="O1287" s="64"/>
      <c r="P1287" s="64"/>
      <c r="Q1287" s="64"/>
      <c r="R1287" s="64"/>
    </row>
    <row r="1288" spans="1:18" x14ac:dyDescent="0.25">
      <c r="A1288" s="63"/>
      <c r="B1288" s="64"/>
      <c r="C1288" s="64"/>
      <c r="D1288" s="64"/>
      <c r="E1288" s="64"/>
      <c r="F1288" s="64"/>
      <c r="G1288" s="64"/>
      <c r="H1288" s="64"/>
      <c r="I1288" s="64"/>
      <c r="J1288" s="64"/>
      <c r="K1288" s="64"/>
      <c r="L1288" s="64"/>
      <c r="M1288" s="64"/>
      <c r="N1288" s="64"/>
      <c r="O1288" s="64"/>
      <c r="P1288" s="64"/>
      <c r="Q1288" s="64"/>
      <c r="R1288" s="64"/>
    </row>
    <row r="1289" spans="1:18" x14ac:dyDescent="0.25">
      <c r="A1289" s="63"/>
      <c r="B1289" s="64"/>
      <c r="C1289" s="64"/>
      <c r="D1289" s="64"/>
      <c r="E1289" s="64"/>
      <c r="F1289" s="64"/>
      <c r="G1289" s="64"/>
      <c r="H1289" s="64"/>
      <c r="I1289" s="64"/>
      <c r="J1289" s="64"/>
      <c r="K1289" s="64"/>
      <c r="L1289" s="64"/>
      <c r="M1289" s="64"/>
      <c r="N1289" s="64"/>
      <c r="O1289" s="64"/>
      <c r="P1289" s="64"/>
      <c r="Q1289" s="64"/>
      <c r="R1289" s="64"/>
    </row>
    <row r="1290" spans="1:18" x14ac:dyDescent="0.25">
      <c r="A1290" s="63"/>
      <c r="B1290" s="64"/>
      <c r="C1290" s="64"/>
      <c r="D1290" s="64"/>
      <c r="E1290" s="64"/>
      <c r="F1290" s="64"/>
      <c r="G1290" s="64"/>
      <c r="H1290" s="64"/>
      <c r="I1290" s="64"/>
      <c r="J1290" s="64"/>
      <c r="K1290" s="64"/>
      <c r="L1290" s="64"/>
      <c r="M1290" s="64"/>
      <c r="N1290" s="64"/>
      <c r="O1290" s="64"/>
      <c r="P1290" s="64"/>
      <c r="Q1290" s="64"/>
      <c r="R1290" s="64"/>
    </row>
    <row r="1291" spans="1:18" x14ac:dyDescent="0.25">
      <c r="A1291" s="63"/>
      <c r="B1291" s="64"/>
      <c r="C1291" s="64"/>
      <c r="D1291" s="64"/>
      <c r="E1291" s="64"/>
      <c r="F1291" s="64"/>
      <c r="G1291" s="64"/>
      <c r="H1291" s="64"/>
      <c r="I1291" s="64"/>
      <c r="J1291" s="64"/>
      <c r="K1291" s="64"/>
      <c r="L1291" s="64"/>
      <c r="M1291" s="64"/>
      <c r="N1291" s="64"/>
      <c r="O1291" s="64"/>
      <c r="P1291" s="64"/>
      <c r="Q1291" s="64"/>
      <c r="R1291" s="64"/>
    </row>
    <row r="1292" spans="1:18" x14ac:dyDescent="0.25">
      <c r="A1292" s="63"/>
      <c r="B1292" s="64"/>
      <c r="C1292" s="64"/>
      <c r="D1292" s="64"/>
      <c r="E1292" s="64"/>
      <c r="F1292" s="64"/>
      <c r="G1292" s="64"/>
      <c r="H1292" s="64"/>
      <c r="I1292" s="64"/>
      <c r="J1292" s="64"/>
      <c r="K1292" s="64"/>
      <c r="L1292" s="64"/>
      <c r="M1292" s="64"/>
      <c r="N1292" s="64"/>
      <c r="O1292" s="64"/>
      <c r="P1292" s="64"/>
      <c r="Q1292" s="64"/>
      <c r="R1292" s="64"/>
    </row>
    <row r="1293" spans="1:18" x14ac:dyDescent="0.25">
      <c r="A1293" s="63"/>
      <c r="B1293" s="64"/>
      <c r="C1293" s="64"/>
      <c r="D1293" s="64"/>
      <c r="E1293" s="64"/>
      <c r="F1293" s="64"/>
      <c r="G1293" s="64"/>
      <c r="H1293" s="64"/>
      <c r="I1293" s="64"/>
      <c r="J1293" s="64"/>
      <c r="K1293" s="64"/>
      <c r="L1293" s="64"/>
      <c r="M1293" s="64"/>
      <c r="N1293" s="64"/>
      <c r="O1293" s="64"/>
      <c r="P1293" s="64"/>
      <c r="Q1293" s="64"/>
      <c r="R1293" s="64"/>
    </row>
    <row r="1294" spans="1:18" x14ac:dyDescent="0.25">
      <c r="A1294" s="63"/>
      <c r="B1294" s="64"/>
      <c r="C1294" s="64"/>
      <c r="D1294" s="64"/>
      <c r="E1294" s="64"/>
      <c r="F1294" s="64"/>
      <c r="G1294" s="64"/>
      <c r="H1294" s="64"/>
      <c r="I1294" s="64"/>
      <c r="J1294" s="64"/>
      <c r="K1294" s="64"/>
      <c r="L1294" s="64"/>
      <c r="M1294" s="64"/>
      <c r="N1294" s="64"/>
      <c r="O1294" s="64"/>
      <c r="P1294" s="64"/>
      <c r="Q1294" s="64"/>
      <c r="R1294" s="64"/>
    </row>
    <row r="1295" spans="1:18" x14ac:dyDescent="0.25">
      <c r="A1295" s="63"/>
      <c r="B1295" s="64"/>
      <c r="C1295" s="64"/>
      <c r="D1295" s="64"/>
      <c r="E1295" s="64"/>
      <c r="F1295" s="64"/>
      <c r="G1295" s="64"/>
      <c r="H1295" s="64"/>
      <c r="I1295" s="64"/>
      <c r="J1295" s="64"/>
      <c r="K1295" s="64"/>
      <c r="L1295" s="64"/>
      <c r="M1295" s="64"/>
      <c r="N1295" s="64"/>
      <c r="O1295" s="64"/>
      <c r="P1295" s="64"/>
      <c r="Q1295" s="64"/>
      <c r="R1295" s="64"/>
    </row>
    <row r="1296" spans="1:18" x14ac:dyDescent="0.25">
      <c r="A1296" s="63"/>
      <c r="B1296" s="64"/>
      <c r="C1296" s="64"/>
      <c r="D1296" s="64"/>
      <c r="E1296" s="64"/>
      <c r="F1296" s="64"/>
      <c r="G1296" s="64"/>
      <c r="H1296" s="64"/>
      <c r="I1296" s="64"/>
      <c r="J1296" s="64"/>
      <c r="K1296" s="64"/>
      <c r="L1296" s="64"/>
      <c r="M1296" s="64"/>
      <c r="N1296" s="64"/>
      <c r="O1296" s="64"/>
      <c r="P1296" s="64"/>
      <c r="Q1296" s="64"/>
      <c r="R1296" s="64"/>
    </row>
    <row r="1297" spans="1:18" x14ac:dyDescent="0.25">
      <c r="A1297" s="63"/>
      <c r="B1297" s="64"/>
      <c r="C1297" s="64"/>
      <c r="D1297" s="64"/>
      <c r="E1297" s="64"/>
      <c r="F1297" s="64"/>
      <c r="G1297" s="64"/>
      <c r="H1297" s="64"/>
      <c r="I1297" s="64"/>
      <c r="J1297" s="64"/>
      <c r="K1297" s="64"/>
      <c r="L1297" s="64"/>
      <c r="M1297" s="64"/>
      <c r="N1297" s="64"/>
      <c r="O1297" s="64"/>
      <c r="P1297" s="64"/>
      <c r="Q1297" s="64"/>
      <c r="R1297" s="64"/>
    </row>
    <row r="1298" spans="1:18" x14ac:dyDescent="0.25">
      <c r="A1298" s="63"/>
      <c r="B1298" s="64"/>
      <c r="C1298" s="64"/>
      <c r="D1298" s="64"/>
      <c r="E1298" s="64"/>
      <c r="F1298" s="64"/>
      <c r="G1298" s="64"/>
      <c r="H1298" s="64"/>
      <c r="I1298" s="64"/>
      <c r="J1298" s="64"/>
      <c r="K1298" s="64"/>
      <c r="L1298" s="64"/>
      <c r="M1298" s="64"/>
      <c r="N1298" s="64"/>
      <c r="O1298" s="64"/>
      <c r="P1298" s="64"/>
      <c r="Q1298" s="64"/>
      <c r="R1298" s="64"/>
    </row>
    <row r="1299" spans="1:18" x14ac:dyDescent="0.25">
      <c r="A1299" s="63"/>
      <c r="B1299" s="64"/>
      <c r="C1299" s="64"/>
      <c r="D1299" s="64"/>
      <c r="E1299" s="64"/>
      <c r="F1299" s="64"/>
      <c r="G1299" s="64"/>
      <c r="H1299" s="64"/>
      <c r="I1299" s="64"/>
      <c r="J1299" s="64"/>
      <c r="K1299" s="64"/>
      <c r="L1299" s="64"/>
      <c r="M1299" s="64"/>
      <c r="N1299" s="64"/>
      <c r="O1299" s="64"/>
      <c r="P1299" s="64"/>
      <c r="Q1299" s="64"/>
      <c r="R1299" s="64"/>
    </row>
    <row r="1300" spans="1:18" x14ac:dyDescent="0.25">
      <c r="A1300" s="63"/>
      <c r="B1300" s="64"/>
      <c r="C1300" s="64"/>
      <c r="D1300" s="64"/>
      <c r="E1300" s="64"/>
      <c r="F1300" s="64"/>
      <c r="G1300" s="64"/>
      <c r="H1300" s="64"/>
      <c r="I1300" s="64"/>
      <c r="J1300" s="64"/>
      <c r="K1300" s="64"/>
      <c r="L1300" s="64"/>
      <c r="M1300" s="64"/>
      <c r="N1300" s="64"/>
      <c r="O1300" s="64"/>
      <c r="P1300" s="64"/>
      <c r="Q1300" s="64"/>
      <c r="R1300" s="64"/>
    </row>
    <row r="1301" spans="1:18" x14ac:dyDescent="0.25">
      <c r="A1301" s="63"/>
      <c r="B1301" s="64"/>
      <c r="C1301" s="64"/>
      <c r="D1301" s="64"/>
      <c r="E1301" s="64"/>
      <c r="F1301" s="64"/>
      <c r="G1301" s="64"/>
      <c r="H1301" s="64"/>
      <c r="I1301" s="64"/>
      <c r="J1301" s="64"/>
      <c r="K1301" s="64"/>
      <c r="L1301" s="64"/>
      <c r="M1301" s="64"/>
      <c r="N1301" s="64"/>
      <c r="O1301" s="64"/>
      <c r="P1301" s="64"/>
      <c r="Q1301" s="64"/>
      <c r="R1301" s="64"/>
    </row>
    <row r="1302" spans="1:18" x14ac:dyDescent="0.25">
      <c r="A1302" s="63"/>
      <c r="B1302" s="64"/>
      <c r="C1302" s="64"/>
      <c r="D1302" s="64"/>
      <c r="E1302" s="64"/>
      <c r="F1302" s="64"/>
      <c r="G1302" s="64"/>
      <c r="H1302" s="64"/>
      <c r="I1302" s="64"/>
      <c r="J1302" s="64"/>
      <c r="K1302" s="64"/>
      <c r="L1302" s="64"/>
      <c r="M1302" s="64"/>
      <c r="N1302" s="64"/>
      <c r="O1302" s="64"/>
      <c r="P1302" s="64"/>
      <c r="Q1302" s="64"/>
      <c r="R1302" s="64"/>
    </row>
    <row r="1303" spans="1:18" x14ac:dyDescent="0.25">
      <c r="A1303" s="63"/>
      <c r="B1303" s="64"/>
      <c r="C1303" s="64"/>
      <c r="D1303" s="64"/>
      <c r="E1303" s="64"/>
      <c r="F1303" s="64"/>
      <c r="G1303" s="64"/>
      <c r="H1303" s="64"/>
      <c r="I1303" s="64"/>
      <c r="J1303" s="64"/>
      <c r="K1303" s="64"/>
      <c r="L1303" s="64"/>
      <c r="M1303" s="64"/>
      <c r="N1303" s="64"/>
      <c r="O1303" s="64"/>
      <c r="P1303" s="64"/>
      <c r="Q1303" s="64"/>
      <c r="R1303" s="64"/>
    </row>
    <row r="1304" spans="1:18" x14ac:dyDescent="0.25">
      <c r="A1304" s="63"/>
      <c r="B1304" s="64"/>
      <c r="C1304" s="64"/>
      <c r="D1304" s="64"/>
      <c r="E1304" s="64"/>
      <c r="F1304" s="64"/>
      <c r="G1304" s="64"/>
      <c r="H1304" s="64"/>
      <c r="I1304" s="64"/>
      <c r="J1304" s="64"/>
      <c r="K1304" s="64"/>
      <c r="L1304" s="64"/>
      <c r="M1304" s="64"/>
      <c r="N1304" s="64"/>
      <c r="O1304" s="64"/>
      <c r="P1304" s="64"/>
      <c r="Q1304" s="64"/>
      <c r="R1304" s="64"/>
    </row>
    <row r="1305" spans="1:18" x14ac:dyDescent="0.25">
      <c r="A1305" s="63"/>
      <c r="B1305" s="64"/>
      <c r="C1305" s="64"/>
      <c r="D1305" s="64"/>
      <c r="E1305" s="64"/>
      <c r="F1305" s="64"/>
      <c r="G1305" s="64"/>
      <c r="H1305" s="64"/>
      <c r="I1305" s="64"/>
      <c r="J1305" s="64"/>
      <c r="K1305" s="64"/>
      <c r="L1305" s="64"/>
      <c r="M1305" s="64"/>
      <c r="N1305" s="64"/>
      <c r="O1305" s="64"/>
      <c r="P1305" s="64"/>
      <c r="Q1305" s="64"/>
      <c r="R1305" s="64"/>
    </row>
    <row r="1306" spans="1:18" x14ac:dyDescent="0.25">
      <c r="A1306" s="63"/>
      <c r="B1306" s="64"/>
      <c r="C1306" s="64"/>
      <c r="D1306" s="64"/>
      <c r="E1306" s="64"/>
      <c r="F1306" s="64"/>
      <c r="G1306" s="64"/>
      <c r="H1306" s="64"/>
      <c r="I1306" s="64"/>
      <c r="J1306" s="64"/>
      <c r="K1306" s="64"/>
      <c r="L1306" s="64"/>
      <c r="M1306" s="64"/>
      <c r="N1306" s="64"/>
      <c r="O1306" s="64"/>
      <c r="P1306" s="64"/>
      <c r="Q1306" s="64"/>
      <c r="R1306" s="64"/>
    </row>
    <row r="1307" spans="1:18" x14ac:dyDescent="0.25">
      <c r="A1307" s="63"/>
      <c r="B1307" s="64"/>
      <c r="C1307" s="64"/>
      <c r="D1307" s="64"/>
      <c r="E1307" s="64"/>
      <c r="F1307" s="64"/>
      <c r="G1307" s="64"/>
      <c r="H1307" s="64"/>
      <c r="I1307" s="64"/>
      <c r="J1307" s="64"/>
      <c r="K1307" s="64"/>
      <c r="L1307" s="64"/>
      <c r="M1307" s="64"/>
      <c r="N1307" s="64"/>
      <c r="O1307" s="64"/>
      <c r="P1307" s="64"/>
      <c r="Q1307" s="64"/>
      <c r="R1307" s="64"/>
    </row>
    <row r="1308" spans="1:18" x14ac:dyDescent="0.25">
      <c r="A1308" s="63"/>
      <c r="B1308" s="64"/>
      <c r="C1308" s="64"/>
      <c r="D1308" s="64"/>
      <c r="E1308" s="64"/>
      <c r="F1308" s="64"/>
      <c r="G1308" s="64"/>
      <c r="H1308" s="64"/>
      <c r="I1308" s="64"/>
      <c r="J1308" s="64"/>
      <c r="K1308" s="64"/>
      <c r="L1308" s="64"/>
      <c r="M1308" s="64"/>
      <c r="N1308" s="64"/>
      <c r="O1308" s="64"/>
      <c r="P1308" s="64"/>
      <c r="Q1308" s="64"/>
      <c r="R1308" s="64"/>
    </row>
    <row r="1309" spans="1:18" x14ac:dyDescent="0.25">
      <c r="A1309" s="63"/>
      <c r="B1309" s="64"/>
      <c r="C1309" s="64"/>
      <c r="D1309" s="64"/>
      <c r="E1309" s="64"/>
      <c r="F1309" s="64"/>
      <c r="G1309" s="64"/>
      <c r="H1309" s="64"/>
      <c r="I1309" s="64"/>
      <c r="J1309" s="64"/>
      <c r="K1309" s="64"/>
      <c r="L1309" s="64"/>
      <c r="M1309" s="64"/>
      <c r="N1309" s="64"/>
      <c r="O1309" s="64"/>
      <c r="P1309" s="64"/>
      <c r="Q1309" s="64"/>
      <c r="R1309" s="64"/>
    </row>
    <row r="1310" spans="1:18" x14ac:dyDescent="0.25">
      <c r="A1310" s="63"/>
      <c r="B1310" s="64"/>
      <c r="C1310" s="64"/>
      <c r="D1310" s="64"/>
      <c r="E1310" s="64"/>
      <c r="F1310" s="64"/>
      <c r="G1310" s="64"/>
      <c r="H1310" s="64"/>
      <c r="I1310" s="64"/>
      <c r="J1310" s="64"/>
      <c r="K1310" s="64"/>
      <c r="L1310" s="64"/>
      <c r="M1310" s="64"/>
      <c r="N1310" s="64"/>
      <c r="O1310" s="64"/>
      <c r="P1310" s="64"/>
      <c r="Q1310" s="64"/>
      <c r="R1310" s="64"/>
    </row>
    <row r="1311" spans="1:18" x14ac:dyDescent="0.25">
      <c r="A1311" s="63"/>
      <c r="B1311" s="64"/>
      <c r="C1311" s="64"/>
      <c r="D1311" s="64"/>
      <c r="E1311" s="64"/>
      <c r="F1311" s="64"/>
      <c r="G1311" s="64"/>
      <c r="H1311" s="64"/>
      <c r="I1311" s="64"/>
      <c r="J1311" s="64"/>
      <c r="K1311" s="64"/>
      <c r="L1311" s="64"/>
      <c r="M1311" s="64"/>
      <c r="N1311" s="64"/>
      <c r="O1311" s="64"/>
      <c r="P1311" s="64"/>
      <c r="Q1311" s="64"/>
      <c r="R1311" s="64"/>
    </row>
    <row r="1312" spans="1:18" x14ac:dyDescent="0.25">
      <c r="A1312" s="63"/>
      <c r="B1312" s="64"/>
      <c r="C1312" s="64"/>
      <c r="D1312" s="64"/>
      <c r="E1312" s="64"/>
      <c r="F1312" s="64"/>
      <c r="G1312" s="64"/>
      <c r="H1312" s="64"/>
      <c r="I1312" s="64"/>
      <c r="J1312" s="64"/>
      <c r="K1312" s="64"/>
      <c r="L1312" s="64"/>
      <c r="M1312" s="64"/>
      <c r="N1312" s="64"/>
      <c r="O1312" s="64"/>
      <c r="P1312" s="64"/>
      <c r="Q1312" s="64"/>
      <c r="R1312" s="64"/>
    </row>
    <row r="1313" spans="1:18" x14ac:dyDescent="0.25">
      <c r="A1313" s="63"/>
      <c r="B1313" s="64"/>
      <c r="C1313" s="64"/>
      <c r="D1313" s="64"/>
      <c r="E1313" s="64"/>
      <c r="F1313" s="64"/>
      <c r="G1313" s="64"/>
      <c r="H1313" s="64"/>
      <c r="I1313" s="64"/>
      <c r="J1313" s="64"/>
      <c r="K1313" s="64"/>
      <c r="L1313" s="64"/>
      <c r="M1313" s="64"/>
      <c r="N1313" s="64"/>
      <c r="O1313" s="64"/>
      <c r="P1313" s="64"/>
      <c r="Q1313" s="64"/>
      <c r="R1313" s="64"/>
    </row>
    <row r="1314" spans="1:18" x14ac:dyDescent="0.25">
      <c r="A1314" s="63"/>
      <c r="B1314" s="64"/>
      <c r="C1314" s="64"/>
      <c r="D1314" s="64"/>
      <c r="E1314" s="64"/>
      <c r="F1314" s="64"/>
      <c r="G1314" s="64"/>
      <c r="H1314" s="64"/>
      <c r="I1314" s="64"/>
      <c r="J1314" s="64"/>
      <c r="K1314" s="64"/>
      <c r="L1314" s="64"/>
      <c r="M1314" s="64"/>
      <c r="N1314" s="64"/>
      <c r="O1314" s="64"/>
      <c r="P1314" s="64"/>
      <c r="Q1314" s="64"/>
      <c r="R1314" s="64"/>
    </row>
    <row r="1315" spans="1:18" x14ac:dyDescent="0.25">
      <c r="A1315" s="63"/>
      <c r="B1315" s="64"/>
      <c r="C1315" s="64"/>
      <c r="D1315" s="64"/>
      <c r="E1315" s="64"/>
      <c r="F1315" s="64"/>
      <c r="G1315" s="64"/>
      <c r="H1315" s="64"/>
      <c r="I1315" s="64"/>
      <c r="J1315" s="64"/>
      <c r="K1315" s="64"/>
      <c r="L1315" s="64"/>
      <c r="M1315" s="64"/>
      <c r="N1315" s="64"/>
      <c r="O1315" s="64"/>
      <c r="P1315" s="64"/>
      <c r="Q1315" s="64"/>
      <c r="R1315" s="64"/>
    </row>
    <row r="1316" spans="1:18" x14ac:dyDescent="0.25">
      <c r="A1316" s="63"/>
      <c r="B1316" s="64"/>
      <c r="C1316" s="64"/>
      <c r="D1316" s="64"/>
      <c r="E1316" s="64"/>
      <c r="F1316" s="64"/>
      <c r="G1316" s="64"/>
      <c r="H1316" s="64"/>
      <c r="I1316" s="64"/>
      <c r="J1316" s="64"/>
      <c r="K1316" s="64"/>
      <c r="L1316" s="64"/>
      <c r="M1316" s="64"/>
      <c r="N1316" s="64"/>
      <c r="O1316" s="64"/>
      <c r="P1316" s="64"/>
      <c r="Q1316" s="64"/>
      <c r="R1316" s="64"/>
    </row>
    <row r="1317" spans="1:18" x14ac:dyDescent="0.25">
      <c r="A1317" s="63"/>
      <c r="B1317" s="64"/>
      <c r="C1317" s="64"/>
      <c r="D1317" s="64"/>
      <c r="E1317" s="64"/>
      <c r="F1317" s="64"/>
      <c r="G1317" s="64"/>
      <c r="H1317" s="64"/>
      <c r="I1317" s="64"/>
      <c r="J1317" s="64"/>
      <c r="K1317" s="64"/>
      <c r="L1317" s="64"/>
      <c r="M1317" s="64"/>
      <c r="N1317" s="64"/>
      <c r="O1317" s="64"/>
      <c r="P1317" s="64"/>
      <c r="Q1317" s="64"/>
      <c r="R1317" s="64"/>
    </row>
    <row r="1318" spans="1:18" x14ac:dyDescent="0.25">
      <c r="A1318" s="63"/>
      <c r="B1318" s="64"/>
      <c r="C1318" s="64"/>
      <c r="D1318" s="64"/>
      <c r="E1318" s="64"/>
      <c r="F1318" s="64"/>
      <c r="G1318" s="64"/>
      <c r="H1318" s="64"/>
      <c r="I1318" s="64"/>
      <c r="J1318" s="64"/>
      <c r="K1318" s="64"/>
      <c r="L1318" s="64"/>
      <c r="M1318" s="64"/>
      <c r="N1318" s="64"/>
      <c r="O1318" s="64"/>
      <c r="P1318" s="64"/>
      <c r="Q1318" s="64"/>
      <c r="R1318" s="64"/>
    </row>
    <row r="1319" spans="1:18" x14ac:dyDescent="0.25">
      <c r="A1319" s="63"/>
      <c r="B1319" s="64"/>
      <c r="C1319" s="64"/>
      <c r="D1319" s="64"/>
      <c r="E1319" s="64"/>
      <c r="F1319" s="64"/>
      <c r="G1319" s="64"/>
      <c r="H1319" s="64"/>
      <c r="I1319" s="64"/>
      <c r="J1319" s="64"/>
      <c r="K1319" s="64"/>
      <c r="L1319" s="64"/>
      <c r="M1319" s="64"/>
      <c r="N1319" s="64"/>
      <c r="O1319" s="64"/>
      <c r="P1319" s="64"/>
      <c r="Q1319" s="64"/>
      <c r="R1319" s="64"/>
    </row>
    <row r="1320" spans="1:18" x14ac:dyDescent="0.25">
      <c r="A1320" s="63"/>
      <c r="B1320" s="64"/>
      <c r="C1320" s="64"/>
      <c r="D1320" s="64"/>
      <c r="E1320" s="64"/>
      <c r="F1320" s="64"/>
      <c r="G1320" s="64"/>
      <c r="H1320" s="64"/>
      <c r="I1320" s="64"/>
      <c r="J1320" s="64"/>
      <c r="K1320" s="64"/>
      <c r="L1320" s="64"/>
      <c r="M1320" s="64"/>
      <c r="N1320" s="64"/>
      <c r="O1320" s="64"/>
      <c r="P1320" s="64"/>
      <c r="Q1320" s="64"/>
      <c r="R1320" s="64"/>
    </row>
    <row r="1321" spans="1:18" x14ac:dyDescent="0.25">
      <c r="A1321" s="63"/>
      <c r="B1321" s="64"/>
      <c r="C1321" s="64"/>
      <c r="D1321" s="64"/>
      <c r="E1321" s="64"/>
      <c r="F1321" s="64"/>
      <c r="G1321" s="64"/>
      <c r="H1321" s="64"/>
      <c r="I1321" s="64"/>
      <c r="J1321" s="64"/>
      <c r="K1321" s="64"/>
      <c r="L1321" s="64"/>
      <c r="M1321" s="64"/>
      <c r="N1321" s="64"/>
      <c r="O1321" s="64"/>
      <c r="P1321" s="64"/>
      <c r="Q1321" s="64"/>
      <c r="R1321" s="64"/>
    </row>
    <row r="1322" spans="1:18" x14ac:dyDescent="0.25">
      <c r="A1322" s="63"/>
      <c r="B1322" s="64"/>
      <c r="C1322" s="64"/>
      <c r="D1322" s="64"/>
      <c r="E1322" s="64"/>
      <c r="F1322" s="64"/>
      <c r="G1322" s="64"/>
      <c r="H1322" s="64"/>
      <c r="I1322" s="64"/>
      <c r="J1322" s="64"/>
      <c r="K1322" s="64"/>
      <c r="L1322" s="64"/>
      <c r="M1322" s="64"/>
      <c r="N1322" s="64"/>
      <c r="O1322" s="64"/>
      <c r="P1322" s="64"/>
      <c r="Q1322" s="64"/>
      <c r="R1322" s="64"/>
    </row>
    <row r="1323" spans="1:18" x14ac:dyDescent="0.25">
      <c r="A1323" s="63"/>
      <c r="B1323" s="64"/>
      <c r="C1323" s="64"/>
      <c r="D1323" s="64"/>
      <c r="E1323" s="64"/>
      <c r="F1323" s="64"/>
      <c r="G1323" s="64"/>
      <c r="H1323" s="64"/>
      <c r="I1323" s="64"/>
      <c r="J1323" s="64"/>
      <c r="K1323" s="64"/>
      <c r="L1323" s="64"/>
      <c r="M1323" s="64"/>
      <c r="N1323" s="64"/>
      <c r="O1323" s="64"/>
      <c r="P1323" s="64"/>
      <c r="Q1323" s="64"/>
      <c r="R1323" s="64"/>
    </row>
    <row r="1324" spans="1:18" x14ac:dyDescent="0.25">
      <c r="A1324" s="63"/>
      <c r="B1324" s="64"/>
      <c r="C1324" s="64"/>
      <c r="D1324" s="64"/>
      <c r="E1324" s="64"/>
      <c r="F1324" s="64"/>
      <c r="G1324" s="64"/>
      <c r="H1324" s="64"/>
      <c r="I1324" s="64"/>
      <c r="J1324" s="64"/>
      <c r="K1324" s="64"/>
      <c r="L1324" s="64"/>
      <c r="M1324" s="64"/>
      <c r="N1324" s="64"/>
      <c r="O1324" s="64"/>
      <c r="P1324" s="64"/>
      <c r="Q1324" s="64"/>
      <c r="R1324" s="64"/>
    </row>
    <row r="1325" spans="1:18" x14ac:dyDescent="0.25">
      <c r="A1325" s="63"/>
      <c r="B1325" s="64"/>
      <c r="C1325" s="64"/>
      <c r="D1325" s="64"/>
      <c r="E1325" s="64"/>
      <c r="F1325" s="64"/>
      <c r="G1325" s="64"/>
      <c r="H1325" s="64"/>
      <c r="I1325" s="64"/>
      <c r="J1325" s="64"/>
      <c r="K1325" s="64"/>
      <c r="L1325" s="64"/>
      <c r="M1325" s="64"/>
      <c r="N1325" s="64"/>
      <c r="O1325" s="64"/>
      <c r="P1325" s="64"/>
      <c r="Q1325" s="64"/>
      <c r="R1325" s="64"/>
    </row>
    <row r="1326" spans="1:18" x14ac:dyDescent="0.25">
      <c r="A1326" s="63"/>
      <c r="B1326" s="64"/>
      <c r="C1326" s="64"/>
      <c r="D1326" s="64"/>
      <c r="E1326" s="64"/>
      <c r="F1326" s="64"/>
      <c r="G1326" s="64"/>
      <c r="H1326" s="64"/>
      <c r="I1326" s="64"/>
      <c r="J1326" s="64"/>
      <c r="K1326" s="64"/>
      <c r="L1326" s="64"/>
      <c r="M1326" s="64"/>
      <c r="N1326" s="64"/>
      <c r="O1326" s="64"/>
      <c r="P1326" s="64"/>
      <c r="Q1326" s="64"/>
      <c r="R1326" s="64"/>
    </row>
    <row r="1327" spans="1:18" x14ac:dyDescent="0.25">
      <c r="A1327" s="63"/>
      <c r="B1327" s="64"/>
      <c r="C1327" s="64"/>
      <c r="D1327" s="64"/>
      <c r="E1327" s="64"/>
      <c r="F1327" s="64"/>
      <c r="G1327" s="64"/>
      <c r="H1327" s="64"/>
      <c r="I1327" s="64"/>
      <c r="J1327" s="64"/>
      <c r="K1327" s="64"/>
      <c r="L1327" s="64"/>
      <c r="M1327" s="64"/>
      <c r="N1327" s="64"/>
      <c r="O1327" s="64"/>
      <c r="P1327" s="64"/>
      <c r="Q1327" s="64"/>
      <c r="R1327" s="64"/>
    </row>
    <row r="1328" spans="1:18" x14ac:dyDescent="0.25">
      <c r="A1328" s="63"/>
      <c r="B1328" s="64"/>
      <c r="C1328" s="64"/>
      <c r="D1328" s="64"/>
      <c r="E1328" s="64"/>
      <c r="F1328" s="64"/>
      <c r="G1328" s="64"/>
      <c r="H1328" s="64"/>
      <c r="I1328" s="64"/>
      <c r="J1328" s="64"/>
      <c r="K1328" s="64"/>
      <c r="L1328" s="64"/>
      <c r="M1328" s="64"/>
      <c r="N1328" s="64"/>
      <c r="O1328" s="64"/>
      <c r="P1328" s="64"/>
      <c r="Q1328" s="64"/>
      <c r="R1328" s="64"/>
    </row>
    <row r="1329" spans="1:18" x14ac:dyDescent="0.25">
      <c r="A1329" s="63"/>
      <c r="B1329" s="64"/>
      <c r="C1329" s="64"/>
      <c r="D1329" s="64"/>
      <c r="E1329" s="64"/>
      <c r="F1329" s="64"/>
      <c r="G1329" s="64"/>
      <c r="H1329" s="64"/>
      <c r="I1329" s="64"/>
      <c r="J1329" s="64"/>
      <c r="K1329" s="64"/>
      <c r="L1329" s="64"/>
      <c r="M1329" s="64"/>
      <c r="N1329" s="64"/>
      <c r="O1329" s="64"/>
      <c r="P1329" s="64"/>
      <c r="Q1329" s="64"/>
      <c r="R1329" s="64"/>
    </row>
    <row r="1330" spans="1:18" x14ac:dyDescent="0.25">
      <c r="A1330" s="63"/>
      <c r="B1330" s="64"/>
      <c r="C1330" s="64"/>
      <c r="D1330" s="64"/>
      <c r="E1330" s="64"/>
      <c r="F1330" s="64"/>
      <c r="G1330" s="64"/>
      <c r="H1330" s="64"/>
      <c r="I1330" s="64"/>
      <c r="J1330" s="64"/>
      <c r="K1330" s="64"/>
      <c r="L1330" s="64"/>
      <c r="M1330" s="64"/>
      <c r="N1330" s="64"/>
      <c r="O1330" s="64"/>
      <c r="P1330" s="64"/>
      <c r="Q1330" s="64"/>
      <c r="R1330" s="64"/>
    </row>
    <row r="1331" spans="1:18" x14ac:dyDescent="0.25">
      <c r="A1331" s="63"/>
      <c r="B1331" s="64"/>
      <c r="C1331" s="64"/>
      <c r="D1331" s="64"/>
      <c r="E1331" s="64"/>
      <c r="F1331" s="64"/>
      <c r="G1331" s="64"/>
      <c r="H1331" s="64"/>
      <c r="I1331" s="64"/>
      <c r="J1331" s="64"/>
      <c r="K1331" s="64"/>
      <c r="L1331" s="64"/>
      <c r="M1331" s="64"/>
      <c r="N1331" s="64"/>
      <c r="O1331" s="64"/>
      <c r="P1331" s="64"/>
      <c r="Q1331" s="64"/>
      <c r="R1331" s="64"/>
    </row>
    <row r="1332" spans="1:18" x14ac:dyDescent="0.25">
      <c r="A1332" s="63"/>
      <c r="B1332" s="64"/>
      <c r="C1332" s="64"/>
      <c r="D1332" s="64"/>
      <c r="E1332" s="64"/>
      <c r="F1332" s="64"/>
      <c r="G1332" s="64"/>
      <c r="H1332" s="64"/>
      <c r="I1332" s="64"/>
      <c r="J1332" s="64"/>
      <c r="K1332" s="64"/>
      <c r="L1332" s="64"/>
      <c r="M1332" s="64"/>
      <c r="N1332" s="64"/>
      <c r="O1332" s="64"/>
      <c r="P1332" s="64"/>
      <c r="Q1332" s="64"/>
      <c r="R1332" s="64"/>
    </row>
    <row r="1333" spans="1:18" x14ac:dyDescent="0.25">
      <c r="A1333" s="63"/>
      <c r="B1333" s="64"/>
      <c r="C1333" s="64"/>
      <c r="D1333" s="64"/>
      <c r="E1333" s="64"/>
      <c r="F1333" s="64"/>
      <c r="G1333" s="64"/>
      <c r="H1333" s="64"/>
      <c r="I1333" s="64"/>
      <c r="J1333" s="64"/>
      <c r="K1333" s="64"/>
      <c r="L1333" s="64"/>
      <c r="M1333" s="64"/>
      <c r="N1333" s="64"/>
      <c r="O1333" s="64"/>
      <c r="P1333" s="64"/>
      <c r="Q1333" s="64"/>
      <c r="R1333" s="64"/>
    </row>
    <row r="1334" spans="1:18" x14ac:dyDescent="0.25">
      <c r="A1334" s="63"/>
      <c r="B1334" s="64"/>
      <c r="C1334" s="64"/>
      <c r="D1334" s="64"/>
      <c r="E1334" s="64"/>
      <c r="F1334" s="64"/>
      <c r="G1334" s="64"/>
      <c r="H1334" s="64"/>
      <c r="I1334" s="64"/>
      <c r="J1334" s="64"/>
      <c r="K1334" s="64"/>
      <c r="L1334" s="64"/>
      <c r="M1334" s="64"/>
      <c r="N1334" s="64"/>
      <c r="O1334" s="64"/>
      <c r="P1334" s="64"/>
      <c r="Q1334" s="64"/>
      <c r="R1334" s="64"/>
    </row>
    <row r="1335" spans="1:18" x14ac:dyDescent="0.25">
      <c r="A1335" s="63"/>
      <c r="B1335" s="64"/>
      <c r="C1335" s="64"/>
      <c r="D1335" s="64"/>
      <c r="E1335" s="64"/>
      <c r="F1335" s="64"/>
      <c r="G1335" s="64"/>
      <c r="H1335" s="64"/>
      <c r="I1335" s="64"/>
      <c r="J1335" s="64"/>
      <c r="K1335" s="64"/>
      <c r="L1335" s="64"/>
      <c r="M1335" s="64"/>
      <c r="N1335" s="64"/>
      <c r="O1335" s="64"/>
      <c r="P1335" s="64"/>
      <c r="Q1335" s="64"/>
      <c r="R1335" s="64"/>
    </row>
    <row r="1336" spans="1:18" x14ac:dyDescent="0.25">
      <c r="A1336" s="63"/>
      <c r="B1336" s="64"/>
      <c r="C1336" s="64"/>
      <c r="D1336" s="64"/>
      <c r="E1336" s="64"/>
      <c r="F1336" s="64"/>
      <c r="G1336" s="64"/>
      <c r="H1336" s="64"/>
      <c r="I1336" s="64"/>
      <c r="J1336" s="64"/>
      <c r="K1336" s="64"/>
      <c r="L1336" s="64"/>
      <c r="M1336" s="64"/>
      <c r="N1336" s="64"/>
      <c r="O1336" s="64"/>
      <c r="P1336" s="64"/>
      <c r="Q1336" s="64"/>
      <c r="R1336" s="64"/>
    </row>
    <row r="1337" spans="1:18" x14ac:dyDescent="0.25">
      <c r="A1337" s="63"/>
      <c r="B1337" s="64"/>
      <c r="C1337" s="64"/>
      <c r="D1337" s="64"/>
      <c r="E1337" s="64"/>
      <c r="F1337" s="64"/>
      <c r="G1337" s="64"/>
      <c r="H1337" s="64"/>
      <c r="I1337" s="64"/>
      <c r="J1337" s="64"/>
      <c r="K1337" s="64"/>
      <c r="L1337" s="64"/>
      <c r="M1337" s="64"/>
      <c r="N1337" s="64"/>
      <c r="O1337" s="64"/>
      <c r="P1337" s="64"/>
      <c r="Q1337" s="64"/>
      <c r="R1337" s="64"/>
    </row>
    <row r="1338" spans="1:18" x14ac:dyDescent="0.25">
      <c r="A1338" s="63"/>
      <c r="B1338" s="64"/>
      <c r="C1338" s="64"/>
      <c r="D1338" s="64"/>
      <c r="E1338" s="64"/>
      <c r="F1338" s="64"/>
      <c r="G1338" s="64"/>
      <c r="H1338" s="64"/>
      <c r="I1338" s="64"/>
      <c r="J1338" s="64"/>
      <c r="K1338" s="64"/>
      <c r="L1338" s="64"/>
      <c r="M1338" s="64"/>
      <c r="N1338" s="64"/>
      <c r="O1338" s="64"/>
      <c r="P1338" s="64"/>
      <c r="Q1338" s="64"/>
      <c r="R1338" s="64"/>
    </row>
    <row r="1339" spans="1:18" x14ac:dyDescent="0.25">
      <c r="A1339" s="63"/>
      <c r="B1339" s="64"/>
      <c r="C1339" s="64"/>
      <c r="D1339" s="64"/>
      <c r="E1339" s="64"/>
      <c r="F1339" s="64"/>
      <c r="G1339" s="64"/>
      <c r="H1339" s="64"/>
      <c r="I1339" s="64"/>
      <c r="J1339" s="64"/>
      <c r="K1339" s="64"/>
      <c r="L1339" s="64"/>
      <c r="M1339" s="64"/>
      <c r="N1339" s="64"/>
      <c r="O1339" s="64"/>
      <c r="P1339" s="64"/>
      <c r="Q1339" s="64"/>
      <c r="R1339" s="64"/>
    </row>
    <row r="1340" spans="1:18" x14ac:dyDescent="0.25">
      <c r="A1340" s="63"/>
      <c r="B1340" s="64"/>
      <c r="C1340" s="64"/>
      <c r="D1340" s="64"/>
      <c r="E1340" s="64"/>
      <c r="F1340" s="64"/>
      <c r="G1340" s="64"/>
      <c r="H1340" s="64"/>
      <c r="I1340" s="64"/>
      <c r="J1340" s="64"/>
      <c r="K1340" s="64"/>
      <c r="L1340" s="64"/>
      <c r="M1340" s="64"/>
      <c r="N1340" s="64"/>
      <c r="O1340" s="64"/>
      <c r="P1340" s="64"/>
      <c r="Q1340" s="64"/>
      <c r="R1340" s="64"/>
    </row>
    <row r="1341" spans="1:18" x14ac:dyDescent="0.25">
      <c r="A1341" s="63"/>
      <c r="B1341" s="64"/>
      <c r="C1341" s="64"/>
      <c r="D1341" s="64"/>
      <c r="E1341" s="64"/>
      <c r="F1341" s="64"/>
      <c r="G1341" s="64"/>
      <c r="H1341" s="64"/>
      <c r="I1341" s="64"/>
      <c r="J1341" s="64"/>
      <c r="K1341" s="64"/>
      <c r="L1341" s="64"/>
      <c r="M1341" s="64"/>
      <c r="N1341" s="64"/>
      <c r="O1341" s="64"/>
      <c r="P1341" s="64"/>
      <c r="Q1341" s="64"/>
      <c r="R1341" s="64"/>
    </row>
    <row r="1342" spans="1:18" x14ac:dyDescent="0.25">
      <c r="A1342" s="63"/>
      <c r="B1342" s="64"/>
      <c r="C1342" s="64"/>
      <c r="D1342" s="64"/>
      <c r="E1342" s="64"/>
      <c r="F1342" s="64"/>
      <c r="G1342" s="64"/>
      <c r="H1342" s="64"/>
      <c r="I1342" s="64"/>
      <c r="J1342" s="64"/>
      <c r="K1342" s="64"/>
      <c r="L1342" s="64"/>
      <c r="M1342" s="64"/>
      <c r="N1342" s="64"/>
      <c r="O1342" s="64"/>
      <c r="P1342" s="64"/>
      <c r="Q1342" s="64"/>
      <c r="R1342" s="64"/>
    </row>
    <row r="1343" spans="1:18" x14ac:dyDescent="0.25">
      <c r="A1343" s="63"/>
      <c r="B1343" s="64"/>
      <c r="C1343" s="64"/>
      <c r="D1343" s="64"/>
      <c r="E1343" s="64"/>
      <c r="F1343" s="64"/>
      <c r="G1343" s="64"/>
      <c r="H1343" s="64"/>
      <c r="I1343" s="64"/>
      <c r="J1343" s="64"/>
      <c r="K1343" s="64"/>
      <c r="L1343" s="64"/>
      <c r="M1343" s="64"/>
      <c r="N1343" s="64"/>
      <c r="O1343" s="64"/>
      <c r="P1343" s="64"/>
      <c r="Q1343" s="64"/>
      <c r="R1343" s="64"/>
    </row>
    <row r="1344" spans="1:18" x14ac:dyDescent="0.25">
      <c r="A1344" s="63"/>
      <c r="B1344" s="64"/>
      <c r="C1344" s="64"/>
      <c r="D1344" s="64"/>
      <c r="E1344" s="64"/>
      <c r="F1344" s="64"/>
      <c r="G1344" s="64"/>
      <c r="H1344" s="64"/>
      <c r="I1344" s="64"/>
      <c r="J1344" s="64"/>
      <c r="K1344" s="64"/>
      <c r="L1344" s="64"/>
      <c r="M1344" s="64"/>
      <c r="N1344" s="64"/>
      <c r="O1344" s="64"/>
      <c r="P1344" s="64"/>
      <c r="Q1344" s="64"/>
      <c r="R1344" s="64"/>
    </row>
    <row r="1345" spans="1:18" x14ac:dyDescent="0.25">
      <c r="A1345" s="63"/>
      <c r="B1345" s="64"/>
      <c r="C1345" s="64"/>
      <c r="D1345" s="64"/>
      <c r="E1345" s="64"/>
      <c r="F1345" s="64"/>
      <c r="G1345" s="64"/>
      <c r="H1345" s="64"/>
      <c r="I1345" s="64"/>
      <c r="J1345" s="64"/>
      <c r="K1345" s="64"/>
      <c r="L1345" s="64"/>
      <c r="M1345" s="64"/>
      <c r="N1345" s="64"/>
      <c r="O1345" s="64"/>
      <c r="P1345" s="64"/>
      <c r="Q1345" s="64"/>
      <c r="R1345" s="64"/>
    </row>
    <row r="1346" spans="1:18" x14ac:dyDescent="0.25">
      <c r="A1346" s="63"/>
      <c r="B1346" s="64"/>
      <c r="C1346" s="64"/>
      <c r="D1346" s="64"/>
      <c r="E1346" s="64"/>
      <c r="F1346" s="64"/>
      <c r="G1346" s="64"/>
      <c r="H1346" s="64"/>
      <c r="I1346" s="64"/>
      <c r="J1346" s="64"/>
      <c r="K1346" s="64"/>
      <c r="L1346" s="64"/>
      <c r="M1346" s="64"/>
      <c r="N1346" s="64"/>
      <c r="O1346" s="64"/>
      <c r="P1346" s="64"/>
      <c r="Q1346" s="64"/>
      <c r="R1346" s="64"/>
    </row>
    <row r="1347" spans="1:18" x14ac:dyDescent="0.25">
      <c r="A1347" s="63"/>
      <c r="B1347" s="64"/>
      <c r="C1347" s="64"/>
      <c r="D1347" s="64"/>
      <c r="E1347" s="64"/>
      <c r="F1347" s="64"/>
      <c r="G1347" s="64"/>
      <c r="H1347" s="64"/>
      <c r="I1347" s="64"/>
      <c r="J1347" s="64"/>
      <c r="K1347" s="64"/>
      <c r="L1347" s="64"/>
      <c r="M1347" s="64"/>
      <c r="N1347" s="64"/>
      <c r="O1347" s="64"/>
      <c r="P1347" s="64"/>
      <c r="Q1347" s="64"/>
      <c r="R1347" s="64"/>
    </row>
    <row r="1348" spans="1:18" x14ac:dyDescent="0.25">
      <c r="A1348" s="63"/>
      <c r="B1348" s="64"/>
      <c r="C1348" s="64"/>
      <c r="D1348" s="64"/>
      <c r="E1348" s="64"/>
      <c r="F1348" s="64"/>
      <c r="G1348" s="64"/>
      <c r="H1348" s="64"/>
      <c r="I1348" s="64"/>
      <c r="J1348" s="64"/>
      <c r="K1348" s="64"/>
      <c r="L1348" s="64"/>
      <c r="M1348" s="64"/>
      <c r="N1348" s="64"/>
      <c r="O1348" s="64"/>
      <c r="P1348" s="64"/>
      <c r="Q1348" s="64"/>
      <c r="R1348" s="64"/>
    </row>
    <row r="1349" spans="1:18" x14ac:dyDescent="0.25">
      <c r="A1349" s="63"/>
      <c r="B1349" s="64"/>
      <c r="C1349" s="64"/>
      <c r="D1349" s="64"/>
      <c r="E1349" s="64"/>
      <c r="F1349" s="64"/>
      <c r="G1349" s="64"/>
      <c r="H1349" s="64"/>
      <c r="I1349" s="64"/>
      <c r="J1349" s="64"/>
      <c r="K1349" s="64"/>
      <c r="L1349" s="64"/>
      <c r="M1349" s="64"/>
      <c r="N1349" s="64"/>
      <c r="O1349" s="64"/>
      <c r="P1349" s="64"/>
      <c r="Q1349" s="64"/>
      <c r="R1349" s="64"/>
    </row>
    <row r="1350" spans="1:18" x14ac:dyDescent="0.25">
      <c r="A1350" s="63"/>
      <c r="B1350" s="64"/>
      <c r="C1350" s="64"/>
      <c r="D1350" s="64"/>
      <c r="E1350" s="64"/>
      <c r="F1350" s="64"/>
      <c r="G1350" s="64"/>
      <c r="H1350" s="64"/>
      <c r="I1350" s="64"/>
      <c r="J1350" s="64"/>
      <c r="K1350" s="64"/>
      <c r="L1350" s="64"/>
      <c r="M1350" s="64"/>
      <c r="N1350" s="64"/>
      <c r="O1350" s="64"/>
      <c r="P1350" s="64"/>
      <c r="Q1350" s="64"/>
      <c r="R1350" s="64"/>
    </row>
    <row r="1351" spans="1:18" x14ac:dyDescent="0.25">
      <c r="A1351" s="63"/>
      <c r="B1351" s="64"/>
      <c r="C1351" s="64"/>
      <c r="D1351" s="64"/>
      <c r="E1351" s="64"/>
      <c r="F1351" s="64"/>
      <c r="G1351" s="64"/>
      <c r="H1351" s="64"/>
      <c r="I1351" s="64"/>
      <c r="J1351" s="64"/>
      <c r="K1351" s="64"/>
      <c r="L1351" s="64"/>
      <c r="M1351" s="64"/>
      <c r="N1351" s="64"/>
      <c r="O1351" s="64"/>
      <c r="P1351" s="64"/>
      <c r="Q1351" s="64"/>
      <c r="R1351" s="64"/>
    </row>
    <row r="1352" spans="1:18" x14ac:dyDescent="0.25">
      <c r="A1352" s="63"/>
      <c r="B1352" s="64"/>
      <c r="C1352" s="64"/>
      <c r="D1352" s="64"/>
      <c r="E1352" s="64"/>
      <c r="F1352" s="64"/>
      <c r="G1352" s="64"/>
      <c r="H1352" s="64"/>
      <c r="I1352" s="64"/>
      <c r="J1352" s="64"/>
      <c r="K1352" s="64"/>
      <c r="L1352" s="64"/>
      <c r="M1352" s="64"/>
      <c r="N1352" s="64"/>
      <c r="O1352" s="64"/>
      <c r="P1352" s="64"/>
      <c r="Q1352" s="64"/>
      <c r="R1352" s="64"/>
    </row>
    <row r="1353" spans="1:18" x14ac:dyDescent="0.25">
      <c r="A1353" s="63"/>
      <c r="B1353" s="64"/>
      <c r="C1353" s="64"/>
      <c r="D1353" s="64"/>
      <c r="E1353" s="64"/>
      <c r="F1353" s="64"/>
      <c r="G1353" s="64"/>
      <c r="H1353" s="64"/>
      <c r="I1353" s="64"/>
      <c r="J1353" s="64"/>
      <c r="K1353" s="64"/>
      <c r="L1353" s="64"/>
      <c r="M1353" s="64"/>
      <c r="N1353" s="64"/>
      <c r="O1353" s="64"/>
      <c r="P1353" s="64"/>
      <c r="Q1353" s="64"/>
      <c r="R1353" s="64"/>
    </row>
    <row r="1354" spans="1:18" x14ac:dyDescent="0.25">
      <c r="A1354" s="63"/>
      <c r="B1354" s="64"/>
      <c r="C1354" s="64"/>
      <c r="D1354" s="64"/>
      <c r="E1354" s="64"/>
      <c r="F1354" s="64"/>
      <c r="G1354" s="64"/>
      <c r="H1354" s="64"/>
      <c r="I1354" s="64"/>
      <c r="J1354" s="64"/>
      <c r="K1354" s="64"/>
      <c r="L1354" s="64"/>
      <c r="M1354" s="64"/>
      <c r="N1354" s="64"/>
      <c r="O1354" s="64"/>
      <c r="P1354" s="64"/>
      <c r="Q1354" s="64"/>
      <c r="R1354" s="64"/>
    </row>
    <row r="1355" spans="1:18" x14ac:dyDescent="0.25">
      <c r="A1355" s="63"/>
      <c r="B1355" s="64"/>
      <c r="C1355" s="64"/>
      <c r="D1355" s="64"/>
      <c r="E1355" s="64"/>
      <c r="F1355" s="64"/>
      <c r="G1355" s="64"/>
      <c r="H1355" s="64"/>
      <c r="I1355" s="64"/>
      <c r="J1355" s="64"/>
      <c r="K1355" s="64"/>
      <c r="L1355" s="64"/>
      <c r="M1355" s="64"/>
      <c r="N1355" s="64"/>
      <c r="O1355" s="64"/>
      <c r="P1355" s="64"/>
      <c r="Q1355" s="64"/>
      <c r="R1355" s="64"/>
    </row>
    <row r="1356" spans="1:18" x14ac:dyDescent="0.25">
      <c r="A1356" s="63"/>
      <c r="B1356" s="64"/>
      <c r="C1356" s="64"/>
      <c r="D1356" s="64"/>
      <c r="E1356" s="64"/>
      <c r="F1356" s="64"/>
      <c r="G1356" s="64"/>
      <c r="H1356" s="64"/>
      <c r="I1356" s="64"/>
      <c r="J1356" s="64"/>
      <c r="K1356" s="64"/>
      <c r="L1356" s="64"/>
      <c r="M1356" s="64"/>
      <c r="N1356" s="64"/>
      <c r="O1356" s="64"/>
      <c r="P1356" s="64"/>
      <c r="Q1356" s="64"/>
      <c r="R1356" s="64"/>
    </row>
    <row r="1357" spans="1:18" x14ac:dyDescent="0.25">
      <c r="A1357" s="63"/>
      <c r="B1357" s="64"/>
      <c r="C1357" s="64"/>
      <c r="D1357" s="64"/>
      <c r="E1357" s="64"/>
      <c r="F1357" s="64"/>
      <c r="G1357" s="64"/>
      <c r="H1357" s="64"/>
      <c r="I1357" s="64"/>
      <c r="J1357" s="64"/>
      <c r="K1357" s="64"/>
      <c r="L1357" s="64"/>
      <c r="M1357" s="64"/>
      <c r="N1357" s="64"/>
      <c r="O1357" s="64"/>
      <c r="P1357" s="64"/>
      <c r="Q1357" s="64"/>
      <c r="R1357" s="64"/>
    </row>
    <row r="1358" spans="1:18" x14ac:dyDescent="0.25">
      <c r="A1358" s="63"/>
      <c r="B1358" s="64"/>
      <c r="C1358" s="64"/>
      <c r="D1358" s="64"/>
      <c r="E1358" s="64"/>
      <c r="F1358" s="64"/>
      <c r="G1358" s="64"/>
      <c r="H1358" s="64"/>
      <c r="I1358" s="64"/>
      <c r="J1358" s="64"/>
      <c r="K1358" s="64"/>
      <c r="L1358" s="64"/>
      <c r="M1358" s="64"/>
      <c r="N1358" s="64"/>
      <c r="O1358" s="64"/>
      <c r="P1358" s="64"/>
      <c r="Q1358" s="64"/>
      <c r="R1358" s="64"/>
    </row>
    <row r="1359" spans="1:18" x14ac:dyDescent="0.25">
      <c r="A1359" s="63"/>
      <c r="B1359" s="64"/>
      <c r="C1359" s="64"/>
      <c r="D1359" s="64"/>
      <c r="E1359" s="64"/>
      <c r="F1359" s="64"/>
      <c r="G1359" s="64"/>
      <c r="H1359" s="64"/>
      <c r="I1359" s="64"/>
      <c r="J1359" s="64"/>
      <c r="K1359" s="64"/>
      <c r="L1359" s="64"/>
      <c r="M1359" s="64"/>
      <c r="N1359" s="64"/>
      <c r="O1359" s="64"/>
      <c r="P1359" s="64"/>
      <c r="Q1359" s="64"/>
      <c r="R1359" s="64"/>
    </row>
    <row r="1360" spans="1:18" x14ac:dyDescent="0.25">
      <c r="A1360" s="63"/>
      <c r="B1360" s="64"/>
      <c r="C1360" s="64"/>
      <c r="D1360" s="64"/>
      <c r="E1360" s="64"/>
      <c r="F1360" s="64"/>
      <c r="G1360" s="64"/>
      <c r="H1360" s="64"/>
      <c r="I1360" s="64"/>
      <c r="J1360" s="64"/>
      <c r="K1360" s="64"/>
      <c r="L1360" s="64"/>
      <c r="M1360" s="64"/>
      <c r="N1360" s="64"/>
      <c r="O1360" s="64"/>
      <c r="P1360" s="64"/>
      <c r="Q1360" s="64"/>
      <c r="R1360" s="64"/>
    </row>
    <row r="1361" spans="1:18" x14ac:dyDescent="0.25">
      <c r="A1361" s="63"/>
      <c r="B1361" s="64"/>
      <c r="C1361" s="64"/>
      <c r="D1361" s="64"/>
      <c r="E1361" s="64"/>
      <c r="F1361" s="64"/>
      <c r="G1361" s="64"/>
      <c r="H1361" s="64"/>
      <c r="I1361" s="64"/>
      <c r="J1361" s="64"/>
      <c r="K1361" s="64"/>
      <c r="L1361" s="64"/>
      <c r="M1361" s="64"/>
      <c r="N1361" s="64"/>
      <c r="O1361" s="64"/>
      <c r="P1361" s="64"/>
      <c r="Q1361" s="64"/>
      <c r="R1361" s="64"/>
    </row>
    <row r="1362" spans="1:18" x14ac:dyDescent="0.25">
      <c r="A1362" s="63"/>
      <c r="B1362" s="64"/>
      <c r="C1362" s="64"/>
      <c r="D1362" s="64"/>
      <c r="E1362" s="64"/>
      <c r="F1362" s="64"/>
      <c r="G1362" s="64"/>
      <c r="H1362" s="64"/>
      <c r="I1362" s="64"/>
      <c r="J1362" s="64"/>
      <c r="K1362" s="64"/>
      <c r="L1362" s="64"/>
      <c r="M1362" s="64"/>
      <c r="N1362" s="64"/>
      <c r="O1362" s="64"/>
      <c r="P1362" s="64"/>
      <c r="Q1362" s="64"/>
      <c r="R1362" s="64"/>
    </row>
    <row r="1363" spans="1:18" x14ac:dyDescent="0.25">
      <c r="A1363" s="63"/>
      <c r="B1363" s="64"/>
      <c r="C1363" s="64"/>
      <c r="D1363" s="64"/>
      <c r="E1363" s="64"/>
      <c r="F1363" s="64"/>
      <c r="G1363" s="64"/>
      <c r="H1363" s="64"/>
      <c r="I1363" s="64"/>
      <c r="J1363" s="64"/>
      <c r="K1363" s="64"/>
      <c r="L1363" s="64"/>
      <c r="M1363" s="64"/>
      <c r="N1363" s="64"/>
      <c r="O1363" s="64"/>
      <c r="P1363" s="64"/>
      <c r="Q1363" s="64"/>
      <c r="R1363" s="64"/>
    </row>
    <row r="1364" spans="1:18" x14ac:dyDescent="0.25">
      <c r="A1364" s="63"/>
      <c r="B1364" s="64"/>
      <c r="C1364" s="64"/>
      <c r="D1364" s="64"/>
      <c r="E1364" s="64"/>
      <c r="F1364" s="64"/>
      <c r="G1364" s="64"/>
      <c r="H1364" s="64"/>
      <c r="I1364" s="64"/>
      <c r="J1364" s="64"/>
      <c r="K1364" s="64"/>
      <c r="L1364" s="64"/>
      <c r="M1364" s="64"/>
      <c r="N1364" s="64"/>
      <c r="O1364" s="64"/>
      <c r="P1364" s="64"/>
      <c r="Q1364" s="64"/>
      <c r="R1364" s="64"/>
    </row>
    <row r="1365" spans="1:18" x14ac:dyDescent="0.25">
      <c r="A1365" s="63"/>
      <c r="B1365" s="64"/>
      <c r="C1365" s="64"/>
      <c r="D1365" s="64"/>
      <c r="E1365" s="64"/>
      <c r="F1365" s="64"/>
      <c r="G1365" s="64"/>
      <c r="H1365" s="64"/>
      <c r="I1365" s="64"/>
      <c r="J1365" s="64"/>
      <c r="K1365" s="64"/>
      <c r="L1365" s="64"/>
      <c r="M1365" s="64"/>
      <c r="N1365" s="64"/>
      <c r="O1365" s="64"/>
      <c r="P1365" s="64"/>
      <c r="Q1365" s="64"/>
      <c r="R1365" s="64"/>
    </row>
    <row r="1366" spans="1:18" x14ac:dyDescent="0.25">
      <c r="A1366" s="63"/>
      <c r="B1366" s="64"/>
      <c r="C1366" s="64"/>
      <c r="D1366" s="64"/>
      <c r="E1366" s="64"/>
      <c r="F1366" s="64"/>
      <c r="G1366" s="64"/>
      <c r="H1366" s="64"/>
      <c r="I1366" s="64"/>
      <c r="J1366" s="64"/>
      <c r="K1366" s="64"/>
      <c r="L1366" s="64"/>
      <c r="M1366" s="64"/>
      <c r="N1366" s="64"/>
      <c r="O1366" s="64"/>
      <c r="P1366" s="64"/>
      <c r="Q1366" s="64"/>
      <c r="R1366" s="64"/>
    </row>
    <row r="1367" spans="1:18" x14ac:dyDescent="0.25">
      <c r="A1367" s="63"/>
      <c r="B1367" s="64"/>
      <c r="C1367" s="64"/>
      <c r="D1367" s="64"/>
      <c r="E1367" s="64"/>
      <c r="F1367" s="64"/>
      <c r="G1367" s="64"/>
      <c r="H1367" s="64"/>
      <c r="I1367" s="64"/>
      <c r="J1367" s="64"/>
      <c r="K1367" s="64"/>
      <c r="L1367" s="64"/>
      <c r="M1367" s="64"/>
      <c r="N1367" s="64"/>
      <c r="O1367" s="64"/>
      <c r="P1367" s="64"/>
      <c r="Q1367" s="64"/>
      <c r="R1367" s="64"/>
    </row>
    <row r="1368" spans="1:18" x14ac:dyDescent="0.25">
      <c r="A1368" s="63"/>
      <c r="B1368" s="64"/>
      <c r="C1368" s="64"/>
      <c r="D1368" s="64"/>
      <c r="E1368" s="64"/>
      <c r="F1368" s="64"/>
      <c r="G1368" s="64"/>
      <c r="H1368" s="64"/>
      <c r="I1368" s="64"/>
      <c r="J1368" s="64"/>
      <c r="K1368" s="64"/>
      <c r="L1368" s="64"/>
      <c r="M1368" s="64"/>
      <c r="N1368" s="64"/>
      <c r="O1368" s="64"/>
      <c r="P1368" s="64"/>
      <c r="Q1368" s="64"/>
      <c r="R1368" s="64"/>
    </row>
    <row r="1369" spans="1:18" x14ac:dyDescent="0.25">
      <c r="A1369" s="63"/>
      <c r="B1369" s="64"/>
      <c r="C1369" s="64"/>
      <c r="D1369" s="64"/>
      <c r="E1369" s="64"/>
      <c r="F1369" s="64"/>
      <c r="G1369" s="64"/>
      <c r="H1369" s="64"/>
      <c r="I1369" s="64"/>
      <c r="J1369" s="64"/>
      <c r="K1369" s="64"/>
      <c r="L1369" s="64"/>
      <c r="M1369" s="64"/>
      <c r="N1369" s="64"/>
      <c r="O1369" s="64"/>
      <c r="P1369" s="64"/>
      <c r="Q1369" s="64"/>
      <c r="R1369" s="64"/>
    </row>
    <row r="1370" spans="1:18" x14ac:dyDescent="0.25">
      <c r="A1370" s="63"/>
      <c r="B1370" s="64"/>
      <c r="C1370" s="64"/>
      <c r="D1370" s="64"/>
      <c r="E1370" s="64"/>
      <c r="F1370" s="64"/>
      <c r="G1370" s="64"/>
      <c r="H1370" s="64"/>
      <c r="I1370" s="64"/>
      <c r="J1370" s="64"/>
      <c r="K1370" s="64"/>
      <c r="L1370" s="64"/>
      <c r="M1370" s="64"/>
      <c r="N1370" s="64"/>
      <c r="O1370" s="64"/>
      <c r="P1370" s="64"/>
      <c r="Q1370" s="64"/>
      <c r="R1370" s="64"/>
    </row>
    <row r="1371" spans="1:18" x14ac:dyDescent="0.25">
      <c r="A1371" s="63"/>
      <c r="B1371" s="64"/>
      <c r="C1371" s="64"/>
      <c r="D1371" s="64"/>
      <c r="E1371" s="64"/>
      <c r="F1371" s="64"/>
      <c r="G1371" s="64"/>
      <c r="H1371" s="64"/>
      <c r="I1371" s="64"/>
      <c r="J1371" s="64"/>
      <c r="K1371" s="64"/>
      <c r="L1371" s="64"/>
      <c r="M1371" s="64"/>
      <c r="N1371" s="64"/>
      <c r="O1371" s="64"/>
      <c r="P1371" s="64"/>
      <c r="Q1371" s="64"/>
      <c r="R1371" s="64"/>
    </row>
    <row r="1372" spans="1:18" x14ac:dyDescent="0.25">
      <c r="A1372" s="63"/>
      <c r="B1372" s="64"/>
      <c r="C1372" s="64"/>
      <c r="D1372" s="64"/>
      <c r="E1372" s="64"/>
      <c r="F1372" s="64"/>
      <c r="G1372" s="64"/>
      <c r="H1372" s="64"/>
      <c r="I1372" s="64"/>
      <c r="J1372" s="64"/>
      <c r="K1372" s="64"/>
      <c r="L1372" s="64"/>
      <c r="M1372" s="64"/>
      <c r="N1372" s="64"/>
      <c r="O1372" s="64"/>
      <c r="P1372" s="64"/>
      <c r="Q1372" s="64"/>
      <c r="R1372" s="64"/>
    </row>
    <row r="1373" spans="1:18" x14ac:dyDescent="0.25">
      <c r="A1373" s="63"/>
      <c r="B1373" s="64"/>
      <c r="C1373" s="64"/>
      <c r="D1373" s="64"/>
      <c r="E1373" s="64"/>
      <c r="F1373" s="64"/>
      <c r="G1373" s="64"/>
      <c r="H1373" s="64"/>
      <c r="I1373" s="64"/>
      <c r="J1373" s="64"/>
      <c r="K1373" s="64"/>
      <c r="L1373" s="64"/>
      <c r="M1373" s="64"/>
      <c r="N1373" s="64"/>
      <c r="O1373" s="64"/>
      <c r="P1373" s="64"/>
      <c r="Q1373" s="64"/>
      <c r="R1373" s="64"/>
    </row>
    <row r="1374" spans="1:18" x14ac:dyDescent="0.25">
      <c r="A1374" s="63"/>
      <c r="B1374" s="64"/>
      <c r="C1374" s="64"/>
      <c r="D1374" s="64"/>
      <c r="E1374" s="64"/>
      <c r="F1374" s="64"/>
      <c r="G1374" s="64"/>
      <c r="H1374" s="64"/>
      <c r="I1374" s="64"/>
      <c r="J1374" s="64"/>
      <c r="K1374" s="64"/>
      <c r="L1374" s="64"/>
      <c r="M1374" s="64"/>
      <c r="N1374" s="64"/>
      <c r="O1374" s="64"/>
      <c r="P1374" s="64"/>
      <c r="Q1374" s="64"/>
      <c r="R1374" s="64"/>
    </row>
    <row r="1375" spans="1:18" x14ac:dyDescent="0.25">
      <c r="A1375" s="63"/>
      <c r="B1375" s="64"/>
      <c r="C1375" s="64"/>
      <c r="D1375" s="64"/>
      <c r="E1375" s="64"/>
      <c r="F1375" s="64"/>
      <c r="G1375" s="64"/>
      <c r="H1375" s="64"/>
      <c r="I1375" s="64"/>
      <c r="J1375" s="64"/>
      <c r="K1375" s="64"/>
      <c r="L1375" s="64"/>
      <c r="M1375" s="64"/>
      <c r="N1375" s="64"/>
      <c r="O1375" s="64"/>
      <c r="P1375" s="64"/>
      <c r="Q1375" s="64"/>
      <c r="R1375" s="64"/>
    </row>
    <row r="1376" spans="1:18" x14ac:dyDescent="0.25">
      <c r="A1376" s="63"/>
      <c r="B1376" s="64"/>
      <c r="C1376" s="64"/>
      <c r="D1376" s="64"/>
      <c r="E1376" s="64"/>
      <c r="F1376" s="64"/>
      <c r="G1376" s="64"/>
      <c r="H1376" s="64"/>
      <c r="I1376" s="64"/>
      <c r="J1376" s="64"/>
      <c r="K1376" s="64"/>
      <c r="L1376" s="64"/>
      <c r="M1376" s="64"/>
      <c r="N1376" s="64"/>
      <c r="O1376" s="64"/>
      <c r="P1376" s="64"/>
      <c r="Q1376" s="64"/>
      <c r="R1376" s="64"/>
    </row>
    <row r="1377" spans="1:18" x14ac:dyDescent="0.25">
      <c r="A1377" s="63"/>
      <c r="B1377" s="64"/>
      <c r="C1377" s="64"/>
      <c r="D1377" s="64"/>
      <c r="E1377" s="64"/>
      <c r="F1377" s="64"/>
      <c r="G1377" s="64"/>
      <c r="H1377" s="64"/>
      <c r="I1377" s="64"/>
      <c r="J1377" s="64"/>
      <c r="K1377" s="64"/>
      <c r="L1377" s="64"/>
      <c r="M1377" s="64"/>
      <c r="N1377" s="64"/>
      <c r="O1377" s="64"/>
      <c r="P1377" s="64"/>
      <c r="Q1377" s="64"/>
      <c r="R1377" s="64"/>
    </row>
    <row r="1378" spans="1:18" x14ac:dyDescent="0.25">
      <c r="A1378" s="63"/>
      <c r="B1378" s="64"/>
      <c r="C1378" s="64"/>
      <c r="D1378" s="64"/>
      <c r="E1378" s="64"/>
      <c r="F1378" s="64"/>
      <c r="G1378" s="64"/>
      <c r="H1378" s="64"/>
      <c r="I1378" s="64"/>
      <c r="J1378" s="64"/>
      <c r="K1378" s="64"/>
      <c r="L1378" s="64"/>
      <c r="M1378" s="64"/>
      <c r="N1378" s="64"/>
      <c r="O1378" s="64"/>
      <c r="P1378" s="64"/>
      <c r="Q1378" s="64"/>
      <c r="R1378" s="64"/>
    </row>
    <row r="1379" spans="1:18" x14ac:dyDescent="0.25">
      <c r="A1379" s="63"/>
      <c r="B1379" s="64"/>
      <c r="C1379" s="64"/>
      <c r="D1379" s="64"/>
      <c r="E1379" s="64"/>
      <c r="F1379" s="64"/>
      <c r="G1379" s="64"/>
      <c r="H1379" s="64"/>
      <c r="I1379" s="64"/>
      <c r="J1379" s="64"/>
      <c r="K1379" s="64"/>
      <c r="L1379" s="64"/>
      <c r="M1379" s="64"/>
      <c r="N1379" s="64"/>
      <c r="O1379" s="64"/>
      <c r="P1379" s="64"/>
      <c r="Q1379" s="64"/>
      <c r="R1379" s="64"/>
    </row>
    <row r="1380" spans="1:18" x14ac:dyDescent="0.25">
      <c r="A1380" s="63"/>
      <c r="B1380" s="64"/>
      <c r="C1380" s="64"/>
      <c r="D1380" s="64"/>
      <c r="E1380" s="64"/>
      <c r="F1380" s="64"/>
      <c r="G1380" s="64"/>
      <c r="H1380" s="64"/>
      <c r="I1380" s="64"/>
      <c r="J1380" s="64"/>
      <c r="K1380" s="64"/>
      <c r="L1380" s="64"/>
      <c r="M1380" s="64"/>
      <c r="N1380" s="64"/>
      <c r="O1380" s="64"/>
      <c r="P1380" s="64"/>
      <c r="Q1380" s="64"/>
      <c r="R1380" s="64"/>
    </row>
    <row r="1381" spans="1:18" x14ac:dyDescent="0.25">
      <c r="A1381" s="63"/>
      <c r="B1381" s="64"/>
      <c r="C1381" s="64"/>
      <c r="D1381" s="64"/>
      <c r="E1381" s="64"/>
      <c r="F1381" s="64"/>
      <c r="G1381" s="64"/>
      <c r="H1381" s="64"/>
      <c r="I1381" s="64"/>
      <c r="J1381" s="64"/>
      <c r="K1381" s="64"/>
      <c r="L1381" s="64"/>
      <c r="M1381" s="64"/>
      <c r="N1381" s="64"/>
      <c r="O1381" s="64"/>
      <c r="P1381" s="64"/>
      <c r="Q1381" s="64"/>
      <c r="R1381" s="64"/>
    </row>
    <row r="1382" spans="1:18" x14ac:dyDescent="0.25">
      <c r="A1382" s="63"/>
      <c r="B1382" s="64"/>
      <c r="C1382" s="64"/>
      <c r="D1382" s="64"/>
      <c r="E1382" s="64"/>
      <c r="F1382" s="64"/>
      <c r="G1382" s="64"/>
      <c r="H1382" s="64"/>
      <c r="I1382" s="64"/>
      <c r="J1382" s="64"/>
      <c r="K1382" s="64"/>
      <c r="L1382" s="64"/>
      <c r="M1382" s="64"/>
      <c r="N1382" s="64"/>
      <c r="O1382" s="64"/>
      <c r="P1382" s="64"/>
      <c r="Q1382" s="64"/>
      <c r="R1382" s="64"/>
    </row>
    <row r="1383" spans="1:18" x14ac:dyDescent="0.25">
      <c r="A1383" s="63"/>
      <c r="B1383" s="64"/>
      <c r="C1383" s="64"/>
      <c r="D1383" s="64"/>
      <c r="E1383" s="64"/>
      <c r="F1383" s="64"/>
      <c r="G1383" s="64"/>
      <c r="H1383" s="64"/>
      <c r="I1383" s="64"/>
      <c r="J1383" s="64"/>
      <c r="K1383" s="64"/>
      <c r="L1383" s="64"/>
      <c r="M1383" s="64"/>
      <c r="N1383" s="64"/>
      <c r="O1383" s="64"/>
      <c r="P1383" s="64"/>
      <c r="Q1383" s="64"/>
      <c r="R1383" s="64"/>
    </row>
    <row r="1384" spans="1:18" x14ac:dyDescent="0.25">
      <c r="A1384" s="63"/>
      <c r="B1384" s="64"/>
      <c r="C1384" s="64"/>
      <c r="D1384" s="64"/>
      <c r="E1384" s="64"/>
      <c r="F1384" s="64"/>
      <c r="G1384" s="64"/>
      <c r="H1384" s="64"/>
      <c r="I1384" s="64"/>
      <c r="J1384" s="64"/>
      <c r="K1384" s="64"/>
      <c r="L1384" s="64"/>
      <c r="M1384" s="64"/>
      <c r="N1384" s="64"/>
      <c r="O1384" s="64"/>
      <c r="P1384" s="64"/>
      <c r="Q1384" s="64"/>
      <c r="R1384" s="64"/>
    </row>
    <row r="1385" spans="1:18" x14ac:dyDescent="0.25">
      <c r="A1385" s="63"/>
      <c r="B1385" s="64"/>
      <c r="C1385" s="64"/>
      <c r="D1385" s="64"/>
      <c r="E1385" s="64"/>
      <c r="F1385" s="64"/>
      <c r="G1385" s="64"/>
      <c r="H1385" s="64"/>
      <c r="I1385" s="64"/>
      <c r="J1385" s="64"/>
      <c r="K1385" s="64"/>
      <c r="L1385" s="64"/>
      <c r="M1385" s="64"/>
      <c r="N1385" s="64"/>
      <c r="O1385" s="64"/>
      <c r="P1385" s="64"/>
      <c r="Q1385" s="64"/>
      <c r="R1385" s="64"/>
    </row>
    <row r="1386" spans="1:18" x14ac:dyDescent="0.25">
      <c r="A1386" s="63"/>
      <c r="B1386" s="64"/>
      <c r="C1386" s="64"/>
      <c r="D1386" s="64"/>
      <c r="E1386" s="64"/>
      <c r="F1386" s="64"/>
      <c r="G1386" s="64"/>
      <c r="H1386" s="64"/>
      <c r="I1386" s="64"/>
      <c r="J1386" s="64"/>
      <c r="K1386" s="64"/>
      <c r="L1386" s="64"/>
      <c r="M1386" s="64"/>
      <c r="N1386" s="64"/>
      <c r="O1386" s="64"/>
      <c r="P1386" s="64"/>
      <c r="Q1386" s="64"/>
      <c r="R1386" s="64"/>
    </row>
    <row r="1387" spans="1:18" x14ac:dyDescent="0.25">
      <c r="A1387" s="63"/>
      <c r="B1387" s="64"/>
      <c r="C1387" s="64"/>
      <c r="D1387" s="64"/>
      <c r="E1387" s="64"/>
      <c r="F1387" s="64"/>
      <c r="G1387" s="64"/>
      <c r="H1387" s="64"/>
      <c r="I1387" s="64"/>
      <c r="J1387" s="64"/>
      <c r="K1387" s="64"/>
      <c r="L1387" s="64"/>
      <c r="M1387" s="64"/>
      <c r="N1387" s="64"/>
      <c r="O1387" s="64"/>
      <c r="P1387" s="64"/>
      <c r="Q1387" s="64"/>
      <c r="R1387" s="64"/>
    </row>
    <row r="1388" spans="1:18" x14ac:dyDescent="0.25">
      <c r="A1388" s="63"/>
      <c r="B1388" s="64"/>
      <c r="C1388" s="64"/>
      <c r="D1388" s="64"/>
      <c r="E1388" s="64"/>
      <c r="F1388" s="64"/>
      <c r="G1388" s="64"/>
      <c r="H1388" s="64"/>
      <c r="I1388" s="64"/>
      <c r="J1388" s="64"/>
      <c r="K1388" s="64"/>
      <c r="L1388" s="64"/>
      <c r="M1388" s="64"/>
      <c r="N1388" s="64"/>
      <c r="O1388" s="64"/>
      <c r="P1388" s="64"/>
      <c r="Q1388" s="64"/>
      <c r="R1388" s="64"/>
    </row>
    <row r="1389" spans="1:18" x14ac:dyDescent="0.25">
      <c r="A1389" s="63"/>
      <c r="B1389" s="64"/>
      <c r="C1389" s="64"/>
      <c r="D1389" s="64"/>
      <c r="E1389" s="64"/>
      <c r="F1389" s="64"/>
      <c r="G1389" s="64"/>
      <c r="H1389" s="64"/>
      <c r="I1389" s="64"/>
      <c r="J1389" s="64"/>
      <c r="K1389" s="64"/>
      <c r="L1389" s="64"/>
      <c r="M1389" s="64"/>
      <c r="N1389" s="64"/>
      <c r="O1389" s="64"/>
      <c r="P1389" s="64"/>
      <c r="Q1389" s="64"/>
      <c r="R1389" s="64"/>
    </row>
    <row r="1390" spans="1:18" x14ac:dyDescent="0.25">
      <c r="A1390" s="63"/>
      <c r="B1390" s="64"/>
      <c r="C1390" s="64"/>
      <c r="D1390" s="64"/>
      <c r="E1390" s="64"/>
      <c r="F1390" s="64"/>
      <c r="G1390" s="64"/>
      <c r="H1390" s="64"/>
      <c r="I1390" s="64"/>
      <c r="J1390" s="64"/>
      <c r="K1390" s="64"/>
      <c r="L1390" s="64"/>
      <c r="M1390" s="64"/>
      <c r="N1390" s="64"/>
      <c r="O1390" s="64"/>
      <c r="P1390" s="64"/>
      <c r="Q1390" s="64"/>
      <c r="R1390" s="64"/>
    </row>
    <row r="1391" spans="1:18" x14ac:dyDescent="0.25">
      <c r="A1391" s="63"/>
      <c r="B1391" s="64"/>
      <c r="C1391" s="64"/>
      <c r="D1391" s="64"/>
      <c r="E1391" s="64"/>
      <c r="F1391" s="64"/>
      <c r="G1391" s="64"/>
      <c r="H1391" s="64"/>
      <c r="I1391" s="64"/>
      <c r="J1391" s="64"/>
      <c r="K1391" s="64"/>
      <c r="L1391" s="64"/>
      <c r="M1391" s="64"/>
      <c r="N1391" s="64"/>
      <c r="O1391" s="64"/>
      <c r="P1391" s="64"/>
      <c r="Q1391" s="64"/>
      <c r="R1391" s="64"/>
    </row>
    <row r="1392" spans="1:18" x14ac:dyDescent="0.25">
      <c r="A1392" s="63"/>
      <c r="B1392" s="64"/>
      <c r="C1392" s="64"/>
      <c r="D1392" s="64"/>
      <c r="E1392" s="64"/>
      <c r="F1392" s="64"/>
      <c r="G1392" s="64"/>
      <c r="H1392" s="64"/>
      <c r="I1392" s="64"/>
      <c r="J1392" s="64"/>
      <c r="K1392" s="64"/>
      <c r="L1392" s="64"/>
      <c r="M1392" s="64"/>
      <c r="N1392" s="64"/>
      <c r="O1392" s="64"/>
      <c r="P1392" s="64"/>
      <c r="Q1392" s="64"/>
      <c r="R1392" s="64"/>
    </row>
    <row r="1393" spans="1:18" x14ac:dyDescent="0.25">
      <c r="A1393" s="63"/>
      <c r="B1393" s="64"/>
      <c r="C1393" s="64"/>
      <c r="D1393" s="64"/>
      <c r="E1393" s="64"/>
      <c r="F1393" s="64"/>
      <c r="G1393" s="64"/>
      <c r="H1393" s="64"/>
      <c r="I1393" s="64"/>
      <c r="J1393" s="64"/>
      <c r="K1393" s="64"/>
      <c r="L1393" s="64"/>
      <c r="M1393" s="64"/>
      <c r="N1393" s="64"/>
      <c r="O1393" s="64"/>
      <c r="P1393" s="64"/>
      <c r="Q1393" s="64"/>
      <c r="R1393" s="64"/>
    </row>
    <row r="1394" spans="1:18" x14ac:dyDescent="0.25">
      <c r="A1394" s="63"/>
      <c r="B1394" s="64"/>
      <c r="C1394" s="64"/>
      <c r="D1394" s="64"/>
      <c r="E1394" s="64"/>
      <c r="F1394" s="64"/>
      <c r="G1394" s="64"/>
      <c r="H1394" s="64"/>
      <c r="I1394" s="64"/>
      <c r="J1394" s="64"/>
      <c r="K1394" s="64"/>
      <c r="L1394" s="64"/>
      <c r="M1394" s="64"/>
      <c r="N1394" s="64"/>
      <c r="O1394" s="64"/>
      <c r="P1394" s="64"/>
      <c r="Q1394" s="64"/>
      <c r="R1394" s="64"/>
    </row>
    <row r="1395" spans="1:18" x14ac:dyDescent="0.25">
      <c r="A1395" s="63"/>
      <c r="B1395" s="64"/>
      <c r="C1395" s="64"/>
      <c r="D1395" s="64"/>
      <c r="E1395" s="64"/>
      <c r="F1395" s="64"/>
      <c r="G1395" s="64"/>
      <c r="H1395" s="64"/>
      <c r="I1395" s="64"/>
      <c r="J1395" s="64"/>
      <c r="K1395" s="64"/>
      <c r="L1395" s="64"/>
      <c r="M1395" s="64"/>
      <c r="N1395" s="64"/>
      <c r="O1395" s="64"/>
      <c r="P1395" s="64"/>
      <c r="Q1395" s="64"/>
      <c r="R1395" s="64"/>
    </row>
    <row r="1396" spans="1:18" x14ac:dyDescent="0.25">
      <c r="A1396" s="63"/>
      <c r="B1396" s="64"/>
      <c r="C1396" s="64"/>
      <c r="D1396" s="64"/>
      <c r="E1396" s="64"/>
      <c r="F1396" s="64"/>
      <c r="G1396" s="64"/>
      <c r="H1396" s="64"/>
      <c r="I1396" s="64"/>
      <c r="J1396" s="64"/>
      <c r="K1396" s="64"/>
      <c r="L1396" s="64"/>
      <c r="M1396" s="64"/>
      <c r="N1396" s="64"/>
      <c r="O1396" s="64"/>
      <c r="P1396" s="64"/>
      <c r="Q1396" s="64"/>
      <c r="R1396" s="64"/>
    </row>
    <row r="1397" spans="1:18" x14ac:dyDescent="0.25">
      <c r="A1397" s="63"/>
      <c r="B1397" s="64"/>
      <c r="C1397" s="64"/>
      <c r="D1397" s="64"/>
      <c r="E1397" s="64"/>
      <c r="F1397" s="64"/>
      <c r="G1397" s="64"/>
      <c r="H1397" s="64"/>
      <c r="I1397" s="64"/>
      <c r="J1397" s="64"/>
      <c r="K1397" s="64"/>
      <c r="L1397" s="64"/>
      <c r="M1397" s="64"/>
      <c r="N1397" s="64"/>
      <c r="O1397" s="64"/>
      <c r="P1397" s="64"/>
      <c r="Q1397" s="64"/>
      <c r="R1397" s="64"/>
    </row>
    <row r="1398" spans="1:18" x14ac:dyDescent="0.25">
      <c r="A1398" s="63"/>
      <c r="B1398" s="64"/>
      <c r="C1398" s="64"/>
      <c r="D1398" s="64"/>
      <c r="E1398" s="64"/>
      <c r="F1398" s="64"/>
      <c r="G1398" s="64"/>
      <c r="H1398" s="64"/>
      <c r="I1398" s="64"/>
      <c r="J1398" s="64"/>
      <c r="K1398" s="64"/>
      <c r="L1398" s="64"/>
      <c r="M1398" s="64"/>
      <c r="N1398" s="64"/>
      <c r="O1398" s="64"/>
      <c r="P1398" s="64"/>
      <c r="Q1398" s="64"/>
      <c r="R1398" s="64"/>
    </row>
    <row r="1399" spans="1:18" x14ac:dyDescent="0.25">
      <c r="A1399" s="63"/>
      <c r="B1399" s="64"/>
      <c r="C1399" s="64"/>
      <c r="D1399" s="64"/>
      <c r="E1399" s="64"/>
      <c r="F1399" s="64"/>
      <c r="G1399" s="64"/>
      <c r="H1399" s="64"/>
      <c r="I1399" s="64"/>
      <c r="J1399" s="64"/>
      <c r="K1399" s="64"/>
      <c r="L1399" s="64"/>
      <c r="M1399" s="64"/>
      <c r="N1399" s="64"/>
      <c r="O1399" s="64"/>
      <c r="P1399" s="64"/>
      <c r="Q1399" s="64"/>
      <c r="R1399" s="64"/>
    </row>
    <row r="1400" spans="1:18" x14ac:dyDescent="0.25">
      <c r="A1400" s="63"/>
      <c r="B1400" s="64"/>
      <c r="C1400" s="64"/>
      <c r="D1400" s="64"/>
      <c r="E1400" s="64"/>
      <c r="F1400" s="64"/>
      <c r="G1400" s="64"/>
      <c r="H1400" s="64"/>
      <c r="I1400" s="64"/>
      <c r="J1400" s="64"/>
      <c r="K1400" s="64"/>
      <c r="L1400" s="64"/>
      <c r="M1400" s="64"/>
      <c r="N1400" s="64"/>
      <c r="O1400" s="64"/>
      <c r="P1400" s="64"/>
      <c r="Q1400" s="64"/>
      <c r="R1400" s="64"/>
    </row>
    <row r="1401" spans="1:18" x14ac:dyDescent="0.25">
      <c r="A1401" s="63"/>
      <c r="B1401" s="64"/>
      <c r="C1401" s="64"/>
      <c r="D1401" s="64"/>
      <c r="E1401" s="64"/>
      <c r="F1401" s="64"/>
      <c r="G1401" s="64"/>
      <c r="H1401" s="64"/>
      <c r="I1401" s="64"/>
      <c r="J1401" s="64"/>
      <c r="K1401" s="64"/>
      <c r="L1401" s="64"/>
      <c r="M1401" s="64"/>
      <c r="N1401" s="64"/>
      <c r="O1401" s="64"/>
      <c r="P1401" s="64"/>
      <c r="Q1401" s="64"/>
      <c r="R1401" s="64"/>
    </row>
    <row r="1402" spans="1:18" x14ac:dyDescent="0.25">
      <c r="A1402" s="63"/>
      <c r="B1402" s="64"/>
      <c r="C1402" s="64"/>
      <c r="D1402" s="64"/>
      <c r="E1402" s="64"/>
      <c r="F1402" s="64"/>
      <c r="G1402" s="64"/>
      <c r="H1402" s="64"/>
      <c r="I1402" s="64"/>
      <c r="J1402" s="64"/>
      <c r="K1402" s="64"/>
      <c r="L1402" s="64"/>
      <c r="M1402" s="64"/>
      <c r="N1402" s="64"/>
      <c r="O1402" s="64"/>
      <c r="P1402" s="64"/>
      <c r="Q1402" s="64"/>
      <c r="R1402" s="64"/>
    </row>
    <row r="1403" spans="1:18" x14ac:dyDescent="0.25">
      <c r="A1403" s="63"/>
      <c r="B1403" s="64"/>
      <c r="C1403" s="64"/>
      <c r="D1403" s="64"/>
      <c r="E1403" s="64"/>
      <c r="F1403" s="64"/>
      <c r="G1403" s="64"/>
      <c r="H1403" s="64"/>
      <c r="I1403" s="64"/>
      <c r="J1403" s="64"/>
      <c r="K1403" s="64"/>
      <c r="L1403" s="64"/>
      <c r="M1403" s="64"/>
      <c r="N1403" s="64"/>
      <c r="O1403" s="64"/>
      <c r="P1403" s="64"/>
      <c r="Q1403" s="64"/>
      <c r="R1403" s="64"/>
    </row>
    <row r="1404" spans="1:18" x14ac:dyDescent="0.25">
      <c r="A1404" s="63"/>
      <c r="B1404" s="64"/>
      <c r="C1404" s="64"/>
      <c r="D1404" s="64"/>
      <c r="E1404" s="64"/>
      <c r="F1404" s="64"/>
      <c r="G1404" s="64"/>
      <c r="H1404" s="64"/>
      <c r="I1404" s="64"/>
      <c r="J1404" s="64"/>
      <c r="K1404" s="64"/>
      <c r="L1404" s="64"/>
      <c r="M1404" s="64"/>
      <c r="N1404" s="64"/>
      <c r="O1404" s="64"/>
      <c r="P1404" s="64"/>
      <c r="Q1404" s="64"/>
      <c r="R1404" s="64"/>
    </row>
    <row r="1405" spans="1:18" x14ac:dyDescent="0.25">
      <c r="A1405" s="63"/>
      <c r="B1405" s="64"/>
      <c r="C1405" s="64"/>
      <c r="D1405" s="64"/>
      <c r="E1405" s="64"/>
      <c r="F1405" s="64"/>
      <c r="G1405" s="64"/>
      <c r="H1405" s="64"/>
      <c r="I1405" s="64"/>
      <c r="J1405" s="64"/>
      <c r="K1405" s="64"/>
      <c r="L1405" s="64"/>
      <c r="M1405" s="64"/>
      <c r="N1405" s="64"/>
      <c r="O1405" s="64"/>
      <c r="P1405" s="64"/>
      <c r="Q1405" s="64"/>
      <c r="R1405" s="64"/>
    </row>
    <row r="1406" spans="1:18" x14ac:dyDescent="0.25">
      <c r="A1406" s="63"/>
      <c r="B1406" s="64"/>
      <c r="C1406" s="64"/>
      <c r="D1406" s="64"/>
      <c r="E1406" s="64"/>
      <c r="F1406" s="64"/>
      <c r="G1406" s="64"/>
      <c r="H1406" s="64"/>
      <c r="I1406" s="64"/>
      <c r="J1406" s="64"/>
      <c r="K1406" s="64"/>
      <c r="L1406" s="64"/>
      <c r="M1406" s="64"/>
      <c r="N1406" s="64"/>
      <c r="O1406" s="64"/>
      <c r="P1406" s="64"/>
      <c r="Q1406" s="64"/>
      <c r="R1406" s="64"/>
    </row>
    <row r="1407" spans="1:18" x14ac:dyDescent="0.25">
      <c r="A1407" s="63"/>
      <c r="B1407" s="64"/>
      <c r="C1407" s="64"/>
      <c r="D1407" s="64"/>
      <c r="E1407" s="64"/>
      <c r="F1407" s="64"/>
      <c r="G1407" s="64"/>
      <c r="H1407" s="64"/>
      <c r="I1407" s="64"/>
      <c r="J1407" s="64"/>
      <c r="K1407" s="64"/>
      <c r="L1407" s="64"/>
      <c r="M1407" s="64"/>
      <c r="N1407" s="64"/>
      <c r="O1407" s="64"/>
      <c r="P1407" s="64"/>
      <c r="Q1407" s="64"/>
      <c r="R1407" s="64"/>
    </row>
    <row r="1408" spans="1:18" x14ac:dyDescent="0.25">
      <c r="A1408" s="63"/>
      <c r="B1408" s="64"/>
      <c r="C1408" s="64"/>
      <c r="D1408" s="64"/>
      <c r="E1408" s="64"/>
      <c r="F1408" s="64"/>
      <c r="G1408" s="64"/>
      <c r="H1408" s="64"/>
      <c r="I1408" s="64"/>
      <c r="J1408" s="64"/>
      <c r="K1408" s="64"/>
      <c r="L1408" s="64"/>
      <c r="M1408" s="64"/>
      <c r="N1408" s="64"/>
      <c r="O1408" s="64"/>
      <c r="P1408" s="64"/>
      <c r="Q1408" s="64"/>
      <c r="R1408" s="64"/>
    </row>
    <row r="1409" spans="1:18" x14ac:dyDescent="0.25">
      <c r="A1409" s="63"/>
      <c r="B1409" s="64"/>
      <c r="C1409" s="64"/>
      <c r="D1409" s="64"/>
      <c r="E1409" s="64"/>
      <c r="F1409" s="64"/>
      <c r="G1409" s="64"/>
      <c r="H1409" s="64"/>
      <c r="I1409" s="64"/>
      <c r="J1409" s="64"/>
      <c r="K1409" s="64"/>
      <c r="L1409" s="64"/>
      <c r="M1409" s="64"/>
      <c r="N1409" s="64"/>
      <c r="O1409" s="64"/>
      <c r="P1409" s="64"/>
      <c r="Q1409" s="64"/>
      <c r="R1409" s="64"/>
    </row>
    <row r="1410" spans="1:18" x14ac:dyDescent="0.25">
      <c r="A1410" s="63"/>
      <c r="B1410" s="64"/>
      <c r="C1410" s="64"/>
      <c r="D1410" s="64"/>
      <c r="E1410" s="64"/>
      <c r="F1410" s="64"/>
      <c r="G1410" s="64"/>
      <c r="H1410" s="64"/>
      <c r="I1410" s="64"/>
      <c r="J1410" s="64"/>
      <c r="K1410" s="64"/>
      <c r="L1410" s="64"/>
      <c r="M1410" s="64"/>
      <c r="N1410" s="64"/>
      <c r="O1410" s="64"/>
      <c r="P1410" s="64"/>
      <c r="Q1410" s="64"/>
      <c r="R1410" s="64"/>
    </row>
    <row r="1411" spans="1:18" x14ac:dyDescent="0.25">
      <c r="A1411" s="63"/>
      <c r="B1411" s="64"/>
      <c r="C1411" s="64"/>
      <c r="D1411" s="64"/>
      <c r="E1411" s="64"/>
      <c r="F1411" s="64"/>
      <c r="G1411" s="64"/>
      <c r="H1411" s="64"/>
      <c r="I1411" s="64"/>
      <c r="J1411" s="64"/>
      <c r="K1411" s="64"/>
      <c r="L1411" s="64"/>
      <c r="M1411" s="64"/>
      <c r="N1411" s="64"/>
      <c r="O1411" s="64"/>
      <c r="P1411" s="64"/>
      <c r="Q1411" s="64"/>
      <c r="R1411" s="64"/>
    </row>
    <row r="1412" spans="1:18" x14ac:dyDescent="0.25">
      <c r="A1412" s="63"/>
      <c r="B1412" s="64"/>
      <c r="C1412" s="64"/>
      <c r="D1412" s="64"/>
      <c r="E1412" s="64"/>
      <c r="F1412" s="64"/>
      <c r="G1412" s="64"/>
      <c r="H1412" s="64"/>
      <c r="I1412" s="64"/>
      <c r="J1412" s="64"/>
      <c r="K1412" s="64"/>
      <c r="L1412" s="64"/>
      <c r="M1412" s="64"/>
      <c r="N1412" s="64"/>
      <c r="O1412" s="64"/>
      <c r="P1412" s="64"/>
      <c r="Q1412" s="64"/>
      <c r="R1412" s="64"/>
    </row>
    <row r="1413" spans="1:18" x14ac:dyDescent="0.25">
      <c r="A1413" s="63"/>
      <c r="B1413" s="64"/>
      <c r="C1413" s="64"/>
      <c r="D1413" s="64"/>
      <c r="E1413" s="64"/>
      <c r="F1413" s="64"/>
      <c r="G1413" s="64"/>
      <c r="H1413" s="64"/>
      <c r="I1413" s="64"/>
      <c r="J1413" s="64"/>
      <c r="K1413" s="64"/>
      <c r="L1413" s="64"/>
      <c r="M1413" s="64"/>
      <c r="N1413" s="64"/>
      <c r="O1413" s="64"/>
      <c r="P1413" s="64"/>
      <c r="Q1413" s="64"/>
      <c r="R1413" s="64"/>
    </row>
    <row r="1414" spans="1:18" x14ac:dyDescent="0.25">
      <c r="A1414" s="63"/>
      <c r="B1414" s="64"/>
      <c r="C1414" s="64"/>
      <c r="D1414" s="64"/>
      <c r="E1414" s="64"/>
      <c r="F1414" s="64"/>
      <c r="G1414" s="64"/>
      <c r="H1414" s="64"/>
      <c r="I1414" s="64"/>
      <c r="J1414" s="64"/>
      <c r="K1414" s="64"/>
      <c r="L1414" s="64"/>
      <c r="M1414" s="64"/>
      <c r="N1414" s="64"/>
      <c r="O1414" s="64"/>
      <c r="P1414" s="64"/>
      <c r="Q1414" s="64"/>
      <c r="R1414" s="64"/>
    </row>
    <row r="1415" spans="1:18" x14ac:dyDescent="0.25">
      <c r="A1415" s="63"/>
      <c r="B1415" s="64"/>
      <c r="C1415" s="64"/>
      <c r="D1415" s="64"/>
      <c r="E1415" s="64"/>
      <c r="F1415" s="64"/>
      <c r="G1415" s="64"/>
      <c r="H1415" s="64"/>
      <c r="I1415" s="64"/>
      <c r="J1415" s="64"/>
      <c r="K1415" s="64"/>
      <c r="L1415" s="64"/>
      <c r="M1415" s="64"/>
      <c r="N1415" s="64"/>
      <c r="O1415" s="64"/>
      <c r="P1415" s="64"/>
      <c r="Q1415" s="64"/>
      <c r="R1415" s="64"/>
    </row>
    <row r="1416" spans="1:18" x14ac:dyDescent="0.25">
      <c r="A1416" s="63"/>
      <c r="B1416" s="64"/>
      <c r="C1416" s="64"/>
      <c r="D1416" s="64"/>
      <c r="E1416" s="64"/>
      <c r="F1416" s="64"/>
      <c r="G1416" s="64"/>
      <c r="H1416" s="64"/>
      <c r="I1416" s="64"/>
      <c r="J1416" s="64"/>
      <c r="K1416" s="64"/>
      <c r="L1416" s="64"/>
      <c r="M1416" s="64"/>
      <c r="N1416" s="64"/>
      <c r="O1416" s="64"/>
      <c r="P1416" s="64"/>
      <c r="Q1416" s="64"/>
      <c r="R1416" s="64"/>
    </row>
    <row r="1417" spans="1:18" x14ac:dyDescent="0.25">
      <c r="A1417" s="63"/>
      <c r="B1417" s="64"/>
      <c r="C1417" s="64"/>
      <c r="D1417" s="64"/>
      <c r="E1417" s="64"/>
      <c r="F1417" s="64"/>
      <c r="G1417" s="64"/>
      <c r="H1417" s="64"/>
      <c r="I1417" s="64"/>
      <c r="J1417" s="64"/>
      <c r="K1417" s="64"/>
      <c r="L1417" s="64"/>
      <c r="M1417" s="64"/>
      <c r="N1417" s="64"/>
      <c r="O1417" s="64"/>
      <c r="P1417" s="64"/>
      <c r="Q1417" s="64"/>
      <c r="R1417" s="64"/>
    </row>
    <row r="1418" spans="1:18" x14ac:dyDescent="0.25">
      <c r="A1418" s="63"/>
      <c r="B1418" s="64"/>
      <c r="C1418" s="64"/>
      <c r="D1418" s="64"/>
      <c r="E1418" s="64"/>
      <c r="F1418" s="64"/>
      <c r="G1418" s="64"/>
      <c r="H1418" s="64"/>
      <c r="I1418" s="64"/>
      <c r="J1418" s="64"/>
      <c r="K1418" s="64"/>
      <c r="L1418" s="64"/>
      <c r="M1418" s="64"/>
      <c r="N1418" s="64"/>
      <c r="O1418" s="64"/>
      <c r="P1418" s="64"/>
      <c r="Q1418" s="64"/>
      <c r="R1418" s="64"/>
    </row>
    <row r="1419" spans="1:18" x14ac:dyDescent="0.25">
      <c r="A1419" s="63"/>
      <c r="B1419" s="64"/>
      <c r="C1419" s="64"/>
      <c r="D1419" s="64"/>
      <c r="E1419" s="64"/>
      <c r="F1419" s="64"/>
      <c r="G1419" s="64"/>
      <c r="H1419" s="64"/>
      <c r="I1419" s="64"/>
      <c r="J1419" s="64"/>
      <c r="K1419" s="64"/>
      <c r="L1419" s="64"/>
      <c r="M1419" s="64"/>
      <c r="N1419" s="64"/>
      <c r="O1419" s="64"/>
      <c r="P1419" s="64"/>
      <c r="Q1419" s="64"/>
      <c r="R1419" s="64"/>
    </row>
    <row r="1420" spans="1:18" x14ac:dyDescent="0.25">
      <c r="A1420" s="63"/>
      <c r="B1420" s="64"/>
      <c r="C1420" s="64"/>
      <c r="D1420" s="64"/>
      <c r="E1420" s="64"/>
      <c r="F1420" s="64"/>
      <c r="G1420" s="64"/>
      <c r="H1420" s="64"/>
      <c r="I1420" s="64"/>
      <c r="J1420" s="64"/>
      <c r="K1420" s="64"/>
      <c r="L1420" s="64"/>
      <c r="M1420" s="64"/>
      <c r="N1420" s="64"/>
      <c r="O1420" s="64"/>
      <c r="P1420" s="64"/>
      <c r="Q1420" s="64"/>
      <c r="R1420" s="64"/>
    </row>
    <row r="1421" spans="1:18" x14ac:dyDescent="0.25">
      <c r="A1421" s="63"/>
      <c r="B1421" s="64"/>
      <c r="C1421" s="64"/>
      <c r="D1421" s="64"/>
      <c r="E1421" s="64"/>
      <c r="F1421" s="64"/>
      <c r="G1421" s="64"/>
      <c r="H1421" s="64"/>
      <c r="I1421" s="64"/>
      <c r="J1421" s="64"/>
      <c r="K1421" s="64"/>
      <c r="L1421" s="64"/>
      <c r="M1421" s="64"/>
      <c r="N1421" s="64"/>
      <c r="O1421" s="64"/>
      <c r="P1421" s="64"/>
      <c r="Q1421" s="64"/>
      <c r="R1421" s="64"/>
    </row>
    <row r="1422" spans="1:18" x14ac:dyDescent="0.25">
      <c r="A1422" s="63"/>
      <c r="B1422" s="64"/>
      <c r="C1422" s="64"/>
      <c r="D1422" s="64"/>
      <c r="E1422" s="64"/>
      <c r="F1422" s="64"/>
      <c r="G1422" s="64"/>
      <c r="H1422" s="64"/>
      <c r="I1422" s="64"/>
      <c r="J1422" s="64"/>
      <c r="K1422" s="64"/>
      <c r="L1422" s="64"/>
      <c r="M1422" s="64"/>
      <c r="N1422" s="64"/>
      <c r="O1422" s="64"/>
      <c r="P1422" s="64"/>
      <c r="Q1422" s="64"/>
      <c r="R1422" s="64"/>
    </row>
    <row r="1423" spans="1:18" x14ac:dyDescent="0.25">
      <c r="A1423" s="63"/>
      <c r="B1423" s="64"/>
      <c r="C1423" s="64"/>
      <c r="D1423" s="64"/>
      <c r="E1423" s="64"/>
      <c r="F1423" s="64"/>
      <c r="G1423" s="64"/>
      <c r="H1423" s="64"/>
      <c r="I1423" s="64"/>
      <c r="J1423" s="64"/>
      <c r="K1423" s="64"/>
      <c r="L1423" s="64"/>
      <c r="M1423" s="64"/>
      <c r="N1423" s="64"/>
      <c r="O1423" s="64"/>
      <c r="P1423" s="64"/>
      <c r="Q1423" s="64"/>
      <c r="R1423" s="64"/>
    </row>
    <row r="1424" spans="1:18" x14ac:dyDescent="0.25">
      <c r="A1424" s="63"/>
      <c r="B1424" s="64"/>
      <c r="C1424" s="64"/>
      <c r="D1424" s="64"/>
      <c r="E1424" s="64"/>
      <c r="F1424" s="64"/>
      <c r="G1424" s="64"/>
      <c r="H1424" s="64"/>
      <c r="I1424" s="64"/>
      <c r="J1424" s="64"/>
      <c r="K1424" s="64"/>
      <c r="L1424" s="64"/>
      <c r="M1424" s="64"/>
      <c r="N1424" s="64"/>
      <c r="O1424" s="64"/>
      <c r="P1424" s="64"/>
      <c r="Q1424" s="64"/>
      <c r="R1424" s="64"/>
    </row>
    <row r="1425" spans="1:18" x14ac:dyDescent="0.25">
      <c r="A1425" s="63"/>
      <c r="B1425" s="64"/>
      <c r="C1425" s="64"/>
      <c r="D1425" s="64"/>
      <c r="E1425" s="64"/>
      <c r="F1425" s="64"/>
      <c r="G1425" s="64"/>
      <c r="H1425" s="64"/>
      <c r="I1425" s="64"/>
      <c r="J1425" s="64"/>
      <c r="K1425" s="64"/>
      <c r="L1425" s="64"/>
      <c r="M1425" s="64"/>
      <c r="N1425" s="64"/>
      <c r="O1425" s="64"/>
      <c r="P1425" s="64"/>
      <c r="Q1425" s="64"/>
      <c r="R1425" s="64"/>
    </row>
    <row r="1426" spans="1:18" x14ac:dyDescent="0.25">
      <c r="A1426" s="63"/>
      <c r="B1426" s="64"/>
      <c r="C1426" s="64"/>
      <c r="D1426" s="64"/>
      <c r="E1426" s="64"/>
      <c r="F1426" s="64"/>
      <c r="G1426" s="64"/>
      <c r="H1426" s="64"/>
      <c r="I1426" s="64"/>
      <c r="J1426" s="64"/>
      <c r="K1426" s="64"/>
      <c r="L1426" s="64"/>
      <c r="M1426" s="64"/>
      <c r="N1426" s="64"/>
      <c r="O1426" s="64"/>
      <c r="P1426" s="64"/>
      <c r="Q1426" s="64"/>
      <c r="R1426" s="64"/>
    </row>
    <row r="1427" spans="1:18" x14ac:dyDescent="0.25">
      <c r="A1427" s="63"/>
      <c r="B1427" s="64"/>
      <c r="C1427" s="64"/>
      <c r="D1427" s="64"/>
      <c r="E1427" s="64"/>
      <c r="F1427" s="64"/>
      <c r="G1427" s="64"/>
      <c r="H1427" s="64"/>
      <c r="I1427" s="64"/>
      <c r="J1427" s="64"/>
      <c r="K1427" s="64"/>
      <c r="L1427" s="64"/>
      <c r="M1427" s="64"/>
      <c r="N1427" s="64"/>
      <c r="O1427" s="64"/>
      <c r="P1427" s="64"/>
      <c r="Q1427" s="64"/>
      <c r="R1427" s="64"/>
    </row>
    <row r="1428" spans="1:18" x14ac:dyDescent="0.25">
      <c r="A1428" s="63"/>
      <c r="B1428" s="64"/>
      <c r="C1428" s="64"/>
      <c r="D1428" s="64"/>
      <c r="E1428" s="64"/>
      <c r="F1428" s="64"/>
      <c r="G1428" s="64"/>
      <c r="H1428" s="64"/>
      <c r="I1428" s="64"/>
      <c r="J1428" s="64"/>
      <c r="K1428" s="64"/>
      <c r="L1428" s="64"/>
      <c r="M1428" s="64"/>
      <c r="N1428" s="64"/>
      <c r="O1428" s="64"/>
      <c r="P1428" s="64"/>
      <c r="Q1428" s="64"/>
      <c r="R1428" s="64"/>
    </row>
    <row r="1429" spans="1:18" x14ac:dyDescent="0.25">
      <c r="A1429" s="63"/>
      <c r="B1429" s="64"/>
      <c r="C1429" s="64"/>
      <c r="D1429" s="64"/>
      <c r="E1429" s="64"/>
      <c r="F1429" s="64"/>
      <c r="G1429" s="64"/>
      <c r="H1429" s="64"/>
      <c r="I1429" s="64"/>
      <c r="J1429" s="64"/>
      <c r="K1429" s="64"/>
      <c r="L1429" s="64"/>
      <c r="M1429" s="64"/>
      <c r="N1429" s="64"/>
      <c r="O1429" s="64"/>
      <c r="P1429" s="64"/>
      <c r="Q1429" s="64"/>
      <c r="R1429" s="64"/>
    </row>
    <row r="1430" spans="1:18" x14ac:dyDescent="0.25">
      <c r="A1430" s="63"/>
      <c r="B1430" s="64"/>
      <c r="C1430" s="64"/>
      <c r="D1430" s="64"/>
      <c r="E1430" s="64"/>
      <c r="F1430" s="64"/>
      <c r="G1430" s="64"/>
      <c r="H1430" s="64"/>
      <c r="I1430" s="64"/>
      <c r="J1430" s="64"/>
      <c r="K1430" s="64"/>
      <c r="L1430" s="64"/>
      <c r="M1430" s="64"/>
      <c r="N1430" s="64"/>
      <c r="O1430" s="64"/>
      <c r="P1430" s="64"/>
      <c r="Q1430" s="64"/>
      <c r="R1430" s="64"/>
    </row>
    <row r="1431" spans="1:18" x14ac:dyDescent="0.25">
      <c r="A1431" s="63"/>
      <c r="B1431" s="64"/>
      <c r="C1431" s="64"/>
      <c r="D1431" s="64"/>
      <c r="E1431" s="64"/>
      <c r="F1431" s="64"/>
      <c r="G1431" s="64"/>
      <c r="H1431" s="64"/>
      <c r="I1431" s="64"/>
      <c r="J1431" s="64"/>
      <c r="K1431" s="64"/>
      <c r="L1431" s="64"/>
      <c r="M1431" s="64"/>
      <c r="N1431" s="64"/>
      <c r="O1431" s="64"/>
      <c r="P1431" s="64"/>
      <c r="Q1431" s="64"/>
      <c r="R1431" s="64"/>
    </row>
    <row r="1432" spans="1:18" x14ac:dyDescent="0.25">
      <c r="A1432" s="63"/>
      <c r="B1432" s="64"/>
      <c r="C1432" s="64"/>
      <c r="D1432" s="64"/>
      <c r="E1432" s="64"/>
      <c r="F1432" s="64"/>
      <c r="G1432" s="64"/>
      <c r="H1432" s="64"/>
      <c r="I1432" s="64"/>
      <c r="J1432" s="64"/>
      <c r="K1432" s="64"/>
      <c r="L1432" s="64"/>
      <c r="M1432" s="64"/>
      <c r="N1432" s="64"/>
      <c r="O1432" s="64"/>
      <c r="P1432" s="64"/>
      <c r="Q1432" s="64"/>
      <c r="R1432" s="64"/>
    </row>
    <row r="1433" spans="1:18" x14ac:dyDescent="0.25">
      <c r="A1433" s="63"/>
      <c r="B1433" s="64"/>
      <c r="C1433" s="64"/>
      <c r="D1433" s="64"/>
      <c r="E1433" s="64"/>
      <c r="F1433" s="64"/>
      <c r="G1433" s="64"/>
      <c r="H1433" s="64"/>
      <c r="I1433" s="64"/>
      <c r="J1433" s="64"/>
      <c r="K1433" s="64"/>
      <c r="L1433" s="64"/>
      <c r="M1433" s="64"/>
      <c r="N1433" s="64"/>
      <c r="O1433" s="64"/>
      <c r="P1433" s="64"/>
      <c r="Q1433" s="64"/>
      <c r="R1433" s="64"/>
    </row>
    <row r="1434" spans="1:18" x14ac:dyDescent="0.25">
      <c r="A1434" s="63"/>
      <c r="B1434" s="64"/>
      <c r="C1434" s="64"/>
      <c r="D1434" s="64"/>
      <c r="E1434" s="64"/>
      <c r="F1434" s="64"/>
      <c r="G1434" s="64"/>
      <c r="H1434" s="64"/>
      <c r="I1434" s="64"/>
      <c r="J1434" s="64"/>
      <c r="K1434" s="64"/>
      <c r="L1434" s="64"/>
      <c r="M1434" s="64"/>
      <c r="N1434" s="64"/>
      <c r="O1434" s="64"/>
      <c r="P1434" s="64"/>
      <c r="Q1434" s="64"/>
      <c r="R1434" s="64"/>
    </row>
    <row r="1435" spans="1:18" x14ac:dyDescent="0.25">
      <c r="A1435" s="63"/>
      <c r="B1435" s="64"/>
      <c r="C1435" s="64"/>
      <c r="D1435" s="64"/>
      <c r="E1435" s="64"/>
      <c r="F1435" s="64"/>
      <c r="G1435" s="64"/>
      <c r="H1435" s="64"/>
      <c r="I1435" s="64"/>
      <c r="J1435" s="64"/>
      <c r="K1435" s="64"/>
      <c r="L1435" s="64"/>
      <c r="M1435" s="64"/>
      <c r="N1435" s="64"/>
      <c r="O1435" s="64"/>
      <c r="P1435" s="64"/>
      <c r="Q1435" s="64"/>
      <c r="R1435" s="64"/>
    </row>
    <row r="1436" spans="1:18" x14ac:dyDescent="0.25">
      <c r="A1436" s="63"/>
      <c r="B1436" s="64"/>
      <c r="C1436" s="64"/>
      <c r="D1436" s="64"/>
      <c r="E1436" s="64"/>
      <c r="F1436" s="64"/>
      <c r="G1436" s="64"/>
      <c r="H1436" s="64"/>
      <c r="I1436" s="64"/>
      <c r="J1436" s="64"/>
      <c r="K1436" s="64"/>
      <c r="L1436" s="64"/>
      <c r="M1436" s="64"/>
      <c r="N1436" s="64"/>
      <c r="O1436" s="64"/>
      <c r="P1436" s="64"/>
      <c r="Q1436" s="64"/>
      <c r="R1436" s="64"/>
    </row>
    <row r="1437" spans="1:18" x14ac:dyDescent="0.25">
      <c r="A1437" s="63"/>
      <c r="B1437" s="64"/>
      <c r="C1437" s="64"/>
      <c r="D1437" s="64"/>
      <c r="E1437" s="64"/>
      <c r="F1437" s="64"/>
      <c r="G1437" s="64"/>
      <c r="H1437" s="64"/>
      <c r="I1437" s="64"/>
      <c r="J1437" s="64"/>
      <c r="K1437" s="64"/>
      <c r="L1437" s="64"/>
      <c r="M1437" s="64"/>
      <c r="N1437" s="64"/>
      <c r="O1437" s="64"/>
      <c r="P1437" s="64"/>
      <c r="Q1437" s="64"/>
      <c r="R1437" s="64"/>
    </row>
    <row r="1438" spans="1:18" x14ac:dyDescent="0.25">
      <c r="A1438" s="63"/>
      <c r="B1438" s="64"/>
      <c r="C1438" s="64"/>
      <c r="D1438" s="64"/>
      <c r="E1438" s="64"/>
      <c r="F1438" s="64"/>
      <c r="G1438" s="64"/>
      <c r="H1438" s="64"/>
      <c r="I1438" s="64"/>
      <c r="J1438" s="64"/>
      <c r="K1438" s="64"/>
      <c r="L1438" s="64"/>
      <c r="M1438" s="64"/>
      <c r="N1438" s="64"/>
      <c r="O1438" s="64"/>
      <c r="P1438" s="64"/>
      <c r="Q1438" s="64"/>
      <c r="R1438" s="64"/>
    </row>
    <row r="1439" spans="1:18" x14ac:dyDescent="0.25">
      <c r="A1439" s="63"/>
      <c r="B1439" s="64"/>
      <c r="C1439" s="64"/>
      <c r="D1439" s="64"/>
      <c r="E1439" s="64"/>
      <c r="F1439" s="64"/>
      <c r="G1439" s="64"/>
      <c r="H1439" s="64"/>
      <c r="I1439" s="64"/>
      <c r="J1439" s="64"/>
      <c r="K1439" s="64"/>
      <c r="L1439" s="64"/>
      <c r="M1439" s="64"/>
      <c r="N1439" s="64"/>
      <c r="O1439" s="64"/>
      <c r="P1439" s="64"/>
      <c r="Q1439" s="64"/>
      <c r="R1439" s="64"/>
    </row>
    <row r="1440" spans="1:18" x14ac:dyDescent="0.25">
      <c r="A1440" s="63"/>
      <c r="B1440" s="64"/>
      <c r="C1440" s="64"/>
      <c r="D1440" s="64"/>
      <c r="E1440" s="64"/>
      <c r="F1440" s="64"/>
      <c r="G1440" s="64"/>
      <c r="H1440" s="64"/>
      <c r="I1440" s="64"/>
      <c r="J1440" s="64"/>
      <c r="K1440" s="64"/>
      <c r="L1440" s="64"/>
      <c r="M1440" s="64"/>
      <c r="N1440" s="64"/>
      <c r="O1440" s="64"/>
      <c r="P1440" s="64"/>
      <c r="Q1440" s="64"/>
      <c r="R1440" s="64"/>
    </row>
    <row r="1441" spans="1:18" x14ac:dyDescent="0.25">
      <c r="A1441" s="63"/>
      <c r="B1441" s="64"/>
      <c r="C1441" s="64"/>
      <c r="D1441" s="64"/>
      <c r="E1441" s="64"/>
      <c r="F1441" s="64"/>
      <c r="G1441" s="64"/>
      <c r="H1441" s="64"/>
      <c r="I1441" s="64"/>
      <c r="J1441" s="64"/>
      <c r="K1441" s="64"/>
      <c r="L1441" s="64"/>
      <c r="M1441" s="64"/>
      <c r="N1441" s="64"/>
      <c r="O1441" s="64"/>
      <c r="P1441" s="64"/>
      <c r="Q1441" s="64"/>
      <c r="R1441" s="64"/>
    </row>
    <row r="1442" spans="1:18" x14ac:dyDescent="0.25">
      <c r="A1442" s="63"/>
      <c r="B1442" s="64"/>
      <c r="C1442" s="64"/>
      <c r="D1442" s="64"/>
      <c r="E1442" s="64"/>
      <c r="F1442" s="64"/>
      <c r="G1442" s="64"/>
      <c r="H1442" s="64"/>
      <c r="I1442" s="64"/>
      <c r="J1442" s="64"/>
      <c r="K1442" s="64"/>
      <c r="L1442" s="64"/>
      <c r="M1442" s="64"/>
      <c r="N1442" s="64"/>
      <c r="O1442" s="64"/>
      <c r="P1442" s="64"/>
      <c r="Q1442" s="64"/>
      <c r="R1442" s="64"/>
    </row>
    <row r="1443" spans="1:18" x14ac:dyDescent="0.25">
      <c r="A1443" s="63"/>
      <c r="B1443" s="64"/>
      <c r="C1443" s="64"/>
      <c r="D1443" s="64"/>
      <c r="E1443" s="64"/>
      <c r="F1443" s="64"/>
      <c r="G1443" s="64"/>
      <c r="H1443" s="64"/>
      <c r="I1443" s="64"/>
      <c r="J1443" s="64"/>
      <c r="K1443" s="64"/>
      <c r="L1443" s="64"/>
      <c r="M1443" s="64"/>
      <c r="N1443" s="64"/>
      <c r="O1443" s="64"/>
      <c r="P1443" s="64"/>
      <c r="Q1443" s="64"/>
      <c r="R1443" s="64"/>
    </row>
    <row r="1444" spans="1:18" x14ac:dyDescent="0.25">
      <c r="A1444" s="63"/>
      <c r="B1444" s="64"/>
      <c r="C1444" s="64"/>
      <c r="D1444" s="64"/>
      <c r="E1444" s="64"/>
      <c r="F1444" s="64"/>
      <c r="G1444" s="64"/>
      <c r="H1444" s="64"/>
      <c r="I1444" s="64"/>
      <c r="J1444" s="64"/>
      <c r="K1444" s="64"/>
      <c r="L1444" s="64"/>
      <c r="M1444" s="64"/>
      <c r="N1444" s="64"/>
      <c r="O1444" s="64"/>
      <c r="P1444" s="64"/>
      <c r="Q1444" s="64"/>
      <c r="R1444" s="64"/>
    </row>
    <row r="1445" spans="1:18" x14ac:dyDescent="0.25">
      <c r="A1445" s="63"/>
      <c r="B1445" s="64"/>
      <c r="C1445" s="64"/>
      <c r="D1445" s="64"/>
      <c r="E1445" s="64"/>
      <c r="F1445" s="64"/>
      <c r="G1445" s="64"/>
      <c r="H1445" s="64"/>
      <c r="I1445" s="64"/>
      <c r="J1445" s="64"/>
      <c r="K1445" s="64"/>
      <c r="L1445" s="64"/>
      <c r="M1445" s="64"/>
      <c r="N1445" s="64"/>
      <c r="O1445" s="64"/>
      <c r="P1445" s="64"/>
      <c r="Q1445" s="64"/>
      <c r="R1445" s="64"/>
    </row>
    <row r="1446" spans="1:18" x14ac:dyDescent="0.25">
      <c r="A1446" s="63"/>
      <c r="B1446" s="64"/>
      <c r="C1446" s="64"/>
      <c r="D1446" s="64"/>
      <c r="E1446" s="64"/>
      <c r="F1446" s="64"/>
      <c r="G1446" s="64"/>
      <c r="H1446" s="64"/>
      <c r="I1446" s="64"/>
      <c r="J1446" s="64"/>
      <c r="K1446" s="64"/>
      <c r="L1446" s="64"/>
      <c r="M1446" s="64"/>
      <c r="N1446" s="64"/>
      <c r="O1446" s="64"/>
      <c r="P1446" s="64"/>
      <c r="Q1446" s="64"/>
      <c r="R1446" s="64"/>
    </row>
    <row r="1447" spans="1:18" x14ac:dyDescent="0.25">
      <c r="A1447" s="63"/>
      <c r="B1447" s="64"/>
      <c r="C1447" s="64"/>
      <c r="D1447" s="64"/>
      <c r="E1447" s="64"/>
      <c r="F1447" s="64"/>
      <c r="G1447" s="64"/>
      <c r="H1447" s="64"/>
      <c r="I1447" s="64"/>
      <c r="J1447" s="64"/>
      <c r="K1447" s="64"/>
      <c r="L1447" s="64"/>
      <c r="M1447" s="64"/>
      <c r="N1447" s="64"/>
      <c r="O1447" s="64"/>
      <c r="P1447" s="64"/>
      <c r="Q1447" s="64"/>
      <c r="R1447" s="64"/>
    </row>
    <row r="1448" spans="1:18" x14ac:dyDescent="0.25">
      <c r="A1448" s="63"/>
      <c r="B1448" s="64"/>
      <c r="C1448" s="64"/>
      <c r="D1448" s="64"/>
      <c r="E1448" s="64"/>
      <c r="F1448" s="64"/>
      <c r="G1448" s="64"/>
      <c r="H1448" s="64"/>
      <c r="I1448" s="64"/>
      <c r="J1448" s="64"/>
      <c r="K1448" s="64"/>
      <c r="L1448" s="64"/>
      <c r="M1448" s="64"/>
      <c r="N1448" s="64"/>
      <c r="O1448" s="64"/>
      <c r="P1448" s="64"/>
      <c r="Q1448" s="64"/>
      <c r="R1448" s="64"/>
    </row>
    <row r="1449" spans="1:18" x14ac:dyDescent="0.25">
      <c r="A1449" s="63"/>
      <c r="B1449" s="64"/>
      <c r="C1449" s="64"/>
      <c r="D1449" s="64"/>
      <c r="E1449" s="64"/>
      <c r="F1449" s="64"/>
      <c r="G1449" s="64"/>
      <c r="H1449" s="64"/>
      <c r="I1449" s="64"/>
      <c r="J1449" s="64"/>
      <c r="K1449" s="64"/>
      <c r="L1449" s="64"/>
      <c r="M1449" s="64"/>
      <c r="N1449" s="64"/>
      <c r="O1449" s="64"/>
      <c r="P1449" s="64"/>
      <c r="Q1449" s="64"/>
      <c r="R1449" s="64"/>
    </row>
    <row r="1450" spans="1:18" x14ac:dyDescent="0.25">
      <c r="A1450" s="63"/>
      <c r="B1450" s="64"/>
      <c r="C1450" s="64"/>
      <c r="D1450" s="64"/>
      <c r="E1450" s="64"/>
      <c r="F1450" s="64"/>
      <c r="G1450" s="64"/>
      <c r="H1450" s="64"/>
      <c r="I1450" s="64"/>
      <c r="J1450" s="64"/>
      <c r="K1450" s="64"/>
      <c r="L1450" s="64"/>
      <c r="M1450" s="64"/>
      <c r="N1450" s="64"/>
      <c r="O1450" s="64"/>
      <c r="P1450" s="64"/>
      <c r="Q1450" s="64"/>
      <c r="R1450" s="64"/>
    </row>
    <row r="1451" spans="1:18" x14ac:dyDescent="0.25">
      <c r="A1451" s="63"/>
      <c r="B1451" s="64"/>
      <c r="C1451" s="64"/>
      <c r="D1451" s="64"/>
      <c r="E1451" s="64"/>
      <c r="F1451" s="64"/>
      <c r="G1451" s="64"/>
      <c r="H1451" s="64"/>
      <c r="I1451" s="64"/>
      <c r="J1451" s="64"/>
      <c r="K1451" s="64"/>
      <c r="L1451" s="64"/>
      <c r="M1451" s="64"/>
      <c r="N1451" s="64"/>
      <c r="O1451" s="64"/>
      <c r="P1451" s="64"/>
      <c r="Q1451" s="64"/>
      <c r="R1451" s="64"/>
    </row>
    <row r="1452" spans="1:18" x14ac:dyDescent="0.25">
      <c r="A1452" s="63"/>
      <c r="B1452" s="64"/>
      <c r="C1452" s="64"/>
      <c r="D1452" s="64"/>
      <c r="E1452" s="64"/>
      <c r="F1452" s="64"/>
      <c r="G1452" s="64"/>
      <c r="H1452" s="64"/>
      <c r="I1452" s="64"/>
      <c r="J1452" s="64"/>
      <c r="K1452" s="64"/>
      <c r="L1452" s="64"/>
      <c r="M1452" s="64"/>
      <c r="N1452" s="64"/>
      <c r="O1452" s="64"/>
      <c r="P1452" s="64"/>
      <c r="Q1452" s="64"/>
      <c r="R1452" s="64"/>
    </row>
    <row r="1453" spans="1:18" x14ac:dyDescent="0.25">
      <c r="A1453" s="63"/>
      <c r="B1453" s="64"/>
      <c r="C1453" s="64"/>
      <c r="D1453" s="64"/>
      <c r="E1453" s="64"/>
      <c r="F1453" s="64"/>
      <c r="G1453" s="64"/>
      <c r="H1453" s="64"/>
      <c r="I1453" s="64"/>
      <c r="J1453" s="64"/>
      <c r="K1453" s="64"/>
      <c r="L1453" s="64"/>
      <c r="M1453" s="64"/>
      <c r="N1453" s="64"/>
      <c r="O1453" s="64"/>
      <c r="P1453" s="64"/>
      <c r="Q1453" s="64"/>
      <c r="R1453" s="64"/>
    </row>
    <row r="1454" spans="1:18" x14ac:dyDescent="0.25">
      <c r="A1454" s="63"/>
      <c r="B1454" s="64"/>
      <c r="C1454" s="64"/>
      <c r="D1454" s="64"/>
      <c r="E1454" s="64"/>
      <c r="F1454" s="64"/>
      <c r="G1454" s="64"/>
      <c r="H1454" s="64"/>
      <c r="I1454" s="64"/>
      <c r="J1454" s="64"/>
      <c r="K1454" s="64"/>
      <c r="L1454" s="64"/>
      <c r="M1454" s="64"/>
      <c r="N1454" s="64"/>
      <c r="O1454" s="64"/>
      <c r="P1454" s="64"/>
      <c r="Q1454" s="64"/>
      <c r="R1454" s="64"/>
    </row>
    <row r="1455" spans="1:18" x14ac:dyDescent="0.25">
      <c r="A1455" s="63"/>
      <c r="B1455" s="64"/>
      <c r="C1455" s="64"/>
      <c r="D1455" s="64"/>
      <c r="E1455" s="64"/>
      <c r="F1455" s="64"/>
      <c r="G1455" s="64"/>
      <c r="H1455" s="64"/>
      <c r="I1455" s="64"/>
      <c r="J1455" s="64"/>
      <c r="K1455" s="64"/>
      <c r="L1455" s="64"/>
      <c r="M1455" s="64"/>
      <c r="N1455" s="64"/>
      <c r="O1455" s="64"/>
      <c r="P1455" s="64"/>
      <c r="Q1455" s="64"/>
      <c r="R1455" s="64"/>
    </row>
    <row r="1456" spans="1:18" x14ac:dyDescent="0.25">
      <c r="A1456" s="63"/>
      <c r="B1456" s="64"/>
      <c r="C1456" s="64"/>
      <c r="D1456" s="64"/>
      <c r="E1456" s="64"/>
      <c r="F1456" s="64"/>
      <c r="G1456" s="64"/>
      <c r="H1456" s="64"/>
      <c r="I1456" s="64"/>
      <c r="J1456" s="64"/>
      <c r="K1456" s="64"/>
      <c r="L1456" s="64"/>
      <c r="M1456" s="64"/>
      <c r="N1456" s="64"/>
      <c r="O1456" s="64"/>
      <c r="P1456" s="64"/>
      <c r="Q1456" s="64"/>
      <c r="R1456" s="64"/>
    </row>
    <row r="1457" spans="1:18" x14ac:dyDescent="0.25">
      <c r="A1457" s="63"/>
      <c r="B1457" s="64"/>
      <c r="C1457" s="64"/>
      <c r="D1457" s="64"/>
      <c r="E1457" s="64"/>
      <c r="F1457" s="64"/>
      <c r="G1457" s="64"/>
      <c r="H1457" s="64"/>
      <c r="I1457" s="64"/>
      <c r="J1457" s="64"/>
      <c r="K1457" s="64"/>
      <c r="L1457" s="64"/>
      <c r="M1457" s="64"/>
      <c r="N1457" s="64"/>
      <c r="O1457" s="64"/>
      <c r="P1457" s="64"/>
      <c r="Q1457" s="64"/>
      <c r="R1457" s="64"/>
    </row>
    <row r="1458" spans="1:18" x14ac:dyDescent="0.25">
      <c r="A1458" s="63"/>
      <c r="B1458" s="64"/>
      <c r="C1458" s="64"/>
      <c r="D1458" s="64"/>
      <c r="E1458" s="64"/>
      <c r="F1458" s="64"/>
      <c r="G1458" s="64"/>
      <c r="H1458" s="64"/>
      <c r="I1458" s="64"/>
      <c r="J1458" s="64"/>
      <c r="K1458" s="64"/>
      <c r="L1458" s="64"/>
      <c r="M1458" s="64"/>
      <c r="N1458" s="64"/>
      <c r="O1458" s="64"/>
      <c r="P1458" s="64"/>
      <c r="Q1458" s="64"/>
      <c r="R1458" s="64"/>
    </row>
    <row r="1459" spans="1:18" x14ac:dyDescent="0.25">
      <c r="A1459" s="63"/>
      <c r="B1459" s="64"/>
      <c r="C1459" s="64"/>
      <c r="D1459" s="64"/>
      <c r="E1459" s="64"/>
      <c r="F1459" s="64"/>
      <c r="G1459" s="64"/>
      <c r="H1459" s="64"/>
      <c r="I1459" s="64"/>
      <c r="J1459" s="64"/>
      <c r="K1459" s="64"/>
      <c r="L1459" s="64"/>
      <c r="M1459" s="64"/>
      <c r="N1459" s="64"/>
      <c r="O1459" s="64"/>
      <c r="P1459" s="64"/>
      <c r="Q1459" s="64"/>
      <c r="R1459" s="64"/>
    </row>
    <row r="1460" spans="1:18" x14ac:dyDescent="0.25">
      <c r="A1460" s="63"/>
      <c r="B1460" s="64"/>
      <c r="C1460" s="64"/>
      <c r="D1460" s="64"/>
      <c r="E1460" s="64"/>
      <c r="F1460" s="64"/>
      <c r="G1460" s="64"/>
      <c r="H1460" s="64"/>
      <c r="I1460" s="64"/>
      <c r="J1460" s="64"/>
      <c r="K1460" s="64"/>
      <c r="L1460" s="64"/>
      <c r="M1460" s="64"/>
      <c r="N1460" s="64"/>
      <c r="O1460" s="64"/>
      <c r="P1460" s="64"/>
      <c r="Q1460" s="64"/>
      <c r="R1460" s="64"/>
    </row>
    <row r="1461" spans="1:18" x14ac:dyDescent="0.25">
      <c r="A1461" s="63"/>
      <c r="B1461" s="64"/>
      <c r="C1461" s="64"/>
      <c r="D1461" s="64"/>
      <c r="E1461" s="64"/>
      <c r="F1461" s="64"/>
      <c r="G1461" s="64"/>
      <c r="H1461" s="64"/>
      <c r="I1461" s="64"/>
      <c r="J1461" s="64"/>
      <c r="K1461" s="64"/>
      <c r="L1461" s="64"/>
      <c r="M1461" s="64"/>
      <c r="N1461" s="64"/>
      <c r="O1461" s="64"/>
      <c r="P1461" s="64"/>
      <c r="Q1461" s="64"/>
      <c r="R1461" s="64"/>
    </row>
    <row r="1462" spans="1:18" x14ac:dyDescent="0.25">
      <c r="A1462" s="63"/>
      <c r="B1462" s="64"/>
      <c r="C1462" s="64"/>
      <c r="D1462" s="64"/>
      <c r="E1462" s="64"/>
      <c r="F1462" s="64"/>
      <c r="G1462" s="64"/>
      <c r="H1462" s="64"/>
      <c r="I1462" s="64"/>
      <c r="J1462" s="64"/>
      <c r="K1462" s="64"/>
      <c r="L1462" s="64"/>
      <c r="M1462" s="64"/>
      <c r="N1462" s="64"/>
      <c r="O1462" s="64"/>
      <c r="P1462" s="64"/>
      <c r="Q1462" s="64"/>
      <c r="R1462" s="64"/>
    </row>
    <row r="1463" spans="1:18" x14ac:dyDescent="0.25">
      <c r="A1463" s="63"/>
      <c r="B1463" s="64"/>
      <c r="C1463" s="64"/>
      <c r="D1463" s="64"/>
      <c r="E1463" s="64"/>
      <c r="F1463" s="64"/>
      <c r="G1463" s="64"/>
      <c r="H1463" s="64"/>
      <c r="I1463" s="64"/>
      <c r="J1463" s="64"/>
      <c r="K1463" s="64"/>
      <c r="L1463" s="64"/>
      <c r="M1463" s="64"/>
      <c r="N1463" s="64"/>
      <c r="O1463" s="64"/>
      <c r="P1463" s="64"/>
      <c r="Q1463" s="64"/>
      <c r="R1463" s="64"/>
    </row>
    <row r="1464" spans="1:18" x14ac:dyDescent="0.25">
      <c r="A1464" s="63"/>
      <c r="B1464" s="64"/>
      <c r="C1464" s="64"/>
      <c r="D1464" s="64"/>
      <c r="E1464" s="64"/>
      <c r="F1464" s="64"/>
      <c r="G1464" s="64"/>
      <c r="H1464" s="64"/>
      <c r="I1464" s="64"/>
      <c r="J1464" s="64"/>
      <c r="K1464" s="64"/>
      <c r="L1464" s="64"/>
      <c r="M1464" s="64"/>
      <c r="N1464" s="64"/>
      <c r="O1464" s="64"/>
      <c r="P1464" s="64"/>
      <c r="Q1464" s="64"/>
      <c r="R1464" s="64"/>
    </row>
    <row r="1465" spans="1:18" x14ac:dyDescent="0.25">
      <c r="A1465" s="63"/>
      <c r="B1465" s="64"/>
      <c r="C1465" s="64"/>
      <c r="D1465" s="64"/>
      <c r="E1465" s="64"/>
      <c r="F1465" s="64"/>
      <c r="G1465" s="64"/>
      <c r="H1465" s="64"/>
      <c r="I1465" s="64"/>
      <c r="J1465" s="64"/>
      <c r="K1465" s="64"/>
      <c r="L1465" s="64"/>
      <c r="M1465" s="64"/>
      <c r="N1465" s="64"/>
      <c r="O1465" s="64"/>
      <c r="P1465" s="64"/>
      <c r="Q1465" s="64"/>
      <c r="R1465" s="64"/>
    </row>
    <row r="1466" spans="1:18" x14ac:dyDescent="0.25">
      <c r="A1466" s="63"/>
      <c r="B1466" s="64"/>
      <c r="C1466" s="64"/>
      <c r="D1466" s="64"/>
      <c r="E1466" s="64"/>
      <c r="F1466" s="64"/>
      <c r="G1466" s="64"/>
      <c r="H1466" s="64"/>
      <c r="I1466" s="64"/>
      <c r="J1466" s="64"/>
      <c r="K1466" s="64"/>
      <c r="L1466" s="64"/>
      <c r="M1466" s="64"/>
      <c r="N1466" s="64"/>
      <c r="O1466" s="64"/>
      <c r="P1466" s="64"/>
      <c r="Q1466" s="64"/>
      <c r="R1466" s="64"/>
    </row>
    <row r="1467" spans="1:18" x14ac:dyDescent="0.25">
      <c r="A1467" s="63"/>
      <c r="B1467" s="64"/>
      <c r="C1467" s="64"/>
      <c r="D1467" s="64"/>
      <c r="E1467" s="64"/>
      <c r="F1467" s="64"/>
      <c r="G1467" s="64"/>
      <c r="H1467" s="64"/>
      <c r="I1467" s="64"/>
      <c r="J1467" s="64"/>
      <c r="K1467" s="64"/>
      <c r="L1467" s="64"/>
      <c r="M1467" s="64"/>
      <c r="N1467" s="64"/>
      <c r="O1467" s="64"/>
      <c r="P1467" s="64"/>
      <c r="Q1467" s="64"/>
      <c r="R1467" s="64"/>
    </row>
    <row r="1468" spans="1:18" x14ac:dyDescent="0.25">
      <c r="A1468" s="63"/>
      <c r="B1468" s="64"/>
      <c r="C1468" s="64"/>
      <c r="D1468" s="64"/>
      <c r="E1468" s="64"/>
      <c r="F1468" s="64"/>
      <c r="G1468" s="64"/>
      <c r="H1468" s="64"/>
      <c r="I1468" s="64"/>
      <c r="J1468" s="64"/>
      <c r="K1468" s="64"/>
      <c r="L1468" s="64"/>
      <c r="M1468" s="64"/>
      <c r="N1468" s="64"/>
      <c r="O1468" s="64"/>
      <c r="P1468" s="64"/>
      <c r="Q1468" s="64"/>
      <c r="R1468" s="64"/>
    </row>
    <row r="1469" spans="1:18" x14ac:dyDescent="0.25">
      <c r="A1469" s="63"/>
      <c r="B1469" s="64"/>
      <c r="C1469" s="64"/>
      <c r="D1469" s="64"/>
      <c r="E1469" s="64"/>
      <c r="F1469" s="64"/>
      <c r="G1469" s="64"/>
      <c r="H1469" s="64"/>
      <c r="I1469" s="64"/>
      <c r="J1469" s="64"/>
      <c r="K1469" s="64"/>
      <c r="L1469" s="64"/>
      <c r="M1469" s="64"/>
      <c r="N1469" s="64"/>
      <c r="O1469" s="64"/>
      <c r="P1469" s="64"/>
      <c r="Q1469" s="64"/>
      <c r="R1469" s="64"/>
    </row>
    <row r="1470" spans="1:18" x14ac:dyDescent="0.25">
      <c r="A1470" s="63"/>
      <c r="B1470" s="64"/>
      <c r="C1470" s="64"/>
      <c r="D1470" s="64"/>
      <c r="E1470" s="64"/>
      <c r="F1470" s="64"/>
      <c r="G1470" s="64"/>
      <c r="H1470" s="64"/>
      <c r="I1470" s="64"/>
      <c r="J1470" s="64"/>
      <c r="K1470" s="64"/>
      <c r="L1470" s="64"/>
      <c r="M1470" s="64"/>
      <c r="N1470" s="64"/>
      <c r="O1470" s="64"/>
      <c r="P1470" s="64"/>
      <c r="Q1470" s="64"/>
      <c r="R1470" s="64"/>
    </row>
    <row r="1471" spans="1:18" x14ac:dyDescent="0.25">
      <c r="A1471" s="63"/>
      <c r="B1471" s="64"/>
      <c r="C1471" s="64"/>
      <c r="D1471" s="64"/>
      <c r="E1471" s="64"/>
      <c r="F1471" s="64"/>
      <c r="G1471" s="64"/>
      <c r="H1471" s="64"/>
      <c r="I1471" s="64"/>
      <c r="J1471" s="64"/>
      <c r="K1471" s="64"/>
      <c r="L1471" s="64"/>
      <c r="M1471" s="64"/>
      <c r="N1471" s="64"/>
      <c r="O1471" s="64"/>
      <c r="P1471" s="64"/>
      <c r="Q1471" s="64"/>
      <c r="R1471" s="64"/>
    </row>
    <row r="1472" spans="1:18" x14ac:dyDescent="0.25">
      <c r="A1472" s="63"/>
      <c r="B1472" s="64"/>
      <c r="C1472" s="64"/>
      <c r="D1472" s="64"/>
      <c r="E1472" s="64"/>
      <c r="F1472" s="64"/>
      <c r="G1472" s="64"/>
      <c r="H1472" s="64"/>
      <c r="I1472" s="64"/>
      <c r="J1472" s="64"/>
      <c r="K1472" s="64"/>
      <c r="L1472" s="64"/>
      <c r="M1472" s="64"/>
      <c r="N1472" s="64"/>
      <c r="O1472" s="64"/>
      <c r="P1472" s="64"/>
      <c r="Q1472" s="64"/>
      <c r="R1472" s="64"/>
    </row>
    <row r="1473" spans="1:18" x14ac:dyDescent="0.25">
      <c r="A1473" s="63"/>
      <c r="B1473" s="64"/>
      <c r="C1473" s="64"/>
      <c r="D1473" s="64"/>
      <c r="E1473" s="64"/>
      <c r="F1473" s="64"/>
      <c r="G1473" s="64"/>
      <c r="H1473" s="64"/>
      <c r="I1473" s="64"/>
      <c r="J1473" s="64"/>
      <c r="K1473" s="64"/>
      <c r="L1473" s="64"/>
      <c r="M1473" s="64"/>
      <c r="N1473" s="64"/>
      <c r="O1473" s="64"/>
      <c r="P1473" s="64"/>
      <c r="Q1473" s="64"/>
      <c r="R1473" s="64"/>
    </row>
    <row r="1474" spans="1:18" x14ac:dyDescent="0.25">
      <c r="A1474" s="63"/>
      <c r="B1474" s="64"/>
      <c r="C1474" s="64"/>
      <c r="D1474" s="64"/>
      <c r="E1474" s="64"/>
      <c r="F1474" s="64"/>
      <c r="G1474" s="64"/>
      <c r="H1474" s="64"/>
      <c r="I1474" s="64"/>
      <c r="J1474" s="64"/>
      <c r="K1474" s="64"/>
      <c r="L1474" s="64"/>
      <c r="M1474" s="64"/>
      <c r="N1474" s="64"/>
      <c r="O1474" s="64"/>
      <c r="P1474" s="64"/>
      <c r="Q1474" s="64"/>
      <c r="R1474" s="64"/>
    </row>
    <row r="1475" spans="1:18" x14ac:dyDescent="0.25">
      <c r="A1475" s="63"/>
      <c r="B1475" s="64"/>
      <c r="C1475" s="64"/>
      <c r="D1475" s="64"/>
      <c r="E1475" s="64"/>
      <c r="F1475" s="64"/>
      <c r="G1475" s="64"/>
      <c r="H1475" s="64"/>
      <c r="I1475" s="64"/>
      <c r="J1475" s="64"/>
      <c r="K1475" s="64"/>
      <c r="L1475" s="64"/>
      <c r="M1475" s="64"/>
      <c r="N1475" s="64"/>
      <c r="O1475" s="64"/>
      <c r="P1475" s="64"/>
      <c r="Q1475" s="64"/>
      <c r="R1475" s="64"/>
    </row>
    <row r="1476" spans="1:18" x14ac:dyDescent="0.25">
      <c r="A1476" s="63"/>
      <c r="B1476" s="64"/>
      <c r="C1476" s="64"/>
      <c r="D1476" s="64"/>
      <c r="E1476" s="64"/>
      <c r="F1476" s="64"/>
      <c r="G1476" s="64"/>
      <c r="H1476" s="64"/>
      <c r="I1476" s="64"/>
      <c r="J1476" s="64"/>
      <c r="K1476" s="64"/>
      <c r="L1476" s="64"/>
      <c r="M1476" s="64"/>
      <c r="N1476" s="64"/>
      <c r="O1476" s="64"/>
      <c r="P1476" s="64"/>
      <c r="Q1476" s="64"/>
      <c r="R1476" s="64"/>
    </row>
    <row r="1477" spans="1:18" x14ac:dyDescent="0.25">
      <c r="A1477" s="63"/>
      <c r="B1477" s="64"/>
      <c r="C1477" s="64"/>
      <c r="D1477" s="64"/>
      <c r="E1477" s="64"/>
      <c r="F1477" s="64"/>
      <c r="G1477" s="64"/>
      <c r="H1477" s="64"/>
      <c r="I1477" s="64"/>
      <c r="J1477" s="64"/>
      <c r="K1477" s="64"/>
      <c r="L1477" s="64"/>
      <c r="M1477" s="64"/>
      <c r="N1477" s="64"/>
      <c r="O1477" s="64"/>
      <c r="P1477" s="64"/>
      <c r="Q1477" s="64"/>
      <c r="R1477" s="64"/>
    </row>
    <row r="1478" spans="1:18" x14ac:dyDescent="0.25">
      <c r="A1478" s="63"/>
      <c r="B1478" s="64"/>
      <c r="C1478" s="64"/>
      <c r="D1478" s="64"/>
      <c r="E1478" s="64"/>
      <c r="F1478" s="64"/>
      <c r="G1478" s="64"/>
      <c r="H1478" s="64"/>
      <c r="I1478" s="64"/>
      <c r="J1478" s="64"/>
      <c r="K1478" s="64"/>
      <c r="L1478" s="64"/>
      <c r="M1478" s="64"/>
      <c r="N1478" s="64"/>
      <c r="O1478" s="64"/>
      <c r="P1478" s="64"/>
      <c r="Q1478" s="64"/>
      <c r="R1478" s="64"/>
    </row>
    <row r="1479" spans="1:18" x14ac:dyDescent="0.25">
      <c r="A1479" s="63"/>
      <c r="B1479" s="64"/>
      <c r="C1479" s="64"/>
      <c r="D1479" s="64"/>
      <c r="E1479" s="64"/>
      <c r="F1479" s="64"/>
      <c r="G1479" s="64"/>
      <c r="H1479" s="64"/>
      <c r="I1479" s="64"/>
      <c r="J1479" s="64"/>
      <c r="K1479" s="64"/>
      <c r="L1479" s="64"/>
      <c r="M1479" s="64"/>
      <c r="N1479" s="64"/>
      <c r="O1479" s="64"/>
      <c r="P1479" s="64"/>
      <c r="Q1479" s="64"/>
      <c r="R1479" s="64"/>
    </row>
    <row r="1480" spans="1:18" x14ac:dyDescent="0.25">
      <c r="A1480" s="63"/>
      <c r="B1480" s="64"/>
      <c r="C1480" s="64"/>
      <c r="D1480" s="64"/>
      <c r="E1480" s="64"/>
      <c r="F1480" s="64"/>
      <c r="G1480" s="64"/>
      <c r="H1480" s="64"/>
      <c r="I1480" s="64"/>
      <c r="J1480" s="64"/>
      <c r="K1480" s="64"/>
      <c r="L1480" s="64"/>
      <c r="M1480" s="64"/>
      <c r="N1480" s="64"/>
      <c r="O1480" s="64"/>
      <c r="P1480" s="64"/>
      <c r="Q1480" s="64"/>
      <c r="R1480" s="64"/>
    </row>
    <row r="1481" spans="1:18" x14ac:dyDescent="0.25">
      <c r="A1481" s="63"/>
      <c r="B1481" s="64"/>
      <c r="C1481" s="64"/>
      <c r="D1481" s="64"/>
      <c r="E1481" s="64"/>
      <c r="F1481" s="64"/>
      <c r="G1481" s="64"/>
      <c r="H1481" s="64"/>
      <c r="I1481" s="64"/>
      <c r="J1481" s="64"/>
      <c r="K1481" s="64"/>
      <c r="L1481" s="64"/>
      <c r="M1481" s="64"/>
      <c r="N1481" s="64"/>
      <c r="O1481" s="64"/>
      <c r="P1481" s="64"/>
      <c r="Q1481" s="64"/>
      <c r="R1481" s="64"/>
    </row>
    <row r="1482" spans="1:18" x14ac:dyDescent="0.25">
      <c r="A1482" s="63"/>
      <c r="B1482" s="64"/>
      <c r="C1482" s="64"/>
      <c r="D1482" s="64"/>
      <c r="E1482" s="64"/>
      <c r="F1482" s="64"/>
      <c r="G1482" s="64"/>
      <c r="H1482" s="64"/>
      <c r="I1482" s="64"/>
      <c r="J1482" s="64"/>
      <c r="K1482" s="64"/>
      <c r="L1482" s="64"/>
      <c r="M1482" s="64"/>
      <c r="N1482" s="64"/>
      <c r="O1482" s="64"/>
      <c r="P1482" s="64"/>
      <c r="Q1482" s="64"/>
      <c r="R1482" s="64"/>
    </row>
    <row r="1483" spans="1:18" x14ac:dyDescent="0.25">
      <c r="A1483" s="63"/>
      <c r="B1483" s="64"/>
      <c r="C1483" s="64"/>
      <c r="D1483" s="64"/>
      <c r="E1483" s="64"/>
      <c r="F1483" s="64"/>
      <c r="G1483" s="64"/>
      <c r="H1483" s="64"/>
      <c r="I1483" s="64"/>
      <c r="J1483" s="64"/>
      <c r="K1483" s="64"/>
      <c r="L1483" s="64"/>
      <c r="M1483" s="64"/>
      <c r="N1483" s="64"/>
      <c r="O1483" s="64"/>
      <c r="P1483" s="64"/>
      <c r="Q1483" s="64"/>
      <c r="R1483" s="64"/>
    </row>
    <row r="1484" spans="1:18" x14ac:dyDescent="0.25">
      <c r="A1484" s="63"/>
      <c r="B1484" s="64"/>
      <c r="C1484" s="64"/>
      <c r="D1484" s="64"/>
      <c r="E1484" s="64"/>
      <c r="F1484" s="64"/>
      <c r="G1484" s="64"/>
      <c r="H1484" s="64"/>
      <c r="I1484" s="64"/>
      <c r="J1484" s="64"/>
      <c r="K1484" s="64"/>
      <c r="L1484" s="64"/>
      <c r="M1484" s="64"/>
      <c r="N1484" s="64"/>
      <c r="O1484" s="64"/>
      <c r="P1484" s="64"/>
      <c r="Q1484" s="64"/>
      <c r="R1484" s="64"/>
    </row>
    <row r="1485" spans="1:18" x14ac:dyDescent="0.25">
      <c r="A1485" s="63"/>
      <c r="B1485" s="64"/>
      <c r="C1485" s="64"/>
      <c r="D1485" s="64"/>
      <c r="E1485" s="64"/>
      <c r="F1485" s="64"/>
      <c r="G1485" s="64"/>
      <c r="H1485" s="64"/>
      <c r="I1485" s="64"/>
      <c r="J1485" s="64"/>
      <c r="K1485" s="64"/>
      <c r="L1485" s="64"/>
      <c r="M1485" s="64"/>
      <c r="N1485" s="64"/>
      <c r="O1485" s="64"/>
      <c r="P1485" s="64"/>
      <c r="Q1485" s="64"/>
      <c r="R1485" s="64"/>
    </row>
    <row r="1486" spans="1:18" x14ac:dyDescent="0.25">
      <c r="A1486" s="63"/>
      <c r="B1486" s="64"/>
      <c r="C1486" s="64"/>
      <c r="D1486" s="64"/>
      <c r="E1486" s="64"/>
      <c r="F1486" s="64"/>
      <c r="G1486" s="64"/>
      <c r="H1486" s="64"/>
      <c r="I1486" s="64"/>
      <c r="J1486" s="64"/>
      <c r="K1486" s="64"/>
      <c r="L1486" s="64"/>
      <c r="M1486" s="64"/>
      <c r="N1486" s="64"/>
      <c r="O1486" s="64"/>
      <c r="P1486" s="64"/>
      <c r="Q1486" s="64"/>
      <c r="R1486" s="64"/>
    </row>
    <row r="1487" spans="1:18" x14ac:dyDescent="0.25">
      <c r="A1487" s="63"/>
      <c r="B1487" s="64"/>
      <c r="C1487" s="64"/>
      <c r="D1487" s="64"/>
      <c r="E1487" s="64"/>
      <c r="F1487" s="64"/>
      <c r="G1487" s="64"/>
      <c r="H1487" s="64"/>
      <c r="I1487" s="64"/>
      <c r="J1487" s="64"/>
      <c r="K1487" s="64"/>
      <c r="L1487" s="64"/>
      <c r="M1487" s="64"/>
      <c r="N1487" s="64"/>
      <c r="O1487" s="64"/>
      <c r="P1487" s="64"/>
      <c r="Q1487" s="64"/>
      <c r="R1487" s="64"/>
    </row>
    <row r="1488" spans="1:18" x14ac:dyDescent="0.25">
      <c r="A1488" s="63"/>
      <c r="B1488" s="64"/>
      <c r="C1488" s="64"/>
      <c r="D1488" s="64"/>
      <c r="E1488" s="64"/>
      <c r="F1488" s="64"/>
      <c r="G1488" s="64"/>
      <c r="H1488" s="64"/>
      <c r="I1488" s="64"/>
      <c r="J1488" s="64"/>
      <c r="K1488" s="64"/>
      <c r="L1488" s="64"/>
      <c r="M1488" s="64"/>
      <c r="N1488" s="64"/>
      <c r="O1488" s="64"/>
      <c r="P1488" s="64"/>
      <c r="Q1488" s="64"/>
      <c r="R1488" s="64"/>
    </row>
    <row r="1489" spans="1:18" x14ac:dyDescent="0.25">
      <c r="A1489" s="63"/>
      <c r="B1489" s="64"/>
      <c r="C1489" s="64"/>
      <c r="D1489" s="64"/>
      <c r="E1489" s="64"/>
      <c r="F1489" s="64"/>
      <c r="G1489" s="64"/>
      <c r="H1489" s="64"/>
      <c r="I1489" s="64"/>
      <c r="J1489" s="64"/>
      <c r="K1489" s="64"/>
      <c r="L1489" s="64"/>
      <c r="M1489" s="64"/>
      <c r="N1489" s="64"/>
      <c r="O1489" s="64"/>
      <c r="P1489" s="64"/>
      <c r="Q1489" s="64"/>
      <c r="R1489" s="64"/>
    </row>
    <row r="1490" spans="1:18" x14ac:dyDescent="0.25">
      <c r="A1490" s="63"/>
      <c r="B1490" s="64"/>
      <c r="C1490" s="64"/>
      <c r="D1490" s="64"/>
      <c r="E1490" s="64"/>
      <c r="F1490" s="64"/>
      <c r="G1490" s="64"/>
      <c r="H1490" s="64"/>
      <c r="I1490" s="64"/>
      <c r="J1490" s="64"/>
      <c r="K1490" s="64"/>
      <c r="L1490" s="64"/>
      <c r="M1490" s="64"/>
      <c r="N1490" s="64"/>
      <c r="O1490" s="64"/>
      <c r="P1490" s="64"/>
      <c r="Q1490" s="64"/>
      <c r="R1490" s="64"/>
    </row>
    <row r="1491" spans="1:18" x14ac:dyDescent="0.25">
      <c r="A1491" s="63"/>
      <c r="B1491" s="64"/>
      <c r="C1491" s="64"/>
      <c r="D1491" s="64"/>
      <c r="E1491" s="64"/>
      <c r="F1491" s="64"/>
      <c r="G1491" s="64"/>
      <c r="H1491" s="64"/>
      <c r="I1491" s="64"/>
      <c r="J1491" s="64"/>
      <c r="K1491" s="64"/>
      <c r="L1491" s="64"/>
      <c r="M1491" s="64"/>
      <c r="N1491" s="64"/>
      <c r="O1491" s="64"/>
      <c r="P1491" s="64"/>
      <c r="Q1491" s="64"/>
      <c r="R1491" s="64"/>
    </row>
    <row r="1492" spans="1:18" x14ac:dyDescent="0.25">
      <c r="A1492" s="63"/>
      <c r="B1492" s="64"/>
      <c r="C1492" s="64"/>
      <c r="D1492" s="64"/>
      <c r="E1492" s="64"/>
      <c r="F1492" s="64"/>
      <c r="G1492" s="64"/>
      <c r="H1492" s="64"/>
      <c r="I1492" s="64"/>
      <c r="J1492" s="64"/>
      <c r="K1492" s="64"/>
      <c r="L1492" s="64"/>
      <c r="M1492" s="64"/>
      <c r="N1492" s="64"/>
      <c r="O1492" s="64"/>
      <c r="P1492" s="64"/>
      <c r="Q1492" s="64"/>
      <c r="R1492" s="64"/>
    </row>
    <row r="1493" spans="1:18" x14ac:dyDescent="0.25">
      <c r="A1493" s="63"/>
      <c r="B1493" s="64"/>
      <c r="C1493" s="64"/>
      <c r="D1493" s="64"/>
      <c r="E1493" s="64"/>
      <c r="F1493" s="64"/>
      <c r="G1493" s="64"/>
      <c r="H1493" s="64"/>
      <c r="I1493" s="64"/>
      <c r="J1493" s="64"/>
      <c r="K1493" s="64"/>
      <c r="L1493" s="64"/>
      <c r="M1493" s="64"/>
      <c r="N1493" s="64"/>
      <c r="O1493" s="64"/>
      <c r="P1493" s="64"/>
      <c r="Q1493" s="64"/>
      <c r="R1493" s="64"/>
    </row>
    <row r="1494" spans="1:18" x14ac:dyDescent="0.25">
      <c r="A1494" s="63"/>
      <c r="B1494" s="64"/>
      <c r="C1494" s="64"/>
      <c r="D1494" s="64"/>
      <c r="E1494" s="64"/>
      <c r="F1494" s="64"/>
      <c r="G1494" s="64"/>
      <c r="H1494" s="64"/>
      <c r="I1494" s="64"/>
      <c r="J1494" s="64"/>
      <c r="K1494" s="64"/>
      <c r="L1494" s="64"/>
      <c r="M1494" s="64"/>
      <c r="N1494" s="64"/>
      <c r="O1494" s="64"/>
      <c r="P1494" s="64"/>
      <c r="Q1494" s="64"/>
      <c r="R1494" s="64"/>
    </row>
    <row r="1495" spans="1:18" x14ac:dyDescent="0.25">
      <c r="A1495" s="63"/>
      <c r="B1495" s="64"/>
      <c r="C1495" s="64"/>
      <c r="D1495" s="64"/>
      <c r="E1495" s="64"/>
      <c r="F1495" s="64"/>
      <c r="G1495" s="64"/>
      <c r="H1495" s="64"/>
      <c r="I1495" s="64"/>
      <c r="J1495" s="64"/>
      <c r="K1495" s="64"/>
      <c r="L1495" s="64"/>
      <c r="M1495" s="64"/>
      <c r="N1495" s="64"/>
      <c r="O1495" s="64"/>
      <c r="P1495" s="64"/>
      <c r="Q1495" s="64"/>
      <c r="R1495" s="64"/>
    </row>
    <row r="1496" spans="1:18" x14ac:dyDescent="0.25">
      <c r="A1496" s="63"/>
      <c r="B1496" s="64"/>
      <c r="C1496" s="64"/>
      <c r="D1496" s="64"/>
      <c r="E1496" s="64"/>
      <c r="F1496" s="64"/>
      <c r="G1496" s="64"/>
      <c r="H1496" s="64"/>
      <c r="I1496" s="64"/>
      <c r="J1496" s="64"/>
      <c r="K1496" s="64"/>
      <c r="L1496" s="64"/>
      <c r="M1496" s="64"/>
      <c r="N1496" s="64"/>
      <c r="O1496" s="64"/>
      <c r="P1496" s="64"/>
      <c r="Q1496" s="64"/>
      <c r="R1496" s="64"/>
    </row>
    <row r="1497" spans="1:18" x14ac:dyDescent="0.25">
      <c r="A1497" s="63"/>
      <c r="B1497" s="64"/>
      <c r="C1497" s="64"/>
      <c r="D1497" s="64"/>
      <c r="E1497" s="64"/>
      <c r="F1497" s="64"/>
      <c r="G1497" s="64"/>
      <c r="H1497" s="64"/>
      <c r="I1497" s="64"/>
      <c r="J1497" s="64"/>
      <c r="K1497" s="64"/>
      <c r="L1497" s="64"/>
      <c r="M1497" s="64"/>
      <c r="N1497" s="64"/>
      <c r="O1497" s="64"/>
      <c r="P1497" s="64"/>
      <c r="Q1497" s="64"/>
      <c r="R1497" s="64"/>
    </row>
    <row r="1498" spans="1:18" x14ac:dyDescent="0.25">
      <c r="A1498" s="63"/>
      <c r="B1498" s="64"/>
      <c r="C1498" s="64"/>
      <c r="D1498" s="64"/>
      <c r="E1498" s="64"/>
      <c r="F1498" s="64"/>
      <c r="G1498" s="64"/>
      <c r="H1498" s="64"/>
      <c r="I1498" s="64"/>
      <c r="J1498" s="64"/>
      <c r="K1498" s="64"/>
      <c r="L1498" s="64"/>
      <c r="M1498" s="64"/>
      <c r="N1498" s="64"/>
      <c r="O1498" s="64"/>
      <c r="P1498" s="64"/>
      <c r="Q1498" s="64"/>
      <c r="R1498" s="64"/>
    </row>
    <row r="1499" spans="1:18" x14ac:dyDescent="0.25">
      <c r="A1499" s="63"/>
      <c r="B1499" s="64"/>
      <c r="C1499" s="64"/>
      <c r="D1499" s="64"/>
      <c r="E1499" s="64"/>
      <c r="F1499" s="64"/>
      <c r="G1499" s="64"/>
      <c r="H1499" s="64"/>
      <c r="I1499" s="64"/>
      <c r="J1499" s="64"/>
      <c r="K1499" s="64"/>
      <c r="L1499" s="64"/>
      <c r="M1499" s="64"/>
      <c r="N1499" s="64"/>
      <c r="O1499" s="64"/>
      <c r="P1499" s="64"/>
      <c r="Q1499" s="64"/>
      <c r="R1499" s="64"/>
    </row>
    <row r="1500" spans="1:18" x14ac:dyDescent="0.25">
      <c r="A1500" s="63"/>
      <c r="B1500" s="64"/>
      <c r="C1500" s="64"/>
      <c r="D1500" s="64"/>
      <c r="E1500" s="64"/>
      <c r="F1500" s="64"/>
      <c r="G1500" s="64"/>
      <c r="H1500" s="64"/>
      <c r="I1500" s="64"/>
      <c r="J1500" s="64"/>
      <c r="K1500" s="64"/>
      <c r="L1500" s="64"/>
      <c r="M1500" s="64"/>
      <c r="N1500" s="64"/>
      <c r="O1500" s="64"/>
      <c r="P1500" s="64"/>
      <c r="Q1500" s="64"/>
      <c r="R1500" s="64"/>
    </row>
    <row r="1501" spans="1:18" x14ac:dyDescent="0.25">
      <c r="A1501" s="63"/>
      <c r="B1501" s="64"/>
      <c r="C1501" s="64"/>
      <c r="D1501" s="64"/>
      <c r="E1501" s="64"/>
      <c r="F1501" s="64"/>
      <c r="G1501" s="64"/>
      <c r="H1501" s="64"/>
      <c r="I1501" s="64"/>
      <c r="J1501" s="64"/>
      <c r="K1501" s="64"/>
      <c r="L1501" s="64"/>
      <c r="M1501" s="64"/>
      <c r="N1501" s="64"/>
      <c r="O1501" s="64"/>
      <c r="P1501" s="64"/>
      <c r="Q1501" s="64"/>
      <c r="R1501" s="64"/>
    </row>
    <row r="1502" spans="1:18" x14ac:dyDescent="0.25">
      <c r="A1502" s="63"/>
      <c r="B1502" s="64"/>
      <c r="C1502" s="64"/>
      <c r="D1502" s="64"/>
      <c r="E1502" s="64"/>
      <c r="F1502" s="64"/>
      <c r="G1502" s="64"/>
      <c r="H1502" s="64"/>
      <c r="I1502" s="64"/>
      <c r="J1502" s="64"/>
      <c r="K1502" s="64"/>
      <c r="L1502" s="64"/>
      <c r="M1502" s="64"/>
      <c r="N1502" s="64"/>
      <c r="O1502" s="64"/>
      <c r="P1502" s="64"/>
      <c r="Q1502" s="64"/>
      <c r="R1502" s="64"/>
    </row>
    <row r="1503" spans="1:18" x14ac:dyDescent="0.25">
      <c r="A1503" s="63"/>
      <c r="B1503" s="64"/>
      <c r="C1503" s="64"/>
      <c r="D1503" s="64"/>
      <c r="E1503" s="64"/>
      <c r="F1503" s="64"/>
      <c r="G1503" s="64"/>
      <c r="H1503" s="64"/>
      <c r="I1503" s="64"/>
      <c r="J1503" s="64"/>
      <c r="K1503" s="64"/>
      <c r="L1503" s="64"/>
      <c r="M1503" s="64"/>
      <c r="N1503" s="64"/>
      <c r="O1503" s="64"/>
      <c r="P1503" s="64"/>
      <c r="Q1503" s="64"/>
      <c r="R1503" s="64"/>
    </row>
    <row r="1504" spans="1:18" x14ac:dyDescent="0.25">
      <c r="A1504" s="63"/>
      <c r="B1504" s="64"/>
      <c r="C1504" s="64"/>
      <c r="D1504" s="64"/>
      <c r="E1504" s="64"/>
      <c r="F1504" s="64"/>
      <c r="G1504" s="64"/>
      <c r="H1504" s="64"/>
      <c r="I1504" s="64"/>
      <c r="J1504" s="64"/>
      <c r="K1504" s="64"/>
      <c r="L1504" s="64"/>
      <c r="M1504" s="64"/>
      <c r="N1504" s="64"/>
      <c r="O1504" s="64"/>
      <c r="P1504" s="64"/>
      <c r="Q1504" s="64"/>
      <c r="R1504" s="64"/>
    </row>
    <row r="1505" spans="1:18" x14ac:dyDescent="0.25">
      <c r="A1505" s="63"/>
      <c r="B1505" s="64"/>
      <c r="C1505" s="64"/>
      <c r="D1505" s="64"/>
      <c r="E1505" s="64"/>
      <c r="F1505" s="64"/>
      <c r="G1505" s="64"/>
      <c r="H1505" s="64"/>
      <c r="I1505" s="64"/>
      <c r="J1505" s="64"/>
      <c r="K1505" s="64"/>
      <c r="L1505" s="64"/>
      <c r="M1505" s="64"/>
      <c r="N1505" s="64"/>
      <c r="O1505" s="64"/>
      <c r="P1505" s="64"/>
      <c r="Q1505" s="64"/>
      <c r="R1505" s="64"/>
    </row>
    <row r="1506" spans="1:18" x14ac:dyDescent="0.25">
      <c r="A1506" s="63"/>
      <c r="B1506" s="64"/>
      <c r="C1506" s="64"/>
      <c r="D1506" s="64"/>
      <c r="E1506" s="64"/>
      <c r="F1506" s="64"/>
      <c r="G1506" s="64"/>
      <c r="H1506" s="64"/>
      <c r="I1506" s="64"/>
      <c r="J1506" s="64"/>
      <c r="K1506" s="64"/>
      <c r="L1506" s="64"/>
      <c r="M1506" s="64"/>
      <c r="N1506" s="64"/>
      <c r="O1506" s="64"/>
      <c r="P1506" s="64"/>
      <c r="Q1506" s="64"/>
      <c r="R1506" s="64"/>
    </row>
    <row r="1507" spans="1:18" x14ac:dyDescent="0.25">
      <c r="A1507" s="63"/>
      <c r="B1507" s="64"/>
      <c r="C1507" s="64"/>
      <c r="D1507" s="64"/>
      <c r="E1507" s="64"/>
      <c r="F1507" s="64"/>
      <c r="G1507" s="64"/>
      <c r="H1507" s="64"/>
      <c r="I1507" s="64"/>
      <c r="J1507" s="64"/>
      <c r="K1507" s="64"/>
      <c r="L1507" s="64"/>
      <c r="M1507" s="64"/>
      <c r="N1507" s="64"/>
      <c r="O1507" s="64"/>
      <c r="P1507" s="64"/>
      <c r="Q1507" s="64"/>
      <c r="R1507" s="64"/>
    </row>
    <row r="1508" spans="1:18" x14ac:dyDescent="0.25">
      <c r="A1508" s="63"/>
      <c r="B1508" s="64"/>
      <c r="C1508" s="64"/>
      <c r="D1508" s="64"/>
      <c r="E1508" s="64"/>
      <c r="F1508" s="64"/>
      <c r="G1508" s="64"/>
      <c r="H1508" s="64"/>
      <c r="I1508" s="64"/>
      <c r="J1508" s="64"/>
      <c r="K1508" s="64"/>
      <c r="L1508" s="64"/>
      <c r="M1508" s="64"/>
      <c r="N1508" s="64"/>
      <c r="O1508" s="64"/>
      <c r="P1508" s="64"/>
      <c r="Q1508" s="64"/>
      <c r="R1508" s="64"/>
    </row>
    <row r="1509" spans="1:18" x14ac:dyDescent="0.25">
      <c r="A1509" s="63"/>
      <c r="B1509" s="64"/>
      <c r="C1509" s="64"/>
      <c r="D1509" s="64"/>
      <c r="E1509" s="64"/>
      <c r="F1509" s="64"/>
      <c r="G1509" s="64"/>
      <c r="H1509" s="64"/>
      <c r="I1509" s="64"/>
      <c r="J1509" s="64"/>
      <c r="K1509" s="64"/>
      <c r="L1509" s="64"/>
      <c r="M1509" s="64"/>
      <c r="N1509" s="64"/>
      <c r="O1509" s="64"/>
      <c r="P1509" s="64"/>
      <c r="Q1509" s="64"/>
      <c r="R1509" s="64"/>
    </row>
    <row r="1510" spans="1:18" x14ac:dyDescent="0.25">
      <c r="A1510" s="63"/>
      <c r="B1510" s="64"/>
      <c r="C1510" s="64"/>
      <c r="D1510" s="64"/>
      <c r="E1510" s="64"/>
      <c r="F1510" s="64"/>
      <c r="G1510" s="64"/>
      <c r="H1510" s="64"/>
      <c r="I1510" s="64"/>
      <c r="J1510" s="64"/>
      <c r="K1510" s="64"/>
      <c r="L1510" s="64"/>
      <c r="M1510" s="64"/>
      <c r="N1510" s="64"/>
      <c r="O1510" s="64"/>
      <c r="P1510" s="64"/>
      <c r="Q1510" s="64"/>
      <c r="R1510" s="64"/>
    </row>
    <row r="1511" spans="1:18" x14ac:dyDescent="0.25">
      <c r="A1511" s="63"/>
      <c r="B1511" s="64"/>
      <c r="C1511" s="64"/>
      <c r="D1511" s="64"/>
      <c r="E1511" s="64"/>
      <c r="F1511" s="64"/>
      <c r="G1511" s="64"/>
      <c r="H1511" s="64"/>
      <c r="I1511" s="64"/>
      <c r="J1511" s="64"/>
      <c r="K1511" s="64"/>
      <c r="L1511" s="64"/>
      <c r="M1511" s="64"/>
      <c r="N1511" s="64"/>
      <c r="O1511" s="64"/>
      <c r="P1511" s="64"/>
      <c r="Q1511" s="64"/>
      <c r="R1511" s="64"/>
    </row>
    <row r="1512" spans="1:18" x14ac:dyDescent="0.25">
      <c r="A1512" s="63"/>
      <c r="B1512" s="64"/>
      <c r="C1512" s="64"/>
      <c r="D1512" s="64"/>
      <c r="E1512" s="64"/>
      <c r="F1512" s="64"/>
      <c r="G1512" s="64"/>
      <c r="H1512" s="64"/>
      <c r="I1512" s="64"/>
      <c r="J1512" s="64"/>
      <c r="K1512" s="64"/>
      <c r="L1512" s="64"/>
      <c r="M1512" s="64"/>
      <c r="N1512" s="64"/>
      <c r="O1512" s="64"/>
      <c r="P1512" s="64"/>
      <c r="Q1512" s="64"/>
      <c r="R1512" s="64"/>
    </row>
    <row r="1513" spans="1:18" x14ac:dyDescent="0.25">
      <c r="A1513" s="63"/>
      <c r="B1513" s="64"/>
      <c r="C1513" s="64"/>
      <c r="D1513" s="64"/>
      <c r="E1513" s="64"/>
      <c r="F1513" s="64"/>
      <c r="G1513" s="64"/>
      <c r="H1513" s="64"/>
      <c r="I1513" s="64"/>
      <c r="J1513" s="64"/>
      <c r="K1513" s="64"/>
      <c r="L1513" s="64"/>
      <c r="M1513" s="64"/>
      <c r="N1513" s="64"/>
      <c r="O1513" s="64"/>
      <c r="P1513" s="64"/>
      <c r="Q1513" s="64"/>
      <c r="R1513" s="64"/>
    </row>
    <row r="1514" spans="1:18" x14ac:dyDescent="0.25">
      <c r="A1514" s="63"/>
      <c r="B1514" s="64"/>
      <c r="C1514" s="64"/>
      <c r="D1514" s="64"/>
      <c r="E1514" s="64"/>
      <c r="F1514" s="64"/>
      <c r="G1514" s="64"/>
      <c r="H1514" s="64"/>
      <c r="I1514" s="64"/>
      <c r="J1514" s="64"/>
      <c r="K1514" s="64"/>
      <c r="L1514" s="64"/>
      <c r="M1514" s="64"/>
      <c r="N1514" s="64"/>
      <c r="O1514" s="64"/>
      <c r="P1514" s="64"/>
      <c r="Q1514" s="64"/>
      <c r="R1514" s="64"/>
    </row>
    <row r="1515" spans="1:18" x14ac:dyDescent="0.25">
      <c r="A1515" s="63"/>
      <c r="B1515" s="64"/>
      <c r="C1515" s="64"/>
      <c r="D1515" s="64"/>
      <c r="E1515" s="64"/>
      <c r="F1515" s="64"/>
      <c r="G1515" s="64"/>
      <c r="H1515" s="64"/>
      <c r="I1515" s="64"/>
      <c r="J1515" s="64"/>
      <c r="K1515" s="64"/>
      <c r="L1515" s="64"/>
      <c r="M1515" s="64"/>
      <c r="N1515" s="64"/>
      <c r="O1515" s="64"/>
      <c r="P1515" s="64"/>
      <c r="Q1515" s="64"/>
      <c r="R1515" s="64"/>
    </row>
    <row r="1516" spans="1:18" x14ac:dyDescent="0.25">
      <c r="A1516" s="63"/>
      <c r="B1516" s="64"/>
      <c r="C1516" s="64"/>
      <c r="D1516" s="64"/>
      <c r="E1516" s="64"/>
      <c r="F1516" s="64"/>
      <c r="G1516" s="64"/>
      <c r="H1516" s="64"/>
      <c r="I1516" s="64"/>
      <c r="J1516" s="64"/>
      <c r="K1516" s="64"/>
      <c r="L1516" s="64"/>
      <c r="M1516" s="64"/>
      <c r="N1516" s="64"/>
      <c r="O1516" s="64"/>
      <c r="P1516" s="64"/>
      <c r="Q1516" s="64"/>
      <c r="R1516" s="64"/>
    </row>
    <row r="1517" spans="1:18" x14ac:dyDescent="0.25">
      <c r="A1517" s="63"/>
      <c r="B1517" s="64"/>
      <c r="C1517" s="64"/>
      <c r="D1517" s="64"/>
      <c r="E1517" s="64"/>
      <c r="F1517" s="64"/>
      <c r="G1517" s="64"/>
      <c r="H1517" s="64"/>
      <c r="I1517" s="64"/>
      <c r="J1517" s="64"/>
      <c r="K1517" s="64"/>
      <c r="L1517" s="64"/>
      <c r="M1517" s="64"/>
      <c r="N1517" s="64"/>
      <c r="O1517" s="64"/>
      <c r="P1517" s="64"/>
      <c r="Q1517" s="64"/>
      <c r="R1517" s="64"/>
    </row>
    <row r="1518" spans="1:18" x14ac:dyDescent="0.25">
      <c r="A1518" s="63"/>
      <c r="B1518" s="64"/>
      <c r="C1518" s="64"/>
      <c r="D1518" s="64"/>
      <c r="E1518" s="64"/>
      <c r="F1518" s="64"/>
      <c r="G1518" s="64"/>
      <c r="H1518" s="64"/>
      <c r="I1518" s="64"/>
      <c r="J1518" s="64"/>
      <c r="K1518" s="64"/>
      <c r="L1518" s="64"/>
      <c r="M1518" s="64"/>
      <c r="N1518" s="64"/>
      <c r="O1518" s="64"/>
      <c r="P1518" s="64"/>
      <c r="Q1518" s="64"/>
      <c r="R1518" s="64"/>
    </row>
    <row r="1519" spans="1:18" x14ac:dyDescent="0.25">
      <c r="A1519" s="63"/>
      <c r="B1519" s="64"/>
      <c r="C1519" s="64"/>
      <c r="D1519" s="64"/>
      <c r="E1519" s="64"/>
      <c r="F1519" s="64"/>
      <c r="G1519" s="64"/>
      <c r="H1519" s="64"/>
      <c r="I1519" s="64"/>
      <c r="J1519" s="64"/>
      <c r="K1519" s="64"/>
      <c r="L1519" s="64"/>
      <c r="M1519" s="64"/>
      <c r="N1519" s="64"/>
      <c r="O1519" s="64"/>
      <c r="P1519" s="64"/>
      <c r="Q1519" s="64"/>
      <c r="R1519" s="64"/>
    </row>
    <row r="1520" spans="1:18" x14ac:dyDescent="0.25">
      <c r="A1520" s="63"/>
      <c r="B1520" s="64"/>
      <c r="C1520" s="64"/>
      <c r="D1520" s="64"/>
      <c r="E1520" s="64"/>
      <c r="F1520" s="64"/>
      <c r="G1520" s="64"/>
      <c r="H1520" s="64"/>
      <c r="I1520" s="64"/>
      <c r="J1520" s="64"/>
      <c r="K1520" s="64"/>
      <c r="L1520" s="64"/>
      <c r="M1520" s="64"/>
      <c r="N1520" s="64"/>
      <c r="O1520" s="64"/>
      <c r="P1520" s="64"/>
      <c r="Q1520" s="64"/>
      <c r="R1520" s="64"/>
    </row>
    <row r="1521" spans="1:18" x14ac:dyDescent="0.25">
      <c r="A1521" s="63"/>
      <c r="B1521" s="64"/>
      <c r="C1521" s="64"/>
      <c r="D1521" s="64"/>
      <c r="E1521" s="64"/>
      <c r="F1521" s="64"/>
      <c r="G1521" s="64"/>
      <c r="H1521" s="64"/>
      <c r="I1521" s="64"/>
      <c r="J1521" s="64"/>
      <c r="K1521" s="64"/>
      <c r="L1521" s="64"/>
      <c r="M1521" s="64"/>
      <c r="N1521" s="64"/>
      <c r="O1521" s="64"/>
      <c r="P1521" s="64"/>
      <c r="Q1521" s="64"/>
      <c r="R1521" s="64"/>
    </row>
    <row r="1522" spans="1:18" x14ac:dyDescent="0.25">
      <c r="A1522" s="63"/>
      <c r="B1522" s="64"/>
      <c r="C1522" s="64"/>
      <c r="D1522" s="64"/>
      <c r="E1522" s="64"/>
      <c r="F1522" s="64"/>
      <c r="G1522" s="64"/>
      <c r="H1522" s="64"/>
      <c r="I1522" s="64"/>
      <c r="J1522" s="64"/>
      <c r="K1522" s="64"/>
      <c r="L1522" s="64"/>
      <c r="M1522" s="64"/>
      <c r="N1522" s="64"/>
      <c r="O1522" s="64"/>
      <c r="P1522" s="64"/>
      <c r="Q1522" s="64"/>
      <c r="R1522" s="64"/>
    </row>
    <row r="1523" spans="1:18" x14ac:dyDescent="0.25">
      <c r="A1523" s="63"/>
      <c r="B1523" s="64"/>
      <c r="C1523" s="64"/>
      <c r="D1523" s="64"/>
      <c r="E1523" s="64"/>
      <c r="F1523" s="64"/>
      <c r="G1523" s="64"/>
      <c r="H1523" s="64"/>
      <c r="I1523" s="64"/>
      <c r="J1523" s="64"/>
      <c r="K1523" s="64"/>
      <c r="L1523" s="64"/>
      <c r="M1523" s="64"/>
      <c r="N1523" s="64"/>
      <c r="O1523" s="64"/>
      <c r="P1523" s="64"/>
      <c r="Q1523" s="64"/>
      <c r="R1523" s="64"/>
    </row>
    <row r="1524" spans="1:18" x14ac:dyDescent="0.25">
      <c r="A1524" s="63"/>
      <c r="B1524" s="64"/>
      <c r="C1524" s="64"/>
      <c r="D1524" s="64"/>
      <c r="E1524" s="64"/>
      <c r="F1524" s="64"/>
      <c r="G1524" s="64"/>
      <c r="H1524" s="64"/>
      <c r="I1524" s="64"/>
      <c r="J1524" s="64"/>
      <c r="K1524" s="64"/>
      <c r="L1524" s="64"/>
      <c r="M1524" s="64"/>
      <c r="N1524" s="64"/>
      <c r="O1524" s="64"/>
      <c r="P1524" s="64"/>
      <c r="Q1524" s="64"/>
      <c r="R1524" s="64"/>
    </row>
    <row r="1525" spans="1:18" x14ac:dyDescent="0.25">
      <c r="A1525" s="63"/>
      <c r="B1525" s="64"/>
      <c r="C1525" s="64"/>
      <c r="D1525" s="64"/>
      <c r="E1525" s="64"/>
      <c r="F1525" s="64"/>
      <c r="G1525" s="64"/>
      <c r="H1525" s="64"/>
      <c r="I1525" s="64"/>
      <c r="J1525" s="64"/>
      <c r="K1525" s="64"/>
      <c r="L1525" s="64"/>
      <c r="M1525" s="64"/>
      <c r="N1525" s="64"/>
      <c r="O1525" s="64"/>
      <c r="P1525" s="64"/>
      <c r="Q1525" s="64"/>
      <c r="R1525" s="64"/>
    </row>
    <row r="1526" spans="1:18" x14ac:dyDescent="0.25">
      <c r="A1526" s="63"/>
      <c r="B1526" s="64"/>
      <c r="C1526" s="64"/>
      <c r="D1526" s="64"/>
      <c r="E1526" s="64"/>
      <c r="F1526" s="64"/>
      <c r="G1526" s="64"/>
      <c r="H1526" s="64"/>
      <c r="I1526" s="64"/>
      <c r="J1526" s="64"/>
      <c r="K1526" s="64"/>
      <c r="L1526" s="64"/>
      <c r="M1526" s="64"/>
      <c r="N1526" s="64"/>
      <c r="O1526" s="64"/>
      <c r="P1526" s="64"/>
      <c r="Q1526" s="64"/>
      <c r="R1526" s="64"/>
    </row>
    <row r="1527" spans="1:18" x14ac:dyDescent="0.25">
      <c r="A1527" s="63"/>
      <c r="B1527" s="64"/>
      <c r="C1527" s="64"/>
      <c r="D1527" s="64"/>
      <c r="E1527" s="64"/>
      <c r="F1527" s="64"/>
      <c r="G1527" s="64"/>
      <c r="H1527" s="64"/>
      <c r="I1527" s="64"/>
      <c r="J1527" s="64"/>
      <c r="K1527" s="64"/>
      <c r="L1527" s="64"/>
      <c r="M1527" s="64"/>
      <c r="N1527" s="64"/>
      <c r="O1527" s="64"/>
      <c r="P1527" s="64"/>
      <c r="Q1527" s="64"/>
      <c r="R1527" s="64"/>
    </row>
    <row r="1528" spans="1:18" x14ac:dyDescent="0.25">
      <c r="A1528" s="63"/>
      <c r="B1528" s="64"/>
      <c r="C1528" s="64"/>
      <c r="D1528" s="64"/>
      <c r="E1528" s="64"/>
      <c r="F1528" s="64"/>
      <c r="G1528" s="64"/>
      <c r="H1528" s="64"/>
      <c r="I1528" s="64"/>
      <c r="J1528" s="64"/>
      <c r="K1528" s="64"/>
      <c r="L1528" s="64"/>
      <c r="M1528" s="64"/>
      <c r="N1528" s="64"/>
      <c r="O1528" s="64"/>
      <c r="P1528" s="64"/>
      <c r="Q1528" s="64"/>
      <c r="R1528" s="64"/>
    </row>
    <row r="1529" spans="1:18" x14ac:dyDescent="0.25">
      <c r="A1529" s="63"/>
      <c r="B1529" s="64"/>
      <c r="C1529" s="64"/>
      <c r="D1529" s="64"/>
      <c r="E1529" s="64"/>
      <c r="F1529" s="64"/>
      <c r="G1529" s="64"/>
      <c r="H1529" s="64"/>
      <c r="I1529" s="64"/>
      <c r="J1529" s="64"/>
      <c r="K1529" s="64"/>
      <c r="L1529" s="64"/>
      <c r="M1529" s="64"/>
      <c r="N1529" s="64"/>
      <c r="O1529" s="64"/>
      <c r="P1529" s="64"/>
      <c r="Q1529" s="64"/>
      <c r="R1529" s="64"/>
    </row>
    <row r="1530" spans="1:18" x14ac:dyDescent="0.25">
      <c r="A1530" s="63"/>
      <c r="B1530" s="64"/>
      <c r="C1530" s="64"/>
      <c r="D1530" s="64"/>
      <c r="E1530" s="64"/>
      <c r="F1530" s="64"/>
      <c r="G1530" s="64"/>
      <c r="H1530" s="64"/>
      <c r="I1530" s="64"/>
      <c r="J1530" s="64"/>
      <c r="K1530" s="64"/>
      <c r="L1530" s="64"/>
      <c r="M1530" s="64"/>
      <c r="N1530" s="64"/>
      <c r="O1530" s="64"/>
      <c r="P1530" s="64"/>
      <c r="Q1530" s="64"/>
      <c r="R1530" s="64"/>
    </row>
    <row r="1531" spans="1:18" x14ac:dyDescent="0.25">
      <c r="A1531" s="63"/>
      <c r="B1531" s="64"/>
      <c r="C1531" s="64"/>
      <c r="D1531" s="64"/>
      <c r="E1531" s="64"/>
      <c r="F1531" s="64"/>
      <c r="G1531" s="64"/>
      <c r="H1531" s="64"/>
      <c r="I1531" s="64"/>
      <c r="J1531" s="64"/>
      <c r="K1531" s="64"/>
      <c r="L1531" s="64"/>
      <c r="M1531" s="64"/>
      <c r="N1531" s="64"/>
      <c r="O1531" s="64"/>
      <c r="P1531" s="64"/>
      <c r="Q1531" s="64"/>
      <c r="R1531" s="64"/>
    </row>
    <row r="1532" spans="1:18" x14ac:dyDescent="0.25">
      <c r="A1532" s="63"/>
      <c r="B1532" s="64"/>
      <c r="C1532" s="64"/>
      <c r="D1532" s="64"/>
      <c r="E1532" s="64"/>
      <c r="F1532" s="64"/>
      <c r="G1532" s="64"/>
      <c r="H1532" s="64"/>
      <c r="I1532" s="64"/>
      <c r="J1532" s="64"/>
      <c r="K1532" s="64"/>
      <c r="L1532" s="64"/>
      <c r="M1532" s="64"/>
      <c r="N1532" s="64"/>
      <c r="O1532" s="64"/>
      <c r="P1532" s="64"/>
      <c r="Q1532" s="64"/>
      <c r="R1532" s="64"/>
    </row>
    <row r="1533" spans="1:18" x14ac:dyDescent="0.25">
      <c r="A1533" s="63"/>
      <c r="B1533" s="64"/>
      <c r="C1533" s="64"/>
      <c r="D1533" s="64"/>
      <c r="E1533" s="64"/>
      <c r="F1533" s="64"/>
      <c r="G1533" s="64"/>
      <c r="H1533" s="64"/>
      <c r="I1533" s="64"/>
      <c r="J1533" s="64"/>
      <c r="K1533" s="64"/>
      <c r="L1533" s="64"/>
      <c r="M1533" s="64"/>
      <c r="N1533" s="64"/>
      <c r="O1533" s="64"/>
      <c r="P1533" s="64"/>
      <c r="Q1533" s="64"/>
      <c r="R1533" s="64"/>
    </row>
    <row r="1534" spans="1:18" x14ac:dyDescent="0.25">
      <c r="A1534" s="63"/>
      <c r="B1534" s="64"/>
      <c r="C1534" s="64"/>
      <c r="D1534" s="64"/>
      <c r="E1534" s="64"/>
      <c r="F1534" s="64"/>
      <c r="G1534" s="64"/>
      <c r="H1534" s="64"/>
      <c r="I1534" s="64"/>
      <c r="J1534" s="64"/>
      <c r="K1534" s="64"/>
      <c r="L1534" s="64"/>
      <c r="M1534" s="64"/>
      <c r="N1534" s="64"/>
      <c r="O1534" s="64"/>
      <c r="P1534" s="64"/>
      <c r="Q1534" s="64"/>
      <c r="R1534" s="64"/>
    </row>
    <row r="1535" spans="1:18" x14ac:dyDescent="0.25">
      <c r="A1535" s="63"/>
      <c r="B1535" s="64"/>
      <c r="C1535" s="64"/>
      <c r="D1535" s="64"/>
      <c r="E1535" s="64"/>
      <c r="F1535" s="64"/>
      <c r="G1535" s="64"/>
      <c r="H1535" s="64"/>
      <c r="I1535" s="64"/>
      <c r="J1535" s="64"/>
      <c r="K1535" s="64"/>
      <c r="L1535" s="64"/>
      <c r="M1535" s="64"/>
      <c r="N1535" s="64"/>
      <c r="O1535" s="64"/>
      <c r="P1535" s="64"/>
      <c r="Q1535" s="64"/>
      <c r="R1535" s="64"/>
    </row>
    <row r="1536" spans="1:18" x14ac:dyDescent="0.25">
      <c r="A1536" s="63"/>
      <c r="B1536" s="64"/>
      <c r="C1536" s="64"/>
      <c r="D1536" s="64"/>
      <c r="E1536" s="64"/>
      <c r="F1536" s="64"/>
      <c r="G1536" s="64"/>
      <c r="H1536" s="64"/>
      <c r="I1536" s="64"/>
      <c r="J1536" s="64"/>
      <c r="K1536" s="64"/>
      <c r="L1536" s="64"/>
      <c r="M1536" s="64"/>
      <c r="N1536" s="64"/>
      <c r="O1536" s="64"/>
      <c r="P1536" s="64"/>
      <c r="Q1536" s="64"/>
      <c r="R1536" s="64"/>
    </row>
    <row r="1537" spans="1:18" x14ac:dyDescent="0.25">
      <c r="A1537" s="63"/>
      <c r="B1537" s="64"/>
      <c r="C1537" s="64"/>
      <c r="D1537" s="64"/>
      <c r="E1537" s="64"/>
      <c r="F1537" s="64"/>
      <c r="G1537" s="64"/>
      <c r="H1537" s="64"/>
      <c r="I1537" s="64"/>
      <c r="J1537" s="64"/>
      <c r="K1537" s="64"/>
      <c r="L1537" s="64"/>
      <c r="M1537" s="64"/>
      <c r="N1537" s="64"/>
      <c r="O1537" s="64"/>
      <c r="P1537" s="64"/>
      <c r="Q1537" s="64"/>
      <c r="R1537" s="64"/>
    </row>
    <row r="1538" spans="1:18" x14ac:dyDescent="0.25">
      <c r="A1538" s="63"/>
      <c r="B1538" s="64"/>
      <c r="C1538" s="64"/>
      <c r="D1538" s="64"/>
      <c r="E1538" s="64"/>
      <c r="F1538" s="64"/>
      <c r="G1538" s="64"/>
      <c r="H1538" s="64"/>
      <c r="I1538" s="64"/>
      <c r="J1538" s="64"/>
      <c r="K1538" s="64"/>
      <c r="L1538" s="64"/>
      <c r="M1538" s="64"/>
      <c r="N1538" s="64"/>
      <c r="O1538" s="64"/>
      <c r="P1538" s="64"/>
      <c r="Q1538" s="64"/>
      <c r="R1538" s="64"/>
    </row>
    <row r="1539" spans="1:18" x14ac:dyDescent="0.25">
      <c r="A1539" s="63"/>
      <c r="B1539" s="64"/>
      <c r="C1539" s="64"/>
      <c r="D1539" s="64"/>
      <c r="E1539" s="64"/>
      <c r="F1539" s="64"/>
      <c r="G1539" s="64"/>
      <c r="H1539" s="64"/>
      <c r="I1539" s="64"/>
      <c r="J1539" s="64"/>
      <c r="K1539" s="64"/>
      <c r="L1539" s="64"/>
      <c r="M1539" s="64"/>
      <c r="N1539" s="64"/>
      <c r="O1539" s="64"/>
      <c r="P1539" s="64"/>
      <c r="Q1539" s="64"/>
      <c r="R1539" s="64"/>
    </row>
    <row r="1540" spans="1:18" x14ac:dyDescent="0.25">
      <c r="A1540" s="63"/>
      <c r="B1540" s="64"/>
      <c r="C1540" s="64"/>
      <c r="D1540" s="64"/>
      <c r="E1540" s="64"/>
      <c r="F1540" s="64"/>
      <c r="G1540" s="64"/>
      <c r="H1540" s="64"/>
      <c r="I1540" s="64"/>
      <c r="J1540" s="64"/>
      <c r="K1540" s="64"/>
      <c r="L1540" s="64"/>
      <c r="M1540" s="64"/>
      <c r="N1540" s="64"/>
      <c r="O1540" s="64"/>
      <c r="P1540" s="64"/>
      <c r="Q1540" s="64"/>
      <c r="R1540" s="64"/>
    </row>
    <row r="1541" spans="1:18" x14ac:dyDescent="0.25">
      <c r="A1541" s="63"/>
      <c r="B1541" s="64"/>
      <c r="C1541" s="64"/>
      <c r="D1541" s="64"/>
      <c r="E1541" s="64"/>
      <c r="F1541" s="64"/>
      <c r="G1541" s="64"/>
      <c r="H1541" s="64"/>
      <c r="I1541" s="64"/>
      <c r="J1541" s="64"/>
      <c r="K1541" s="64"/>
      <c r="L1541" s="64"/>
      <c r="M1541" s="64"/>
      <c r="N1541" s="64"/>
      <c r="O1541" s="64"/>
      <c r="P1541" s="64"/>
      <c r="Q1541" s="64"/>
      <c r="R1541" s="64"/>
    </row>
    <row r="1542" spans="1:18" x14ac:dyDescent="0.25">
      <c r="A1542" s="63"/>
      <c r="B1542" s="64"/>
      <c r="C1542" s="64"/>
      <c r="D1542" s="64"/>
      <c r="E1542" s="64"/>
      <c r="F1542" s="64"/>
      <c r="G1542" s="64"/>
      <c r="H1542" s="64"/>
      <c r="I1542" s="64"/>
      <c r="J1542" s="64"/>
      <c r="K1542" s="64"/>
      <c r="L1542" s="64"/>
      <c r="M1542" s="64"/>
      <c r="N1542" s="64"/>
      <c r="O1542" s="64"/>
      <c r="P1542" s="64"/>
      <c r="Q1542" s="64"/>
      <c r="R1542" s="64"/>
    </row>
    <row r="1543" spans="1:18" x14ac:dyDescent="0.25">
      <c r="A1543" s="63"/>
      <c r="B1543" s="64"/>
      <c r="C1543" s="64"/>
      <c r="D1543" s="64"/>
      <c r="E1543" s="64"/>
      <c r="F1543" s="64"/>
      <c r="G1543" s="64"/>
      <c r="H1543" s="64"/>
      <c r="I1543" s="64"/>
      <c r="J1543" s="64"/>
      <c r="K1543" s="64"/>
      <c r="L1543" s="64"/>
      <c r="M1543" s="64"/>
      <c r="N1543" s="64"/>
      <c r="O1543" s="64"/>
      <c r="P1543" s="64"/>
      <c r="Q1543" s="64"/>
      <c r="R1543" s="64"/>
    </row>
    <row r="1544" spans="1:18" x14ac:dyDescent="0.25">
      <c r="A1544" s="63"/>
      <c r="B1544" s="64"/>
      <c r="C1544" s="64"/>
      <c r="D1544" s="64"/>
      <c r="E1544" s="64"/>
      <c r="F1544" s="64"/>
      <c r="G1544" s="64"/>
      <c r="H1544" s="64"/>
      <c r="I1544" s="64"/>
      <c r="J1544" s="64"/>
      <c r="K1544" s="64"/>
      <c r="L1544" s="64"/>
      <c r="M1544" s="64"/>
      <c r="N1544" s="64"/>
      <c r="O1544" s="64"/>
      <c r="P1544" s="64"/>
      <c r="Q1544" s="64"/>
      <c r="R1544" s="64"/>
    </row>
    <row r="1545" spans="1:18" x14ac:dyDescent="0.25">
      <c r="A1545" s="63"/>
      <c r="B1545" s="64"/>
      <c r="C1545" s="64"/>
      <c r="D1545" s="64"/>
      <c r="E1545" s="64"/>
      <c r="F1545" s="64"/>
      <c r="G1545" s="64"/>
      <c r="H1545" s="64"/>
      <c r="I1545" s="64"/>
      <c r="J1545" s="64"/>
      <c r="K1545" s="64"/>
      <c r="L1545" s="64"/>
      <c r="M1545" s="64"/>
      <c r="N1545" s="64"/>
      <c r="O1545" s="64"/>
      <c r="P1545" s="64"/>
      <c r="Q1545" s="64"/>
      <c r="R1545" s="64"/>
    </row>
    <row r="1546" spans="1:18" x14ac:dyDescent="0.25">
      <c r="A1546" s="63"/>
      <c r="B1546" s="64"/>
      <c r="C1546" s="64"/>
      <c r="D1546" s="64"/>
      <c r="E1546" s="64"/>
      <c r="F1546" s="64"/>
      <c r="G1546" s="64"/>
      <c r="H1546" s="64"/>
      <c r="I1546" s="64"/>
      <c r="J1546" s="64"/>
      <c r="K1546" s="64"/>
      <c r="L1546" s="64"/>
      <c r="M1546" s="64"/>
      <c r="N1546" s="64"/>
      <c r="O1546" s="64"/>
      <c r="P1546" s="64"/>
      <c r="Q1546" s="64"/>
      <c r="R1546" s="64"/>
    </row>
    <row r="1547" spans="1:18" x14ac:dyDescent="0.25">
      <c r="A1547" s="63"/>
      <c r="B1547" s="64"/>
      <c r="C1547" s="64"/>
      <c r="D1547" s="64"/>
      <c r="E1547" s="64"/>
      <c r="F1547" s="64"/>
      <c r="G1547" s="64"/>
      <c r="H1547" s="64"/>
      <c r="I1547" s="64"/>
      <c r="J1547" s="64"/>
      <c r="K1547" s="64"/>
      <c r="L1547" s="64"/>
      <c r="M1547" s="64"/>
      <c r="N1547" s="64"/>
      <c r="O1547" s="64"/>
      <c r="P1547" s="64"/>
      <c r="Q1547" s="64"/>
      <c r="R1547" s="64"/>
    </row>
    <row r="1548" spans="1:18" x14ac:dyDescent="0.25">
      <c r="A1548" s="63"/>
      <c r="B1548" s="64"/>
      <c r="C1548" s="64"/>
      <c r="D1548" s="64"/>
      <c r="E1548" s="64"/>
      <c r="F1548" s="64"/>
      <c r="G1548" s="64"/>
      <c r="H1548" s="64"/>
      <c r="I1548" s="64"/>
      <c r="J1548" s="64"/>
      <c r="K1548" s="64"/>
      <c r="L1548" s="64"/>
      <c r="M1548" s="64"/>
      <c r="N1548" s="64"/>
      <c r="O1548" s="64"/>
      <c r="P1548" s="64"/>
      <c r="Q1548" s="64"/>
      <c r="R1548" s="64"/>
    </row>
    <row r="1549" spans="1:18" x14ac:dyDescent="0.25">
      <c r="A1549" s="63"/>
      <c r="B1549" s="64"/>
      <c r="C1549" s="64"/>
      <c r="D1549" s="64"/>
      <c r="E1549" s="64"/>
      <c r="F1549" s="64"/>
      <c r="G1549" s="64"/>
      <c r="H1549" s="64"/>
      <c r="I1549" s="64"/>
      <c r="J1549" s="64"/>
      <c r="K1549" s="64"/>
      <c r="L1549" s="64"/>
      <c r="M1549" s="64"/>
      <c r="N1549" s="64"/>
      <c r="O1549" s="64"/>
      <c r="P1549" s="64"/>
      <c r="Q1549" s="64"/>
      <c r="R1549" s="64"/>
    </row>
    <row r="1550" spans="1:18" x14ac:dyDescent="0.25">
      <c r="A1550" s="63"/>
      <c r="B1550" s="64"/>
      <c r="C1550" s="64"/>
      <c r="D1550" s="64"/>
      <c r="E1550" s="64"/>
      <c r="F1550" s="64"/>
      <c r="G1550" s="64"/>
      <c r="H1550" s="64"/>
      <c r="I1550" s="64"/>
      <c r="J1550" s="64"/>
      <c r="K1550" s="64"/>
      <c r="L1550" s="64"/>
      <c r="M1550" s="64"/>
      <c r="N1550" s="64"/>
      <c r="O1550" s="64"/>
      <c r="P1550" s="64"/>
      <c r="Q1550" s="64"/>
      <c r="R1550" s="64"/>
    </row>
    <row r="1551" spans="1:18" x14ac:dyDescent="0.25">
      <c r="A1551" s="63"/>
      <c r="B1551" s="64"/>
      <c r="C1551" s="64"/>
      <c r="D1551" s="64"/>
      <c r="E1551" s="64"/>
      <c r="F1551" s="64"/>
      <c r="G1551" s="64"/>
      <c r="H1551" s="64"/>
      <c r="I1551" s="64"/>
      <c r="J1551" s="64"/>
      <c r="K1551" s="64"/>
      <c r="L1551" s="64"/>
      <c r="M1551" s="64"/>
      <c r="N1551" s="64"/>
      <c r="O1551" s="64"/>
      <c r="P1551" s="64"/>
      <c r="Q1551" s="64"/>
      <c r="R1551" s="64"/>
    </row>
    <row r="1552" spans="1:18" x14ac:dyDescent="0.25">
      <c r="A1552" s="63"/>
      <c r="B1552" s="64"/>
      <c r="C1552" s="64"/>
      <c r="D1552" s="64"/>
      <c r="E1552" s="64"/>
      <c r="F1552" s="64"/>
      <c r="G1552" s="64"/>
      <c r="H1552" s="64"/>
      <c r="I1552" s="64"/>
      <c r="J1552" s="64"/>
      <c r="K1552" s="64"/>
      <c r="L1552" s="64"/>
      <c r="M1552" s="64"/>
      <c r="N1552" s="64"/>
      <c r="O1552" s="64"/>
      <c r="P1552" s="64"/>
      <c r="Q1552" s="64"/>
      <c r="R1552" s="64"/>
    </row>
    <row r="1553" spans="1:18" x14ac:dyDescent="0.25">
      <c r="A1553" s="63"/>
      <c r="B1553" s="64"/>
      <c r="C1553" s="64"/>
      <c r="D1553" s="64"/>
      <c r="E1553" s="64"/>
      <c r="F1553" s="64"/>
      <c r="G1553" s="64"/>
      <c r="H1553" s="64"/>
      <c r="I1553" s="64"/>
      <c r="J1553" s="64"/>
      <c r="K1553" s="64"/>
      <c r="L1553" s="64"/>
      <c r="M1553" s="64"/>
      <c r="N1553" s="64"/>
      <c r="O1553" s="64"/>
      <c r="P1553" s="64"/>
      <c r="Q1553" s="64"/>
      <c r="R1553" s="64"/>
    </row>
    <row r="1554" spans="1:18" x14ac:dyDescent="0.25">
      <c r="A1554" s="63"/>
      <c r="B1554" s="64"/>
      <c r="C1554" s="64"/>
      <c r="D1554" s="64"/>
      <c r="E1554" s="64"/>
      <c r="F1554" s="64"/>
      <c r="G1554" s="64"/>
      <c r="H1554" s="64"/>
      <c r="I1554" s="64"/>
      <c r="J1554" s="64"/>
      <c r="K1554" s="64"/>
      <c r="L1554" s="64"/>
      <c r="M1554" s="64"/>
      <c r="N1554" s="64"/>
      <c r="O1554" s="64"/>
      <c r="P1554" s="64"/>
      <c r="Q1554" s="64"/>
      <c r="R1554" s="64"/>
    </row>
    <row r="1555" spans="1:18" x14ac:dyDescent="0.25">
      <c r="A1555" s="63"/>
      <c r="B1555" s="64"/>
      <c r="C1555" s="64"/>
      <c r="D1555" s="64"/>
      <c r="E1555" s="64"/>
      <c r="F1555" s="64"/>
      <c r="G1555" s="64"/>
      <c r="H1555" s="64"/>
      <c r="I1555" s="64"/>
      <c r="J1555" s="64"/>
      <c r="K1555" s="64"/>
      <c r="L1555" s="64"/>
      <c r="M1555" s="64"/>
      <c r="N1555" s="64"/>
      <c r="O1555" s="64"/>
      <c r="P1555" s="64"/>
      <c r="Q1555" s="64"/>
      <c r="R1555" s="64"/>
    </row>
    <row r="1556" spans="1:18" x14ac:dyDescent="0.25">
      <c r="A1556" s="63"/>
      <c r="B1556" s="64"/>
      <c r="C1556" s="64"/>
      <c r="D1556" s="64"/>
      <c r="E1556" s="64"/>
      <c r="F1556" s="64"/>
      <c r="G1556" s="64"/>
      <c r="H1556" s="64"/>
      <c r="I1556" s="64"/>
      <c r="J1556" s="64"/>
      <c r="K1556" s="64"/>
      <c r="L1556" s="64"/>
      <c r="M1556" s="64"/>
      <c r="N1556" s="64"/>
      <c r="O1556" s="64"/>
      <c r="P1556" s="64"/>
      <c r="Q1556" s="64"/>
      <c r="R1556" s="64"/>
    </row>
    <row r="1557" spans="1:18" x14ac:dyDescent="0.25">
      <c r="A1557" s="63"/>
      <c r="B1557" s="64"/>
      <c r="C1557" s="64"/>
      <c r="D1557" s="64"/>
      <c r="E1557" s="64"/>
      <c r="F1557" s="64"/>
      <c r="G1557" s="64"/>
      <c r="H1557" s="64"/>
      <c r="I1557" s="64"/>
      <c r="J1557" s="64"/>
      <c r="K1557" s="64"/>
      <c r="L1557" s="64"/>
      <c r="M1557" s="64"/>
      <c r="N1557" s="64"/>
      <c r="O1557" s="64"/>
      <c r="P1557" s="64"/>
      <c r="Q1557" s="64"/>
      <c r="R1557" s="64"/>
    </row>
    <row r="1558" spans="1:18" x14ac:dyDescent="0.25">
      <c r="A1558" s="63"/>
      <c r="B1558" s="64"/>
      <c r="C1558" s="64"/>
      <c r="D1558" s="64"/>
      <c r="E1558" s="64"/>
      <c r="F1558" s="64"/>
      <c r="G1558" s="64"/>
      <c r="H1558" s="64"/>
      <c r="I1558" s="64"/>
      <c r="J1558" s="64"/>
      <c r="K1558" s="64"/>
      <c r="L1558" s="64"/>
      <c r="M1558" s="64"/>
      <c r="N1558" s="64"/>
      <c r="O1558" s="64"/>
      <c r="P1558" s="64"/>
      <c r="Q1558" s="64"/>
      <c r="R1558" s="64"/>
    </row>
    <row r="1559" spans="1:18" x14ac:dyDescent="0.25">
      <c r="A1559" s="63"/>
      <c r="B1559" s="64"/>
      <c r="C1559" s="64"/>
      <c r="D1559" s="64"/>
      <c r="E1559" s="64"/>
      <c r="F1559" s="64"/>
      <c r="G1559" s="64"/>
      <c r="H1559" s="64"/>
      <c r="I1559" s="64"/>
      <c r="J1559" s="64"/>
      <c r="K1559" s="64"/>
      <c r="L1559" s="64"/>
      <c r="M1559" s="64"/>
      <c r="N1559" s="64"/>
      <c r="O1559" s="64"/>
      <c r="P1559" s="64"/>
      <c r="Q1559" s="64"/>
      <c r="R1559" s="64"/>
    </row>
    <row r="1560" spans="1:18" x14ac:dyDescent="0.25">
      <c r="A1560" s="63"/>
      <c r="B1560" s="64"/>
      <c r="C1560" s="64"/>
      <c r="D1560" s="64"/>
      <c r="E1560" s="64"/>
      <c r="F1560" s="64"/>
      <c r="G1560" s="64"/>
      <c r="H1560" s="64"/>
      <c r="I1560" s="64"/>
      <c r="J1560" s="64"/>
      <c r="K1560" s="64"/>
      <c r="L1560" s="64"/>
      <c r="M1560" s="64"/>
      <c r="N1560" s="64"/>
      <c r="O1560" s="64"/>
      <c r="P1560" s="64"/>
      <c r="Q1560" s="64"/>
      <c r="R1560" s="64"/>
    </row>
    <row r="1561" spans="1:18" x14ac:dyDescent="0.25">
      <c r="A1561" s="63"/>
      <c r="B1561" s="64"/>
      <c r="C1561" s="64"/>
      <c r="D1561" s="64"/>
      <c r="E1561" s="64"/>
      <c r="F1561" s="64"/>
      <c r="G1561" s="64"/>
      <c r="H1561" s="64"/>
      <c r="I1561" s="64"/>
      <c r="J1561" s="64"/>
      <c r="K1561" s="64"/>
      <c r="L1561" s="64"/>
      <c r="M1561" s="64"/>
      <c r="N1561" s="64"/>
      <c r="O1561" s="64"/>
      <c r="P1561" s="64"/>
      <c r="Q1561" s="64"/>
      <c r="R1561" s="64"/>
    </row>
    <row r="1562" spans="1:18" x14ac:dyDescent="0.25">
      <c r="A1562" s="63"/>
      <c r="B1562" s="64"/>
      <c r="C1562" s="64"/>
      <c r="D1562" s="64"/>
      <c r="E1562" s="64"/>
      <c r="F1562" s="64"/>
      <c r="G1562" s="64"/>
      <c r="H1562" s="64"/>
      <c r="I1562" s="64"/>
      <c r="J1562" s="64"/>
      <c r="K1562" s="64"/>
      <c r="L1562" s="64"/>
      <c r="M1562" s="64"/>
      <c r="N1562" s="64"/>
      <c r="O1562" s="64"/>
      <c r="P1562" s="64"/>
      <c r="Q1562" s="64"/>
      <c r="R1562" s="64"/>
    </row>
    <row r="1563" spans="1:18" x14ac:dyDescent="0.25">
      <c r="A1563" s="63"/>
      <c r="B1563" s="64"/>
      <c r="C1563" s="64"/>
      <c r="D1563" s="64"/>
      <c r="E1563" s="64"/>
      <c r="F1563" s="64"/>
      <c r="G1563" s="64"/>
      <c r="H1563" s="64"/>
      <c r="I1563" s="64"/>
      <c r="J1563" s="64"/>
      <c r="K1563" s="64"/>
      <c r="L1563" s="64"/>
      <c r="M1563" s="64"/>
      <c r="N1563" s="64"/>
      <c r="O1563" s="64"/>
      <c r="P1563" s="64"/>
      <c r="Q1563" s="64"/>
      <c r="R1563" s="64"/>
    </row>
    <row r="1564" spans="1:18" x14ac:dyDescent="0.25">
      <c r="A1564" s="63"/>
      <c r="B1564" s="64"/>
      <c r="C1564" s="64"/>
      <c r="D1564" s="64"/>
      <c r="E1564" s="64"/>
      <c r="F1564" s="64"/>
      <c r="G1564" s="64"/>
      <c r="H1564" s="64"/>
      <c r="I1564" s="64"/>
      <c r="J1564" s="64"/>
      <c r="K1564" s="64"/>
      <c r="L1564" s="64"/>
      <c r="M1564" s="64"/>
      <c r="N1564" s="64"/>
      <c r="O1564" s="64"/>
      <c r="P1564" s="64"/>
      <c r="Q1564" s="64"/>
      <c r="R1564" s="64"/>
    </row>
    <row r="1565" spans="1:18" x14ac:dyDescent="0.25">
      <c r="A1565" s="63"/>
      <c r="B1565" s="64"/>
      <c r="C1565" s="64"/>
      <c r="D1565" s="64"/>
      <c r="E1565" s="64"/>
      <c r="F1565" s="64"/>
      <c r="G1565" s="64"/>
      <c r="H1565" s="64"/>
      <c r="I1565" s="64"/>
      <c r="J1565" s="64"/>
      <c r="K1565" s="64"/>
      <c r="L1565" s="64"/>
      <c r="M1565" s="64"/>
      <c r="N1565" s="64"/>
      <c r="O1565" s="64"/>
      <c r="P1565" s="64"/>
      <c r="Q1565" s="64"/>
      <c r="R1565" s="64"/>
    </row>
    <row r="1566" spans="1:18" x14ac:dyDescent="0.25">
      <c r="A1566" s="63"/>
      <c r="B1566" s="64"/>
      <c r="C1566" s="64"/>
      <c r="D1566" s="64"/>
      <c r="E1566" s="64"/>
      <c r="F1566" s="64"/>
      <c r="G1566" s="64"/>
      <c r="H1566" s="64"/>
      <c r="I1566" s="64"/>
      <c r="J1566" s="64"/>
      <c r="K1566" s="64"/>
      <c r="L1566" s="64"/>
      <c r="M1566" s="64"/>
      <c r="N1566" s="64"/>
      <c r="O1566" s="64"/>
      <c r="P1566" s="64"/>
      <c r="Q1566" s="64"/>
      <c r="R1566" s="64"/>
    </row>
    <row r="1567" spans="1:18" x14ac:dyDescent="0.25">
      <c r="A1567" s="63"/>
      <c r="B1567" s="64"/>
      <c r="C1567" s="64"/>
      <c r="D1567" s="64"/>
      <c r="E1567" s="64"/>
      <c r="F1567" s="64"/>
      <c r="G1567" s="64"/>
      <c r="H1567" s="64"/>
      <c r="I1567" s="64"/>
      <c r="J1567" s="64"/>
      <c r="K1567" s="64"/>
      <c r="L1567" s="64"/>
      <c r="M1567" s="64"/>
      <c r="N1567" s="64"/>
      <c r="O1567" s="64"/>
      <c r="P1567" s="64"/>
      <c r="Q1567" s="64"/>
      <c r="R1567" s="64"/>
    </row>
    <row r="1568" spans="1:18" x14ac:dyDescent="0.25">
      <c r="A1568" s="63"/>
      <c r="B1568" s="64"/>
      <c r="C1568" s="64"/>
      <c r="D1568" s="64"/>
      <c r="E1568" s="64"/>
      <c r="F1568" s="64"/>
      <c r="G1568" s="64"/>
      <c r="H1568" s="64"/>
      <c r="I1568" s="64"/>
      <c r="J1568" s="64"/>
      <c r="K1568" s="64"/>
      <c r="L1568" s="64"/>
      <c r="M1568" s="64"/>
      <c r="N1568" s="64"/>
      <c r="O1568" s="64"/>
      <c r="P1568" s="64"/>
      <c r="Q1568" s="64"/>
      <c r="R1568" s="64"/>
    </row>
    <row r="1569" spans="1:18" x14ac:dyDescent="0.25">
      <c r="A1569" s="63"/>
      <c r="B1569" s="64"/>
      <c r="C1569" s="64"/>
      <c r="D1569" s="64"/>
      <c r="E1569" s="64"/>
      <c r="F1569" s="64"/>
      <c r="G1569" s="64"/>
      <c r="H1569" s="64"/>
      <c r="I1569" s="64"/>
      <c r="J1569" s="64"/>
      <c r="K1569" s="64"/>
      <c r="L1569" s="64"/>
      <c r="M1569" s="64"/>
      <c r="N1569" s="64"/>
      <c r="O1569" s="64"/>
      <c r="P1569" s="64"/>
      <c r="Q1569" s="64"/>
      <c r="R1569" s="64"/>
    </row>
    <row r="1570" spans="1:18" x14ac:dyDescent="0.25">
      <c r="A1570" s="63"/>
      <c r="B1570" s="64"/>
      <c r="C1570" s="64"/>
      <c r="D1570" s="64"/>
      <c r="E1570" s="64"/>
      <c r="F1570" s="64"/>
      <c r="G1570" s="64"/>
      <c r="H1570" s="64"/>
      <c r="I1570" s="64"/>
      <c r="J1570" s="64"/>
      <c r="K1570" s="64"/>
      <c r="L1570" s="64"/>
      <c r="M1570" s="64"/>
      <c r="N1570" s="64"/>
      <c r="O1570" s="64"/>
      <c r="P1570" s="64"/>
      <c r="Q1570" s="64"/>
      <c r="R1570" s="64"/>
    </row>
    <row r="1571" spans="1:18" x14ac:dyDescent="0.25">
      <c r="A1571" s="63"/>
      <c r="B1571" s="64"/>
      <c r="C1571" s="64"/>
      <c r="D1571" s="64"/>
      <c r="E1571" s="64"/>
      <c r="F1571" s="64"/>
      <c r="G1571" s="64"/>
      <c r="H1571" s="64"/>
      <c r="I1571" s="64"/>
      <c r="J1571" s="64"/>
      <c r="K1571" s="64"/>
      <c r="L1571" s="64"/>
      <c r="M1571" s="64"/>
      <c r="N1571" s="64"/>
      <c r="O1571" s="64"/>
      <c r="P1571" s="64"/>
      <c r="Q1571" s="64"/>
      <c r="R1571" s="64"/>
    </row>
    <row r="1572" spans="1:18" x14ac:dyDescent="0.25">
      <c r="A1572" s="63"/>
      <c r="B1572" s="64"/>
      <c r="C1572" s="64"/>
      <c r="D1572" s="64"/>
      <c r="E1572" s="64"/>
      <c r="F1572" s="64"/>
      <c r="G1572" s="64"/>
      <c r="H1572" s="64"/>
      <c r="I1572" s="64"/>
      <c r="J1572" s="64"/>
      <c r="K1572" s="64"/>
      <c r="L1572" s="64"/>
      <c r="M1572" s="64"/>
      <c r="N1572" s="64"/>
      <c r="O1572" s="64"/>
      <c r="P1572" s="64"/>
      <c r="Q1572" s="64"/>
      <c r="R1572" s="64"/>
    </row>
    <row r="1573" spans="1:18" x14ac:dyDescent="0.25">
      <c r="A1573" s="63"/>
      <c r="B1573" s="64"/>
      <c r="C1573" s="64"/>
      <c r="D1573" s="64"/>
      <c r="E1573" s="64"/>
      <c r="F1573" s="64"/>
      <c r="G1573" s="64"/>
      <c r="H1573" s="64"/>
      <c r="I1573" s="64"/>
      <c r="J1573" s="64"/>
      <c r="K1573" s="64"/>
      <c r="L1573" s="64"/>
      <c r="M1573" s="64"/>
      <c r="N1573" s="64"/>
      <c r="O1573" s="64"/>
      <c r="P1573" s="64"/>
      <c r="Q1573" s="64"/>
      <c r="R1573" s="64"/>
    </row>
    <row r="1574" spans="1:18" x14ac:dyDescent="0.25">
      <c r="A1574" s="63"/>
      <c r="B1574" s="64"/>
      <c r="C1574" s="64"/>
      <c r="D1574" s="64"/>
      <c r="E1574" s="64"/>
      <c r="F1574" s="64"/>
      <c r="G1574" s="64"/>
      <c r="H1574" s="64"/>
      <c r="I1574" s="64"/>
      <c r="J1574" s="64"/>
      <c r="K1574" s="64"/>
      <c r="L1574" s="64"/>
      <c r="M1574" s="64"/>
      <c r="N1574" s="64"/>
      <c r="O1574" s="64"/>
      <c r="P1574" s="64"/>
      <c r="Q1574" s="64"/>
      <c r="R1574" s="64"/>
    </row>
    <row r="1575" spans="1:18" x14ac:dyDescent="0.25">
      <c r="A1575" s="63"/>
      <c r="B1575" s="64"/>
      <c r="C1575" s="64"/>
      <c r="D1575" s="64"/>
      <c r="E1575" s="64"/>
      <c r="F1575" s="64"/>
      <c r="G1575" s="64"/>
      <c r="H1575" s="64"/>
      <c r="I1575" s="64"/>
      <c r="J1575" s="64"/>
      <c r="K1575" s="64"/>
      <c r="L1575" s="64"/>
      <c r="M1575" s="64"/>
      <c r="N1575" s="64"/>
      <c r="O1575" s="64"/>
      <c r="P1575" s="64"/>
      <c r="Q1575" s="64"/>
      <c r="R1575" s="64"/>
    </row>
    <row r="1576" spans="1:18" x14ac:dyDescent="0.25">
      <c r="A1576" s="63"/>
      <c r="B1576" s="64"/>
      <c r="C1576" s="64"/>
      <c r="D1576" s="64"/>
      <c r="E1576" s="64"/>
      <c r="F1576" s="64"/>
      <c r="G1576" s="64"/>
      <c r="H1576" s="64"/>
      <c r="I1576" s="64"/>
      <c r="J1576" s="64"/>
      <c r="K1576" s="64"/>
      <c r="L1576" s="64"/>
      <c r="M1576" s="64"/>
      <c r="N1576" s="64"/>
      <c r="O1576" s="64"/>
      <c r="P1576" s="64"/>
      <c r="Q1576" s="64"/>
      <c r="R1576" s="64"/>
    </row>
    <row r="1577" spans="1:18" x14ac:dyDescent="0.25">
      <c r="A1577" s="63"/>
      <c r="B1577" s="64"/>
      <c r="C1577" s="64"/>
      <c r="D1577" s="64"/>
      <c r="E1577" s="64"/>
      <c r="F1577" s="64"/>
      <c r="G1577" s="64"/>
      <c r="H1577" s="64"/>
      <c r="I1577" s="64"/>
      <c r="J1577" s="64"/>
      <c r="K1577" s="64"/>
      <c r="L1577" s="64"/>
      <c r="M1577" s="64"/>
      <c r="N1577" s="64"/>
      <c r="O1577" s="64"/>
      <c r="P1577" s="64"/>
      <c r="Q1577" s="64"/>
      <c r="R1577" s="64"/>
    </row>
    <row r="1578" spans="1:18" x14ac:dyDescent="0.25">
      <c r="A1578" s="63"/>
      <c r="B1578" s="64"/>
      <c r="C1578" s="64"/>
      <c r="D1578" s="64"/>
      <c r="E1578" s="64"/>
      <c r="F1578" s="64"/>
      <c r="G1578" s="64"/>
      <c r="H1578" s="64"/>
      <c r="I1578" s="64"/>
      <c r="J1578" s="64"/>
      <c r="K1578" s="64"/>
      <c r="L1578" s="64"/>
      <c r="M1578" s="64"/>
      <c r="N1578" s="64"/>
      <c r="O1578" s="64"/>
      <c r="P1578" s="64"/>
      <c r="Q1578" s="64"/>
      <c r="R1578" s="64"/>
    </row>
    <row r="1579" spans="1:18" x14ac:dyDescent="0.25">
      <c r="A1579" s="63"/>
      <c r="B1579" s="64"/>
      <c r="C1579" s="64"/>
      <c r="D1579" s="64"/>
      <c r="E1579" s="64"/>
      <c r="F1579" s="64"/>
      <c r="G1579" s="64"/>
      <c r="H1579" s="64"/>
      <c r="I1579" s="64"/>
      <c r="J1579" s="64"/>
      <c r="K1579" s="64"/>
      <c r="L1579" s="64"/>
      <c r="M1579" s="64"/>
      <c r="N1579" s="64"/>
      <c r="O1579" s="64"/>
      <c r="P1579" s="64"/>
      <c r="Q1579" s="64"/>
      <c r="R1579" s="64"/>
    </row>
    <row r="1580" spans="1:18" x14ac:dyDescent="0.25">
      <c r="A1580" s="63"/>
      <c r="B1580" s="64"/>
      <c r="C1580" s="64"/>
      <c r="D1580" s="64"/>
      <c r="E1580" s="64"/>
      <c r="F1580" s="64"/>
      <c r="G1580" s="64"/>
      <c r="H1580" s="64"/>
      <c r="I1580" s="64"/>
      <c r="J1580" s="64"/>
      <c r="K1580" s="64"/>
      <c r="L1580" s="64"/>
      <c r="M1580" s="64"/>
      <c r="N1580" s="64"/>
      <c r="O1580" s="64"/>
      <c r="P1580" s="64"/>
      <c r="Q1580" s="64"/>
      <c r="R1580" s="64"/>
    </row>
    <row r="1581" spans="1:18" x14ac:dyDescent="0.25">
      <c r="A1581" s="63"/>
      <c r="B1581" s="64"/>
      <c r="C1581" s="64"/>
      <c r="D1581" s="64"/>
      <c r="E1581" s="64"/>
      <c r="F1581" s="64"/>
      <c r="G1581" s="64"/>
      <c r="H1581" s="64"/>
      <c r="I1581" s="64"/>
      <c r="J1581" s="64"/>
      <c r="K1581" s="64"/>
      <c r="L1581" s="64"/>
      <c r="M1581" s="64"/>
      <c r="N1581" s="64"/>
      <c r="O1581" s="64"/>
      <c r="P1581" s="64"/>
      <c r="Q1581" s="64"/>
      <c r="R1581" s="64"/>
    </row>
    <row r="1582" spans="1:18" x14ac:dyDescent="0.25">
      <c r="A1582" s="63"/>
      <c r="B1582" s="64"/>
      <c r="C1582" s="64"/>
      <c r="D1582" s="64"/>
      <c r="E1582" s="64"/>
      <c r="F1582" s="64"/>
      <c r="G1582" s="64"/>
      <c r="H1582" s="64"/>
      <c r="I1582" s="64"/>
      <c r="J1582" s="64"/>
      <c r="K1582" s="64"/>
      <c r="L1582" s="64"/>
      <c r="M1582" s="64"/>
      <c r="N1582" s="64"/>
      <c r="O1582" s="64"/>
      <c r="P1582" s="64"/>
      <c r="Q1582" s="64"/>
      <c r="R1582" s="64"/>
    </row>
    <row r="1583" spans="1:18" x14ac:dyDescent="0.25">
      <c r="A1583" s="63"/>
      <c r="B1583" s="64"/>
      <c r="C1583" s="64"/>
      <c r="D1583" s="64"/>
      <c r="E1583" s="64"/>
      <c r="F1583" s="64"/>
      <c r="G1583" s="64"/>
      <c r="H1583" s="64"/>
      <c r="I1583" s="64"/>
      <c r="J1583" s="64"/>
      <c r="K1583" s="64"/>
      <c r="L1583" s="64"/>
      <c r="M1583" s="64"/>
      <c r="N1583" s="64"/>
      <c r="O1583" s="64"/>
      <c r="P1583" s="64"/>
      <c r="Q1583" s="64"/>
      <c r="R1583" s="64"/>
    </row>
    <row r="1584" spans="1:18" x14ac:dyDescent="0.25">
      <c r="A1584" s="63"/>
      <c r="B1584" s="64"/>
      <c r="C1584" s="64"/>
      <c r="D1584" s="64"/>
      <c r="E1584" s="64"/>
      <c r="F1584" s="64"/>
      <c r="G1584" s="64"/>
      <c r="H1584" s="64"/>
      <c r="I1584" s="64"/>
      <c r="J1584" s="64"/>
      <c r="K1584" s="64"/>
      <c r="L1584" s="64"/>
      <c r="M1584" s="64"/>
      <c r="N1584" s="64"/>
      <c r="O1584" s="64"/>
      <c r="P1584" s="64"/>
      <c r="Q1584" s="64"/>
      <c r="R1584" s="64"/>
    </row>
    <row r="1585" spans="1:18" x14ac:dyDescent="0.25">
      <c r="A1585" s="63"/>
      <c r="B1585" s="64"/>
      <c r="C1585" s="64"/>
      <c r="D1585" s="64"/>
      <c r="E1585" s="64"/>
      <c r="F1585" s="64"/>
      <c r="G1585" s="64"/>
      <c r="H1585" s="64"/>
      <c r="I1585" s="64"/>
      <c r="J1585" s="64"/>
      <c r="K1585" s="64"/>
      <c r="L1585" s="64"/>
      <c r="M1585" s="64"/>
      <c r="N1585" s="64"/>
      <c r="O1585" s="64"/>
      <c r="P1585" s="64"/>
      <c r="Q1585" s="64"/>
      <c r="R1585" s="64"/>
    </row>
    <row r="1586" spans="1:18" x14ac:dyDescent="0.25">
      <c r="A1586" s="63"/>
      <c r="B1586" s="64"/>
      <c r="C1586" s="64"/>
      <c r="D1586" s="64"/>
      <c r="E1586" s="64"/>
      <c r="F1586" s="64"/>
      <c r="G1586" s="64"/>
      <c r="H1586" s="64"/>
      <c r="I1586" s="64"/>
      <c r="J1586" s="64"/>
      <c r="K1586" s="64"/>
      <c r="L1586" s="64"/>
      <c r="M1586" s="64"/>
      <c r="N1586" s="64"/>
      <c r="O1586" s="64"/>
      <c r="P1586" s="64"/>
      <c r="Q1586" s="64"/>
      <c r="R1586" s="64"/>
    </row>
    <row r="1587" spans="1:18" x14ac:dyDescent="0.25">
      <c r="A1587" s="63"/>
      <c r="B1587" s="64"/>
      <c r="C1587" s="64"/>
      <c r="D1587" s="64"/>
      <c r="E1587" s="64"/>
      <c r="F1587" s="64"/>
      <c r="G1587" s="64"/>
      <c r="H1587" s="64"/>
      <c r="I1587" s="64"/>
      <c r="J1587" s="64"/>
      <c r="K1587" s="64"/>
      <c r="L1587" s="64"/>
      <c r="M1587" s="64"/>
      <c r="N1587" s="64"/>
      <c r="O1587" s="64"/>
      <c r="P1587" s="64"/>
      <c r="Q1587" s="64"/>
      <c r="R1587" s="64"/>
    </row>
    <row r="1588" spans="1:18" x14ac:dyDescent="0.25">
      <c r="A1588" s="63"/>
      <c r="B1588" s="64"/>
      <c r="C1588" s="64"/>
      <c r="D1588" s="64"/>
      <c r="E1588" s="64"/>
      <c r="F1588" s="64"/>
      <c r="G1588" s="64"/>
      <c r="H1588" s="64"/>
      <c r="I1588" s="64"/>
      <c r="J1588" s="64"/>
      <c r="K1588" s="64"/>
      <c r="L1588" s="64"/>
      <c r="M1588" s="64"/>
      <c r="N1588" s="64"/>
      <c r="O1588" s="64"/>
      <c r="P1588" s="64"/>
      <c r="Q1588" s="64"/>
      <c r="R1588" s="64"/>
    </row>
    <row r="1589" spans="1:18" x14ac:dyDescent="0.25">
      <c r="A1589" s="63"/>
      <c r="B1589" s="64"/>
      <c r="C1589" s="64"/>
      <c r="D1589" s="64"/>
      <c r="E1589" s="64"/>
      <c r="F1589" s="64"/>
      <c r="G1589" s="64"/>
      <c r="H1589" s="64"/>
      <c r="I1589" s="64"/>
      <c r="J1589" s="64"/>
      <c r="K1589" s="64"/>
      <c r="L1589" s="64"/>
      <c r="M1589" s="64"/>
      <c r="N1589" s="64"/>
      <c r="O1589" s="64"/>
      <c r="P1589" s="64"/>
      <c r="Q1589" s="64"/>
      <c r="R1589" s="64"/>
    </row>
    <row r="1590" spans="1:18" x14ac:dyDescent="0.25">
      <c r="A1590" s="63"/>
      <c r="B1590" s="64"/>
      <c r="C1590" s="64"/>
      <c r="D1590" s="64"/>
      <c r="E1590" s="64"/>
      <c r="F1590" s="64"/>
      <c r="G1590" s="64"/>
      <c r="H1590" s="64"/>
      <c r="I1590" s="64"/>
      <c r="J1590" s="64"/>
      <c r="K1590" s="64"/>
      <c r="L1590" s="64"/>
      <c r="M1590" s="64"/>
      <c r="N1590" s="64"/>
      <c r="O1590" s="64"/>
      <c r="P1590" s="64"/>
      <c r="Q1590" s="64"/>
      <c r="R1590" s="64"/>
    </row>
    <row r="1591" spans="1:18" x14ac:dyDescent="0.25">
      <c r="A1591" s="63"/>
      <c r="B1591" s="64"/>
      <c r="C1591" s="64"/>
      <c r="D1591" s="64"/>
      <c r="E1591" s="64"/>
      <c r="F1591" s="64"/>
      <c r="G1591" s="64"/>
      <c r="H1591" s="64"/>
      <c r="I1591" s="64"/>
      <c r="J1591" s="64"/>
      <c r="K1591" s="64"/>
      <c r="L1591" s="64"/>
      <c r="M1591" s="64"/>
      <c r="N1591" s="64"/>
      <c r="O1591" s="64"/>
      <c r="P1591" s="64"/>
      <c r="Q1591" s="64"/>
      <c r="R1591" s="64"/>
    </row>
    <row r="1592" spans="1:18" x14ac:dyDescent="0.25">
      <c r="A1592" s="63"/>
      <c r="B1592" s="64"/>
      <c r="C1592" s="64"/>
      <c r="D1592" s="64"/>
      <c r="E1592" s="64"/>
      <c r="F1592" s="64"/>
      <c r="G1592" s="64"/>
      <c r="H1592" s="64"/>
      <c r="I1592" s="64"/>
      <c r="J1592" s="64"/>
      <c r="K1592" s="64"/>
      <c r="L1592" s="64"/>
      <c r="M1592" s="64"/>
      <c r="N1592" s="64"/>
      <c r="O1592" s="64"/>
      <c r="P1592" s="64"/>
      <c r="Q1592" s="64"/>
      <c r="R1592" s="64"/>
    </row>
    <row r="1593" spans="1:18" x14ac:dyDescent="0.25">
      <c r="A1593" s="63"/>
      <c r="B1593" s="64"/>
      <c r="C1593" s="64"/>
      <c r="D1593" s="64"/>
      <c r="E1593" s="64"/>
      <c r="F1593" s="64"/>
      <c r="G1593" s="64"/>
      <c r="H1593" s="64"/>
      <c r="I1593" s="64"/>
      <c r="J1593" s="64"/>
      <c r="K1593" s="64"/>
      <c r="L1593" s="64"/>
      <c r="M1593" s="64"/>
      <c r="N1593" s="64"/>
      <c r="O1593" s="64"/>
      <c r="P1593" s="64"/>
      <c r="Q1593" s="64"/>
      <c r="R1593" s="64"/>
    </row>
    <row r="1594" spans="1:18" x14ac:dyDescent="0.25">
      <c r="A1594" s="63"/>
      <c r="B1594" s="64"/>
      <c r="C1594" s="64"/>
      <c r="D1594" s="64"/>
      <c r="E1594" s="64"/>
      <c r="F1594" s="64"/>
      <c r="G1594" s="64"/>
      <c r="H1594" s="64"/>
      <c r="I1594" s="64"/>
      <c r="J1594" s="64"/>
      <c r="K1594" s="64"/>
      <c r="L1594" s="64"/>
      <c r="M1594" s="64"/>
      <c r="N1594" s="64"/>
      <c r="O1594" s="64"/>
      <c r="P1594" s="64"/>
      <c r="Q1594" s="64"/>
      <c r="R1594" s="64"/>
    </row>
    <row r="1595" spans="1:18" x14ac:dyDescent="0.25">
      <c r="A1595" s="63"/>
      <c r="B1595" s="64"/>
      <c r="C1595" s="64"/>
      <c r="D1595" s="64"/>
      <c r="E1595" s="64"/>
      <c r="F1595" s="64"/>
      <c r="G1595" s="64"/>
      <c r="H1595" s="64"/>
      <c r="I1595" s="64"/>
      <c r="J1595" s="64"/>
      <c r="K1595" s="64"/>
      <c r="L1595" s="64"/>
      <c r="M1595" s="64"/>
      <c r="N1595" s="64"/>
      <c r="O1595" s="64"/>
      <c r="P1595" s="64"/>
      <c r="Q1595" s="64"/>
      <c r="R1595" s="64"/>
    </row>
    <row r="1596" spans="1:18" x14ac:dyDescent="0.25">
      <c r="A1596" s="63"/>
      <c r="B1596" s="64"/>
      <c r="C1596" s="64"/>
      <c r="D1596" s="64"/>
      <c r="E1596" s="64"/>
      <c r="F1596" s="64"/>
      <c r="G1596" s="64"/>
      <c r="H1596" s="64"/>
      <c r="I1596" s="64"/>
      <c r="J1596" s="64"/>
      <c r="K1596" s="64"/>
      <c r="L1596" s="64"/>
      <c r="M1596" s="64"/>
      <c r="N1596" s="64"/>
      <c r="O1596" s="64"/>
      <c r="P1596" s="64"/>
      <c r="Q1596" s="64"/>
      <c r="R1596" s="64"/>
    </row>
    <row r="1597" spans="1:18" x14ac:dyDescent="0.25">
      <c r="A1597" s="63"/>
      <c r="B1597" s="64"/>
      <c r="C1597" s="64"/>
      <c r="D1597" s="64"/>
      <c r="E1597" s="64"/>
      <c r="F1597" s="64"/>
      <c r="G1597" s="64"/>
      <c r="H1597" s="64"/>
      <c r="I1597" s="64"/>
      <c r="J1597" s="64"/>
      <c r="K1597" s="64"/>
      <c r="L1597" s="64"/>
      <c r="M1597" s="64"/>
      <c r="N1597" s="64"/>
      <c r="O1597" s="64"/>
      <c r="P1597" s="64"/>
      <c r="Q1597" s="64"/>
      <c r="R1597" s="64"/>
    </row>
    <row r="1598" spans="1:18" x14ac:dyDescent="0.25">
      <c r="A1598" s="63"/>
      <c r="B1598" s="64"/>
      <c r="C1598" s="64"/>
      <c r="D1598" s="64"/>
      <c r="E1598" s="64"/>
      <c r="F1598" s="64"/>
      <c r="G1598" s="64"/>
      <c r="H1598" s="64"/>
      <c r="I1598" s="64"/>
      <c r="J1598" s="64"/>
      <c r="K1598" s="64"/>
      <c r="L1598" s="64"/>
      <c r="M1598" s="64"/>
      <c r="N1598" s="64"/>
      <c r="O1598" s="64"/>
      <c r="P1598" s="64"/>
      <c r="Q1598" s="64"/>
      <c r="R1598" s="64"/>
    </row>
    <row r="1599" spans="1:18" x14ac:dyDescent="0.25">
      <c r="A1599" s="63"/>
      <c r="B1599" s="64"/>
      <c r="C1599" s="64"/>
      <c r="D1599" s="64"/>
      <c r="E1599" s="64"/>
      <c r="F1599" s="64"/>
      <c r="G1599" s="64"/>
      <c r="H1599" s="64"/>
      <c r="I1599" s="64"/>
      <c r="J1599" s="64"/>
      <c r="K1599" s="64"/>
      <c r="L1599" s="64"/>
      <c r="M1599" s="64"/>
      <c r="N1599" s="64"/>
      <c r="O1599" s="64"/>
      <c r="P1599" s="64"/>
      <c r="Q1599" s="64"/>
      <c r="R1599" s="64"/>
    </row>
    <row r="1600" spans="1:18" x14ac:dyDescent="0.25">
      <c r="A1600" s="63"/>
      <c r="B1600" s="64"/>
      <c r="C1600" s="64"/>
      <c r="D1600" s="64"/>
      <c r="E1600" s="64"/>
      <c r="F1600" s="64"/>
      <c r="G1600" s="64"/>
      <c r="H1600" s="64"/>
      <c r="I1600" s="64"/>
      <c r="J1600" s="64"/>
      <c r="K1600" s="64"/>
      <c r="L1600" s="64"/>
      <c r="M1600" s="64"/>
      <c r="N1600" s="64"/>
      <c r="O1600" s="64"/>
      <c r="P1600" s="64"/>
      <c r="Q1600" s="64"/>
      <c r="R1600" s="64"/>
    </row>
    <row r="1601" spans="1:18" x14ac:dyDescent="0.25">
      <c r="A1601" s="63"/>
      <c r="B1601" s="64"/>
      <c r="C1601" s="64"/>
      <c r="D1601" s="64"/>
      <c r="E1601" s="64"/>
      <c r="F1601" s="64"/>
      <c r="G1601" s="64"/>
      <c r="H1601" s="64"/>
      <c r="I1601" s="64"/>
      <c r="J1601" s="64"/>
      <c r="K1601" s="64"/>
      <c r="L1601" s="64"/>
      <c r="M1601" s="64"/>
      <c r="N1601" s="64"/>
      <c r="O1601" s="64"/>
      <c r="P1601" s="64"/>
      <c r="Q1601" s="64"/>
      <c r="R1601" s="64"/>
    </row>
    <row r="1602" spans="1:18" x14ac:dyDescent="0.25">
      <c r="A1602" s="63"/>
      <c r="B1602" s="64"/>
      <c r="C1602" s="64"/>
      <c r="D1602" s="64"/>
      <c r="E1602" s="64"/>
      <c r="F1602" s="64"/>
      <c r="G1602" s="64"/>
      <c r="H1602" s="64"/>
      <c r="I1602" s="64"/>
      <c r="J1602" s="64"/>
      <c r="K1602" s="64"/>
      <c r="L1602" s="64"/>
      <c r="M1602" s="64"/>
      <c r="N1602" s="64"/>
      <c r="O1602" s="64"/>
      <c r="P1602" s="64"/>
      <c r="Q1602" s="64"/>
      <c r="R1602" s="64"/>
    </row>
    <row r="1603" spans="1:18" x14ac:dyDescent="0.25">
      <c r="A1603" s="63"/>
      <c r="B1603" s="64"/>
      <c r="C1603" s="64"/>
      <c r="D1603" s="64"/>
      <c r="E1603" s="64"/>
      <c r="F1603" s="64"/>
      <c r="G1603" s="64"/>
      <c r="H1603" s="64"/>
      <c r="I1603" s="64"/>
      <c r="J1603" s="64"/>
      <c r="K1603" s="64"/>
      <c r="L1603" s="64"/>
      <c r="M1603" s="64"/>
      <c r="N1603" s="64"/>
      <c r="O1603" s="64"/>
      <c r="P1603" s="64"/>
      <c r="Q1603" s="64"/>
      <c r="R1603" s="64"/>
    </row>
    <row r="1604" spans="1:18" x14ac:dyDescent="0.25">
      <c r="A1604" s="63"/>
      <c r="B1604" s="64"/>
      <c r="C1604" s="64"/>
      <c r="D1604" s="64"/>
      <c r="E1604" s="64"/>
      <c r="F1604" s="64"/>
      <c r="G1604" s="64"/>
      <c r="H1604" s="64"/>
      <c r="I1604" s="64"/>
      <c r="J1604" s="64"/>
      <c r="K1604" s="64"/>
      <c r="L1604" s="64"/>
      <c r="M1604" s="64"/>
      <c r="N1604" s="64"/>
      <c r="O1604" s="64"/>
      <c r="P1604" s="64"/>
      <c r="Q1604" s="64"/>
      <c r="R1604" s="64"/>
    </row>
    <row r="1605" spans="1:18" x14ac:dyDescent="0.25">
      <c r="A1605" s="63"/>
      <c r="B1605" s="64"/>
      <c r="C1605" s="64"/>
      <c r="D1605" s="64"/>
      <c r="E1605" s="64"/>
      <c r="F1605" s="64"/>
      <c r="G1605" s="64"/>
      <c r="H1605" s="64"/>
      <c r="I1605" s="64"/>
      <c r="J1605" s="64"/>
      <c r="K1605" s="64"/>
      <c r="L1605" s="64"/>
      <c r="M1605" s="64"/>
      <c r="N1605" s="64"/>
      <c r="O1605" s="64"/>
      <c r="P1605" s="64"/>
      <c r="Q1605" s="64"/>
      <c r="R1605" s="64"/>
    </row>
    <row r="1606" spans="1:18" x14ac:dyDescent="0.25">
      <c r="A1606" s="63"/>
      <c r="B1606" s="64"/>
      <c r="C1606" s="64"/>
      <c r="D1606" s="64"/>
      <c r="E1606" s="64"/>
      <c r="F1606" s="64"/>
      <c r="G1606" s="64"/>
      <c r="H1606" s="64"/>
      <c r="I1606" s="64"/>
      <c r="J1606" s="64"/>
      <c r="K1606" s="64"/>
      <c r="L1606" s="64"/>
      <c r="M1606" s="64"/>
      <c r="N1606" s="64"/>
      <c r="O1606" s="64"/>
      <c r="P1606" s="64"/>
      <c r="Q1606" s="64"/>
      <c r="R1606" s="64"/>
    </row>
    <row r="1607" spans="1:18" x14ac:dyDescent="0.25">
      <c r="A1607" s="63"/>
      <c r="B1607" s="64"/>
      <c r="C1607" s="64"/>
      <c r="D1607" s="64"/>
      <c r="E1607" s="64"/>
      <c r="F1607" s="64"/>
      <c r="G1607" s="64"/>
      <c r="H1607" s="64"/>
      <c r="I1607" s="64"/>
      <c r="J1607" s="64"/>
      <c r="K1607" s="64"/>
      <c r="L1607" s="64"/>
      <c r="M1607" s="64"/>
      <c r="N1607" s="64"/>
      <c r="O1607" s="64"/>
      <c r="P1607" s="64"/>
      <c r="Q1607" s="64"/>
      <c r="R1607" s="64"/>
    </row>
    <row r="1608" spans="1:18" x14ac:dyDescent="0.25">
      <c r="A1608" s="63"/>
      <c r="B1608" s="64"/>
      <c r="C1608" s="64"/>
      <c r="D1608" s="64"/>
      <c r="E1608" s="64"/>
      <c r="F1608" s="64"/>
      <c r="G1608" s="64"/>
      <c r="H1608" s="64"/>
      <c r="I1608" s="64"/>
      <c r="J1608" s="64"/>
      <c r="K1608" s="64"/>
      <c r="L1608" s="64"/>
      <c r="M1608" s="64"/>
      <c r="N1608" s="64"/>
      <c r="O1608" s="64"/>
      <c r="P1608" s="64"/>
      <c r="Q1608" s="64"/>
      <c r="R1608" s="64"/>
    </row>
    <row r="1609" spans="1:18" x14ac:dyDescent="0.25">
      <c r="A1609" s="63"/>
      <c r="B1609" s="64"/>
      <c r="C1609" s="64"/>
      <c r="D1609" s="64"/>
      <c r="E1609" s="64"/>
      <c r="F1609" s="64"/>
      <c r="G1609" s="64"/>
      <c r="H1609" s="64"/>
      <c r="I1609" s="64"/>
      <c r="J1609" s="64"/>
      <c r="K1609" s="64"/>
      <c r="L1609" s="64"/>
      <c r="M1609" s="64"/>
      <c r="N1609" s="64"/>
      <c r="O1609" s="64"/>
      <c r="P1609" s="64"/>
      <c r="Q1609" s="64"/>
      <c r="R1609" s="64"/>
    </row>
    <row r="1610" spans="1:18" x14ac:dyDescent="0.25">
      <c r="A1610" s="63"/>
      <c r="B1610" s="64"/>
      <c r="C1610" s="64"/>
      <c r="D1610" s="64"/>
      <c r="E1610" s="64"/>
      <c r="F1610" s="64"/>
      <c r="G1610" s="64"/>
      <c r="H1610" s="64"/>
      <c r="I1610" s="64"/>
      <c r="J1610" s="64"/>
      <c r="K1610" s="64"/>
      <c r="L1610" s="64"/>
      <c r="M1610" s="64"/>
      <c r="N1610" s="64"/>
      <c r="O1610" s="64"/>
      <c r="P1610" s="64"/>
      <c r="Q1610" s="64"/>
      <c r="R1610" s="64"/>
    </row>
    <row r="1611" spans="1:18" x14ac:dyDescent="0.25">
      <c r="A1611" s="63"/>
      <c r="B1611" s="64"/>
      <c r="C1611" s="64"/>
      <c r="D1611" s="64"/>
      <c r="E1611" s="64"/>
      <c r="F1611" s="64"/>
      <c r="G1611" s="64"/>
      <c r="H1611" s="64"/>
      <c r="I1611" s="64"/>
      <c r="J1611" s="64"/>
      <c r="K1611" s="64"/>
      <c r="L1611" s="64"/>
      <c r="M1611" s="64"/>
      <c r="N1611" s="64"/>
      <c r="O1611" s="64"/>
      <c r="P1611" s="64"/>
      <c r="Q1611" s="64"/>
      <c r="R1611" s="64"/>
    </row>
    <row r="1612" spans="1:18" x14ac:dyDescent="0.25">
      <c r="A1612" s="63"/>
      <c r="B1612" s="64"/>
      <c r="C1612" s="64"/>
      <c r="D1612" s="64"/>
      <c r="E1612" s="64"/>
      <c r="F1612" s="64"/>
      <c r="G1612" s="64"/>
      <c r="H1612" s="64"/>
      <c r="I1612" s="64"/>
      <c r="J1612" s="64"/>
      <c r="K1612" s="64"/>
      <c r="L1612" s="64"/>
      <c r="M1612" s="64"/>
      <c r="N1612" s="64"/>
      <c r="O1612" s="64"/>
      <c r="P1612" s="64"/>
      <c r="Q1612" s="64"/>
      <c r="R1612" s="64"/>
    </row>
    <row r="1613" spans="1:18" x14ac:dyDescent="0.25">
      <c r="A1613" s="63"/>
      <c r="B1613" s="64"/>
      <c r="C1613" s="64"/>
      <c r="D1613" s="64"/>
      <c r="E1613" s="64"/>
      <c r="F1613" s="64"/>
      <c r="G1613" s="64"/>
      <c r="H1613" s="64"/>
      <c r="I1613" s="64"/>
      <c r="J1613" s="64"/>
      <c r="K1613" s="64"/>
      <c r="L1613" s="64"/>
      <c r="M1613" s="64"/>
      <c r="N1613" s="64"/>
      <c r="O1613" s="64"/>
      <c r="P1613" s="64"/>
      <c r="Q1613" s="64"/>
      <c r="R1613" s="64"/>
    </row>
    <row r="1614" spans="1:18" x14ac:dyDescent="0.25">
      <c r="A1614" s="63"/>
      <c r="B1614" s="64"/>
      <c r="C1614" s="64"/>
      <c r="D1614" s="64"/>
      <c r="E1614" s="64"/>
      <c r="F1614" s="64"/>
      <c r="G1614" s="64"/>
      <c r="H1614" s="64"/>
      <c r="I1614" s="64"/>
      <c r="J1614" s="64"/>
      <c r="K1614" s="64"/>
      <c r="L1614" s="64"/>
      <c r="M1614" s="64"/>
      <c r="N1614" s="64"/>
      <c r="O1614" s="64"/>
      <c r="P1614" s="64"/>
      <c r="Q1614" s="64"/>
      <c r="R1614" s="64"/>
    </row>
    <row r="1615" spans="1:18" x14ac:dyDescent="0.25">
      <c r="A1615" s="63"/>
      <c r="B1615" s="64"/>
      <c r="C1615" s="64"/>
      <c r="D1615" s="64"/>
      <c r="E1615" s="64"/>
      <c r="F1615" s="64"/>
      <c r="G1615" s="64"/>
      <c r="H1615" s="64"/>
      <c r="I1615" s="64"/>
      <c r="J1615" s="64"/>
      <c r="K1615" s="64"/>
      <c r="L1615" s="64"/>
      <c r="M1615" s="64"/>
      <c r="N1615" s="64"/>
      <c r="O1615" s="64"/>
      <c r="P1615" s="64"/>
      <c r="Q1615" s="64"/>
      <c r="R1615" s="64"/>
    </row>
    <row r="1616" spans="1:18" x14ac:dyDescent="0.25">
      <c r="A1616" s="63"/>
      <c r="B1616" s="64"/>
      <c r="C1616" s="64"/>
      <c r="D1616" s="64"/>
      <c r="E1616" s="64"/>
      <c r="F1616" s="64"/>
      <c r="G1616" s="64"/>
      <c r="H1616" s="64"/>
      <c r="I1616" s="64"/>
      <c r="J1616" s="64"/>
      <c r="K1616" s="64"/>
      <c r="L1616" s="64"/>
      <c r="M1616" s="64"/>
      <c r="N1616" s="64"/>
      <c r="O1616" s="64"/>
      <c r="P1616" s="64"/>
      <c r="Q1616" s="64"/>
      <c r="R1616" s="64"/>
    </row>
    <row r="1617" spans="1:18" x14ac:dyDescent="0.25">
      <c r="A1617" s="63"/>
      <c r="B1617" s="64"/>
      <c r="C1617" s="64"/>
      <c r="D1617" s="64"/>
      <c r="E1617" s="64"/>
      <c r="F1617" s="64"/>
      <c r="G1617" s="64"/>
      <c r="H1617" s="64"/>
      <c r="I1617" s="64"/>
      <c r="J1617" s="64"/>
      <c r="K1617" s="64"/>
      <c r="L1617" s="64"/>
      <c r="M1617" s="64"/>
      <c r="N1617" s="64"/>
      <c r="O1617" s="64"/>
      <c r="P1617" s="64"/>
      <c r="Q1617" s="64"/>
      <c r="R1617" s="64"/>
    </row>
    <row r="1618" spans="1:18" x14ac:dyDescent="0.25">
      <c r="A1618" s="63"/>
      <c r="B1618" s="64"/>
      <c r="C1618" s="64"/>
      <c r="D1618" s="64"/>
      <c r="E1618" s="64"/>
      <c r="F1618" s="64"/>
      <c r="G1618" s="64"/>
      <c r="H1618" s="64"/>
      <c r="I1618" s="64"/>
      <c r="J1618" s="64"/>
      <c r="K1618" s="64"/>
      <c r="L1618" s="64"/>
      <c r="M1618" s="64"/>
      <c r="N1618" s="64"/>
      <c r="O1618" s="64"/>
      <c r="P1618" s="64"/>
      <c r="Q1618" s="64"/>
      <c r="R1618" s="64"/>
    </row>
    <row r="1619" spans="1:18" x14ac:dyDescent="0.25">
      <c r="A1619" s="63"/>
      <c r="B1619" s="64"/>
      <c r="C1619" s="64"/>
      <c r="D1619" s="64"/>
      <c r="E1619" s="64"/>
      <c r="F1619" s="64"/>
      <c r="G1619" s="64"/>
      <c r="H1619" s="64"/>
      <c r="I1619" s="64"/>
      <c r="J1619" s="64"/>
      <c r="K1619" s="64"/>
      <c r="L1619" s="64"/>
      <c r="M1619" s="64"/>
      <c r="N1619" s="64"/>
      <c r="O1619" s="64"/>
      <c r="P1619" s="64"/>
      <c r="Q1619" s="64"/>
      <c r="R1619" s="64"/>
    </row>
    <row r="1620" spans="1:18" x14ac:dyDescent="0.25">
      <c r="A1620" s="63"/>
      <c r="B1620" s="64"/>
      <c r="C1620" s="64"/>
      <c r="D1620" s="64"/>
      <c r="E1620" s="64"/>
      <c r="F1620" s="64"/>
      <c r="G1620" s="64"/>
      <c r="H1620" s="64"/>
      <c r="I1620" s="64"/>
      <c r="J1620" s="64"/>
      <c r="K1620" s="64"/>
      <c r="L1620" s="64"/>
      <c r="M1620" s="64"/>
      <c r="N1620" s="64"/>
      <c r="O1620" s="64"/>
      <c r="P1620" s="64"/>
      <c r="Q1620" s="64"/>
      <c r="R1620" s="64"/>
    </row>
    <row r="1621" spans="1:18" x14ac:dyDescent="0.25">
      <c r="A1621" s="63"/>
      <c r="B1621" s="64"/>
      <c r="C1621" s="64"/>
      <c r="D1621" s="64"/>
      <c r="E1621" s="64"/>
      <c r="F1621" s="64"/>
      <c r="G1621" s="64"/>
      <c r="H1621" s="64"/>
      <c r="I1621" s="64"/>
      <c r="J1621" s="64"/>
      <c r="K1621" s="64"/>
      <c r="L1621" s="64"/>
      <c r="M1621" s="64"/>
      <c r="N1621" s="64"/>
      <c r="O1621" s="64"/>
      <c r="P1621" s="64"/>
      <c r="Q1621" s="64"/>
      <c r="R1621" s="64"/>
    </row>
    <row r="1622" spans="1:18" x14ac:dyDescent="0.25">
      <c r="A1622" s="63"/>
      <c r="B1622" s="64"/>
      <c r="C1622" s="64"/>
      <c r="D1622" s="64"/>
      <c r="E1622" s="64"/>
      <c r="F1622" s="64"/>
      <c r="G1622" s="64"/>
      <c r="H1622" s="64"/>
      <c r="I1622" s="64"/>
      <c r="J1622" s="64"/>
      <c r="K1622" s="64"/>
      <c r="L1622" s="64"/>
      <c r="M1622" s="64"/>
      <c r="N1622" s="64"/>
      <c r="O1622" s="64"/>
      <c r="P1622" s="64"/>
      <c r="Q1622" s="64"/>
      <c r="R1622" s="64"/>
    </row>
    <row r="1623" spans="1:18" x14ac:dyDescent="0.25">
      <c r="A1623" s="63"/>
      <c r="B1623" s="64"/>
      <c r="C1623" s="64"/>
      <c r="D1623" s="64"/>
      <c r="E1623" s="64"/>
      <c r="F1623" s="64"/>
      <c r="G1623" s="64"/>
      <c r="H1623" s="64"/>
      <c r="I1623" s="64"/>
      <c r="J1623" s="64"/>
      <c r="K1623" s="64"/>
      <c r="L1623" s="64"/>
      <c r="M1623" s="64"/>
      <c r="N1623" s="64"/>
      <c r="O1623" s="64"/>
      <c r="P1623" s="64"/>
      <c r="Q1623" s="64"/>
      <c r="R1623" s="64"/>
    </row>
    <row r="1624" spans="1:18" x14ac:dyDescent="0.25">
      <c r="A1624" s="63"/>
      <c r="B1624" s="64"/>
      <c r="C1624" s="64"/>
      <c r="D1624" s="64"/>
      <c r="E1624" s="64"/>
      <c r="F1624" s="64"/>
      <c r="G1624" s="64"/>
      <c r="H1624" s="64"/>
      <c r="I1624" s="64"/>
      <c r="J1624" s="64"/>
      <c r="K1624" s="64"/>
      <c r="L1624" s="64"/>
      <c r="M1624" s="64"/>
      <c r="N1624" s="64"/>
      <c r="O1624" s="64"/>
      <c r="P1624" s="64"/>
      <c r="Q1624" s="64"/>
      <c r="R1624" s="64"/>
    </row>
    <row r="1625" spans="1:18" x14ac:dyDescent="0.25">
      <c r="A1625" s="63"/>
      <c r="B1625" s="64"/>
      <c r="C1625" s="64"/>
      <c r="D1625" s="64"/>
      <c r="E1625" s="64"/>
      <c r="F1625" s="64"/>
      <c r="G1625" s="64"/>
      <c r="H1625" s="64"/>
      <c r="I1625" s="64"/>
      <c r="J1625" s="64"/>
      <c r="K1625" s="64"/>
      <c r="L1625" s="64"/>
      <c r="M1625" s="64"/>
      <c r="N1625" s="64"/>
      <c r="O1625" s="64"/>
      <c r="P1625" s="64"/>
      <c r="Q1625" s="64"/>
      <c r="R1625" s="64"/>
    </row>
    <row r="1626" spans="1:18" x14ac:dyDescent="0.25">
      <c r="A1626" s="63"/>
      <c r="B1626" s="64"/>
      <c r="C1626" s="64"/>
      <c r="D1626" s="64"/>
      <c r="E1626" s="64"/>
      <c r="F1626" s="64"/>
      <c r="G1626" s="64"/>
      <c r="H1626" s="64"/>
      <c r="I1626" s="64"/>
      <c r="J1626" s="64"/>
      <c r="K1626" s="64"/>
      <c r="L1626" s="64"/>
      <c r="M1626" s="64"/>
      <c r="N1626" s="64"/>
      <c r="O1626" s="64"/>
      <c r="P1626" s="64"/>
      <c r="Q1626" s="64"/>
      <c r="R1626" s="64"/>
    </row>
    <row r="1627" spans="1:18" x14ac:dyDescent="0.25">
      <c r="A1627" s="63"/>
      <c r="B1627" s="64"/>
      <c r="C1627" s="64"/>
      <c r="D1627" s="64"/>
      <c r="E1627" s="64"/>
      <c r="F1627" s="64"/>
      <c r="G1627" s="64"/>
      <c r="H1627" s="64"/>
      <c r="I1627" s="64"/>
      <c r="J1627" s="64"/>
      <c r="K1627" s="64"/>
      <c r="L1627" s="64"/>
      <c r="M1627" s="64"/>
      <c r="N1627" s="64"/>
      <c r="O1627" s="64"/>
      <c r="P1627" s="64"/>
      <c r="Q1627" s="64"/>
      <c r="R1627" s="64"/>
    </row>
    <row r="1628" spans="1:18" x14ac:dyDescent="0.25">
      <c r="A1628" s="63"/>
      <c r="B1628" s="64"/>
      <c r="C1628" s="64"/>
      <c r="D1628" s="64"/>
      <c r="E1628" s="64"/>
      <c r="F1628" s="64"/>
      <c r="G1628" s="64"/>
      <c r="H1628" s="64"/>
      <c r="I1628" s="64"/>
      <c r="J1628" s="64"/>
      <c r="K1628" s="64"/>
      <c r="L1628" s="64"/>
      <c r="M1628" s="64"/>
      <c r="N1628" s="64"/>
      <c r="O1628" s="64"/>
      <c r="P1628" s="64"/>
      <c r="Q1628" s="64"/>
      <c r="R1628" s="64"/>
    </row>
    <row r="1629" spans="1:18" x14ac:dyDescent="0.25">
      <c r="A1629" s="63"/>
      <c r="B1629" s="64"/>
      <c r="C1629" s="64"/>
      <c r="D1629" s="64"/>
      <c r="E1629" s="64"/>
      <c r="F1629" s="64"/>
      <c r="G1629" s="64"/>
      <c r="H1629" s="64"/>
      <c r="I1629" s="64"/>
      <c r="J1629" s="64"/>
      <c r="K1629" s="64"/>
      <c r="L1629" s="64"/>
      <c r="M1629" s="64"/>
      <c r="N1629" s="64"/>
      <c r="O1629" s="64"/>
      <c r="P1629" s="64"/>
      <c r="Q1629" s="64"/>
      <c r="R1629" s="64"/>
    </row>
    <row r="1630" spans="1:18" x14ac:dyDescent="0.25">
      <c r="A1630" s="63"/>
      <c r="B1630" s="64"/>
      <c r="C1630" s="64"/>
      <c r="D1630" s="64"/>
      <c r="E1630" s="64"/>
      <c r="F1630" s="64"/>
      <c r="G1630" s="64"/>
      <c r="H1630" s="64"/>
      <c r="I1630" s="64"/>
      <c r="J1630" s="64"/>
      <c r="K1630" s="64"/>
      <c r="L1630" s="64"/>
      <c r="M1630" s="64"/>
      <c r="N1630" s="64"/>
      <c r="O1630" s="64"/>
      <c r="P1630" s="64"/>
      <c r="Q1630" s="64"/>
      <c r="R1630" s="64"/>
    </row>
    <row r="1631" spans="1:18" x14ac:dyDescent="0.25">
      <c r="A1631" s="63"/>
      <c r="B1631" s="64"/>
      <c r="C1631" s="64"/>
      <c r="D1631" s="64"/>
      <c r="E1631" s="64"/>
      <c r="F1631" s="64"/>
      <c r="G1631" s="64"/>
      <c r="H1631" s="64"/>
      <c r="I1631" s="64"/>
      <c r="J1631" s="64"/>
      <c r="K1631" s="64"/>
      <c r="L1631" s="64"/>
      <c r="M1631" s="64"/>
      <c r="N1631" s="64"/>
      <c r="O1631" s="64"/>
      <c r="P1631" s="64"/>
      <c r="Q1631" s="64"/>
      <c r="R1631" s="64"/>
    </row>
    <row r="1632" spans="1:18" x14ac:dyDescent="0.25">
      <c r="A1632" s="63"/>
      <c r="B1632" s="64"/>
      <c r="C1632" s="64"/>
      <c r="D1632" s="64"/>
      <c r="E1632" s="64"/>
      <c r="F1632" s="64"/>
      <c r="G1632" s="64"/>
      <c r="H1632" s="64"/>
      <c r="I1632" s="64"/>
      <c r="J1632" s="64"/>
      <c r="K1632" s="64"/>
      <c r="L1632" s="64"/>
      <c r="M1632" s="64"/>
      <c r="N1632" s="64"/>
      <c r="O1632" s="64"/>
      <c r="P1632" s="64"/>
      <c r="Q1632" s="64"/>
      <c r="R1632" s="64"/>
    </row>
    <row r="1633" spans="1:18" x14ac:dyDescent="0.25">
      <c r="A1633" s="63"/>
      <c r="B1633" s="64"/>
      <c r="C1633" s="64"/>
      <c r="D1633" s="64"/>
      <c r="E1633" s="64"/>
      <c r="F1633" s="64"/>
      <c r="G1633" s="64"/>
      <c r="H1633" s="64"/>
      <c r="I1633" s="64"/>
      <c r="J1633" s="64"/>
      <c r="K1633" s="64"/>
      <c r="L1633" s="64"/>
      <c r="M1633" s="64"/>
      <c r="N1633" s="64"/>
      <c r="O1633" s="64"/>
      <c r="P1633" s="64"/>
      <c r="Q1633" s="64"/>
      <c r="R1633" s="64"/>
    </row>
    <row r="1634" spans="1:18" x14ac:dyDescent="0.25">
      <c r="A1634" s="63"/>
      <c r="B1634" s="64"/>
      <c r="C1634" s="64"/>
      <c r="D1634" s="64"/>
      <c r="E1634" s="64"/>
      <c r="F1634" s="64"/>
      <c r="G1634" s="64"/>
      <c r="H1634" s="64"/>
      <c r="I1634" s="64"/>
      <c r="J1634" s="64"/>
      <c r="K1634" s="64"/>
      <c r="L1634" s="64"/>
      <c r="M1634" s="64"/>
      <c r="N1634" s="64"/>
      <c r="O1634" s="64"/>
      <c r="P1634" s="64"/>
      <c r="Q1634" s="64"/>
      <c r="R1634" s="64"/>
    </row>
    <row r="1635" spans="1:18" x14ac:dyDescent="0.25">
      <c r="A1635" s="63"/>
      <c r="B1635" s="64"/>
      <c r="C1635" s="64"/>
      <c r="D1635" s="64"/>
      <c r="E1635" s="64"/>
      <c r="F1635" s="64"/>
      <c r="G1635" s="64"/>
      <c r="H1635" s="64"/>
      <c r="I1635" s="64"/>
      <c r="J1635" s="64"/>
      <c r="K1635" s="64"/>
      <c r="L1635" s="64"/>
      <c r="M1635" s="64"/>
      <c r="N1635" s="64"/>
      <c r="O1635" s="64"/>
      <c r="P1635" s="64"/>
      <c r="Q1635" s="64"/>
      <c r="R1635" s="64"/>
    </row>
    <row r="1636" spans="1:18" x14ac:dyDescent="0.25">
      <c r="A1636" s="63"/>
      <c r="B1636" s="64"/>
      <c r="C1636" s="64"/>
      <c r="D1636" s="64"/>
      <c r="E1636" s="64"/>
      <c r="F1636" s="64"/>
      <c r="G1636" s="64"/>
      <c r="H1636" s="64"/>
      <c r="I1636" s="64"/>
      <c r="J1636" s="64"/>
      <c r="K1636" s="64"/>
      <c r="L1636" s="64"/>
      <c r="M1636" s="64"/>
      <c r="N1636" s="64"/>
      <c r="O1636" s="64"/>
      <c r="P1636" s="64"/>
      <c r="Q1636" s="64"/>
      <c r="R1636" s="64"/>
    </row>
    <row r="1637" spans="1:18" x14ac:dyDescent="0.25">
      <c r="A1637" s="63"/>
      <c r="B1637" s="64"/>
      <c r="C1637" s="64"/>
      <c r="D1637" s="64"/>
      <c r="E1637" s="64"/>
      <c r="F1637" s="64"/>
      <c r="G1637" s="64"/>
      <c r="H1637" s="64"/>
      <c r="I1637" s="64"/>
      <c r="J1637" s="64"/>
      <c r="K1637" s="64"/>
      <c r="L1637" s="64"/>
      <c r="M1637" s="64"/>
      <c r="N1637" s="64"/>
      <c r="O1637" s="64"/>
      <c r="P1637" s="64"/>
      <c r="Q1637" s="64"/>
      <c r="R1637" s="64"/>
    </row>
    <row r="1638" spans="1:18" x14ac:dyDescent="0.25">
      <c r="A1638" s="63"/>
      <c r="B1638" s="64"/>
      <c r="C1638" s="64"/>
      <c r="D1638" s="64"/>
      <c r="E1638" s="64"/>
      <c r="F1638" s="64"/>
      <c r="G1638" s="64"/>
      <c r="H1638" s="64"/>
      <c r="I1638" s="64"/>
      <c r="J1638" s="64"/>
      <c r="K1638" s="64"/>
      <c r="L1638" s="64"/>
      <c r="M1638" s="64"/>
      <c r="N1638" s="64"/>
      <c r="O1638" s="64"/>
      <c r="P1638" s="64"/>
      <c r="Q1638" s="64"/>
      <c r="R1638" s="64"/>
    </row>
    <row r="1639" spans="1:18" x14ac:dyDescent="0.25">
      <c r="A1639" s="63"/>
      <c r="B1639" s="64"/>
      <c r="C1639" s="64"/>
      <c r="D1639" s="64"/>
      <c r="E1639" s="64"/>
      <c r="F1639" s="64"/>
      <c r="G1639" s="64"/>
      <c r="H1639" s="64"/>
      <c r="I1639" s="64"/>
      <c r="J1639" s="64"/>
      <c r="K1639" s="64"/>
      <c r="L1639" s="64"/>
      <c r="M1639" s="64"/>
      <c r="N1639" s="64"/>
      <c r="O1639" s="64"/>
      <c r="P1639" s="64"/>
      <c r="Q1639" s="64"/>
      <c r="R1639" s="64"/>
    </row>
    <row r="1640" spans="1:18" x14ac:dyDescent="0.25">
      <c r="A1640" s="63"/>
      <c r="B1640" s="64"/>
      <c r="C1640" s="64"/>
      <c r="D1640" s="64"/>
      <c r="E1640" s="64"/>
      <c r="F1640" s="64"/>
      <c r="G1640" s="64"/>
      <c r="H1640" s="64"/>
      <c r="I1640" s="64"/>
      <c r="J1640" s="64"/>
      <c r="K1640" s="64"/>
      <c r="L1640" s="64"/>
      <c r="M1640" s="64"/>
      <c r="N1640" s="64"/>
      <c r="O1640" s="64"/>
      <c r="P1640" s="64"/>
      <c r="Q1640" s="64"/>
      <c r="R1640" s="64"/>
    </row>
    <row r="1641" spans="1:18" x14ac:dyDescent="0.25">
      <c r="A1641" s="63"/>
      <c r="B1641" s="64"/>
      <c r="C1641" s="64"/>
      <c r="D1641" s="64"/>
      <c r="E1641" s="64"/>
      <c r="F1641" s="64"/>
      <c r="G1641" s="64"/>
      <c r="H1641" s="64"/>
      <c r="I1641" s="64"/>
      <c r="J1641" s="64"/>
      <c r="K1641" s="64"/>
      <c r="L1641" s="64"/>
      <c r="M1641" s="64"/>
      <c r="N1641" s="64"/>
      <c r="O1641" s="64"/>
      <c r="P1641" s="64"/>
      <c r="Q1641" s="64"/>
      <c r="R1641" s="64"/>
    </row>
    <row r="1642" spans="1:18" x14ac:dyDescent="0.25">
      <c r="A1642" s="63"/>
      <c r="B1642" s="64"/>
      <c r="C1642" s="64"/>
      <c r="D1642" s="64"/>
      <c r="E1642" s="64"/>
      <c r="F1642" s="64"/>
      <c r="G1642" s="64"/>
      <c r="H1642" s="64"/>
      <c r="I1642" s="64"/>
      <c r="J1642" s="64"/>
      <c r="K1642" s="64"/>
      <c r="L1642" s="64"/>
      <c r="M1642" s="64"/>
      <c r="N1642" s="64"/>
      <c r="O1642" s="64"/>
      <c r="P1642" s="64"/>
      <c r="Q1642" s="64"/>
      <c r="R1642" s="64"/>
    </row>
    <row r="1643" spans="1:18" x14ac:dyDescent="0.25">
      <c r="A1643" s="63"/>
      <c r="B1643" s="64"/>
      <c r="C1643" s="64"/>
      <c r="D1643" s="64"/>
      <c r="E1643" s="64"/>
      <c r="F1643" s="64"/>
      <c r="G1643" s="64"/>
      <c r="H1643" s="64"/>
      <c r="I1643" s="64"/>
      <c r="J1643" s="64"/>
      <c r="K1643" s="64"/>
      <c r="L1643" s="64"/>
      <c r="M1643" s="64"/>
      <c r="N1643" s="64"/>
      <c r="O1643" s="64"/>
      <c r="P1643" s="64"/>
      <c r="Q1643" s="64"/>
      <c r="R1643" s="64"/>
    </row>
    <row r="1644" spans="1:18" x14ac:dyDescent="0.25">
      <c r="A1644" s="63"/>
      <c r="B1644" s="64"/>
      <c r="C1644" s="64"/>
      <c r="D1644" s="64"/>
      <c r="E1644" s="64"/>
      <c r="F1644" s="64"/>
      <c r="G1644" s="64"/>
      <c r="H1644" s="64"/>
      <c r="I1644" s="64"/>
      <c r="J1644" s="64"/>
      <c r="K1644" s="64"/>
      <c r="L1644" s="64"/>
      <c r="M1644" s="64"/>
      <c r="N1644" s="64"/>
      <c r="O1644" s="64"/>
      <c r="P1644" s="64"/>
      <c r="Q1644" s="64"/>
      <c r="R1644" s="64"/>
    </row>
    <row r="1645" spans="1:18" x14ac:dyDescent="0.25">
      <c r="A1645" s="63"/>
      <c r="B1645" s="64"/>
      <c r="C1645" s="64"/>
      <c r="D1645" s="64"/>
      <c r="E1645" s="64"/>
      <c r="F1645" s="64"/>
      <c r="G1645" s="64"/>
      <c r="H1645" s="64"/>
      <c r="I1645" s="64"/>
      <c r="J1645" s="64"/>
      <c r="K1645" s="64"/>
      <c r="L1645" s="64"/>
      <c r="M1645" s="64"/>
      <c r="N1645" s="64"/>
      <c r="O1645" s="64"/>
      <c r="P1645" s="64"/>
      <c r="Q1645" s="64"/>
      <c r="R1645" s="64"/>
    </row>
    <row r="1646" spans="1:18" x14ac:dyDescent="0.25">
      <c r="A1646" s="63"/>
      <c r="B1646" s="64"/>
      <c r="C1646" s="64"/>
      <c r="D1646" s="64"/>
      <c r="E1646" s="64"/>
      <c r="F1646" s="64"/>
      <c r="G1646" s="64"/>
      <c r="H1646" s="64"/>
      <c r="I1646" s="64"/>
      <c r="J1646" s="64"/>
      <c r="K1646" s="64"/>
      <c r="L1646" s="64"/>
      <c r="M1646" s="64"/>
      <c r="N1646" s="64"/>
      <c r="O1646" s="64"/>
      <c r="P1646" s="64"/>
      <c r="Q1646" s="64"/>
      <c r="R1646" s="64"/>
    </row>
    <row r="1647" spans="1:18" x14ac:dyDescent="0.25">
      <c r="A1647" s="63"/>
      <c r="B1647" s="64"/>
      <c r="C1647" s="64"/>
      <c r="D1647" s="64"/>
      <c r="E1647" s="64"/>
      <c r="F1647" s="64"/>
      <c r="G1647" s="64"/>
      <c r="H1647" s="64"/>
      <c r="I1647" s="64"/>
      <c r="J1647" s="64"/>
      <c r="K1647" s="64"/>
      <c r="L1647" s="64"/>
      <c r="M1647" s="64"/>
      <c r="N1647" s="64"/>
      <c r="O1647" s="64"/>
      <c r="P1647" s="64"/>
      <c r="Q1647" s="64"/>
      <c r="R1647" s="64"/>
    </row>
    <row r="1648" spans="1:18" x14ac:dyDescent="0.25">
      <c r="A1648" s="63"/>
      <c r="B1648" s="64"/>
      <c r="C1648" s="64"/>
      <c r="D1648" s="64"/>
      <c r="E1648" s="64"/>
      <c r="F1648" s="64"/>
      <c r="G1648" s="64"/>
      <c r="H1648" s="64"/>
      <c r="I1648" s="64"/>
      <c r="J1648" s="64"/>
      <c r="K1648" s="64"/>
      <c r="L1648" s="64"/>
      <c r="M1648" s="64"/>
      <c r="N1648" s="64"/>
      <c r="O1648" s="64"/>
      <c r="P1648" s="64"/>
      <c r="Q1648" s="64"/>
      <c r="R1648" s="64"/>
    </row>
    <row r="1649" spans="1:18" x14ac:dyDescent="0.25">
      <c r="A1649" s="63"/>
      <c r="B1649" s="64"/>
      <c r="C1649" s="64"/>
      <c r="D1649" s="64"/>
      <c r="E1649" s="64"/>
      <c r="F1649" s="64"/>
      <c r="G1649" s="64"/>
      <c r="H1649" s="64"/>
      <c r="I1649" s="64"/>
      <c r="J1649" s="64"/>
      <c r="K1649" s="64"/>
      <c r="L1649" s="64"/>
      <c r="M1649" s="64"/>
      <c r="N1649" s="64"/>
      <c r="O1649" s="64"/>
      <c r="P1649" s="64"/>
      <c r="Q1649" s="64"/>
      <c r="R1649" s="64"/>
    </row>
    <row r="1650" spans="1:18" x14ac:dyDescent="0.25">
      <c r="A1650" s="63"/>
      <c r="B1650" s="64"/>
      <c r="C1650" s="64"/>
      <c r="D1650" s="64"/>
      <c r="E1650" s="64"/>
      <c r="F1650" s="64"/>
      <c r="G1650" s="64"/>
      <c r="H1650" s="64"/>
      <c r="I1650" s="64"/>
      <c r="J1650" s="64"/>
      <c r="K1650" s="64"/>
      <c r="L1650" s="64"/>
      <c r="M1650" s="64"/>
      <c r="N1650" s="64"/>
      <c r="O1650" s="64"/>
      <c r="P1650" s="64"/>
      <c r="Q1650" s="64"/>
      <c r="R1650" s="64"/>
    </row>
    <row r="1651" spans="1:18" x14ac:dyDescent="0.25">
      <c r="A1651" s="63"/>
      <c r="B1651" s="64"/>
      <c r="C1651" s="64"/>
      <c r="D1651" s="64"/>
      <c r="E1651" s="64"/>
      <c r="F1651" s="64"/>
      <c r="G1651" s="64"/>
      <c r="H1651" s="64"/>
      <c r="I1651" s="64"/>
      <c r="J1651" s="64"/>
      <c r="K1651" s="64"/>
      <c r="L1651" s="64"/>
      <c r="M1651" s="64"/>
      <c r="N1651" s="64"/>
      <c r="O1651" s="64"/>
      <c r="P1651" s="64"/>
      <c r="Q1651" s="64"/>
      <c r="R1651" s="64"/>
    </row>
    <row r="1652" spans="1:18" x14ac:dyDescent="0.25">
      <c r="A1652" s="63"/>
      <c r="B1652" s="64"/>
      <c r="C1652" s="64"/>
      <c r="D1652" s="64"/>
      <c r="E1652" s="64"/>
      <c r="F1652" s="64"/>
      <c r="G1652" s="64"/>
      <c r="H1652" s="64"/>
      <c r="I1652" s="64"/>
      <c r="J1652" s="64"/>
      <c r="K1652" s="64"/>
      <c r="L1652" s="64"/>
      <c r="M1652" s="64"/>
      <c r="N1652" s="64"/>
      <c r="O1652" s="64"/>
      <c r="P1652" s="64"/>
      <c r="Q1652" s="64"/>
      <c r="R1652" s="64"/>
    </row>
    <row r="1653" spans="1:18" x14ac:dyDescent="0.25">
      <c r="A1653" s="63"/>
      <c r="B1653" s="64"/>
      <c r="C1653" s="64"/>
      <c r="D1653" s="64"/>
      <c r="E1653" s="64"/>
      <c r="F1653" s="64"/>
      <c r="G1653" s="64"/>
      <c r="H1653" s="64"/>
      <c r="I1653" s="64"/>
      <c r="J1653" s="64"/>
      <c r="K1653" s="64"/>
      <c r="L1653" s="64"/>
      <c r="M1653" s="64"/>
      <c r="N1653" s="64"/>
      <c r="O1653" s="64"/>
      <c r="P1653" s="64"/>
      <c r="Q1653" s="64"/>
      <c r="R1653" s="64"/>
    </row>
    <row r="1654" spans="1:18" x14ac:dyDescent="0.25">
      <c r="A1654" s="63"/>
      <c r="B1654" s="64"/>
      <c r="C1654" s="64"/>
      <c r="D1654" s="64"/>
      <c r="E1654" s="64"/>
      <c r="F1654" s="64"/>
      <c r="G1654" s="64"/>
      <c r="H1654" s="64"/>
      <c r="I1654" s="64"/>
      <c r="J1654" s="64"/>
      <c r="K1654" s="64"/>
      <c r="L1654" s="64"/>
      <c r="M1654" s="64"/>
      <c r="N1654" s="64"/>
      <c r="O1654" s="64"/>
      <c r="P1654" s="64"/>
      <c r="Q1654" s="64"/>
      <c r="R1654" s="64"/>
    </row>
    <row r="1655" spans="1:18" x14ac:dyDescent="0.25">
      <c r="A1655" s="63"/>
      <c r="B1655" s="64"/>
      <c r="C1655" s="64"/>
      <c r="D1655" s="64"/>
      <c r="E1655" s="64"/>
      <c r="F1655" s="64"/>
      <c r="G1655" s="64"/>
      <c r="H1655" s="64"/>
      <c r="I1655" s="64"/>
      <c r="J1655" s="64"/>
      <c r="K1655" s="64"/>
      <c r="L1655" s="64"/>
      <c r="M1655" s="64"/>
      <c r="N1655" s="64"/>
      <c r="O1655" s="64"/>
      <c r="P1655" s="64"/>
      <c r="Q1655" s="64"/>
      <c r="R1655" s="64"/>
    </row>
    <row r="1656" spans="1:18" x14ac:dyDescent="0.25">
      <c r="A1656" s="63"/>
      <c r="B1656" s="64"/>
      <c r="C1656" s="64"/>
      <c r="D1656" s="64"/>
      <c r="E1656" s="64"/>
      <c r="F1656" s="64"/>
      <c r="G1656" s="64"/>
      <c r="H1656" s="64"/>
      <c r="I1656" s="64"/>
      <c r="J1656" s="64"/>
      <c r="K1656" s="64"/>
      <c r="L1656" s="64"/>
      <c r="M1656" s="64"/>
      <c r="N1656" s="64"/>
      <c r="O1656" s="64"/>
      <c r="P1656" s="64"/>
      <c r="Q1656" s="64"/>
      <c r="R1656" s="64"/>
    </row>
    <row r="1657" spans="1:18" x14ac:dyDescent="0.25">
      <c r="A1657" s="63"/>
      <c r="B1657" s="64"/>
      <c r="C1657" s="64"/>
      <c r="D1657" s="64"/>
      <c r="E1657" s="64"/>
      <c r="F1657" s="64"/>
      <c r="G1657" s="64"/>
      <c r="H1657" s="64"/>
      <c r="I1657" s="64"/>
      <c r="J1657" s="64"/>
      <c r="K1657" s="64"/>
      <c r="L1657" s="64"/>
      <c r="M1657" s="64"/>
      <c r="N1657" s="64"/>
      <c r="O1657" s="64"/>
      <c r="P1657" s="64"/>
      <c r="Q1657" s="64"/>
      <c r="R1657" s="64"/>
    </row>
    <row r="1658" spans="1:18" x14ac:dyDescent="0.25">
      <c r="A1658" s="63"/>
      <c r="B1658" s="64"/>
      <c r="C1658" s="64"/>
      <c r="D1658" s="64"/>
      <c r="E1658" s="64"/>
      <c r="F1658" s="64"/>
      <c r="G1658" s="64"/>
      <c r="H1658" s="64"/>
      <c r="I1658" s="64"/>
      <c r="J1658" s="64"/>
      <c r="K1658" s="64"/>
      <c r="L1658" s="64"/>
      <c r="M1658" s="64"/>
      <c r="N1658" s="64"/>
      <c r="O1658" s="64"/>
      <c r="P1658" s="64"/>
      <c r="Q1658" s="64"/>
      <c r="R1658" s="64"/>
    </row>
    <row r="1659" spans="1:18" x14ac:dyDescent="0.25">
      <c r="A1659" s="63"/>
      <c r="B1659" s="64"/>
      <c r="C1659" s="64"/>
      <c r="D1659" s="64"/>
      <c r="E1659" s="64"/>
      <c r="F1659" s="64"/>
      <c r="G1659" s="64"/>
      <c r="H1659" s="64"/>
      <c r="I1659" s="64"/>
      <c r="J1659" s="64"/>
      <c r="K1659" s="64"/>
      <c r="L1659" s="64"/>
      <c r="M1659" s="64"/>
      <c r="N1659" s="64"/>
      <c r="O1659" s="64"/>
      <c r="P1659" s="64"/>
      <c r="Q1659" s="64"/>
      <c r="R1659" s="64"/>
    </row>
    <row r="1660" spans="1:18" x14ac:dyDescent="0.25">
      <c r="A1660" s="63"/>
      <c r="B1660" s="64"/>
      <c r="C1660" s="64"/>
      <c r="D1660" s="64"/>
      <c r="E1660" s="64"/>
      <c r="F1660" s="64"/>
      <c r="G1660" s="64"/>
      <c r="H1660" s="64"/>
      <c r="I1660" s="64"/>
      <c r="J1660" s="64"/>
      <c r="K1660" s="64"/>
      <c r="L1660" s="64"/>
      <c r="M1660" s="64"/>
      <c r="N1660" s="64"/>
      <c r="O1660" s="64"/>
      <c r="P1660" s="64"/>
      <c r="Q1660" s="64"/>
      <c r="R1660" s="64"/>
    </row>
    <row r="1661" spans="1:18" x14ac:dyDescent="0.25">
      <c r="A1661" s="63"/>
      <c r="B1661" s="64"/>
      <c r="C1661" s="64"/>
      <c r="D1661" s="64"/>
      <c r="E1661" s="64"/>
      <c r="F1661" s="64"/>
      <c r="G1661" s="64"/>
      <c r="H1661" s="64"/>
      <c r="I1661" s="64"/>
      <c r="J1661" s="64"/>
      <c r="K1661" s="64"/>
      <c r="L1661" s="64"/>
      <c r="M1661" s="64"/>
      <c r="N1661" s="64"/>
      <c r="O1661" s="64"/>
      <c r="P1661" s="64"/>
      <c r="Q1661" s="64"/>
      <c r="R1661" s="64"/>
    </row>
    <row r="1662" spans="1:18" x14ac:dyDescent="0.25">
      <c r="A1662" s="63"/>
      <c r="B1662" s="64"/>
      <c r="C1662" s="64"/>
      <c r="D1662" s="64"/>
      <c r="E1662" s="64"/>
      <c r="F1662" s="64"/>
      <c r="G1662" s="64"/>
      <c r="H1662" s="64"/>
      <c r="I1662" s="64"/>
      <c r="J1662" s="64"/>
      <c r="K1662" s="64"/>
      <c r="L1662" s="64"/>
      <c r="M1662" s="64"/>
      <c r="N1662" s="64"/>
      <c r="O1662" s="64"/>
      <c r="P1662" s="64"/>
      <c r="Q1662" s="64"/>
      <c r="R1662" s="64"/>
    </row>
    <row r="1663" spans="1:18" x14ac:dyDescent="0.25">
      <c r="R1663" s="64"/>
    </row>
  </sheetData>
  <conditionalFormatting sqref="A118:R125 S127:T646 A21:R116 R126:S126 A126:Q1654 R127:R1655 U21:W645 T21:T126 S21:S125 X21:X70 Y40:XFD645 AV21:XFD39">
    <cfRule type="expression" dxfId="239" priority="34">
      <formula>MOD(ROW(),2)=0</formula>
    </cfRule>
  </conditionalFormatting>
  <conditionalFormatting sqref="X72:X100 X102:X645">
    <cfRule type="expression" dxfId="238" priority="33">
      <formula>MOD(ROW(),2)=0</formula>
    </cfRule>
  </conditionalFormatting>
  <conditionalFormatting sqref="X20 T21:T600 AU40:AU600">
    <cfRule type="containsText" dxfId="237" priority="31" operator="containsText" text="Exclude">
      <formula>NOT(ISERROR(SEARCH("Exclude",T20)))</formula>
    </cfRule>
  </conditionalFormatting>
  <conditionalFormatting sqref="AU20">
    <cfRule type="containsText" dxfId="236" priority="27" operator="containsText" text="Exclude">
      <formula>NOT(ISERROR(SEARCH("Exclude",AU20)))</formula>
    </cfRule>
  </conditionalFormatting>
  <conditionalFormatting sqref="AS1:AS2 AS18:AS20 AS40:AS1048576 AM3:AM16">
    <cfRule type="containsText" dxfId="235" priority="26" operator="containsText" text="Pant">
      <formula>NOT(ISERROR(SEARCH("Pant",AM1)))</formula>
    </cfRule>
  </conditionalFormatting>
  <conditionalFormatting sqref="T20">
    <cfRule type="containsText" dxfId="234" priority="25" operator="containsText" text="Exclude">
      <formula>NOT(ISERROR(SEARCH("Exclude",T20)))</formula>
    </cfRule>
  </conditionalFormatting>
  <conditionalFormatting sqref="X71">
    <cfRule type="expression" dxfId="233" priority="24">
      <formula>MOD(ROW(),2)=0</formula>
    </cfRule>
  </conditionalFormatting>
  <conditionalFormatting sqref="X71">
    <cfRule type="containsText" dxfId="232" priority="23" operator="containsText" text="Exclude">
      <formula>NOT(ISERROR(SEARCH("Exclude",X71)))</formula>
    </cfRule>
  </conditionalFormatting>
  <conditionalFormatting sqref="X101">
    <cfRule type="expression" dxfId="231" priority="22">
      <formula>MOD(ROW(),2)=0</formula>
    </cfRule>
  </conditionalFormatting>
  <conditionalFormatting sqref="X101">
    <cfRule type="containsText" dxfId="230" priority="21" operator="containsText" text="Exclude">
      <formula>NOT(ISERROR(SEARCH("Exclude",X101)))</formula>
    </cfRule>
  </conditionalFormatting>
  <conditionalFormatting sqref="T1:T2 T17:T1048576 N3:N4 N10:N16 O5:O9">
    <cfRule type="containsText" dxfId="229" priority="18" operator="containsText" text="False">
      <formula>NOT(ISERROR(SEARCH("False",N1)))</formula>
    </cfRule>
  </conditionalFormatting>
  <conditionalFormatting sqref="U1:W2 U17:W1048576 O3:Q4 O10:Q16 P5:R9">
    <cfRule type="containsText" dxfId="228" priority="17" operator="containsText" text="FALSE">
      <formula>NOT(ISERROR(SEARCH("FALSE",O1)))</formula>
    </cfRule>
  </conditionalFormatting>
  <conditionalFormatting sqref="U6">
    <cfRule type="containsErrors" dxfId="227" priority="12">
      <formula>ISERROR(U6)</formula>
    </cfRule>
  </conditionalFormatting>
  <conditionalFormatting sqref="B6">
    <cfRule type="containsErrors" dxfId="226" priority="8">
      <formula>ISERROR(B6)</formula>
    </cfRule>
  </conditionalFormatting>
  <conditionalFormatting sqref="Y21:AU39">
    <cfRule type="expression" dxfId="225" priority="7">
      <formula>MOD(ROW(),2)=0</formula>
    </cfRule>
  </conditionalFormatting>
  <conditionalFormatting sqref="AR21:AR39">
    <cfRule type="containsText" dxfId="224" priority="6" operator="containsText" text="Exclude">
      <formula>NOT(ISERROR(SEARCH("Exclude",AR21)))</formula>
    </cfRule>
  </conditionalFormatting>
  <conditionalFormatting sqref="AR21:AR39">
    <cfRule type="containsText" dxfId="223" priority="5" operator="containsText" text="False">
      <formula>NOT(ISERROR(SEARCH("False",AR21)))</formula>
    </cfRule>
  </conditionalFormatting>
  <conditionalFormatting sqref="AS21:AU39">
    <cfRule type="containsText" dxfId="222" priority="4" operator="containsText" text="FALSE">
      <formula>NOT(ISERROR(SEARCH("FALSE",AS21)))</formula>
    </cfRule>
  </conditionalFormatting>
  <conditionalFormatting sqref="Z6">
    <cfRule type="containsErrors" dxfId="221" priority="3">
      <formula>ISERROR(Z6)</formula>
    </cfRule>
  </conditionalFormatting>
  <conditionalFormatting sqref="AR17">
    <cfRule type="containsText" dxfId="220" priority="2" operator="containsText" text="False">
      <formula>NOT(ISERROR(SEARCH("False",AR17)))</formula>
    </cfRule>
  </conditionalFormatting>
  <conditionalFormatting sqref="AS17:AU17">
    <cfRule type="containsText" dxfId="219" priority="1" operator="containsText" text="FALSE">
      <formula>NOT(ISERROR(SEARCH("FALSE",AS17)))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TextToColumns">
                <anchor moveWithCells="1" sizeWithCells="1">
                  <from>
                    <xdr:col>7</xdr:col>
                    <xdr:colOff>857250</xdr:colOff>
                    <xdr:row>0</xdr:row>
                    <xdr:rowOff>19050</xdr:rowOff>
                  </from>
                  <to>
                    <xdr:col>12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AU1663"/>
  <sheetViews>
    <sheetView zoomScale="90" zoomScaleNormal="90" workbookViewId="0">
      <pane ySplit="17" topLeftCell="A18" activePane="bottomLeft" state="frozen"/>
      <selection pane="bottomLeft" activeCell="G11" sqref="G11"/>
    </sheetView>
  </sheetViews>
  <sheetFormatPr defaultColWidth="9.140625" defaultRowHeight="15" x14ac:dyDescent="0.25"/>
  <cols>
    <col min="1" max="1" width="20" style="65" customWidth="1"/>
    <col min="2" max="2" width="16.42578125" style="65" customWidth="1"/>
    <col min="3" max="3" width="17.140625" style="65" customWidth="1"/>
    <col min="4" max="4" width="16.85546875" style="65" customWidth="1"/>
    <col min="5" max="5" width="17" style="65" customWidth="1"/>
    <col min="6" max="6" width="20.7109375" style="65" customWidth="1"/>
    <col min="7" max="7" width="19.28515625" style="65" bestFit="1" customWidth="1"/>
    <col min="8" max="8" width="16.7109375" style="65" customWidth="1"/>
    <col min="9" max="10" width="14.85546875" style="65" bestFit="1" customWidth="1"/>
    <col min="11" max="11" width="15" style="65" bestFit="1" customWidth="1"/>
    <col min="12" max="12" width="12" style="65" customWidth="1"/>
    <col min="13" max="13" width="12.7109375" style="65" customWidth="1"/>
    <col min="14" max="14" width="12" style="65" customWidth="1"/>
    <col min="15" max="15" width="15.42578125" style="65" customWidth="1"/>
    <col min="16" max="16" width="12" style="65" customWidth="1"/>
    <col min="17" max="17" width="13.5703125" style="65" customWidth="1"/>
    <col min="18" max="19" width="13.7109375" style="65" customWidth="1"/>
    <col min="20" max="20" width="14.140625" style="65" customWidth="1"/>
    <col min="21" max="21" width="10" style="65" bestFit="1" customWidth="1"/>
    <col min="22" max="22" width="11.42578125" style="65" bestFit="1" customWidth="1"/>
    <col min="23" max="23" width="11.140625" style="65" bestFit="1" customWidth="1"/>
    <col min="24" max="24" width="9.42578125" style="65" customWidth="1"/>
    <col min="25" max="25" width="14.85546875" style="63" bestFit="1" customWidth="1"/>
    <col min="26" max="26" width="14.85546875" style="65" bestFit="1" customWidth="1"/>
    <col min="27" max="27" width="10.5703125" style="65" bestFit="1" customWidth="1"/>
    <col min="28" max="28" width="10.140625" style="65" bestFit="1" customWidth="1"/>
    <col min="29" max="29" width="15" style="65" bestFit="1" customWidth="1"/>
    <col min="30" max="30" width="17" style="65" customWidth="1"/>
    <col min="31" max="31" width="19.28515625" style="65" bestFit="1" customWidth="1"/>
    <col min="32" max="33" width="14.85546875" style="65" bestFit="1" customWidth="1"/>
    <col min="34" max="34" width="10.140625" style="65" bestFit="1" customWidth="1"/>
    <col min="35" max="35" width="15" style="65" bestFit="1" customWidth="1"/>
    <col min="36" max="16384" width="9.140625" style="65"/>
  </cols>
  <sheetData>
    <row r="1" spans="1:36" s="28" customFormat="1" ht="22.5" x14ac:dyDescent="0.3">
      <c r="C1" s="1" t="s">
        <v>130</v>
      </c>
      <c r="I1" s="30"/>
      <c r="J1" s="30"/>
      <c r="K1" s="30"/>
      <c r="L1" s="30"/>
      <c r="M1" s="33"/>
      <c r="N1" s="33"/>
      <c r="O1" s="33"/>
      <c r="P1" s="33"/>
      <c r="Q1" s="33"/>
      <c r="R1" s="33"/>
      <c r="S1" s="33"/>
      <c r="Y1" s="24"/>
    </row>
    <row r="2" spans="1:36" s="28" customFormat="1" x14ac:dyDescent="0.25">
      <c r="D2" s="29"/>
      <c r="I2" s="30"/>
      <c r="J2" s="30"/>
      <c r="K2" s="30"/>
      <c r="L2" s="30"/>
      <c r="M2" s="33"/>
      <c r="N2" s="33"/>
      <c r="O2" s="33"/>
      <c r="P2" s="33"/>
      <c r="Q2" s="33"/>
      <c r="R2" s="92"/>
      <c r="S2" s="92"/>
      <c r="Y2" s="24"/>
    </row>
    <row r="3" spans="1:36" s="28" customFormat="1" ht="18.75" x14ac:dyDescent="0.3">
      <c r="A3" s="81" t="s">
        <v>91</v>
      </c>
      <c r="B3" s="33"/>
      <c r="C3" s="33"/>
      <c r="D3" s="40"/>
      <c r="E3" s="33"/>
      <c r="F3" s="33"/>
      <c r="G3" s="33"/>
      <c r="H3" s="33"/>
      <c r="I3" s="33"/>
      <c r="J3" s="33"/>
      <c r="K3" s="33"/>
      <c r="L3" s="33"/>
      <c r="M3" s="33"/>
      <c r="R3" s="23"/>
      <c r="S3" s="93"/>
      <c r="T3" s="33"/>
      <c r="U3" s="33"/>
      <c r="V3" s="40"/>
      <c r="W3" s="33"/>
      <c r="X3" s="33"/>
      <c r="Y3" s="82" t="s">
        <v>91</v>
      </c>
      <c r="Z3" s="33"/>
      <c r="AA3" s="33"/>
      <c r="AB3" s="40"/>
      <c r="AC3" s="33"/>
      <c r="AD3" s="33"/>
      <c r="AE3" s="33"/>
      <c r="AF3" s="33"/>
      <c r="AG3" s="33"/>
      <c r="AH3" s="33"/>
      <c r="AI3" s="33"/>
      <c r="AJ3" s="33"/>
    </row>
    <row r="4" spans="1:36" s="28" customFormat="1" x14ac:dyDescent="0.25">
      <c r="A4" s="33"/>
      <c r="B4" s="33"/>
      <c r="C4" s="33"/>
      <c r="D4" s="40"/>
      <c r="E4" s="33"/>
      <c r="F4" s="33"/>
      <c r="G4" s="33"/>
      <c r="H4" s="33"/>
      <c r="I4" s="33"/>
      <c r="J4" s="33"/>
      <c r="K4" s="33"/>
      <c r="L4" s="84"/>
      <c r="M4" s="84"/>
      <c r="N4" s="84"/>
      <c r="O4" s="84"/>
      <c r="R4" s="23"/>
      <c r="S4" s="92"/>
      <c r="T4" s="33"/>
      <c r="U4" s="33"/>
      <c r="V4" s="40"/>
      <c r="W4" s="33"/>
      <c r="X4" s="33"/>
      <c r="Y4" s="44"/>
      <c r="Z4" s="33"/>
      <c r="AA4" s="33"/>
      <c r="AB4" s="40"/>
      <c r="AC4" s="33"/>
      <c r="AD4" s="33"/>
      <c r="AE4" s="33"/>
      <c r="AF4" s="33"/>
      <c r="AG4" s="33"/>
      <c r="AH4" s="33"/>
      <c r="AI4" s="33"/>
      <c r="AJ4" s="33"/>
    </row>
    <row r="5" spans="1:36" s="28" customFormat="1" x14ac:dyDescent="0.25">
      <c r="A5" s="40" t="s">
        <v>3</v>
      </c>
      <c r="B5" s="40" t="s">
        <v>2</v>
      </c>
      <c r="C5" s="40" t="s">
        <v>4</v>
      </c>
      <c r="D5" s="40" t="s">
        <v>6</v>
      </c>
      <c r="E5" s="40" t="s">
        <v>5</v>
      </c>
      <c r="F5" s="40" t="s">
        <v>84</v>
      </c>
      <c r="G5" s="40" t="s">
        <v>133</v>
      </c>
      <c r="H5" s="40" t="s">
        <v>51</v>
      </c>
      <c r="I5" s="33"/>
      <c r="J5" s="33"/>
      <c r="K5" s="33"/>
      <c r="L5" s="33"/>
      <c r="M5" s="83" t="s">
        <v>106</v>
      </c>
      <c r="N5" s="33"/>
      <c r="S5" s="23"/>
      <c r="T5" s="94"/>
      <c r="U5" s="40"/>
      <c r="V5" s="40"/>
      <c r="W5" s="40"/>
      <c r="X5" s="33"/>
      <c r="Y5" s="41" t="s">
        <v>3</v>
      </c>
      <c r="Z5" s="40" t="s">
        <v>2</v>
      </c>
      <c r="AA5" s="40" t="s">
        <v>4</v>
      </c>
      <c r="AB5" s="40" t="s">
        <v>6</v>
      </c>
      <c r="AC5" s="40" t="s">
        <v>5</v>
      </c>
      <c r="AD5" s="40" t="s">
        <v>133</v>
      </c>
      <c r="AE5" s="40"/>
      <c r="AF5" s="33"/>
      <c r="AG5" s="33"/>
      <c r="AH5" s="33"/>
      <c r="AI5" s="33"/>
      <c r="AJ5" s="33"/>
    </row>
    <row r="6" spans="1:36" s="28" customFormat="1" x14ac:dyDescent="0.25">
      <c r="A6" s="33">
        <f>COUNTIFS($B$21:$B$249,1,$T$21:$T$249,1)</f>
        <v>0</v>
      </c>
      <c r="B6" s="43" t="e">
        <f>ASIN(SQRT((A6+G6)/D6))</f>
        <v>#DIV/0!</v>
      </c>
      <c r="C6" s="33">
        <f>COUNTIFS($B$21:$B$249,1,$U$21:$U$249,1)</f>
        <v>0</v>
      </c>
      <c r="D6" s="33">
        <f>E6</f>
        <v>0</v>
      </c>
      <c r="E6" s="33">
        <f>SUM(A6+C6+G6)</f>
        <v>0</v>
      </c>
      <c r="F6" s="33"/>
      <c r="G6" s="33">
        <f>COUNTIFS($B$21:$B$249,1,$V$21:$V$249,1)</f>
        <v>0</v>
      </c>
      <c r="H6" s="33" t="e">
        <f>SUM((A6+G6)/D6)</f>
        <v>#DIV/0!</v>
      </c>
      <c r="I6" s="33"/>
      <c r="J6" s="33"/>
      <c r="K6" s="33"/>
      <c r="L6" s="33"/>
      <c r="M6" s="33"/>
      <c r="N6" s="33"/>
      <c r="S6" s="23"/>
      <c r="T6" s="92"/>
      <c r="U6" s="43"/>
      <c r="V6" s="33"/>
      <c r="W6" s="33"/>
      <c r="X6" s="33"/>
      <c r="Y6" s="44">
        <f>COUNTIFS($Z$21:$Z$249,1,$AR$21:$AR$249,1)</f>
        <v>0</v>
      </c>
      <c r="Z6" s="43" t="e">
        <f>ASIN(SQRT((Y6+AD6)/AB6))</f>
        <v>#DIV/0!</v>
      </c>
      <c r="AA6" s="33">
        <f>COUNTIFS($Z$21:$Z$249,1,$AT$21:$AT$249,1)+COUNTIFS($Z$21:$Z$249,1,$AS$21:$AS$249,1)</f>
        <v>0</v>
      </c>
      <c r="AB6" s="33">
        <f>'ISLT- Immediate'!AC6</f>
        <v>0</v>
      </c>
      <c r="AC6" s="33">
        <f>SUM(Y6+AA6)</f>
        <v>0</v>
      </c>
      <c r="AD6" s="33">
        <f>COUNTIFS($Z$21:$Z$249,1,$AT$21:$AT$249,1)</f>
        <v>0</v>
      </c>
      <c r="AE6" s="33"/>
      <c r="AF6" s="33"/>
      <c r="AG6" s="33"/>
      <c r="AH6" s="33"/>
      <c r="AI6" s="33"/>
      <c r="AJ6" s="33"/>
    </row>
    <row r="7" spans="1:36" s="28" customFormat="1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S7" s="23"/>
      <c r="T7" s="92"/>
      <c r="U7" s="33"/>
      <c r="V7" s="33"/>
      <c r="W7" s="33"/>
      <c r="X7" s="68"/>
      <c r="Y7" s="44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</row>
    <row r="8" spans="1:36" s="28" customFormat="1" x14ac:dyDescent="0.25">
      <c r="A8" s="40" t="s">
        <v>63</v>
      </c>
      <c r="B8" s="40" t="s">
        <v>65</v>
      </c>
      <c r="C8" s="40" t="s">
        <v>68</v>
      </c>
      <c r="D8" s="40"/>
      <c r="E8" s="40"/>
      <c r="F8" s="33"/>
      <c r="G8" s="33"/>
      <c r="H8" s="33"/>
      <c r="I8" s="33"/>
      <c r="J8" s="33"/>
      <c r="K8" s="33"/>
      <c r="L8" s="33"/>
      <c r="M8" s="33"/>
      <c r="R8" s="23"/>
      <c r="S8" s="94"/>
      <c r="T8" s="40"/>
      <c r="U8" s="40"/>
      <c r="V8" s="40"/>
      <c r="W8" s="40"/>
      <c r="X8" s="33"/>
      <c r="Y8" s="41" t="s">
        <v>63</v>
      </c>
      <c r="Z8" s="40" t="s">
        <v>65</v>
      </c>
      <c r="AA8" s="40" t="s">
        <v>68</v>
      </c>
      <c r="AB8" s="40"/>
      <c r="AC8" s="40"/>
      <c r="AD8" s="33"/>
      <c r="AE8" s="33"/>
      <c r="AF8" s="33"/>
      <c r="AG8" s="33"/>
      <c r="AH8" s="33"/>
      <c r="AI8" s="33"/>
      <c r="AJ8" s="33"/>
    </row>
    <row r="9" spans="1:36" s="28" customFormat="1" x14ac:dyDescent="0.25">
      <c r="A9" s="33" t="str">
        <f>IF('ISLT- Immediate'!I16="Yes",IF(D6=24,"Yes","No"),"No")</f>
        <v>No</v>
      </c>
      <c r="B9" s="33" t="s">
        <v>134</v>
      </c>
      <c r="C9" s="33" t="s">
        <v>134</v>
      </c>
      <c r="D9" s="33"/>
      <c r="E9" s="33"/>
      <c r="F9" s="33"/>
      <c r="G9" s="33"/>
      <c r="H9" s="33"/>
      <c r="I9" s="33"/>
      <c r="J9" s="33"/>
      <c r="K9" s="33"/>
      <c r="L9" s="33"/>
      <c r="M9" s="33"/>
      <c r="R9" s="23"/>
      <c r="S9" s="92"/>
      <c r="T9" s="33"/>
      <c r="U9" s="33"/>
      <c r="V9" s="33"/>
      <c r="W9" s="33"/>
      <c r="X9" s="33"/>
      <c r="Y9" s="44" t="str">
        <f>IF('ISLT- Immediate'!AG16="Yes",IF(AB6*2=24,"Yes","No"),"No")</f>
        <v>No</v>
      </c>
      <c r="Z9" s="33" t="s">
        <v>134</v>
      </c>
      <c r="AA9" s="33" t="s">
        <v>134</v>
      </c>
      <c r="AB9" s="33"/>
      <c r="AC9" s="33"/>
      <c r="AD9" s="33"/>
      <c r="AE9" s="33"/>
      <c r="AF9" s="33"/>
      <c r="AG9" s="33"/>
      <c r="AH9" s="33"/>
      <c r="AI9" s="33"/>
      <c r="AJ9" s="33"/>
    </row>
    <row r="10" spans="1:36" s="28" customFormat="1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S10" s="92"/>
      <c r="T10" s="33"/>
      <c r="U10" s="33"/>
      <c r="V10" s="33"/>
      <c r="W10" s="33"/>
      <c r="X10" s="33"/>
      <c r="Y10" s="44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</row>
    <row r="11" spans="1:36" s="28" customFormat="1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S11" s="92"/>
      <c r="T11" s="33"/>
      <c r="U11" s="33"/>
      <c r="V11" s="33"/>
      <c r="W11" s="33"/>
      <c r="X11" s="33"/>
      <c r="Y11" s="44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</row>
    <row r="12" spans="1:36" s="28" customFormat="1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S12" s="92"/>
      <c r="T12" s="33"/>
      <c r="U12" s="33"/>
      <c r="V12" s="33"/>
      <c r="W12" s="33"/>
      <c r="X12" s="33"/>
      <c r="Y12" s="44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</row>
    <row r="13" spans="1:36" s="28" customForma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S13" s="92"/>
      <c r="T13" s="33"/>
      <c r="U13" s="33"/>
      <c r="V13" s="33"/>
      <c r="W13" s="33"/>
      <c r="X13" s="33"/>
      <c r="Y13" s="44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</row>
    <row r="14" spans="1:36" s="28" customFormat="1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S14" s="92"/>
      <c r="T14" s="33"/>
      <c r="U14" s="33"/>
      <c r="V14" s="33"/>
      <c r="W14" s="33"/>
      <c r="X14" s="33"/>
      <c r="Y14" s="44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</row>
    <row r="15" spans="1:36" s="28" customFormat="1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S15" s="92"/>
      <c r="T15" s="33"/>
      <c r="U15" s="33"/>
      <c r="V15" s="33"/>
      <c r="W15" s="33"/>
      <c r="X15" s="33"/>
      <c r="Y15" s="44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</row>
    <row r="16" spans="1:36" s="28" customFormat="1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S16" s="92"/>
      <c r="T16" s="33"/>
      <c r="U16" s="33"/>
      <c r="V16" s="33"/>
      <c r="W16" s="33"/>
      <c r="X16" s="33"/>
      <c r="Y16" s="44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</row>
    <row r="17" spans="1:47" s="28" customFormat="1" x14ac:dyDescent="0.25">
      <c r="L17" s="33"/>
      <c r="M17" s="33"/>
      <c r="N17" s="33"/>
      <c r="O17" s="33"/>
      <c r="P17" s="33"/>
      <c r="Q17" s="33"/>
      <c r="R17" s="33"/>
      <c r="S17" s="33"/>
      <c r="T17" s="78" t="s">
        <v>127</v>
      </c>
      <c r="U17" s="29" t="s">
        <v>131</v>
      </c>
      <c r="V17" s="29" t="s">
        <v>132</v>
      </c>
      <c r="W17" s="29" t="s">
        <v>105</v>
      </c>
      <c r="X17" s="29"/>
      <c r="Y17" s="80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R17" s="78" t="s">
        <v>127</v>
      </c>
      <c r="AS17" s="29" t="s">
        <v>131</v>
      </c>
      <c r="AT17" s="29" t="s">
        <v>132</v>
      </c>
      <c r="AU17" s="29" t="s">
        <v>105</v>
      </c>
    </row>
    <row r="18" spans="1:47" s="76" customFormat="1" x14ac:dyDescent="0.25">
      <c r="Y18" s="77"/>
    </row>
    <row r="19" spans="1:47" s="75" customFormat="1" x14ac:dyDescent="0.25">
      <c r="Y19" s="36"/>
    </row>
    <row r="20" spans="1:47" s="74" customFormat="1" ht="18.75" x14ac:dyDescent="0.3">
      <c r="A20" s="73" t="s">
        <v>60</v>
      </c>
      <c r="T20" s="19"/>
      <c r="U20" s="19"/>
      <c r="V20" s="19"/>
      <c r="W20" s="19"/>
      <c r="X20" s="19"/>
      <c r="Y20" s="73" t="s">
        <v>61</v>
      </c>
    </row>
    <row r="21" spans="1:47" s="28" customFormat="1" x14ac:dyDescent="0.25">
      <c r="T21" s="87"/>
      <c r="U21" s="87"/>
      <c r="V21" s="87"/>
      <c r="W21" s="87"/>
      <c r="X21" s="87"/>
      <c r="Y21" s="24"/>
      <c r="AR21" s="87"/>
      <c r="AS21" s="87"/>
      <c r="AT21" s="87"/>
      <c r="AU21" s="87"/>
    </row>
    <row r="22" spans="1:47" s="28" customFormat="1" x14ac:dyDescent="0.25">
      <c r="Y22" s="24"/>
    </row>
    <row r="23" spans="1:47" s="28" customFormat="1" x14ac:dyDescent="0.25">
      <c r="Y23" s="24"/>
    </row>
    <row r="24" spans="1:47" s="28" customFormat="1" x14ac:dyDescent="0.25">
      <c r="Y24" s="24"/>
    </row>
    <row r="25" spans="1:47" s="28" customFormat="1" x14ac:dyDescent="0.25">
      <c r="Y25" s="24"/>
    </row>
    <row r="26" spans="1:47" s="28" customFormat="1" x14ac:dyDescent="0.25">
      <c r="Y26" s="24"/>
    </row>
    <row r="27" spans="1:47" s="28" customFormat="1" x14ac:dyDescent="0.25">
      <c r="Y27" s="24"/>
    </row>
    <row r="28" spans="1:47" s="28" customFormat="1" x14ac:dyDescent="0.25">
      <c r="Y28" s="24"/>
    </row>
    <row r="29" spans="1:47" s="28" customFormat="1" x14ac:dyDescent="0.25">
      <c r="Y29" s="24"/>
    </row>
    <row r="30" spans="1:47" s="28" customFormat="1" x14ac:dyDescent="0.25">
      <c r="Y30" s="24"/>
    </row>
    <row r="31" spans="1:47" s="28" customFormat="1" x14ac:dyDescent="0.25">
      <c r="Y31" s="24"/>
    </row>
    <row r="32" spans="1:47" s="28" customFormat="1" ht="15.75" customHeight="1" x14ac:dyDescent="0.25">
      <c r="Y32" s="24"/>
    </row>
    <row r="33" spans="25:25" s="28" customFormat="1" x14ac:dyDescent="0.25">
      <c r="Y33" s="24"/>
    </row>
    <row r="34" spans="25:25" s="28" customFormat="1" x14ac:dyDescent="0.25">
      <c r="Y34" s="24"/>
    </row>
    <row r="35" spans="25:25" s="28" customFormat="1" x14ac:dyDescent="0.25">
      <c r="Y35" s="24"/>
    </row>
    <row r="36" spans="25:25" s="28" customFormat="1" x14ac:dyDescent="0.25">
      <c r="Y36" s="24"/>
    </row>
    <row r="37" spans="25:25" s="28" customFormat="1" x14ac:dyDescent="0.25">
      <c r="Y37" s="24"/>
    </row>
    <row r="38" spans="25:25" s="28" customFormat="1" x14ac:dyDescent="0.25">
      <c r="Y38" s="24"/>
    </row>
    <row r="39" spans="25:25" s="28" customFormat="1" x14ac:dyDescent="0.25">
      <c r="Y39" s="24"/>
    </row>
    <row r="40" spans="25:25" s="28" customFormat="1" x14ac:dyDescent="0.25">
      <c r="Y40" s="24"/>
    </row>
    <row r="41" spans="25:25" s="28" customFormat="1" x14ac:dyDescent="0.25">
      <c r="Y41" s="24"/>
    </row>
    <row r="42" spans="25:25" s="28" customFormat="1" x14ac:dyDescent="0.25">
      <c r="Y42" s="24"/>
    </row>
    <row r="43" spans="25:25" s="28" customFormat="1" x14ac:dyDescent="0.25">
      <c r="Y43" s="24"/>
    </row>
    <row r="44" spans="25:25" s="28" customFormat="1" x14ac:dyDescent="0.25">
      <c r="Y44" s="24"/>
    </row>
    <row r="45" spans="25:25" s="28" customFormat="1" x14ac:dyDescent="0.25">
      <c r="Y45" s="24"/>
    </row>
    <row r="46" spans="25:25" s="28" customFormat="1" x14ac:dyDescent="0.25">
      <c r="Y46" s="24"/>
    </row>
    <row r="47" spans="25:25" s="28" customFormat="1" x14ac:dyDescent="0.25">
      <c r="Y47" s="24"/>
    </row>
    <row r="48" spans="25:25" s="28" customFormat="1" x14ac:dyDescent="0.25">
      <c r="Y48" s="24"/>
    </row>
    <row r="49" spans="25:25" s="28" customFormat="1" x14ac:dyDescent="0.25">
      <c r="Y49" s="24"/>
    </row>
    <row r="50" spans="25:25" s="28" customFormat="1" x14ac:dyDescent="0.25">
      <c r="Y50" s="24"/>
    </row>
    <row r="51" spans="25:25" s="28" customFormat="1" x14ac:dyDescent="0.25">
      <c r="Y51" s="24"/>
    </row>
    <row r="52" spans="25:25" s="28" customFormat="1" x14ac:dyDescent="0.25">
      <c r="Y52" s="24"/>
    </row>
    <row r="53" spans="25:25" s="28" customFormat="1" x14ac:dyDescent="0.25">
      <c r="Y53" s="24"/>
    </row>
    <row r="54" spans="25:25" s="28" customFormat="1" x14ac:dyDescent="0.25">
      <c r="Y54" s="24"/>
    </row>
    <row r="55" spans="25:25" s="28" customFormat="1" x14ac:dyDescent="0.25">
      <c r="Y55" s="24"/>
    </row>
    <row r="56" spans="25:25" s="28" customFormat="1" x14ac:dyDescent="0.25">
      <c r="Y56" s="24"/>
    </row>
    <row r="57" spans="25:25" s="28" customFormat="1" x14ac:dyDescent="0.25">
      <c r="Y57" s="24"/>
    </row>
    <row r="58" spans="25:25" s="28" customFormat="1" x14ac:dyDescent="0.25">
      <c r="Y58" s="24"/>
    </row>
    <row r="59" spans="25:25" s="28" customFormat="1" x14ac:dyDescent="0.25">
      <c r="Y59" s="24"/>
    </row>
    <row r="60" spans="25:25" s="28" customFormat="1" x14ac:dyDescent="0.25">
      <c r="Y60" s="24"/>
    </row>
    <row r="61" spans="25:25" s="28" customFormat="1" x14ac:dyDescent="0.25">
      <c r="Y61" s="24"/>
    </row>
    <row r="62" spans="25:25" s="28" customFormat="1" x14ac:dyDescent="0.25">
      <c r="Y62" s="24"/>
    </row>
    <row r="63" spans="25:25" s="28" customFormat="1" x14ac:dyDescent="0.25">
      <c r="Y63" s="24"/>
    </row>
    <row r="64" spans="25:25" s="28" customFormat="1" x14ac:dyDescent="0.25">
      <c r="Y64" s="24"/>
    </row>
    <row r="65" spans="25:25" s="28" customFormat="1" x14ac:dyDescent="0.25">
      <c r="Y65" s="24"/>
    </row>
    <row r="66" spans="25:25" s="28" customFormat="1" x14ac:dyDescent="0.25">
      <c r="Y66" s="24"/>
    </row>
    <row r="67" spans="25:25" s="28" customFormat="1" x14ac:dyDescent="0.25">
      <c r="Y67" s="24"/>
    </row>
    <row r="68" spans="25:25" s="28" customFormat="1" x14ac:dyDescent="0.25">
      <c r="Y68" s="24"/>
    </row>
    <row r="69" spans="25:25" s="28" customFormat="1" x14ac:dyDescent="0.25">
      <c r="Y69" s="24"/>
    </row>
    <row r="70" spans="25:25" s="28" customFormat="1" x14ac:dyDescent="0.25">
      <c r="Y70" s="24"/>
    </row>
    <row r="71" spans="25:25" s="28" customFormat="1" x14ac:dyDescent="0.25">
      <c r="Y71" s="24"/>
    </row>
    <row r="72" spans="25:25" s="28" customFormat="1" x14ac:dyDescent="0.25">
      <c r="Y72" s="24"/>
    </row>
    <row r="73" spans="25:25" s="28" customFormat="1" x14ac:dyDescent="0.25">
      <c r="Y73" s="24"/>
    </row>
    <row r="74" spans="25:25" s="28" customFormat="1" x14ac:dyDescent="0.25">
      <c r="Y74" s="24"/>
    </row>
    <row r="75" spans="25:25" s="28" customFormat="1" x14ac:dyDescent="0.25">
      <c r="Y75" s="24"/>
    </row>
    <row r="76" spans="25:25" s="28" customFormat="1" x14ac:dyDescent="0.25">
      <c r="Y76" s="24"/>
    </row>
    <row r="77" spans="25:25" s="28" customFormat="1" x14ac:dyDescent="0.25">
      <c r="Y77" s="24"/>
    </row>
    <row r="78" spans="25:25" s="28" customFormat="1" x14ac:dyDescent="0.25">
      <c r="Y78" s="24"/>
    </row>
    <row r="79" spans="25:25" s="28" customFormat="1" x14ac:dyDescent="0.25">
      <c r="Y79" s="24"/>
    </row>
    <row r="80" spans="25:25" s="28" customFormat="1" x14ac:dyDescent="0.25">
      <c r="Y80" s="24"/>
    </row>
    <row r="81" spans="25:25" s="28" customFormat="1" x14ac:dyDescent="0.25">
      <c r="Y81" s="24"/>
    </row>
    <row r="82" spans="25:25" s="28" customFormat="1" x14ac:dyDescent="0.25">
      <c r="Y82" s="24"/>
    </row>
    <row r="83" spans="25:25" s="28" customFormat="1" x14ac:dyDescent="0.25">
      <c r="Y83" s="24"/>
    </row>
    <row r="84" spans="25:25" s="28" customFormat="1" x14ac:dyDescent="0.25">
      <c r="Y84" s="24"/>
    </row>
    <row r="85" spans="25:25" s="28" customFormat="1" x14ac:dyDescent="0.25">
      <c r="Y85" s="24"/>
    </row>
    <row r="86" spans="25:25" s="28" customFormat="1" x14ac:dyDescent="0.25">
      <c r="Y86" s="24"/>
    </row>
    <row r="87" spans="25:25" s="28" customFormat="1" x14ac:dyDescent="0.25">
      <c r="Y87" s="24"/>
    </row>
    <row r="88" spans="25:25" s="28" customFormat="1" x14ac:dyDescent="0.25">
      <c r="Y88" s="24"/>
    </row>
    <row r="89" spans="25:25" s="28" customFormat="1" x14ac:dyDescent="0.25">
      <c r="Y89" s="24"/>
    </row>
    <row r="90" spans="25:25" s="28" customFormat="1" x14ac:dyDescent="0.25">
      <c r="Y90" s="24"/>
    </row>
    <row r="91" spans="25:25" s="28" customFormat="1" x14ac:dyDescent="0.25">
      <c r="Y91" s="24"/>
    </row>
    <row r="92" spans="25:25" s="28" customFormat="1" x14ac:dyDescent="0.25">
      <c r="Y92" s="24"/>
    </row>
    <row r="93" spans="25:25" s="28" customFormat="1" x14ac:dyDescent="0.25">
      <c r="Y93" s="24"/>
    </row>
    <row r="94" spans="25:25" s="28" customFormat="1" x14ac:dyDescent="0.25">
      <c r="Y94" s="24"/>
    </row>
    <row r="95" spans="25:25" s="28" customFormat="1" x14ac:dyDescent="0.25">
      <c r="Y95" s="24"/>
    </row>
    <row r="96" spans="25:25" s="28" customFormat="1" x14ac:dyDescent="0.25">
      <c r="Y96" s="24"/>
    </row>
    <row r="97" spans="25:25" s="28" customFormat="1" x14ac:dyDescent="0.25">
      <c r="Y97" s="24"/>
    </row>
    <row r="98" spans="25:25" s="28" customFormat="1" x14ac:dyDescent="0.25">
      <c r="Y98" s="24"/>
    </row>
    <row r="99" spans="25:25" s="28" customFormat="1" x14ac:dyDescent="0.25">
      <c r="Y99" s="24"/>
    </row>
    <row r="100" spans="25:25" s="28" customFormat="1" x14ac:dyDescent="0.25">
      <c r="Y100" s="24"/>
    </row>
    <row r="101" spans="25:25" s="28" customFormat="1" x14ac:dyDescent="0.25">
      <c r="Y101" s="24"/>
    </row>
    <row r="102" spans="25:25" s="28" customFormat="1" x14ac:dyDescent="0.25">
      <c r="Y102" s="24"/>
    </row>
    <row r="103" spans="25:25" s="28" customFormat="1" x14ac:dyDescent="0.25">
      <c r="Y103" s="24"/>
    </row>
    <row r="104" spans="25:25" s="28" customFormat="1" x14ac:dyDescent="0.25">
      <c r="Y104" s="24"/>
    </row>
    <row r="105" spans="25:25" s="28" customFormat="1" x14ac:dyDescent="0.25">
      <c r="Y105" s="24"/>
    </row>
    <row r="106" spans="25:25" s="28" customFormat="1" x14ac:dyDescent="0.25">
      <c r="Y106" s="24"/>
    </row>
    <row r="107" spans="25:25" s="28" customFormat="1" x14ac:dyDescent="0.25">
      <c r="Y107" s="24"/>
    </row>
    <row r="108" spans="25:25" s="28" customFormat="1" x14ac:dyDescent="0.25">
      <c r="Y108" s="24"/>
    </row>
    <row r="109" spans="25:25" s="28" customFormat="1" x14ac:dyDescent="0.25">
      <c r="Y109" s="24"/>
    </row>
    <row r="110" spans="25:25" s="28" customFormat="1" x14ac:dyDescent="0.25">
      <c r="Y110" s="24"/>
    </row>
    <row r="111" spans="25:25" s="28" customFormat="1" x14ac:dyDescent="0.25">
      <c r="Y111" s="24"/>
    </row>
    <row r="112" spans="25:25" s="28" customFormat="1" x14ac:dyDescent="0.25">
      <c r="Y112" s="24"/>
    </row>
    <row r="113" spans="25:25" s="28" customFormat="1" x14ac:dyDescent="0.25">
      <c r="Y113" s="24"/>
    </row>
    <row r="114" spans="25:25" s="28" customFormat="1" x14ac:dyDescent="0.25">
      <c r="Y114" s="24"/>
    </row>
    <row r="115" spans="25:25" s="28" customFormat="1" x14ac:dyDescent="0.25">
      <c r="Y115" s="24"/>
    </row>
    <row r="116" spans="25:25" s="28" customFormat="1" x14ac:dyDescent="0.25">
      <c r="Y116" s="24"/>
    </row>
    <row r="117" spans="25:25" s="28" customFormat="1" x14ac:dyDescent="0.25">
      <c r="Y117" s="24"/>
    </row>
    <row r="118" spans="25:25" s="28" customFormat="1" x14ac:dyDescent="0.25">
      <c r="Y118" s="24"/>
    </row>
    <row r="119" spans="25:25" s="28" customFormat="1" x14ac:dyDescent="0.25">
      <c r="Y119" s="24"/>
    </row>
    <row r="120" spans="25:25" s="28" customFormat="1" x14ac:dyDescent="0.25">
      <c r="Y120" s="24"/>
    </row>
    <row r="121" spans="25:25" s="28" customFormat="1" x14ac:dyDescent="0.25">
      <c r="Y121" s="24"/>
    </row>
    <row r="122" spans="25:25" s="28" customFormat="1" x14ac:dyDescent="0.25">
      <c r="Y122" s="24"/>
    </row>
    <row r="123" spans="25:25" s="28" customFormat="1" x14ac:dyDescent="0.25">
      <c r="Y123" s="24"/>
    </row>
    <row r="124" spans="25:25" s="28" customFormat="1" x14ac:dyDescent="0.25">
      <c r="Y124" s="24"/>
    </row>
    <row r="125" spans="25:25" s="28" customFormat="1" x14ac:dyDescent="0.25">
      <c r="Y125" s="24"/>
    </row>
    <row r="126" spans="25:25" s="28" customFormat="1" x14ac:dyDescent="0.25">
      <c r="Y126" s="24"/>
    </row>
    <row r="127" spans="25:25" s="28" customFormat="1" x14ac:dyDescent="0.25">
      <c r="Y127" s="24"/>
    </row>
    <row r="128" spans="25:25" s="28" customFormat="1" x14ac:dyDescent="0.25">
      <c r="Y128" s="24"/>
    </row>
    <row r="129" spans="25:25" s="28" customFormat="1" x14ac:dyDescent="0.25">
      <c r="Y129" s="24"/>
    </row>
    <row r="130" spans="25:25" s="28" customFormat="1" x14ac:dyDescent="0.25">
      <c r="Y130" s="24"/>
    </row>
    <row r="131" spans="25:25" s="28" customFormat="1" x14ac:dyDescent="0.25">
      <c r="Y131" s="24"/>
    </row>
    <row r="132" spans="25:25" s="28" customFormat="1" x14ac:dyDescent="0.25">
      <c r="Y132" s="24"/>
    </row>
    <row r="133" spans="25:25" s="28" customFormat="1" x14ac:dyDescent="0.25">
      <c r="Y133" s="24"/>
    </row>
    <row r="134" spans="25:25" s="28" customFormat="1" x14ac:dyDescent="0.25">
      <c r="Y134" s="24"/>
    </row>
    <row r="135" spans="25:25" s="28" customFormat="1" x14ac:dyDescent="0.25">
      <c r="Y135" s="24"/>
    </row>
    <row r="136" spans="25:25" s="28" customFormat="1" x14ac:dyDescent="0.25">
      <c r="Y136" s="24"/>
    </row>
    <row r="137" spans="25:25" s="28" customFormat="1" x14ac:dyDescent="0.25">
      <c r="Y137" s="24"/>
    </row>
    <row r="138" spans="25:25" s="28" customFormat="1" x14ac:dyDescent="0.25">
      <c r="Y138" s="24"/>
    </row>
    <row r="139" spans="25:25" s="28" customFormat="1" x14ac:dyDescent="0.25">
      <c r="Y139" s="24"/>
    </row>
    <row r="140" spans="25:25" s="28" customFormat="1" x14ac:dyDescent="0.25">
      <c r="Y140" s="24"/>
    </row>
    <row r="141" spans="25:25" s="28" customFormat="1" x14ac:dyDescent="0.25">
      <c r="Y141" s="24"/>
    </row>
    <row r="142" spans="25:25" s="28" customFormat="1" x14ac:dyDescent="0.25">
      <c r="Y142" s="24"/>
    </row>
    <row r="143" spans="25:25" s="28" customFormat="1" x14ac:dyDescent="0.25">
      <c r="Y143" s="24"/>
    </row>
    <row r="144" spans="25:25" s="28" customFormat="1" x14ac:dyDescent="0.25">
      <c r="Y144" s="24"/>
    </row>
    <row r="145" spans="25:25" s="28" customFormat="1" x14ac:dyDescent="0.25">
      <c r="Y145" s="24"/>
    </row>
    <row r="146" spans="25:25" s="28" customFormat="1" x14ac:dyDescent="0.25">
      <c r="Y146" s="24"/>
    </row>
    <row r="147" spans="25:25" s="28" customFormat="1" x14ac:dyDescent="0.25">
      <c r="Y147" s="24"/>
    </row>
    <row r="148" spans="25:25" s="28" customFormat="1" x14ac:dyDescent="0.25">
      <c r="Y148" s="24"/>
    </row>
    <row r="149" spans="25:25" s="28" customFormat="1" x14ac:dyDescent="0.25">
      <c r="Y149" s="24"/>
    </row>
    <row r="150" spans="25:25" s="28" customFormat="1" x14ac:dyDescent="0.25">
      <c r="Y150" s="24"/>
    </row>
    <row r="151" spans="25:25" s="28" customFormat="1" x14ac:dyDescent="0.25">
      <c r="Y151" s="24"/>
    </row>
    <row r="152" spans="25:25" s="28" customFormat="1" x14ac:dyDescent="0.25">
      <c r="Y152" s="24"/>
    </row>
    <row r="153" spans="25:25" s="28" customFormat="1" x14ac:dyDescent="0.25">
      <c r="Y153" s="24"/>
    </row>
    <row r="154" spans="25:25" s="28" customFormat="1" x14ac:dyDescent="0.25">
      <c r="Y154" s="24"/>
    </row>
    <row r="155" spans="25:25" s="28" customFormat="1" x14ac:dyDescent="0.25">
      <c r="Y155" s="24"/>
    </row>
    <row r="156" spans="25:25" s="28" customFormat="1" x14ac:dyDescent="0.25">
      <c r="Y156" s="24"/>
    </row>
    <row r="157" spans="25:25" s="28" customFormat="1" x14ac:dyDescent="0.25">
      <c r="Y157" s="24"/>
    </row>
    <row r="158" spans="25:25" s="28" customFormat="1" x14ac:dyDescent="0.25">
      <c r="Y158" s="24"/>
    </row>
    <row r="159" spans="25:25" s="28" customFormat="1" x14ac:dyDescent="0.25">
      <c r="Y159" s="24"/>
    </row>
    <row r="160" spans="25:25" s="28" customFormat="1" x14ac:dyDescent="0.25">
      <c r="Y160" s="24"/>
    </row>
    <row r="161" spans="25:25" s="28" customFormat="1" x14ac:dyDescent="0.25">
      <c r="Y161" s="24"/>
    </row>
    <row r="162" spans="25:25" s="28" customFormat="1" x14ac:dyDescent="0.25">
      <c r="Y162" s="24"/>
    </row>
    <row r="163" spans="25:25" s="28" customFormat="1" x14ac:dyDescent="0.25">
      <c r="Y163" s="24"/>
    </row>
    <row r="164" spans="25:25" s="28" customFormat="1" x14ac:dyDescent="0.25">
      <c r="Y164" s="24"/>
    </row>
    <row r="165" spans="25:25" s="28" customFormat="1" x14ac:dyDescent="0.25">
      <c r="Y165" s="24"/>
    </row>
    <row r="166" spans="25:25" s="28" customFormat="1" x14ac:dyDescent="0.25">
      <c r="Y166" s="24"/>
    </row>
    <row r="167" spans="25:25" s="28" customFormat="1" x14ac:dyDescent="0.25">
      <c r="Y167" s="24"/>
    </row>
    <row r="168" spans="25:25" s="28" customFormat="1" x14ac:dyDescent="0.25">
      <c r="Y168" s="24"/>
    </row>
    <row r="169" spans="25:25" s="28" customFormat="1" x14ac:dyDescent="0.25">
      <c r="Y169" s="24"/>
    </row>
    <row r="170" spans="25:25" s="28" customFormat="1" x14ac:dyDescent="0.25">
      <c r="Y170" s="24"/>
    </row>
    <row r="171" spans="25:25" s="28" customFormat="1" x14ac:dyDescent="0.25">
      <c r="Y171" s="24"/>
    </row>
    <row r="172" spans="25:25" s="28" customFormat="1" x14ac:dyDescent="0.25">
      <c r="Y172" s="24"/>
    </row>
    <row r="173" spans="25:25" s="28" customFormat="1" x14ac:dyDescent="0.25">
      <c r="Y173" s="24"/>
    </row>
    <row r="174" spans="25:25" s="28" customFormat="1" x14ac:dyDescent="0.25">
      <c r="Y174" s="24"/>
    </row>
    <row r="175" spans="25:25" s="28" customFormat="1" x14ac:dyDescent="0.25">
      <c r="Y175" s="24"/>
    </row>
    <row r="176" spans="25:25" s="28" customFormat="1" x14ac:dyDescent="0.25">
      <c r="Y176" s="24"/>
    </row>
    <row r="177" spans="25:25" s="28" customFormat="1" x14ac:dyDescent="0.25">
      <c r="Y177" s="24"/>
    </row>
    <row r="178" spans="25:25" s="28" customFormat="1" x14ac:dyDescent="0.25">
      <c r="Y178" s="24"/>
    </row>
    <row r="179" spans="25:25" s="28" customFormat="1" x14ac:dyDescent="0.25">
      <c r="Y179" s="24"/>
    </row>
    <row r="180" spans="25:25" s="28" customFormat="1" x14ac:dyDescent="0.25">
      <c r="Y180" s="24"/>
    </row>
    <row r="181" spans="25:25" s="28" customFormat="1" x14ac:dyDescent="0.25">
      <c r="Y181" s="24"/>
    </row>
    <row r="182" spans="25:25" s="28" customFormat="1" x14ac:dyDescent="0.25">
      <c r="Y182" s="24"/>
    </row>
    <row r="183" spans="25:25" s="28" customFormat="1" x14ac:dyDescent="0.25">
      <c r="Y183" s="24"/>
    </row>
    <row r="184" spans="25:25" s="28" customFormat="1" x14ac:dyDescent="0.25">
      <c r="Y184" s="24"/>
    </row>
    <row r="185" spans="25:25" s="28" customFormat="1" x14ac:dyDescent="0.25">
      <c r="Y185" s="24"/>
    </row>
    <row r="186" spans="25:25" s="28" customFormat="1" x14ac:dyDescent="0.25">
      <c r="Y186" s="24"/>
    </row>
    <row r="187" spans="25:25" s="28" customFormat="1" x14ac:dyDescent="0.25">
      <c r="Y187" s="24"/>
    </row>
    <row r="188" spans="25:25" s="28" customFormat="1" x14ac:dyDescent="0.25">
      <c r="Y188" s="24"/>
    </row>
    <row r="189" spans="25:25" s="28" customFormat="1" x14ac:dyDescent="0.25">
      <c r="Y189" s="24"/>
    </row>
    <row r="190" spans="25:25" s="28" customFormat="1" x14ac:dyDescent="0.25">
      <c r="Y190" s="24"/>
    </row>
    <row r="191" spans="25:25" s="28" customFormat="1" x14ac:dyDescent="0.25">
      <c r="Y191" s="24"/>
    </row>
    <row r="192" spans="25:25" s="28" customFormat="1" x14ac:dyDescent="0.25">
      <c r="Y192" s="24"/>
    </row>
    <row r="193" spans="25:25" s="28" customFormat="1" x14ac:dyDescent="0.25">
      <c r="Y193" s="24"/>
    </row>
    <row r="194" spans="25:25" s="28" customFormat="1" x14ac:dyDescent="0.25">
      <c r="Y194" s="24"/>
    </row>
    <row r="195" spans="25:25" s="28" customFormat="1" x14ac:dyDescent="0.25">
      <c r="Y195" s="24"/>
    </row>
    <row r="196" spans="25:25" s="28" customFormat="1" x14ac:dyDescent="0.25">
      <c r="Y196" s="24"/>
    </row>
    <row r="197" spans="25:25" s="28" customFormat="1" x14ac:dyDescent="0.25">
      <c r="Y197" s="24"/>
    </row>
    <row r="198" spans="25:25" s="28" customFormat="1" x14ac:dyDescent="0.25">
      <c r="Y198" s="24"/>
    </row>
    <row r="199" spans="25:25" s="28" customFormat="1" x14ac:dyDescent="0.25">
      <c r="Y199" s="24"/>
    </row>
    <row r="200" spans="25:25" s="28" customFormat="1" x14ac:dyDescent="0.25">
      <c r="Y200" s="24"/>
    </row>
    <row r="201" spans="25:25" s="28" customFormat="1" x14ac:dyDescent="0.25">
      <c r="Y201" s="24"/>
    </row>
    <row r="202" spans="25:25" s="28" customFormat="1" x14ac:dyDescent="0.25">
      <c r="Y202" s="24"/>
    </row>
    <row r="203" spans="25:25" s="28" customFormat="1" x14ac:dyDescent="0.25">
      <c r="Y203" s="24"/>
    </row>
    <row r="204" spans="25:25" s="28" customFormat="1" x14ac:dyDescent="0.25">
      <c r="Y204" s="24"/>
    </row>
    <row r="205" spans="25:25" s="28" customFormat="1" x14ac:dyDescent="0.25">
      <c r="Y205" s="24"/>
    </row>
    <row r="206" spans="25:25" s="28" customFormat="1" x14ac:dyDescent="0.25">
      <c r="Y206" s="24"/>
    </row>
    <row r="207" spans="25:25" s="28" customFormat="1" x14ac:dyDescent="0.25">
      <c r="Y207" s="24"/>
    </row>
    <row r="208" spans="25:25" s="28" customFormat="1" x14ac:dyDescent="0.25">
      <c r="Y208" s="24"/>
    </row>
    <row r="209" spans="25:25" s="28" customFormat="1" x14ac:dyDescent="0.25">
      <c r="Y209" s="24"/>
    </row>
    <row r="210" spans="25:25" s="28" customFormat="1" x14ac:dyDescent="0.25">
      <c r="Y210" s="24"/>
    </row>
    <row r="211" spans="25:25" s="28" customFormat="1" x14ac:dyDescent="0.25">
      <c r="Y211" s="24"/>
    </row>
    <row r="212" spans="25:25" s="28" customFormat="1" x14ac:dyDescent="0.25">
      <c r="Y212" s="24"/>
    </row>
    <row r="213" spans="25:25" s="28" customFormat="1" x14ac:dyDescent="0.25">
      <c r="Y213" s="24"/>
    </row>
    <row r="214" spans="25:25" s="28" customFormat="1" x14ac:dyDescent="0.25">
      <c r="Y214" s="24"/>
    </row>
    <row r="215" spans="25:25" s="28" customFormat="1" x14ac:dyDescent="0.25">
      <c r="Y215" s="24"/>
    </row>
    <row r="216" spans="25:25" s="28" customFormat="1" x14ac:dyDescent="0.25">
      <c r="Y216" s="24"/>
    </row>
    <row r="217" spans="25:25" s="28" customFormat="1" x14ac:dyDescent="0.25">
      <c r="Y217" s="24"/>
    </row>
    <row r="218" spans="25:25" s="28" customFormat="1" x14ac:dyDescent="0.25">
      <c r="Y218" s="24"/>
    </row>
    <row r="219" spans="25:25" s="28" customFormat="1" x14ac:dyDescent="0.25">
      <c r="Y219" s="24"/>
    </row>
    <row r="220" spans="25:25" s="28" customFormat="1" x14ac:dyDescent="0.25">
      <c r="Y220" s="24"/>
    </row>
    <row r="221" spans="25:25" s="28" customFormat="1" x14ac:dyDescent="0.25">
      <c r="Y221" s="24"/>
    </row>
    <row r="222" spans="25:25" s="28" customFormat="1" x14ac:dyDescent="0.25">
      <c r="Y222" s="24"/>
    </row>
    <row r="223" spans="25:25" s="28" customFormat="1" x14ac:dyDescent="0.25">
      <c r="Y223" s="24"/>
    </row>
    <row r="224" spans="25:25" s="28" customFormat="1" x14ac:dyDescent="0.25">
      <c r="Y224" s="24"/>
    </row>
    <row r="225" spans="25:25" s="28" customFormat="1" x14ac:dyDescent="0.25">
      <c r="Y225" s="24"/>
    </row>
    <row r="226" spans="25:25" s="28" customFormat="1" x14ac:dyDescent="0.25">
      <c r="Y226" s="24"/>
    </row>
    <row r="227" spans="25:25" s="28" customFormat="1" x14ac:dyDescent="0.25">
      <c r="Y227" s="24"/>
    </row>
    <row r="228" spans="25:25" s="28" customFormat="1" x14ac:dyDescent="0.25">
      <c r="Y228" s="24"/>
    </row>
    <row r="229" spans="25:25" s="28" customFormat="1" x14ac:dyDescent="0.25">
      <c r="Y229" s="24"/>
    </row>
    <row r="230" spans="25:25" s="28" customFormat="1" x14ac:dyDescent="0.25">
      <c r="Y230" s="24"/>
    </row>
    <row r="231" spans="25:25" s="28" customFormat="1" x14ac:dyDescent="0.25">
      <c r="Y231" s="24"/>
    </row>
    <row r="232" spans="25:25" s="28" customFormat="1" x14ac:dyDescent="0.25">
      <c r="Y232" s="24"/>
    </row>
    <row r="233" spans="25:25" s="28" customFormat="1" x14ac:dyDescent="0.25">
      <c r="Y233" s="24"/>
    </row>
    <row r="234" spans="25:25" s="28" customFormat="1" x14ac:dyDescent="0.25">
      <c r="Y234" s="24"/>
    </row>
    <row r="235" spans="25:25" s="28" customFormat="1" x14ac:dyDescent="0.25">
      <c r="Y235" s="24"/>
    </row>
    <row r="236" spans="25:25" s="28" customFormat="1" x14ac:dyDescent="0.25">
      <c r="Y236" s="24"/>
    </row>
    <row r="237" spans="25:25" s="28" customFormat="1" x14ac:dyDescent="0.25">
      <c r="Y237" s="24"/>
    </row>
    <row r="238" spans="25:25" s="28" customFormat="1" x14ac:dyDescent="0.25">
      <c r="Y238" s="24"/>
    </row>
    <row r="239" spans="25:25" s="28" customFormat="1" x14ac:dyDescent="0.25">
      <c r="Y239" s="24"/>
    </row>
    <row r="240" spans="25:25" s="28" customFormat="1" x14ac:dyDescent="0.25">
      <c r="Y240" s="24"/>
    </row>
    <row r="241" spans="25:25" s="28" customFormat="1" x14ac:dyDescent="0.25">
      <c r="Y241" s="24"/>
    </row>
    <row r="242" spans="25:25" s="28" customFormat="1" x14ac:dyDescent="0.25">
      <c r="Y242" s="24"/>
    </row>
    <row r="243" spans="25:25" s="28" customFormat="1" x14ac:dyDescent="0.25">
      <c r="Y243" s="24"/>
    </row>
    <row r="244" spans="25:25" s="28" customFormat="1" x14ac:dyDescent="0.25">
      <c r="Y244" s="24"/>
    </row>
    <row r="245" spans="25:25" s="28" customFormat="1" x14ac:dyDescent="0.25">
      <c r="Y245" s="24"/>
    </row>
    <row r="246" spans="25:25" s="28" customFormat="1" x14ac:dyDescent="0.25">
      <c r="Y246" s="24"/>
    </row>
    <row r="247" spans="25:25" s="28" customFormat="1" x14ac:dyDescent="0.25">
      <c r="Y247" s="24"/>
    </row>
    <row r="248" spans="25:25" s="28" customFormat="1" x14ac:dyDescent="0.25">
      <c r="Y248" s="24"/>
    </row>
    <row r="249" spans="25:25" s="28" customFormat="1" x14ac:dyDescent="0.25">
      <c r="Y249" s="24"/>
    </row>
    <row r="250" spans="25:25" s="28" customFormat="1" x14ac:dyDescent="0.25">
      <c r="Y250" s="24"/>
    </row>
    <row r="251" spans="25:25" s="28" customFormat="1" x14ac:dyDescent="0.25">
      <c r="Y251" s="24"/>
    </row>
    <row r="252" spans="25:25" s="28" customFormat="1" x14ac:dyDescent="0.25">
      <c r="Y252" s="24"/>
    </row>
    <row r="253" spans="25:25" s="28" customFormat="1" x14ac:dyDescent="0.25">
      <c r="Y253" s="24"/>
    </row>
    <row r="254" spans="25:25" s="28" customFormat="1" x14ac:dyDescent="0.25">
      <c r="Y254" s="24"/>
    </row>
    <row r="255" spans="25:25" s="28" customFormat="1" x14ac:dyDescent="0.25">
      <c r="Y255" s="24"/>
    </row>
    <row r="256" spans="25:25" s="28" customFormat="1" x14ac:dyDescent="0.25">
      <c r="Y256" s="24"/>
    </row>
    <row r="257" spans="25:25" s="28" customFormat="1" x14ac:dyDescent="0.25">
      <c r="Y257" s="24"/>
    </row>
    <row r="258" spans="25:25" s="28" customFormat="1" x14ac:dyDescent="0.25">
      <c r="Y258" s="24"/>
    </row>
    <row r="259" spans="25:25" s="28" customFormat="1" x14ac:dyDescent="0.25">
      <c r="Y259" s="24"/>
    </row>
    <row r="260" spans="25:25" s="28" customFormat="1" x14ac:dyDescent="0.25">
      <c r="Y260" s="24"/>
    </row>
    <row r="261" spans="25:25" s="28" customFormat="1" x14ac:dyDescent="0.25">
      <c r="Y261" s="24"/>
    </row>
    <row r="262" spans="25:25" s="28" customFormat="1" x14ac:dyDescent="0.25">
      <c r="Y262" s="24"/>
    </row>
    <row r="263" spans="25:25" s="28" customFormat="1" x14ac:dyDescent="0.25">
      <c r="Y263" s="24"/>
    </row>
    <row r="264" spans="25:25" s="28" customFormat="1" x14ac:dyDescent="0.25">
      <c r="Y264" s="24"/>
    </row>
    <row r="265" spans="25:25" s="28" customFormat="1" x14ac:dyDescent="0.25">
      <c r="Y265" s="24"/>
    </row>
    <row r="266" spans="25:25" s="28" customFormat="1" x14ac:dyDescent="0.25">
      <c r="Y266" s="24"/>
    </row>
    <row r="267" spans="25:25" s="28" customFormat="1" x14ac:dyDescent="0.25">
      <c r="Y267" s="24"/>
    </row>
    <row r="268" spans="25:25" s="28" customFormat="1" x14ac:dyDescent="0.25">
      <c r="Y268" s="24"/>
    </row>
    <row r="269" spans="25:25" s="28" customFormat="1" x14ac:dyDescent="0.25">
      <c r="Y269" s="24"/>
    </row>
    <row r="270" spans="25:25" s="28" customFormat="1" x14ac:dyDescent="0.25">
      <c r="Y270" s="24"/>
    </row>
    <row r="271" spans="25:25" s="28" customFormat="1" x14ac:dyDescent="0.25">
      <c r="Y271" s="24"/>
    </row>
    <row r="272" spans="25:25" s="28" customFormat="1" x14ac:dyDescent="0.25">
      <c r="Y272" s="24"/>
    </row>
    <row r="273" spans="25:25" s="28" customFormat="1" x14ac:dyDescent="0.25">
      <c r="Y273" s="24"/>
    </row>
    <row r="274" spans="25:25" s="28" customFormat="1" x14ac:dyDescent="0.25">
      <c r="Y274" s="24"/>
    </row>
    <row r="275" spans="25:25" s="28" customFormat="1" x14ac:dyDescent="0.25">
      <c r="Y275" s="24"/>
    </row>
    <row r="276" spans="25:25" s="28" customFormat="1" x14ac:dyDescent="0.25">
      <c r="Y276" s="24"/>
    </row>
    <row r="277" spans="25:25" s="28" customFormat="1" x14ac:dyDescent="0.25">
      <c r="Y277" s="24"/>
    </row>
    <row r="278" spans="25:25" s="28" customFormat="1" x14ac:dyDescent="0.25">
      <c r="Y278" s="24"/>
    </row>
    <row r="279" spans="25:25" s="28" customFormat="1" x14ac:dyDescent="0.25">
      <c r="Y279" s="24"/>
    </row>
    <row r="280" spans="25:25" s="28" customFormat="1" x14ac:dyDescent="0.25">
      <c r="Y280" s="24"/>
    </row>
    <row r="281" spans="25:25" s="28" customFormat="1" x14ac:dyDescent="0.25">
      <c r="Y281" s="24"/>
    </row>
    <row r="282" spans="25:25" s="28" customFormat="1" x14ac:dyDescent="0.25">
      <c r="Y282" s="24"/>
    </row>
    <row r="283" spans="25:25" s="28" customFormat="1" x14ac:dyDescent="0.25">
      <c r="Y283" s="24"/>
    </row>
    <row r="284" spans="25:25" s="28" customFormat="1" x14ac:dyDescent="0.25">
      <c r="Y284" s="24"/>
    </row>
    <row r="285" spans="25:25" s="28" customFormat="1" x14ac:dyDescent="0.25">
      <c r="Y285" s="24"/>
    </row>
    <row r="286" spans="25:25" s="28" customFormat="1" x14ac:dyDescent="0.25">
      <c r="Y286" s="24"/>
    </row>
    <row r="287" spans="25:25" s="28" customFormat="1" x14ac:dyDescent="0.25">
      <c r="Y287" s="24"/>
    </row>
    <row r="288" spans="25:25" s="28" customFormat="1" x14ac:dyDescent="0.25">
      <c r="Y288" s="24"/>
    </row>
    <row r="289" spans="25:25" s="28" customFormat="1" x14ac:dyDescent="0.25">
      <c r="Y289" s="24"/>
    </row>
    <row r="290" spans="25:25" s="28" customFormat="1" x14ac:dyDescent="0.25">
      <c r="Y290" s="24"/>
    </row>
    <row r="291" spans="25:25" s="28" customFormat="1" x14ac:dyDescent="0.25">
      <c r="Y291" s="24"/>
    </row>
    <row r="292" spans="25:25" s="28" customFormat="1" x14ac:dyDescent="0.25">
      <c r="Y292" s="24"/>
    </row>
    <row r="293" spans="25:25" s="28" customFormat="1" x14ac:dyDescent="0.25">
      <c r="Y293" s="24"/>
    </row>
    <row r="294" spans="25:25" s="28" customFormat="1" x14ac:dyDescent="0.25">
      <c r="Y294" s="24"/>
    </row>
    <row r="295" spans="25:25" s="28" customFormat="1" x14ac:dyDescent="0.25">
      <c r="Y295" s="24"/>
    </row>
    <row r="296" spans="25:25" s="28" customFormat="1" x14ac:dyDescent="0.25">
      <c r="Y296" s="24"/>
    </row>
    <row r="297" spans="25:25" s="28" customFormat="1" x14ac:dyDescent="0.25">
      <c r="Y297" s="24"/>
    </row>
    <row r="298" spans="25:25" s="28" customFormat="1" x14ac:dyDescent="0.25">
      <c r="Y298" s="24"/>
    </row>
    <row r="299" spans="25:25" s="28" customFormat="1" x14ac:dyDescent="0.25">
      <c r="Y299" s="24"/>
    </row>
    <row r="300" spans="25:25" s="28" customFormat="1" x14ac:dyDescent="0.25">
      <c r="Y300" s="24"/>
    </row>
    <row r="301" spans="25:25" s="28" customFormat="1" x14ac:dyDescent="0.25">
      <c r="Y301" s="24"/>
    </row>
    <row r="302" spans="25:25" s="28" customFormat="1" x14ac:dyDescent="0.25">
      <c r="Y302" s="24"/>
    </row>
    <row r="303" spans="25:25" s="28" customFormat="1" x14ac:dyDescent="0.25">
      <c r="Y303" s="24"/>
    </row>
    <row r="304" spans="25:25" s="28" customFormat="1" x14ac:dyDescent="0.25">
      <c r="Y304" s="24"/>
    </row>
    <row r="305" spans="25:25" s="28" customFormat="1" x14ac:dyDescent="0.25">
      <c r="Y305" s="24"/>
    </row>
    <row r="306" spans="25:25" s="28" customFormat="1" x14ac:dyDescent="0.25">
      <c r="Y306" s="24"/>
    </row>
    <row r="307" spans="25:25" s="28" customFormat="1" x14ac:dyDescent="0.25">
      <c r="Y307" s="24"/>
    </row>
    <row r="308" spans="25:25" s="28" customFormat="1" x14ac:dyDescent="0.25">
      <c r="Y308" s="24"/>
    </row>
    <row r="309" spans="25:25" s="28" customFormat="1" x14ac:dyDescent="0.25">
      <c r="Y309" s="24"/>
    </row>
    <row r="310" spans="25:25" s="28" customFormat="1" x14ac:dyDescent="0.25">
      <c r="Y310" s="24"/>
    </row>
    <row r="311" spans="25:25" s="28" customFormat="1" x14ac:dyDescent="0.25">
      <c r="Y311" s="24"/>
    </row>
    <row r="312" spans="25:25" s="28" customFormat="1" x14ac:dyDescent="0.25">
      <c r="Y312" s="24"/>
    </row>
    <row r="313" spans="25:25" s="28" customFormat="1" x14ac:dyDescent="0.25">
      <c r="Y313" s="24"/>
    </row>
    <row r="314" spans="25:25" s="28" customFormat="1" x14ac:dyDescent="0.25">
      <c r="Y314" s="24"/>
    </row>
    <row r="315" spans="25:25" s="28" customFormat="1" x14ac:dyDescent="0.25">
      <c r="Y315" s="24"/>
    </row>
    <row r="316" spans="25:25" s="28" customFormat="1" x14ac:dyDescent="0.25">
      <c r="Y316" s="24"/>
    </row>
    <row r="317" spans="25:25" s="28" customFormat="1" x14ac:dyDescent="0.25">
      <c r="Y317" s="24"/>
    </row>
    <row r="318" spans="25:25" s="28" customFormat="1" x14ac:dyDescent="0.25">
      <c r="Y318" s="24"/>
    </row>
    <row r="319" spans="25:25" s="28" customFormat="1" x14ac:dyDescent="0.25">
      <c r="Y319" s="24"/>
    </row>
    <row r="320" spans="25:25" s="28" customFormat="1" x14ac:dyDescent="0.25">
      <c r="Y320" s="24"/>
    </row>
    <row r="321" spans="25:25" s="28" customFormat="1" x14ac:dyDescent="0.25">
      <c r="Y321" s="24"/>
    </row>
    <row r="322" spans="25:25" s="28" customFormat="1" x14ac:dyDescent="0.25">
      <c r="Y322" s="24"/>
    </row>
    <row r="323" spans="25:25" s="28" customFormat="1" x14ac:dyDescent="0.25">
      <c r="Y323" s="24"/>
    </row>
    <row r="324" spans="25:25" s="28" customFormat="1" x14ac:dyDescent="0.25">
      <c r="Y324" s="24"/>
    </row>
    <row r="325" spans="25:25" s="28" customFormat="1" x14ac:dyDescent="0.25">
      <c r="Y325" s="24"/>
    </row>
    <row r="326" spans="25:25" s="28" customFormat="1" x14ac:dyDescent="0.25">
      <c r="Y326" s="24"/>
    </row>
    <row r="327" spans="25:25" s="28" customFormat="1" x14ac:dyDescent="0.25">
      <c r="Y327" s="24"/>
    </row>
    <row r="328" spans="25:25" s="28" customFormat="1" x14ac:dyDescent="0.25">
      <c r="Y328" s="24"/>
    </row>
    <row r="329" spans="25:25" s="28" customFormat="1" x14ac:dyDescent="0.25">
      <c r="Y329" s="24"/>
    </row>
    <row r="330" spans="25:25" s="28" customFormat="1" x14ac:dyDescent="0.25">
      <c r="Y330" s="24"/>
    </row>
    <row r="331" spans="25:25" s="28" customFormat="1" x14ac:dyDescent="0.25">
      <c r="Y331" s="24"/>
    </row>
    <row r="332" spans="25:25" s="28" customFormat="1" x14ac:dyDescent="0.25">
      <c r="Y332" s="24"/>
    </row>
    <row r="333" spans="25:25" s="28" customFormat="1" x14ac:dyDescent="0.25">
      <c r="Y333" s="24"/>
    </row>
    <row r="334" spans="25:25" s="28" customFormat="1" x14ac:dyDescent="0.25">
      <c r="Y334" s="24"/>
    </row>
    <row r="335" spans="25:25" s="28" customFormat="1" x14ac:dyDescent="0.25">
      <c r="Y335" s="24"/>
    </row>
    <row r="336" spans="25:25" s="28" customFormat="1" x14ac:dyDescent="0.25">
      <c r="Y336" s="24"/>
    </row>
    <row r="337" spans="25:25" s="28" customFormat="1" x14ac:dyDescent="0.25">
      <c r="Y337" s="24"/>
    </row>
    <row r="338" spans="25:25" s="28" customFormat="1" x14ac:dyDescent="0.25">
      <c r="Y338" s="24"/>
    </row>
    <row r="339" spans="25:25" s="28" customFormat="1" x14ac:dyDescent="0.25">
      <c r="Y339" s="24"/>
    </row>
    <row r="340" spans="25:25" s="28" customFormat="1" x14ac:dyDescent="0.25">
      <c r="Y340" s="24"/>
    </row>
    <row r="341" spans="25:25" s="28" customFormat="1" x14ac:dyDescent="0.25">
      <c r="Y341" s="24"/>
    </row>
    <row r="342" spans="25:25" s="28" customFormat="1" x14ac:dyDescent="0.25">
      <c r="Y342" s="24"/>
    </row>
    <row r="343" spans="25:25" s="28" customFormat="1" x14ac:dyDescent="0.25">
      <c r="Y343" s="24"/>
    </row>
    <row r="344" spans="25:25" s="28" customFormat="1" x14ac:dyDescent="0.25">
      <c r="Y344" s="24"/>
    </row>
    <row r="345" spans="25:25" s="28" customFormat="1" x14ac:dyDescent="0.25">
      <c r="Y345" s="24"/>
    </row>
    <row r="346" spans="25:25" s="28" customFormat="1" x14ac:dyDescent="0.25">
      <c r="Y346" s="24"/>
    </row>
    <row r="347" spans="25:25" s="28" customFormat="1" x14ac:dyDescent="0.25">
      <c r="Y347" s="24"/>
    </row>
    <row r="348" spans="25:25" s="28" customFormat="1" x14ac:dyDescent="0.25">
      <c r="Y348" s="24"/>
    </row>
    <row r="349" spans="25:25" s="28" customFormat="1" x14ac:dyDescent="0.25">
      <c r="Y349" s="24"/>
    </row>
    <row r="350" spans="25:25" s="28" customFormat="1" x14ac:dyDescent="0.25">
      <c r="Y350" s="24"/>
    </row>
    <row r="351" spans="25:25" s="28" customFormat="1" x14ac:dyDescent="0.25">
      <c r="Y351" s="24"/>
    </row>
    <row r="352" spans="25:25" s="28" customFormat="1" x14ac:dyDescent="0.25">
      <c r="Y352" s="24"/>
    </row>
    <row r="353" spans="25:25" s="28" customFormat="1" x14ac:dyDescent="0.25">
      <c r="Y353" s="24"/>
    </row>
    <row r="354" spans="25:25" s="28" customFormat="1" x14ac:dyDescent="0.25">
      <c r="Y354" s="24"/>
    </row>
    <row r="355" spans="25:25" s="28" customFormat="1" x14ac:dyDescent="0.25">
      <c r="Y355" s="24"/>
    </row>
    <row r="356" spans="25:25" s="28" customFormat="1" x14ac:dyDescent="0.25">
      <c r="Y356" s="24"/>
    </row>
    <row r="357" spans="25:25" s="28" customFormat="1" x14ac:dyDescent="0.25">
      <c r="Y357" s="24"/>
    </row>
    <row r="358" spans="25:25" s="28" customFormat="1" x14ac:dyDescent="0.25">
      <c r="Y358" s="24"/>
    </row>
    <row r="359" spans="25:25" s="28" customFormat="1" x14ac:dyDescent="0.25">
      <c r="Y359" s="24"/>
    </row>
    <row r="360" spans="25:25" s="28" customFormat="1" x14ac:dyDescent="0.25">
      <c r="Y360" s="24"/>
    </row>
    <row r="361" spans="25:25" s="28" customFormat="1" x14ac:dyDescent="0.25">
      <c r="Y361" s="24"/>
    </row>
    <row r="362" spans="25:25" s="28" customFormat="1" x14ac:dyDescent="0.25">
      <c r="Y362" s="24"/>
    </row>
    <row r="363" spans="25:25" s="28" customFormat="1" x14ac:dyDescent="0.25">
      <c r="Y363" s="24"/>
    </row>
    <row r="364" spans="25:25" s="28" customFormat="1" x14ac:dyDescent="0.25">
      <c r="Y364" s="24"/>
    </row>
    <row r="365" spans="25:25" s="28" customFormat="1" x14ac:dyDescent="0.25">
      <c r="Y365" s="24"/>
    </row>
    <row r="366" spans="25:25" s="28" customFormat="1" x14ac:dyDescent="0.25">
      <c r="Y366" s="24"/>
    </row>
    <row r="367" spans="25:25" s="28" customFormat="1" x14ac:dyDescent="0.25">
      <c r="Y367" s="24"/>
    </row>
    <row r="368" spans="25:25" s="28" customFormat="1" x14ac:dyDescent="0.25">
      <c r="Y368" s="24"/>
    </row>
    <row r="369" spans="25:25" s="28" customFormat="1" x14ac:dyDescent="0.25">
      <c r="Y369" s="24"/>
    </row>
    <row r="370" spans="25:25" s="28" customFormat="1" x14ac:dyDescent="0.25">
      <c r="Y370" s="24"/>
    </row>
    <row r="371" spans="25:25" s="28" customFormat="1" x14ac:dyDescent="0.25">
      <c r="Y371" s="24"/>
    </row>
    <row r="372" spans="25:25" s="28" customFormat="1" x14ac:dyDescent="0.25">
      <c r="Y372" s="24"/>
    </row>
    <row r="373" spans="25:25" s="28" customFormat="1" x14ac:dyDescent="0.25">
      <c r="Y373" s="24"/>
    </row>
    <row r="374" spans="25:25" s="28" customFormat="1" x14ac:dyDescent="0.25">
      <c r="Y374" s="24"/>
    </row>
    <row r="375" spans="25:25" s="28" customFormat="1" x14ac:dyDescent="0.25">
      <c r="Y375" s="24"/>
    </row>
    <row r="376" spans="25:25" s="28" customFormat="1" x14ac:dyDescent="0.25">
      <c r="Y376" s="24"/>
    </row>
    <row r="377" spans="25:25" s="28" customFormat="1" x14ac:dyDescent="0.25">
      <c r="Y377" s="24"/>
    </row>
    <row r="378" spans="25:25" s="28" customFormat="1" x14ac:dyDescent="0.25">
      <c r="Y378" s="24"/>
    </row>
    <row r="379" spans="25:25" s="28" customFormat="1" x14ac:dyDescent="0.25">
      <c r="Y379" s="24"/>
    </row>
    <row r="380" spans="25:25" s="28" customFormat="1" x14ac:dyDescent="0.25">
      <c r="Y380" s="24"/>
    </row>
    <row r="381" spans="25:25" s="28" customFormat="1" x14ac:dyDescent="0.25">
      <c r="Y381" s="24"/>
    </row>
    <row r="382" spans="25:25" s="28" customFormat="1" x14ac:dyDescent="0.25">
      <c r="Y382" s="24"/>
    </row>
    <row r="383" spans="25:25" s="28" customFormat="1" x14ac:dyDescent="0.25">
      <c r="Y383" s="24"/>
    </row>
    <row r="384" spans="25:25" s="28" customFormat="1" x14ac:dyDescent="0.25">
      <c r="Y384" s="24"/>
    </row>
    <row r="385" spans="25:25" s="28" customFormat="1" x14ac:dyDescent="0.25">
      <c r="Y385" s="24"/>
    </row>
    <row r="386" spans="25:25" s="28" customFormat="1" x14ac:dyDescent="0.25">
      <c r="Y386" s="24"/>
    </row>
    <row r="387" spans="25:25" s="28" customFormat="1" x14ac:dyDescent="0.25">
      <c r="Y387" s="24"/>
    </row>
    <row r="388" spans="25:25" s="28" customFormat="1" x14ac:dyDescent="0.25">
      <c r="Y388" s="24"/>
    </row>
    <row r="389" spans="25:25" s="28" customFormat="1" x14ac:dyDescent="0.25">
      <c r="Y389" s="24"/>
    </row>
    <row r="390" spans="25:25" s="28" customFormat="1" x14ac:dyDescent="0.25">
      <c r="Y390" s="24"/>
    </row>
    <row r="391" spans="25:25" s="28" customFormat="1" x14ac:dyDescent="0.25">
      <c r="Y391" s="24"/>
    </row>
    <row r="392" spans="25:25" s="28" customFormat="1" x14ac:dyDescent="0.25">
      <c r="Y392" s="24"/>
    </row>
    <row r="393" spans="25:25" s="28" customFormat="1" x14ac:dyDescent="0.25">
      <c r="Y393" s="24"/>
    </row>
    <row r="394" spans="25:25" s="28" customFormat="1" x14ac:dyDescent="0.25">
      <c r="Y394" s="24"/>
    </row>
    <row r="395" spans="25:25" s="28" customFormat="1" x14ac:dyDescent="0.25">
      <c r="Y395" s="24"/>
    </row>
    <row r="396" spans="25:25" s="28" customFormat="1" x14ac:dyDescent="0.25">
      <c r="Y396" s="24"/>
    </row>
    <row r="397" spans="25:25" s="28" customFormat="1" x14ac:dyDescent="0.25">
      <c r="Y397" s="24"/>
    </row>
    <row r="398" spans="25:25" s="28" customFormat="1" x14ac:dyDescent="0.25">
      <c r="Y398" s="24"/>
    </row>
    <row r="399" spans="25:25" s="28" customFormat="1" x14ac:dyDescent="0.25">
      <c r="Y399" s="24"/>
    </row>
    <row r="400" spans="25:25" s="28" customFormat="1" x14ac:dyDescent="0.25">
      <c r="Y400" s="24"/>
    </row>
    <row r="401" spans="25:25" s="28" customFormat="1" x14ac:dyDescent="0.25">
      <c r="Y401" s="24"/>
    </row>
    <row r="402" spans="25:25" s="28" customFormat="1" x14ac:dyDescent="0.25">
      <c r="Y402" s="24"/>
    </row>
    <row r="403" spans="25:25" s="28" customFormat="1" x14ac:dyDescent="0.25">
      <c r="Y403" s="24"/>
    </row>
    <row r="404" spans="25:25" s="28" customFormat="1" x14ac:dyDescent="0.25">
      <c r="Y404" s="24"/>
    </row>
    <row r="405" spans="25:25" s="28" customFormat="1" x14ac:dyDescent="0.25">
      <c r="Y405" s="24"/>
    </row>
    <row r="406" spans="25:25" s="28" customFormat="1" x14ac:dyDescent="0.25">
      <c r="Y406" s="24"/>
    </row>
    <row r="407" spans="25:25" s="28" customFormat="1" x14ac:dyDescent="0.25">
      <c r="Y407" s="24"/>
    </row>
    <row r="408" spans="25:25" s="28" customFormat="1" x14ac:dyDescent="0.25">
      <c r="Y408" s="24"/>
    </row>
    <row r="409" spans="25:25" s="28" customFormat="1" x14ac:dyDescent="0.25">
      <c r="Y409" s="24"/>
    </row>
    <row r="410" spans="25:25" s="28" customFormat="1" x14ac:dyDescent="0.25">
      <c r="Y410" s="24"/>
    </row>
    <row r="411" spans="25:25" s="28" customFormat="1" x14ac:dyDescent="0.25">
      <c r="Y411" s="24"/>
    </row>
    <row r="412" spans="25:25" s="28" customFormat="1" x14ac:dyDescent="0.25">
      <c r="Y412" s="24"/>
    </row>
    <row r="413" spans="25:25" s="28" customFormat="1" x14ac:dyDescent="0.25">
      <c r="Y413" s="24"/>
    </row>
    <row r="414" spans="25:25" s="28" customFormat="1" x14ac:dyDescent="0.25">
      <c r="Y414" s="24"/>
    </row>
    <row r="415" spans="25:25" s="28" customFormat="1" x14ac:dyDescent="0.25">
      <c r="Y415" s="24"/>
    </row>
    <row r="416" spans="25:25" s="28" customFormat="1" x14ac:dyDescent="0.25">
      <c r="Y416" s="24"/>
    </row>
    <row r="417" spans="25:25" s="28" customFormat="1" x14ac:dyDescent="0.25">
      <c r="Y417" s="24"/>
    </row>
    <row r="418" spans="25:25" s="28" customFormat="1" x14ac:dyDescent="0.25">
      <c r="Y418" s="24"/>
    </row>
    <row r="419" spans="25:25" s="28" customFormat="1" x14ac:dyDescent="0.25">
      <c r="Y419" s="24"/>
    </row>
    <row r="420" spans="25:25" s="28" customFormat="1" x14ac:dyDescent="0.25">
      <c r="Y420" s="24"/>
    </row>
    <row r="421" spans="25:25" s="28" customFormat="1" x14ac:dyDescent="0.25">
      <c r="Y421" s="24"/>
    </row>
    <row r="422" spans="25:25" s="28" customFormat="1" x14ac:dyDescent="0.25">
      <c r="Y422" s="24"/>
    </row>
    <row r="423" spans="25:25" s="28" customFormat="1" x14ac:dyDescent="0.25">
      <c r="Y423" s="24"/>
    </row>
    <row r="424" spans="25:25" s="28" customFormat="1" x14ac:dyDescent="0.25">
      <c r="Y424" s="24"/>
    </row>
    <row r="425" spans="25:25" s="28" customFormat="1" x14ac:dyDescent="0.25">
      <c r="Y425" s="24"/>
    </row>
    <row r="426" spans="25:25" s="28" customFormat="1" x14ac:dyDescent="0.25">
      <c r="Y426" s="24"/>
    </row>
    <row r="427" spans="25:25" s="28" customFormat="1" x14ac:dyDescent="0.25">
      <c r="Y427" s="24"/>
    </row>
    <row r="428" spans="25:25" s="28" customFormat="1" x14ac:dyDescent="0.25">
      <c r="Y428" s="24"/>
    </row>
    <row r="429" spans="25:25" s="28" customFormat="1" x14ac:dyDescent="0.25">
      <c r="Y429" s="24"/>
    </row>
    <row r="430" spans="25:25" s="28" customFormat="1" x14ac:dyDescent="0.25">
      <c r="Y430" s="24"/>
    </row>
    <row r="431" spans="25:25" s="28" customFormat="1" x14ac:dyDescent="0.25">
      <c r="Y431" s="24"/>
    </row>
    <row r="432" spans="25:25" s="28" customFormat="1" x14ac:dyDescent="0.25">
      <c r="Y432" s="24"/>
    </row>
    <row r="433" spans="25:25" s="28" customFormat="1" x14ac:dyDescent="0.25">
      <c r="Y433" s="24"/>
    </row>
    <row r="434" spans="25:25" s="28" customFormat="1" x14ac:dyDescent="0.25">
      <c r="Y434" s="24"/>
    </row>
    <row r="435" spans="25:25" s="28" customFormat="1" x14ac:dyDescent="0.25">
      <c r="Y435" s="24"/>
    </row>
    <row r="436" spans="25:25" s="28" customFormat="1" x14ac:dyDescent="0.25">
      <c r="Y436" s="24"/>
    </row>
    <row r="437" spans="25:25" s="28" customFormat="1" x14ac:dyDescent="0.25">
      <c r="Y437" s="24"/>
    </row>
    <row r="438" spans="25:25" s="28" customFormat="1" x14ac:dyDescent="0.25">
      <c r="Y438" s="24"/>
    </row>
    <row r="439" spans="25:25" s="28" customFormat="1" x14ac:dyDescent="0.25">
      <c r="Y439" s="24"/>
    </row>
    <row r="440" spans="25:25" s="28" customFormat="1" x14ac:dyDescent="0.25">
      <c r="Y440" s="24"/>
    </row>
    <row r="441" spans="25:25" s="28" customFormat="1" x14ac:dyDescent="0.25">
      <c r="Y441" s="24"/>
    </row>
    <row r="442" spans="25:25" s="28" customFormat="1" x14ac:dyDescent="0.25">
      <c r="Y442" s="24"/>
    </row>
    <row r="443" spans="25:25" s="28" customFormat="1" x14ac:dyDescent="0.25">
      <c r="Y443" s="24"/>
    </row>
    <row r="444" spans="25:25" s="28" customFormat="1" x14ac:dyDescent="0.25">
      <c r="Y444" s="24"/>
    </row>
    <row r="445" spans="25:25" s="28" customFormat="1" x14ac:dyDescent="0.25">
      <c r="Y445" s="24"/>
    </row>
    <row r="446" spans="25:25" s="28" customFormat="1" x14ac:dyDescent="0.25">
      <c r="Y446" s="24"/>
    </row>
    <row r="447" spans="25:25" s="28" customFormat="1" x14ac:dyDescent="0.25">
      <c r="Y447" s="24"/>
    </row>
    <row r="448" spans="25:25" s="28" customFormat="1" x14ac:dyDescent="0.25">
      <c r="Y448" s="24"/>
    </row>
    <row r="449" spans="25:25" s="28" customFormat="1" x14ac:dyDescent="0.25">
      <c r="Y449" s="24"/>
    </row>
    <row r="450" spans="25:25" s="28" customFormat="1" x14ac:dyDescent="0.25">
      <c r="Y450" s="24"/>
    </row>
    <row r="451" spans="25:25" s="28" customFormat="1" x14ac:dyDescent="0.25">
      <c r="Y451" s="24"/>
    </row>
    <row r="452" spans="25:25" s="28" customFormat="1" x14ac:dyDescent="0.25">
      <c r="Y452" s="24"/>
    </row>
    <row r="453" spans="25:25" s="28" customFormat="1" x14ac:dyDescent="0.25">
      <c r="Y453" s="24"/>
    </row>
    <row r="454" spans="25:25" s="28" customFormat="1" x14ac:dyDescent="0.25">
      <c r="Y454" s="24"/>
    </row>
    <row r="455" spans="25:25" s="28" customFormat="1" x14ac:dyDescent="0.25">
      <c r="Y455" s="24"/>
    </row>
    <row r="456" spans="25:25" s="28" customFormat="1" x14ac:dyDescent="0.25">
      <c r="Y456" s="24"/>
    </row>
    <row r="457" spans="25:25" s="28" customFormat="1" x14ac:dyDescent="0.25">
      <c r="Y457" s="24"/>
    </row>
    <row r="458" spans="25:25" s="28" customFormat="1" x14ac:dyDescent="0.25">
      <c r="Y458" s="24"/>
    </row>
    <row r="459" spans="25:25" s="28" customFormat="1" x14ac:dyDescent="0.25">
      <c r="Y459" s="24"/>
    </row>
    <row r="460" spans="25:25" s="28" customFormat="1" x14ac:dyDescent="0.25">
      <c r="Y460" s="24"/>
    </row>
    <row r="461" spans="25:25" s="28" customFormat="1" x14ac:dyDescent="0.25">
      <c r="Y461" s="24"/>
    </row>
    <row r="462" spans="25:25" s="28" customFormat="1" x14ac:dyDescent="0.25">
      <c r="Y462" s="24"/>
    </row>
    <row r="463" spans="25:25" s="28" customFormat="1" x14ac:dyDescent="0.25">
      <c r="Y463" s="24"/>
    </row>
    <row r="464" spans="25:25" s="28" customFormat="1" x14ac:dyDescent="0.25">
      <c r="Y464" s="24"/>
    </row>
    <row r="465" spans="25:25" s="28" customFormat="1" x14ac:dyDescent="0.25">
      <c r="Y465" s="24"/>
    </row>
    <row r="466" spans="25:25" s="28" customFormat="1" x14ac:dyDescent="0.25">
      <c r="Y466" s="24"/>
    </row>
    <row r="467" spans="25:25" s="28" customFormat="1" x14ac:dyDescent="0.25">
      <c r="Y467" s="24"/>
    </row>
    <row r="468" spans="25:25" s="28" customFormat="1" x14ac:dyDescent="0.25">
      <c r="Y468" s="24"/>
    </row>
    <row r="469" spans="25:25" s="28" customFormat="1" x14ac:dyDescent="0.25">
      <c r="Y469" s="24"/>
    </row>
    <row r="470" spans="25:25" s="28" customFormat="1" x14ac:dyDescent="0.25">
      <c r="Y470" s="24"/>
    </row>
    <row r="471" spans="25:25" s="28" customFormat="1" x14ac:dyDescent="0.25">
      <c r="Y471" s="24"/>
    </row>
    <row r="472" spans="25:25" s="28" customFormat="1" x14ac:dyDescent="0.25">
      <c r="Y472" s="24"/>
    </row>
    <row r="473" spans="25:25" s="28" customFormat="1" x14ac:dyDescent="0.25">
      <c r="Y473" s="24"/>
    </row>
    <row r="474" spans="25:25" s="28" customFormat="1" x14ac:dyDescent="0.25">
      <c r="Y474" s="24"/>
    </row>
    <row r="475" spans="25:25" s="28" customFormat="1" x14ac:dyDescent="0.25">
      <c r="Y475" s="24"/>
    </row>
    <row r="476" spans="25:25" s="28" customFormat="1" x14ac:dyDescent="0.25">
      <c r="Y476" s="24"/>
    </row>
    <row r="477" spans="25:25" s="28" customFormat="1" x14ac:dyDescent="0.25">
      <c r="Y477" s="24"/>
    </row>
    <row r="478" spans="25:25" s="28" customFormat="1" x14ac:dyDescent="0.25">
      <c r="Y478" s="24"/>
    </row>
    <row r="479" spans="25:25" s="28" customFormat="1" x14ac:dyDescent="0.25">
      <c r="Y479" s="24"/>
    </row>
    <row r="480" spans="25:25" s="28" customFormat="1" x14ac:dyDescent="0.25">
      <c r="Y480" s="24"/>
    </row>
    <row r="481" spans="25:25" s="28" customFormat="1" x14ac:dyDescent="0.25">
      <c r="Y481" s="24"/>
    </row>
    <row r="482" spans="25:25" s="28" customFormat="1" x14ac:dyDescent="0.25">
      <c r="Y482" s="24"/>
    </row>
    <row r="483" spans="25:25" s="28" customFormat="1" x14ac:dyDescent="0.25">
      <c r="Y483" s="24"/>
    </row>
    <row r="484" spans="25:25" s="28" customFormat="1" x14ac:dyDescent="0.25">
      <c r="Y484" s="24"/>
    </row>
    <row r="485" spans="25:25" s="28" customFormat="1" x14ac:dyDescent="0.25">
      <c r="Y485" s="24"/>
    </row>
    <row r="486" spans="25:25" s="28" customFormat="1" x14ac:dyDescent="0.25">
      <c r="Y486" s="24"/>
    </row>
    <row r="487" spans="25:25" s="28" customFormat="1" x14ac:dyDescent="0.25">
      <c r="Y487" s="24"/>
    </row>
    <row r="488" spans="25:25" s="28" customFormat="1" x14ac:dyDescent="0.25">
      <c r="Y488" s="24"/>
    </row>
    <row r="489" spans="25:25" s="28" customFormat="1" x14ac:dyDescent="0.25">
      <c r="Y489" s="24"/>
    </row>
    <row r="490" spans="25:25" s="28" customFormat="1" x14ac:dyDescent="0.25">
      <c r="Y490" s="24"/>
    </row>
    <row r="491" spans="25:25" s="28" customFormat="1" x14ac:dyDescent="0.25">
      <c r="Y491" s="24"/>
    </row>
    <row r="492" spans="25:25" s="28" customFormat="1" x14ac:dyDescent="0.25">
      <c r="Y492" s="24"/>
    </row>
    <row r="493" spans="25:25" s="28" customFormat="1" x14ac:dyDescent="0.25">
      <c r="Y493" s="24"/>
    </row>
    <row r="494" spans="25:25" s="28" customFormat="1" x14ac:dyDescent="0.25">
      <c r="Y494" s="24"/>
    </row>
    <row r="495" spans="25:25" s="28" customFormat="1" x14ac:dyDescent="0.25">
      <c r="Y495" s="24"/>
    </row>
    <row r="496" spans="25:25" s="28" customFormat="1" x14ac:dyDescent="0.25">
      <c r="Y496" s="24"/>
    </row>
    <row r="497" spans="25:25" s="28" customFormat="1" x14ac:dyDescent="0.25">
      <c r="Y497" s="24"/>
    </row>
    <row r="498" spans="25:25" s="28" customFormat="1" x14ac:dyDescent="0.25">
      <c r="Y498" s="24"/>
    </row>
    <row r="499" spans="25:25" s="28" customFormat="1" x14ac:dyDescent="0.25">
      <c r="Y499" s="24"/>
    </row>
    <row r="500" spans="25:25" s="28" customFormat="1" x14ac:dyDescent="0.25">
      <c r="Y500" s="24"/>
    </row>
    <row r="501" spans="25:25" s="28" customFormat="1" x14ac:dyDescent="0.25">
      <c r="Y501" s="24"/>
    </row>
    <row r="502" spans="25:25" s="28" customFormat="1" x14ac:dyDescent="0.25">
      <c r="Y502" s="24"/>
    </row>
    <row r="503" spans="25:25" s="28" customFormat="1" x14ac:dyDescent="0.25">
      <c r="Y503" s="24"/>
    </row>
    <row r="504" spans="25:25" s="28" customFormat="1" x14ac:dyDescent="0.25">
      <c r="Y504" s="24"/>
    </row>
    <row r="505" spans="25:25" s="28" customFormat="1" x14ac:dyDescent="0.25">
      <c r="Y505" s="24"/>
    </row>
    <row r="506" spans="25:25" s="28" customFormat="1" x14ac:dyDescent="0.25">
      <c r="Y506" s="24"/>
    </row>
    <row r="507" spans="25:25" s="28" customFormat="1" x14ac:dyDescent="0.25">
      <c r="Y507" s="24"/>
    </row>
    <row r="508" spans="25:25" s="28" customFormat="1" x14ac:dyDescent="0.25">
      <c r="Y508" s="24"/>
    </row>
    <row r="509" spans="25:25" s="28" customFormat="1" x14ac:dyDescent="0.25">
      <c r="Y509" s="24"/>
    </row>
    <row r="510" spans="25:25" s="28" customFormat="1" x14ac:dyDescent="0.25">
      <c r="Y510" s="24"/>
    </row>
    <row r="511" spans="25:25" s="28" customFormat="1" x14ac:dyDescent="0.25">
      <c r="Y511" s="24"/>
    </row>
    <row r="512" spans="25:25" s="28" customFormat="1" x14ac:dyDescent="0.25">
      <c r="Y512" s="24"/>
    </row>
    <row r="513" spans="25:25" s="28" customFormat="1" x14ac:dyDescent="0.25">
      <c r="Y513" s="24"/>
    </row>
    <row r="514" spans="25:25" s="28" customFormat="1" x14ac:dyDescent="0.25">
      <c r="Y514" s="24"/>
    </row>
    <row r="515" spans="25:25" s="28" customFormat="1" x14ac:dyDescent="0.25">
      <c r="Y515" s="24"/>
    </row>
    <row r="516" spans="25:25" s="28" customFormat="1" x14ac:dyDescent="0.25">
      <c r="Y516" s="24"/>
    </row>
    <row r="517" spans="25:25" s="28" customFormat="1" x14ac:dyDescent="0.25">
      <c r="Y517" s="24"/>
    </row>
    <row r="518" spans="25:25" s="28" customFormat="1" x14ac:dyDescent="0.25">
      <c r="Y518" s="24"/>
    </row>
    <row r="519" spans="25:25" s="28" customFormat="1" x14ac:dyDescent="0.25">
      <c r="Y519" s="24"/>
    </row>
    <row r="520" spans="25:25" s="28" customFormat="1" x14ac:dyDescent="0.25">
      <c r="Y520" s="24"/>
    </row>
    <row r="521" spans="25:25" s="28" customFormat="1" x14ac:dyDescent="0.25">
      <c r="Y521" s="24"/>
    </row>
    <row r="522" spans="25:25" s="28" customFormat="1" x14ac:dyDescent="0.25">
      <c r="Y522" s="24"/>
    </row>
    <row r="523" spans="25:25" s="28" customFormat="1" x14ac:dyDescent="0.25">
      <c r="Y523" s="24"/>
    </row>
    <row r="524" spans="25:25" s="28" customFormat="1" x14ac:dyDescent="0.25">
      <c r="Y524" s="24"/>
    </row>
    <row r="525" spans="25:25" s="28" customFormat="1" x14ac:dyDescent="0.25">
      <c r="Y525" s="24"/>
    </row>
    <row r="526" spans="25:25" s="28" customFormat="1" x14ac:dyDescent="0.25">
      <c r="Y526" s="24"/>
    </row>
    <row r="527" spans="25:25" s="28" customFormat="1" x14ac:dyDescent="0.25">
      <c r="Y527" s="24"/>
    </row>
    <row r="528" spans="25:25" s="28" customFormat="1" x14ac:dyDescent="0.25">
      <c r="Y528" s="24"/>
    </row>
    <row r="529" spans="25:25" s="28" customFormat="1" x14ac:dyDescent="0.25">
      <c r="Y529" s="24"/>
    </row>
    <row r="530" spans="25:25" s="28" customFormat="1" x14ac:dyDescent="0.25">
      <c r="Y530" s="24"/>
    </row>
    <row r="531" spans="25:25" s="28" customFormat="1" x14ac:dyDescent="0.25">
      <c r="Y531" s="24"/>
    </row>
    <row r="532" spans="25:25" s="28" customFormat="1" x14ac:dyDescent="0.25">
      <c r="Y532" s="24"/>
    </row>
    <row r="533" spans="25:25" s="28" customFormat="1" x14ac:dyDescent="0.25">
      <c r="Y533" s="24"/>
    </row>
    <row r="534" spans="25:25" s="28" customFormat="1" x14ac:dyDescent="0.25">
      <c r="Y534" s="24"/>
    </row>
    <row r="535" spans="25:25" s="28" customFormat="1" x14ac:dyDescent="0.25">
      <c r="Y535" s="24"/>
    </row>
    <row r="536" spans="25:25" s="28" customFormat="1" x14ac:dyDescent="0.25">
      <c r="Y536" s="24"/>
    </row>
    <row r="537" spans="25:25" s="28" customFormat="1" x14ac:dyDescent="0.25">
      <c r="Y537" s="24"/>
    </row>
    <row r="538" spans="25:25" s="28" customFormat="1" x14ac:dyDescent="0.25">
      <c r="Y538" s="24"/>
    </row>
    <row r="539" spans="25:25" s="28" customFormat="1" x14ac:dyDescent="0.25">
      <c r="Y539" s="24"/>
    </row>
    <row r="540" spans="25:25" s="28" customFormat="1" x14ac:dyDescent="0.25">
      <c r="Y540" s="24"/>
    </row>
    <row r="541" spans="25:25" s="28" customFormat="1" x14ac:dyDescent="0.25">
      <c r="Y541" s="24"/>
    </row>
    <row r="542" spans="25:25" s="28" customFormat="1" x14ac:dyDescent="0.25">
      <c r="Y542" s="24"/>
    </row>
    <row r="543" spans="25:25" s="28" customFormat="1" x14ac:dyDescent="0.25">
      <c r="Y543" s="24"/>
    </row>
    <row r="544" spans="25:25" s="28" customFormat="1" x14ac:dyDescent="0.25">
      <c r="Y544" s="24"/>
    </row>
    <row r="545" spans="25:25" s="28" customFormat="1" x14ac:dyDescent="0.25">
      <c r="Y545" s="24"/>
    </row>
    <row r="546" spans="25:25" s="28" customFormat="1" x14ac:dyDescent="0.25">
      <c r="Y546" s="24"/>
    </row>
    <row r="547" spans="25:25" s="28" customFormat="1" x14ac:dyDescent="0.25">
      <c r="Y547" s="24"/>
    </row>
    <row r="548" spans="25:25" s="28" customFormat="1" x14ac:dyDescent="0.25">
      <c r="Y548" s="24"/>
    </row>
    <row r="549" spans="25:25" s="28" customFormat="1" x14ac:dyDescent="0.25">
      <c r="Y549" s="24"/>
    </row>
    <row r="550" spans="25:25" s="28" customFormat="1" x14ac:dyDescent="0.25">
      <c r="Y550" s="24"/>
    </row>
    <row r="551" spans="25:25" s="28" customFormat="1" x14ac:dyDescent="0.25">
      <c r="Y551" s="24"/>
    </row>
    <row r="552" spans="25:25" s="28" customFormat="1" x14ac:dyDescent="0.25">
      <c r="Y552" s="24"/>
    </row>
    <row r="553" spans="25:25" s="28" customFormat="1" x14ac:dyDescent="0.25">
      <c r="Y553" s="24"/>
    </row>
    <row r="554" spans="25:25" s="28" customFormat="1" x14ac:dyDescent="0.25">
      <c r="Y554" s="24"/>
    </row>
    <row r="555" spans="25:25" s="28" customFormat="1" x14ac:dyDescent="0.25">
      <c r="Y555" s="24"/>
    </row>
    <row r="556" spans="25:25" s="28" customFormat="1" x14ac:dyDescent="0.25">
      <c r="Y556" s="24"/>
    </row>
    <row r="557" spans="25:25" s="28" customFormat="1" x14ac:dyDescent="0.25">
      <c r="Y557" s="24"/>
    </row>
    <row r="558" spans="25:25" s="28" customFormat="1" x14ac:dyDescent="0.25">
      <c r="Y558" s="24"/>
    </row>
    <row r="559" spans="25:25" s="28" customFormat="1" x14ac:dyDescent="0.25">
      <c r="Y559" s="24"/>
    </row>
    <row r="560" spans="25:25" s="28" customFormat="1" x14ac:dyDescent="0.25">
      <c r="Y560" s="24"/>
    </row>
    <row r="561" spans="25:25" s="28" customFormat="1" x14ac:dyDescent="0.25">
      <c r="Y561" s="24"/>
    </row>
    <row r="562" spans="25:25" s="28" customFormat="1" x14ac:dyDescent="0.25">
      <c r="Y562" s="24"/>
    </row>
    <row r="563" spans="25:25" s="28" customFormat="1" x14ac:dyDescent="0.25">
      <c r="Y563" s="24"/>
    </row>
    <row r="564" spans="25:25" s="28" customFormat="1" x14ac:dyDescent="0.25">
      <c r="Y564" s="24"/>
    </row>
    <row r="565" spans="25:25" s="28" customFormat="1" x14ac:dyDescent="0.25">
      <c r="Y565" s="24"/>
    </row>
    <row r="566" spans="25:25" s="28" customFormat="1" x14ac:dyDescent="0.25">
      <c r="Y566" s="24"/>
    </row>
    <row r="567" spans="25:25" s="28" customFormat="1" x14ac:dyDescent="0.25">
      <c r="Y567" s="24"/>
    </row>
    <row r="568" spans="25:25" s="28" customFormat="1" x14ac:dyDescent="0.25">
      <c r="Y568" s="24"/>
    </row>
    <row r="569" spans="25:25" s="28" customFormat="1" x14ac:dyDescent="0.25">
      <c r="Y569" s="24"/>
    </row>
    <row r="570" spans="25:25" s="28" customFormat="1" x14ac:dyDescent="0.25">
      <c r="Y570" s="24"/>
    </row>
    <row r="571" spans="25:25" s="28" customFormat="1" x14ac:dyDescent="0.25">
      <c r="Y571" s="24"/>
    </row>
    <row r="572" spans="25:25" s="28" customFormat="1" x14ac:dyDescent="0.25">
      <c r="Y572" s="24"/>
    </row>
    <row r="573" spans="25:25" s="28" customFormat="1" x14ac:dyDescent="0.25">
      <c r="Y573" s="24"/>
    </row>
    <row r="574" spans="25:25" s="28" customFormat="1" x14ac:dyDescent="0.25">
      <c r="Y574" s="24"/>
    </row>
    <row r="575" spans="25:25" s="28" customFormat="1" x14ac:dyDescent="0.25">
      <c r="Y575" s="24"/>
    </row>
    <row r="576" spans="25:25" s="28" customFormat="1" x14ac:dyDescent="0.25">
      <c r="Y576" s="24"/>
    </row>
    <row r="577" spans="25:25" s="28" customFormat="1" x14ac:dyDescent="0.25">
      <c r="Y577" s="24"/>
    </row>
    <row r="578" spans="25:25" s="28" customFormat="1" x14ac:dyDescent="0.25">
      <c r="Y578" s="24"/>
    </row>
    <row r="579" spans="25:25" s="28" customFormat="1" x14ac:dyDescent="0.25">
      <c r="Y579" s="24"/>
    </row>
    <row r="580" spans="25:25" s="28" customFormat="1" x14ac:dyDescent="0.25">
      <c r="Y580" s="24"/>
    </row>
    <row r="581" spans="25:25" s="28" customFormat="1" x14ac:dyDescent="0.25">
      <c r="Y581" s="24"/>
    </row>
    <row r="582" spans="25:25" s="28" customFormat="1" x14ac:dyDescent="0.25">
      <c r="Y582" s="24"/>
    </row>
    <row r="583" spans="25:25" s="28" customFormat="1" x14ac:dyDescent="0.25">
      <c r="Y583" s="24"/>
    </row>
    <row r="584" spans="25:25" s="28" customFormat="1" x14ac:dyDescent="0.25">
      <c r="Y584" s="24"/>
    </row>
    <row r="585" spans="25:25" s="28" customFormat="1" x14ac:dyDescent="0.25">
      <c r="Y585" s="24"/>
    </row>
    <row r="586" spans="25:25" s="28" customFormat="1" x14ac:dyDescent="0.25">
      <c r="Y586" s="24"/>
    </row>
    <row r="587" spans="25:25" s="28" customFormat="1" x14ac:dyDescent="0.25">
      <c r="Y587" s="24"/>
    </row>
    <row r="588" spans="25:25" s="28" customFormat="1" x14ac:dyDescent="0.25">
      <c r="Y588" s="24"/>
    </row>
    <row r="589" spans="25:25" s="28" customFormat="1" x14ac:dyDescent="0.25">
      <c r="Y589" s="24"/>
    </row>
    <row r="590" spans="25:25" s="28" customFormat="1" x14ac:dyDescent="0.25">
      <c r="Y590" s="24"/>
    </row>
    <row r="591" spans="25:25" s="28" customFormat="1" x14ac:dyDescent="0.25">
      <c r="Y591" s="24"/>
    </row>
    <row r="592" spans="25:25" s="28" customFormat="1" x14ac:dyDescent="0.25">
      <c r="Y592" s="24"/>
    </row>
    <row r="593" spans="20:25" s="28" customFormat="1" x14ac:dyDescent="0.25">
      <c r="Y593" s="24"/>
    </row>
    <row r="594" spans="20:25" s="28" customFormat="1" x14ac:dyDescent="0.25">
      <c r="Y594" s="24"/>
    </row>
    <row r="595" spans="20:25" s="28" customFormat="1" x14ac:dyDescent="0.25">
      <c r="Y595" s="24"/>
    </row>
    <row r="596" spans="20:25" s="28" customFormat="1" x14ac:dyDescent="0.25">
      <c r="Y596" s="24"/>
    </row>
    <row r="597" spans="20:25" s="28" customFormat="1" x14ac:dyDescent="0.25">
      <c r="Y597" s="24"/>
    </row>
    <row r="598" spans="20:25" s="28" customFormat="1" x14ac:dyDescent="0.25">
      <c r="Y598" s="24"/>
    </row>
    <row r="599" spans="20:25" s="28" customFormat="1" x14ac:dyDescent="0.25">
      <c r="Y599" s="24"/>
    </row>
    <row r="600" spans="20:25" s="28" customFormat="1" x14ac:dyDescent="0.25">
      <c r="T600" s="28" t="b">
        <f>IF(R1608="Display","",IF(U599,F1607,IF(V599,F1607,IF(W599,F1607))))</f>
        <v>0</v>
      </c>
      <c r="Y600" s="24"/>
    </row>
    <row r="601" spans="20:25" s="28" customFormat="1" x14ac:dyDescent="0.25">
      <c r="Y601" s="24"/>
    </row>
    <row r="602" spans="20:25" s="28" customFormat="1" x14ac:dyDescent="0.25">
      <c r="Y602" s="24"/>
    </row>
    <row r="603" spans="20:25" s="28" customFormat="1" x14ac:dyDescent="0.25">
      <c r="Y603" s="24"/>
    </row>
    <row r="604" spans="20:25" s="28" customFormat="1" x14ac:dyDescent="0.25">
      <c r="Y604" s="24"/>
    </row>
    <row r="605" spans="20:25" s="28" customFormat="1" x14ac:dyDescent="0.25">
      <c r="Y605" s="24"/>
    </row>
    <row r="606" spans="20:25" s="28" customFormat="1" x14ac:dyDescent="0.25">
      <c r="Y606" s="24"/>
    </row>
    <row r="607" spans="20:25" s="28" customFormat="1" x14ac:dyDescent="0.25">
      <c r="Y607" s="24"/>
    </row>
    <row r="608" spans="20:25" s="28" customFormat="1" x14ac:dyDescent="0.25">
      <c r="Y608" s="24"/>
    </row>
    <row r="609" spans="25:25" s="28" customFormat="1" x14ac:dyDescent="0.25">
      <c r="Y609" s="24"/>
    </row>
    <row r="610" spans="25:25" s="28" customFormat="1" x14ac:dyDescent="0.25">
      <c r="Y610" s="24"/>
    </row>
    <row r="611" spans="25:25" s="28" customFormat="1" x14ac:dyDescent="0.25">
      <c r="Y611" s="24"/>
    </row>
    <row r="612" spans="25:25" s="28" customFormat="1" x14ac:dyDescent="0.25">
      <c r="Y612" s="24"/>
    </row>
    <row r="613" spans="25:25" s="28" customFormat="1" x14ac:dyDescent="0.25">
      <c r="Y613" s="24"/>
    </row>
    <row r="614" spans="25:25" s="28" customFormat="1" x14ac:dyDescent="0.25">
      <c r="Y614" s="24"/>
    </row>
    <row r="615" spans="25:25" s="28" customFormat="1" x14ac:dyDescent="0.25">
      <c r="Y615" s="24"/>
    </row>
    <row r="616" spans="25:25" s="28" customFormat="1" x14ac:dyDescent="0.25">
      <c r="Y616" s="24"/>
    </row>
    <row r="617" spans="25:25" s="28" customFormat="1" x14ac:dyDescent="0.25">
      <c r="Y617" s="24"/>
    </row>
    <row r="618" spans="25:25" s="28" customFormat="1" x14ac:dyDescent="0.25">
      <c r="Y618" s="24"/>
    </row>
    <row r="619" spans="25:25" s="28" customFormat="1" x14ac:dyDescent="0.25">
      <c r="Y619" s="24"/>
    </row>
    <row r="620" spans="25:25" s="28" customFormat="1" x14ac:dyDescent="0.25">
      <c r="Y620" s="24"/>
    </row>
    <row r="621" spans="25:25" s="28" customFormat="1" x14ac:dyDescent="0.25">
      <c r="Y621" s="24"/>
    </row>
    <row r="622" spans="25:25" s="28" customFormat="1" x14ac:dyDescent="0.25">
      <c r="Y622" s="24"/>
    </row>
    <row r="623" spans="25:25" s="28" customFormat="1" x14ac:dyDescent="0.25">
      <c r="Y623" s="24"/>
    </row>
    <row r="624" spans="25:25" s="28" customFormat="1" x14ac:dyDescent="0.25">
      <c r="Y624" s="24"/>
    </row>
    <row r="625" spans="25:25" s="28" customFormat="1" x14ac:dyDescent="0.25">
      <c r="Y625" s="24"/>
    </row>
    <row r="626" spans="25:25" s="28" customFormat="1" x14ac:dyDescent="0.25">
      <c r="Y626" s="24"/>
    </row>
    <row r="627" spans="25:25" s="28" customFormat="1" x14ac:dyDescent="0.25">
      <c r="Y627" s="24"/>
    </row>
    <row r="628" spans="25:25" s="28" customFormat="1" x14ac:dyDescent="0.25">
      <c r="Y628" s="24"/>
    </row>
    <row r="629" spans="25:25" s="28" customFormat="1" x14ac:dyDescent="0.25">
      <c r="Y629" s="24"/>
    </row>
    <row r="630" spans="25:25" s="28" customFormat="1" x14ac:dyDescent="0.25">
      <c r="Y630" s="24"/>
    </row>
    <row r="631" spans="25:25" s="28" customFormat="1" x14ac:dyDescent="0.25">
      <c r="Y631" s="24"/>
    </row>
    <row r="632" spans="25:25" s="28" customFormat="1" x14ac:dyDescent="0.25">
      <c r="Y632" s="24"/>
    </row>
    <row r="633" spans="25:25" s="28" customFormat="1" x14ac:dyDescent="0.25">
      <c r="Y633" s="24"/>
    </row>
    <row r="634" spans="25:25" s="28" customFormat="1" x14ac:dyDescent="0.25">
      <c r="Y634" s="24"/>
    </row>
    <row r="635" spans="25:25" s="28" customFormat="1" x14ac:dyDescent="0.25">
      <c r="Y635" s="24"/>
    </row>
    <row r="636" spans="25:25" s="28" customFormat="1" x14ac:dyDescent="0.25">
      <c r="Y636" s="24"/>
    </row>
    <row r="637" spans="25:25" s="28" customFormat="1" x14ac:dyDescent="0.25">
      <c r="Y637" s="24"/>
    </row>
    <row r="638" spans="25:25" s="28" customFormat="1" x14ac:dyDescent="0.25">
      <c r="Y638" s="24"/>
    </row>
    <row r="639" spans="25:25" s="28" customFormat="1" x14ac:dyDescent="0.25">
      <c r="Y639" s="24"/>
    </row>
    <row r="640" spans="25:25" s="28" customFormat="1" x14ac:dyDescent="0.25">
      <c r="Y640" s="24"/>
    </row>
    <row r="641" spans="25:25" s="28" customFormat="1" x14ac:dyDescent="0.25">
      <c r="Y641" s="24"/>
    </row>
    <row r="642" spans="25:25" s="28" customFormat="1" x14ac:dyDescent="0.25">
      <c r="Y642" s="24"/>
    </row>
    <row r="643" spans="25:25" s="28" customFormat="1" x14ac:dyDescent="0.25">
      <c r="Y643" s="24"/>
    </row>
    <row r="644" spans="25:25" s="28" customFormat="1" x14ac:dyDescent="0.25">
      <c r="Y644" s="24"/>
    </row>
    <row r="645" spans="25:25" s="28" customFormat="1" x14ac:dyDescent="0.25">
      <c r="Y645" s="24"/>
    </row>
    <row r="646" spans="25:25" s="28" customFormat="1" x14ac:dyDescent="0.25">
      <c r="Y646" s="24"/>
    </row>
    <row r="647" spans="25:25" s="28" customFormat="1" x14ac:dyDescent="0.25">
      <c r="Y647" s="24"/>
    </row>
    <row r="648" spans="25:25" s="28" customFormat="1" x14ac:dyDescent="0.25">
      <c r="Y648" s="24"/>
    </row>
    <row r="649" spans="25:25" s="28" customFormat="1" x14ac:dyDescent="0.25">
      <c r="Y649" s="24"/>
    </row>
    <row r="650" spans="25:25" s="28" customFormat="1" x14ac:dyDescent="0.25">
      <c r="Y650" s="24"/>
    </row>
    <row r="651" spans="25:25" s="28" customFormat="1" x14ac:dyDescent="0.25">
      <c r="Y651" s="24"/>
    </row>
    <row r="652" spans="25:25" s="28" customFormat="1" x14ac:dyDescent="0.25">
      <c r="Y652" s="24"/>
    </row>
    <row r="653" spans="25:25" s="28" customFormat="1" x14ac:dyDescent="0.25">
      <c r="Y653" s="24"/>
    </row>
    <row r="654" spans="25:25" s="28" customFormat="1" x14ac:dyDescent="0.25">
      <c r="Y654" s="24"/>
    </row>
    <row r="655" spans="25:25" s="28" customFormat="1" x14ac:dyDescent="0.25">
      <c r="Y655" s="24"/>
    </row>
    <row r="656" spans="25:25" s="28" customFormat="1" x14ac:dyDescent="0.25">
      <c r="Y656" s="24"/>
    </row>
    <row r="657" spans="25:25" s="28" customFormat="1" x14ac:dyDescent="0.25">
      <c r="Y657" s="24"/>
    </row>
    <row r="658" spans="25:25" s="28" customFormat="1" x14ac:dyDescent="0.25">
      <c r="Y658" s="24"/>
    </row>
    <row r="659" spans="25:25" s="28" customFormat="1" x14ac:dyDescent="0.25">
      <c r="Y659" s="24"/>
    </row>
    <row r="660" spans="25:25" s="28" customFormat="1" x14ac:dyDescent="0.25">
      <c r="Y660" s="24"/>
    </row>
    <row r="661" spans="25:25" s="28" customFormat="1" x14ac:dyDescent="0.25">
      <c r="Y661" s="24"/>
    </row>
    <row r="662" spans="25:25" s="28" customFormat="1" x14ac:dyDescent="0.25">
      <c r="Y662" s="24"/>
    </row>
    <row r="663" spans="25:25" s="28" customFormat="1" x14ac:dyDescent="0.25">
      <c r="Y663" s="24"/>
    </row>
    <row r="664" spans="25:25" s="28" customFormat="1" x14ac:dyDescent="0.25">
      <c r="Y664" s="24"/>
    </row>
    <row r="665" spans="25:25" s="28" customFormat="1" x14ac:dyDescent="0.25">
      <c r="Y665" s="24"/>
    </row>
    <row r="666" spans="25:25" s="28" customFormat="1" x14ac:dyDescent="0.25">
      <c r="Y666" s="24"/>
    </row>
    <row r="667" spans="25:25" s="28" customFormat="1" x14ac:dyDescent="0.25">
      <c r="Y667" s="24"/>
    </row>
    <row r="668" spans="25:25" s="28" customFormat="1" x14ac:dyDescent="0.25">
      <c r="Y668" s="24"/>
    </row>
    <row r="669" spans="25:25" s="28" customFormat="1" x14ac:dyDescent="0.25">
      <c r="Y669" s="24"/>
    </row>
    <row r="670" spans="25:25" s="28" customFormat="1" x14ac:dyDescent="0.25">
      <c r="Y670" s="24"/>
    </row>
    <row r="671" spans="25:25" s="28" customFormat="1" x14ac:dyDescent="0.25">
      <c r="Y671" s="24"/>
    </row>
    <row r="672" spans="25:25" s="28" customFormat="1" x14ac:dyDescent="0.25">
      <c r="Y672" s="24"/>
    </row>
    <row r="673" spans="1:18" x14ac:dyDescent="0.25">
      <c r="A673" s="63"/>
      <c r="B673" s="64"/>
      <c r="C673" s="64"/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28"/>
    </row>
    <row r="674" spans="1:18" x14ac:dyDescent="0.25">
      <c r="A674" s="63"/>
      <c r="B674" s="64"/>
      <c r="C674" s="64"/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28"/>
    </row>
    <row r="675" spans="1:18" x14ac:dyDescent="0.25">
      <c r="A675" s="63"/>
      <c r="B675" s="64"/>
      <c r="C675" s="64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28"/>
    </row>
    <row r="676" spans="1:18" x14ac:dyDescent="0.25">
      <c r="A676" s="63"/>
      <c r="B676" s="64"/>
      <c r="C676" s="64"/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28"/>
    </row>
    <row r="677" spans="1:18" x14ac:dyDescent="0.25">
      <c r="A677" s="63"/>
      <c r="B677" s="64"/>
      <c r="C677" s="64"/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28"/>
    </row>
    <row r="678" spans="1:18" x14ac:dyDescent="0.25">
      <c r="A678" s="63"/>
      <c r="B678" s="64"/>
      <c r="C678" s="64"/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28"/>
    </row>
    <row r="679" spans="1:18" x14ac:dyDescent="0.25">
      <c r="A679" s="63"/>
      <c r="B679" s="64"/>
      <c r="C679" s="64"/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28"/>
    </row>
    <row r="680" spans="1:18" x14ac:dyDescent="0.25">
      <c r="A680" s="63"/>
      <c r="B680" s="64"/>
      <c r="C680" s="64"/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28"/>
    </row>
    <row r="681" spans="1:18" x14ac:dyDescent="0.25">
      <c r="A681" s="63"/>
      <c r="B681" s="64"/>
      <c r="C681" s="64"/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28"/>
    </row>
    <row r="682" spans="1:18" x14ac:dyDescent="0.25">
      <c r="A682" s="63"/>
      <c r="B682" s="64"/>
      <c r="C682" s="64"/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28"/>
    </row>
    <row r="683" spans="1:18" x14ac:dyDescent="0.25">
      <c r="A683" s="63"/>
      <c r="B683" s="64"/>
      <c r="C683" s="64"/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28"/>
    </row>
    <row r="684" spans="1:18" x14ac:dyDescent="0.25">
      <c r="A684" s="63"/>
      <c r="B684" s="64"/>
      <c r="C684" s="64"/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28"/>
    </row>
    <row r="685" spans="1:18" x14ac:dyDescent="0.25">
      <c r="A685" s="63"/>
      <c r="B685" s="64"/>
      <c r="C685" s="64"/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28"/>
    </row>
    <row r="686" spans="1:18" x14ac:dyDescent="0.25">
      <c r="A686" s="63"/>
      <c r="B686" s="64"/>
      <c r="C686" s="64"/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28"/>
    </row>
    <row r="687" spans="1:18" x14ac:dyDescent="0.25">
      <c r="A687" s="63"/>
      <c r="B687" s="64"/>
      <c r="C687" s="64"/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28"/>
    </row>
    <row r="688" spans="1:18" x14ac:dyDescent="0.25">
      <c r="A688" s="63"/>
      <c r="B688" s="64"/>
      <c r="C688" s="64"/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28"/>
    </row>
    <row r="689" spans="1:18" x14ac:dyDescent="0.25">
      <c r="A689" s="63"/>
      <c r="B689" s="64"/>
      <c r="C689" s="64"/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28"/>
    </row>
    <row r="690" spans="1:18" x14ac:dyDescent="0.25">
      <c r="A690" s="63"/>
      <c r="B690" s="64"/>
      <c r="C690" s="64"/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28"/>
    </row>
    <row r="691" spans="1:18" x14ac:dyDescent="0.25">
      <c r="A691" s="63"/>
      <c r="B691" s="64"/>
      <c r="C691" s="64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28"/>
    </row>
    <row r="692" spans="1:18" x14ac:dyDescent="0.25">
      <c r="A692" s="63"/>
      <c r="B692" s="64"/>
      <c r="C692" s="64"/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28"/>
    </row>
    <row r="693" spans="1:18" x14ac:dyDescent="0.25">
      <c r="A693" s="63"/>
      <c r="B693" s="64"/>
      <c r="C693" s="64"/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28"/>
    </row>
    <row r="694" spans="1:18" x14ac:dyDescent="0.25">
      <c r="A694" s="63"/>
      <c r="B694" s="64"/>
      <c r="C694" s="64"/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28"/>
    </row>
    <row r="695" spans="1:18" x14ac:dyDescent="0.25">
      <c r="A695" s="63"/>
      <c r="B695" s="64"/>
      <c r="C695" s="64"/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28"/>
    </row>
    <row r="696" spans="1:18" x14ac:dyDescent="0.25">
      <c r="A696" s="63"/>
      <c r="B696" s="64"/>
      <c r="C696" s="64"/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28"/>
    </row>
    <row r="697" spans="1:18" x14ac:dyDescent="0.25">
      <c r="A697" s="63"/>
      <c r="B697" s="64"/>
      <c r="C697" s="64"/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28"/>
    </row>
    <row r="698" spans="1:18" x14ac:dyDescent="0.25">
      <c r="A698" s="63"/>
      <c r="B698" s="64"/>
      <c r="C698" s="64"/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28"/>
    </row>
    <row r="699" spans="1:18" x14ac:dyDescent="0.25">
      <c r="A699" s="63"/>
      <c r="B699" s="64"/>
      <c r="C699" s="64"/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28"/>
    </row>
    <row r="700" spans="1:18" x14ac:dyDescent="0.25">
      <c r="A700" s="63"/>
      <c r="B700" s="64"/>
      <c r="C700" s="64"/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28"/>
    </row>
    <row r="701" spans="1:18" x14ac:dyDescent="0.25">
      <c r="A701" s="63"/>
      <c r="B701" s="64"/>
      <c r="C701" s="64"/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28"/>
    </row>
    <row r="702" spans="1:18" x14ac:dyDescent="0.25">
      <c r="A702" s="63"/>
      <c r="B702" s="64"/>
      <c r="C702" s="64"/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28"/>
    </row>
    <row r="703" spans="1:18" x14ac:dyDescent="0.25">
      <c r="A703" s="63"/>
      <c r="B703" s="64"/>
      <c r="C703" s="64"/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28"/>
    </row>
    <row r="704" spans="1:18" x14ac:dyDescent="0.25">
      <c r="A704" s="63"/>
      <c r="B704" s="64"/>
      <c r="C704" s="64"/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28"/>
    </row>
    <row r="705" spans="1:18" x14ac:dyDescent="0.25">
      <c r="A705" s="63"/>
      <c r="B705" s="64"/>
      <c r="C705" s="64"/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28"/>
    </row>
    <row r="706" spans="1:18" x14ac:dyDescent="0.25">
      <c r="A706" s="63"/>
      <c r="B706" s="64"/>
      <c r="C706" s="64"/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28"/>
    </row>
    <row r="707" spans="1:18" x14ac:dyDescent="0.25">
      <c r="A707" s="63"/>
      <c r="B707" s="64"/>
      <c r="C707" s="64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28"/>
    </row>
    <row r="708" spans="1:18" x14ac:dyDescent="0.25">
      <c r="A708" s="63"/>
      <c r="B708" s="64"/>
      <c r="C708" s="64"/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28"/>
    </row>
    <row r="709" spans="1:18" x14ac:dyDescent="0.25">
      <c r="A709" s="63"/>
      <c r="B709" s="64"/>
      <c r="C709" s="64"/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28"/>
    </row>
    <row r="710" spans="1:18" x14ac:dyDescent="0.25">
      <c r="A710" s="63"/>
      <c r="B710" s="64"/>
      <c r="C710" s="64"/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28"/>
    </row>
    <row r="711" spans="1:18" x14ac:dyDescent="0.25">
      <c r="A711" s="63"/>
      <c r="B711" s="64"/>
      <c r="C711" s="64"/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28"/>
    </row>
    <row r="712" spans="1:18" x14ac:dyDescent="0.25">
      <c r="A712" s="63"/>
      <c r="B712" s="64"/>
      <c r="C712" s="64"/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28"/>
    </row>
    <row r="713" spans="1:18" x14ac:dyDescent="0.25">
      <c r="A713" s="63"/>
      <c r="B713" s="64"/>
      <c r="C713" s="64"/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28"/>
    </row>
    <row r="714" spans="1:18" x14ac:dyDescent="0.25">
      <c r="A714" s="63"/>
      <c r="B714" s="64"/>
      <c r="C714" s="64"/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28"/>
    </row>
    <row r="715" spans="1:18" x14ac:dyDescent="0.25">
      <c r="A715" s="63"/>
      <c r="B715" s="64"/>
      <c r="C715" s="64"/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28"/>
    </row>
    <row r="716" spans="1:18" x14ac:dyDescent="0.25">
      <c r="A716" s="63"/>
      <c r="B716" s="64"/>
      <c r="C716" s="64"/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28"/>
    </row>
    <row r="717" spans="1:18" x14ac:dyDescent="0.25">
      <c r="A717" s="63"/>
      <c r="B717" s="64"/>
      <c r="C717" s="64"/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28"/>
    </row>
    <row r="718" spans="1:18" x14ac:dyDescent="0.25">
      <c r="A718" s="63"/>
      <c r="B718" s="64"/>
      <c r="C718" s="64"/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28"/>
    </row>
    <row r="719" spans="1:18" x14ac:dyDescent="0.25">
      <c r="A719" s="63"/>
      <c r="B719" s="64"/>
      <c r="C719" s="64"/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28"/>
    </row>
    <row r="720" spans="1:18" x14ac:dyDescent="0.25">
      <c r="A720" s="63"/>
      <c r="B720" s="64"/>
      <c r="C720" s="64"/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28"/>
    </row>
    <row r="721" spans="1:18" x14ac:dyDescent="0.25">
      <c r="A721" s="63"/>
      <c r="B721" s="64"/>
      <c r="C721" s="64"/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28"/>
    </row>
    <row r="722" spans="1:18" x14ac:dyDescent="0.25">
      <c r="A722" s="63"/>
      <c r="B722" s="64"/>
      <c r="C722" s="64"/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28"/>
    </row>
    <row r="723" spans="1:18" x14ac:dyDescent="0.25">
      <c r="A723" s="63"/>
      <c r="B723" s="64"/>
      <c r="C723" s="64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28"/>
    </row>
    <row r="724" spans="1:18" x14ac:dyDescent="0.25">
      <c r="A724" s="63"/>
      <c r="B724" s="64"/>
      <c r="C724" s="64"/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28"/>
    </row>
    <row r="725" spans="1:18" x14ac:dyDescent="0.25">
      <c r="A725" s="63"/>
      <c r="B725" s="64"/>
      <c r="C725" s="64"/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28"/>
    </row>
    <row r="726" spans="1:18" x14ac:dyDescent="0.25">
      <c r="A726" s="63"/>
      <c r="B726" s="64"/>
      <c r="C726" s="64"/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28"/>
    </row>
    <row r="727" spans="1:18" x14ac:dyDescent="0.25">
      <c r="A727" s="63"/>
      <c r="B727" s="64"/>
      <c r="C727" s="64"/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28"/>
    </row>
    <row r="728" spans="1:18" x14ac:dyDescent="0.25">
      <c r="A728" s="63"/>
      <c r="B728" s="64"/>
      <c r="C728" s="64"/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28"/>
    </row>
    <row r="729" spans="1:18" x14ac:dyDescent="0.25">
      <c r="A729" s="63"/>
      <c r="B729" s="64"/>
      <c r="C729" s="64"/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28"/>
    </row>
    <row r="730" spans="1:18" x14ac:dyDescent="0.25">
      <c r="A730" s="63"/>
      <c r="B730" s="64"/>
      <c r="C730" s="64"/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28"/>
    </row>
    <row r="731" spans="1:18" x14ac:dyDescent="0.25">
      <c r="A731" s="63"/>
      <c r="B731" s="64"/>
      <c r="C731" s="64"/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28"/>
    </row>
    <row r="732" spans="1:18" x14ac:dyDescent="0.25">
      <c r="A732" s="63"/>
      <c r="B732" s="64"/>
      <c r="C732" s="64"/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28"/>
    </row>
    <row r="733" spans="1:18" x14ac:dyDescent="0.25">
      <c r="A733" s="63"/>
      <c r="B733" s="64"/>
      <c r="C733" s="64"/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28"/>
    </row>
    <row r="734" spans="1:18" x14ac:dyDescent="0.25">
      <c r="A734" s="63"/>
      <c r="B734" s="64"/>
      <c r="C734" s="64"/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28"/>
    </row>
    <row r="735" spans="1:18" x14ac:dyDescent="0.25">
      <c r="A735" s="63"/>
      <c r="B735" s="64"/>
      <c r="C735" s="64"/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28"/>
    </row>
    <row r="736" spans="1:18" x14ac:dyDescent="0.25">
      <c r="A736" s="63"/>
      <c r="B736" s="64"/>
      <c r="C736" s="64"/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28"/>
    </row>
    <row r="737" spans="1:18" x14ac:dyDescent="0.25">
      <c r="A737" s="63"/>
      <c r="B737" s="64"/>
      <c r="C737" s="64"/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28"/>
    </row>
    <row r="738" spans="1:18" x14ac:dyDescent="0.25">
      <c r="A738" s="63"/>
      <c r="B738" s="64"/>
      <c r="C738" s="64"/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28"/>
    </row>
    <row r="739" spans="1:18" x14ac:dyDescent="0.25">
      <c r="A739" s="63"/>
      <c r="B739" s="64"/>
      <c r="C739" s="64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28"/>
    </row>
    <row r="740" spans="1:18" x14ac:dyDescent="0.25">
      <c r="A740" s="63"/>
      <c r="B740" s="64"/>
      <c r="C740" s="64"/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28"/>
    </row>
    <row r="741" spans="1:18" x14ac:dyDescent="0.25">
      <c r="A741" s="63"/>
      <c r="B741" s="64"/>
      <c r="C741" s="64"/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28"/>
    </row>
    <row r="742" spans="1:18" x14ac:dyDescent="0.25">
      <c r="A742" s="63"/>
      <c r="B742" s="64"/>
      <c r="C742" s="64"/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28"/>
    </row>
    <row r="743" spans="1:18" x14ac:dyDescent="0.25">
      <c r="A743" s="63"/>
      <c r="B743" s="64"/>
      <c r="C743" s="64"/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28"/>
    </row>
    <row r="744" spans="1:18" x14ac:dyDescent="0.25">
      <c r="A744" s="63"/>
      <c r="B744" s="64"/>
      <c r="C744" s="64"/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28"/>
    </row>
    <row r="745" spans="1:18" x14ac:dyDescent="0.25">
      <c r="A745" s="63"/>
      <c r="B745" s="64"/>
      <c r="C745" s="64"/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28"/>
    </row>
    <row r="746" spans="1:18" x14ac:dyDescent="0.25">
      <c r="A746" s="63"/>
      <c r="B746" s="64"/>
      <c r="C746" s="64"/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28"/>
    </row>
    <row r="747" spans="1:18" x14ac:dyDescent="0.25">
      <c r="A747" s="63"/>
      <c r="B747" s="64"/>
      <c r="C747" s="64"/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28"/>
    </row>
    <row r="748" spans="1:18" x14ac:dyDescent="0.25">
      <c r="A748" s="63"/>
      <c r="B748" s="64"/>
      <c r="C748" s="64"/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28"/>
    </row>
    <row r="749" spans="1:18" x14ac:dyDescent="0.25">
      <c r="A749" s="63"/>
      <c r="B749" s="64"/>
      <c r="C749" s="64"/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28"/>
    </row>
    <row r="750" spans="1:18" x14ac:dyDescent="0.25">
      <c r="A750" s="63"/>
      <c r="B750" s="64"/>
      <c r="C750" s="64"/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28"/>
    </row>
    <row r="751" spans="1:18" x14ac:dyDescent="0.25">
      <c r="A751" s="63"/>
      <c r="B751" s="64"/>
      <c r="C751" s="64"/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28"/>
    </row>
    <row r="752" spans="1:18" x14ac:dyDescent="0.25">
      <c r="A752" s="63"/>
      <c r="B752" s="64"/>
      <c r="C752" s="64"/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28"/>
    </row>
    <row r="753" spans="1:18" x14ac:dyDescent="0.25">
      <c r="A753" s="63"/>
      <c r="B753" s="64"/>
      <c r="C753" s="64"/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28"/>
    </row>
    <row r="754" spans="1:18" x14ac:dyDescent="0.25">
      <c r="A754" s="63"/>
      <c r="B754" s="64"/>
      <c r="C754" s="64"/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28"/>
    </row>
    <row r="755" spans="1:18" x14ac:dyDescent="0.25">
      <c r="A755" s="63"/>
      <c r="B755" s="64"/>
      <c r="C755" s="64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28"/>
    </row>
    <row r="756" spans="1:18" x14ac:dyDescent="0.25">
      <c r="A756" s="63"/>
      <c r="B756" s="64"/>
      <c r="C756" s="64"/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28"/>
    </row>
    <row r="757" spans="1:18" x14ac:dyDescent="0.25">
      <c r="A757" s="63"/>
      <c r="B757" s="64"/>
      <c r="C757" s="64"/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28"/>
    </row>
    <row r="758" spans="1:18" x14ac:dyDescent="0.25">
      <c r="A758" s="63"/>
      <c r="B758" s="64"/>
      <c r="C758" s="64"/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28"/>
    </row>
    <row r="759" spans="1:18" x14ac:dyDescent="0.25">
      <c r="A759" s="63"/>
      <c r="B759" s="64"/>
      <c r="C759" s="64"/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28"/>
    </row>
    <row r="760" spans="1:18" x14ac:dyDescent="0.25">
      <c r="A760" s="63"/>
      <c r="B760" s="64"/>
      <c r="C760" s="64"/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28"/>
    </row>
    <row r="761" spans="1:18" x14ac:dyDescent="0.25">
      <c r="A761" s="63"/>
      <c r="B761" s="64"/>
      <c r="C761" s="64"/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28"/>
    </row>
    <row r="762" spans="1:18" x14ac:dyDescent="0.25">
      <c r="A762" s="63"/>
      <c r="B762" s="64"/>
      <c r="C762" s="64"/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28"/>
    </row>
    <row r="763" spans="1:18" x14ac:dyDescent="0.25">
      <c r="A763" s="63"/>
      <c r="B763" s="64"/>
      <c r="C763" s="64"/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28"/>
    </row>
    <row r="764" spans="1:18" x14ac:dyDescent="0.25">
      <c r="A764" s="63"/>
      <c r="B764" s="64"/>
      <c r="C764" s="64"/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28"/>
    </row>
    <row r="765" spans="1:18" x14ac:dyDescent="0.25">
      <c r="A765" s="63"/>
      <c r="B765" s="64"/>
      <c r="C765" s="64"/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28"/>
    </row>
    <row r="766" spans="1:18" x14ac:dyDescent="0.25">
      <c r="A766" s="63"/>
      <c r="B766" s="64"/>
      <c r="C766" s="64"/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28"/>
    </row>
    <row r="767" spans="1:18" x14ac:dyDescent="0.25">
      <c r="A767" s="63"/>
      <c r="B767" s="64"/>
      <c r="C767" s="64"/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28"/>
    </row>
    <row r="768" spans="1:18" x14ac:dyDescent="0.25">
      <c r="A768" s="63"/>
      <c r="B768" s="64"/>
      <c r="C768" s="64"/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28"/>
    </row>
    <row r="769" spans="1:18" x14ac:dyDescent="0.25">
      <c r="A769" s="63"/>
      <c r="B769" s="64"/>
      <c r="C769" s="64"/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28"/>
    </row>
    <row r="770" spans="1:18" x14ac:dyDescent="0.25">
      <c r="A770" s="63"/>
      <c r="B770" s="64"/>
      <c r="C770" s="64"/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28"/>
    </row>
    <row r="771" spans="1:18" x14ac:dyDescent="0.25">
      <c r="A771" s="63"/>
      <c r="B771" s="64"/>
      <c r="C771" s="64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28"/>
    </row>
    <row r="772" spans="1:18" x14ac:dyDescent="0.25">
      <c r="A772" s="63"/>
      <c r="B772" s="64"/>
      <c r="C772" s="64"/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28"/>
    </row>
    <row r="773" spans="1:18" x14ac:dyDescent="0.25">
      <c r="A773" s="63"/>
      <c r="B773" s="64"/>
      <c r="C773" s="64"/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28"/>
    </row>
    <row r="774" spans="1:18" x14ac:dyDescent="0.25">
      <c r="A774" s="63"/>
      <c r="B774" s="64"/>
      <c r="C774" s="64"/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28"/>
    </row>
    <row r="775" spans="1:18" x14ac:dyDescent="0.25">
      <c r="A775" s="63"/>
      <c r="B775" s="64"/>
      <c r="C775" s="64"/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28"/>
    </row>
    <row r="776" spans="1:18" x14ac:dyDescent="0.25">
      <c r="A776" s="63"/>
      <c r="B776" s="64"/>
      <c r="C776" s="64"/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28"/>
    </row>
    <row r="777" spans="1:18" x14ac:dyDescent="0.25">
      <c r="A777" s="63"/>
      <c r="B777" s="64"/>
      <c r="C777" s="64"/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28"/>
    </row>
    <row r="778" spans="1:18" x14ac:dyDescent="0.25">
      <c r="A778" s="63"/>
      <c r="B778" s="64"/>
      <c r="C778" s="64"/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28"/>
    </row>
    <row r="779" spans="1:18" x14ac:dyDescent="0.25">
      <c r="A779" s="63"/>
      <c r="B779" s="64"/>
      <c r="C779" s="64"/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28"/>
    </row>
    <row r="780" spans="1:18" x14ac:dyDescent="0.25">
      <c r="A780" s="63"/>
      <c r="B780" s="64"/>
      <c r="C780" s="64"/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28"/>
    </row>
    <row r="781" spans="1:18" x14ac:dyDescent="0.25">
      <c r="A781" s="63"/>
      <c r="B781" s="64"/>
      <c r="C781" s="64"/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28"/>
    </row>
    <row r="782" spans="1:18" x14ac:dyDescent="0.25">
      <c r="A782" s="63"/>
      <c r="B782" s="64"/>
      <c r="C782" s="64"/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28"/>
    </row>
    <row r="783" spans="1:18" x14ac:dyDescent="0.25">
      <c r="A783" s="63"/>
      <c r="B783" s="64"/>
      <c r="C783" s="64"/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28"/>
    </row>
    <row r="784" spans="1:18" x14ac:dyDescent="0.25">
      <c r="A784" s="63"/>
      <c r="B784" s="64"/>
      <c r="C784" s="64"/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28"/>
    </row>
    <row r="785" spans="1:18" x14ac:dyDescent="0.25">
      <c r="A785" s="63"/>
      <c r="B785" s="64"/>
      <c r="C785" s="64"/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28"/>
    </row>
    <row r="786" spans="1:18" x14ac:dyDescent="0.25">
      <c r="A786" s="63"/>
      <c r="B786" s="64"/>
      <c r="C786" s="64"/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28"/>
    </row>
    <row r="787" spans="1:18" x14ac:dyDescent="0.25">
      <c r="A787" s="63"/>
      <c r="B787" s="64"/>
      <c r="C787" s="64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28"/>
    </row>
    <row r="788" spans="1:18" x14ac:dyDescent="0.25">
      <c r="A788" s="63"/>
      <c r="B788" s="64"/>
      <c r="C788" s="64"/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28"/>
    </row>
    <row r="789" spans="1:18" x14ac:dyDescent="0.25">
      <c r="A789" s="63"/>
      <c r="B789" s="64"/>
      <c r="C789" s="64"/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28"/>
    </row>
    <row r="790" spans="1:18" x14ac:dyDescent="0.25">
      <c r="A790" s="63"/>
      <c r="B790" s="64"/>
      <c r="C790" s="64"/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28"/>
    </row>
    <row r="791" spans="1:18" x14ac:dyDescent="0.25">
      <c r="A791" s="63"/>
      <c r="B791" s="64"/>
      <c r="C791" s="64"/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28"/>
    </row>
    <row r="792" spans="1:18" x14ac:dyDescent="0.25">
      <c r="A792" s="63"/>
      <c r="B792" s="64"/>
      <c r="C792" s="64"/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28"/>
    </row>
    <row r="793" spans="1:18" x14ac:dyDescent="0.25">
      <c r="A793" s="63"/>
      <c r="B793" s="64"/>
      <c r="C793" s="64"/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28"/>
    </row>
    <row r="794" spans="1:18" x14ac:dyDescent="0.25">
      <c r="A794" s="63"/>
      <c r="B794" s="64"/>
      <c r="C794" s="64"/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28"/>
    </row>
    <row r="795" spans="1:18" x14ac:dyDescent="0.25">
      <c r="A795" s="63"/>
      <c r="B795" s="64"/>
      <c r="C795" s="64"/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28"/>
    </row>
    <row r="796" spans="1:18" x14ac:dyDescent="0.25">
      <c r="A796" s="63"/>
      <c r="B796" s="64"/>
      <c r="C796" s="64"/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28"/>
    </row>
    <row r="797" spans="1:18" x14ac:dyDescent="0.25">
      <c r="A797" s="63"/>
      <c r="B797" s="64"/>
      <c r="C797" s="64"/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28"/>
    </row>
    <row r="798" spans="1:18" x14ac:dyDescent="0.25">
      <c r="A798" s="63"/>
      <c r="B798" s="64"/>
      <c r="C798" s="64"/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28"/>
    </row>
    <row r="799" spans="1:18" x14ac:dyDescent="0.25">
      <c r="A799" s="63"/>
      <c r="B799" s="64"/>
      <c r="C799" s="64"/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28"/>
    </row>
    <row r="800" spans="1:18" x14ac:dyDescent="0.25">
      <c r="A800" s="63"/>
      <c r="B800" s="64"/>
      <c r="C800" s="64"/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28"/>
    </row>
    <row r="801" spans="1:18" x14ac:dyDescent="0.25">
      <c r="A801" s="63"/>
      <c r="B801" s="64"/>
      <c r="C801" s="64"/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28"/>
    </row>
    <row r="802" spans="1:18" x14ac:dyDescent="0.25">
      <c r="A802" s="63"/>
      <c r="B802" s="64"/>
      <c r="C802" s="64"/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28"/>
    </row>
    <row r="803" spans="1:18" x14ac:dyDescent="0.25">
      <c r="A803" s="63"/>
      <c r="B803" s="64"/>
      <c r="C803" s="64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28"/>
    </row>
    <row r="804" spans="1:18" x14ac:dyDescent="0.25">
      <c r="A804" s="63"/>
      <c r="B804" s="64"/>
      <c r="C804" s="64"/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28"/>
    </row>
    <row r="805" spans="1:18" x14ac:dyDescent="0.25">
      <c r="A805" s="63"/>
      <c r="B805" s="64"/>
      <c r="C805" s="64"/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28"/>
    </row>
    <row r="806" spans="1:18" x14ac:dyDescent="0.25">
      <c r="A806" s="63"/>
      <c r="B806" s="64"/>
      <c r="C806" s="64"/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28"/>
    </row>
    <row r="807" spans="1:18" x14ac:dyDescent="0.25">
      <c r="A807" s="63"/>
      <c r="B807" s="64"/>
      <c r="C807" s="64"/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28"/>
    </row>
    <row r="808" spans="1:18" x14ac:dyDescent="0.25">
      <c r="A808" s="63"/>
      <c r="B808" s="64"/>
      <c r="C808" s="64"/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28"/>
    </row>
    <row r="809" spans="1:18" x14ac:dyDescent="0.25">
      <c r="A809" s="63"/>
      <c r="B809" s="64"/>
      <c r="C809" s="64"/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28"/>
    </row>
    <row r="810" spans="1:18" x14ac:dyDescent="0.25">
      <c r="A810" s="63"/>
      <c r="B810" s="64"/>
      <c r="C810" s="64"/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28"/>
    </row>
    <row r="811" spans="1:18" x14ac:dyDescent="0.25">
      <c r="A811" s="63"/>
      <c r="B811" s="64"/>
      <c r="C811" s="64"/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28"/>
    </row>
    <row r="812" spans="1:18" x14ac:dyDescent="0.25">
      <c r="A812" s="63"/>
      <c r="B812" s="64"/>
      <c r="C812" s="64"/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28"/>
    </row>
    <row r="813" spans="1:18" x14ac:dyDescent="0.25">
      <c r="A813" s="63"/>
      <c r="B813" s="64"/>
      <c r="C813" s="64"/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28"/>
    </row>
    <row r="814" spans="1:18" x14ac:dyDescent="0.25">
      <c r="A814" s="63"/>
      <c r="B814" s="64"/>
      <c r="C814" s="64"/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28"/>
    </row>
    <row r="815" spans="1:18" x14ac:dyDescent="0.25">
      <c r="A815" s="63"/>
      <c r="B815" s="64"/>
      <c r="C815" s="64"/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28"/>
    </row>
    <row r="816" spans="1:18" x14ac:dyDescent="0.25">
      <c r="A816" s="63"/>
      <c r="B816" s="64"/>
      <c r="C816" s="64"/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28"/>
    </row>
    <row r="817" spans="1:18" x14ac:dyDescent="0.25">
      <c r="A817" s="63"/>
      <c r="B817" s="64"/>
      <c r="C817" s="64"/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28"/>
    </row>
    <row r="818" spans="1:18" x14ac:dyDescent="0.25">
      <c r="A818" s="63"/>
      <c r="B818" s="64"/>
      <c r="C818" s="64"/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28"/>
    </row>
    <row r="819" spans="1:18" x14ac:dyDescent="0.25">
      <c r="A819" s="63"/>
      <c r="B819" s="64"/>
      <c r="C819" s="64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28"/>
    </row>
    <row r="820" spans="1:18" x14ac:dyDescent="0.25">
      <c r="A820" s="63"/>
      <c r="B820" s="64"/>
      <c r="C820" s="64"/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28"/>
    </row>
    <row r="821" spans="1:18" x14ac:dyDescent="0.25">
      <c r="A821" s="63"/>
      <c r="B821" s="64"/>
      <c r="C821" s="64"/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28"/>
    </row>
    <row r="822" spans="1:18" x14ac:dyDescent="0.25">
      <c r="A822" s="63"/>
      <c r="B822" s="64"/>
      <c r="C822" s="64"/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28"/>
    </row>
    <row r="823" spans="1:18" x14ac:dyDescent="0.25">
      <c r="A823" s="63"/>
      <c r="B823" s="64"/>
      <c r="C823" s="64"/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28"/>
    </row>
    <row r="824" spans="1:18" x14ac:dyDescent="0.25">
      <c r="A824" s="63"/>
      <c r="B824" s="64"/>
      <c r="C824" s="64"/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28"/>
    </row>
    <row r="825" spans="1:18" x14ac:dyDescent="0.25">
      <c r="A825" s="63"/>
      <c r="B825" s="64"/>
      <c r="C825" s="64"/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28"/>
    </row>
    <row r="826" spans="1:18" x14ac:dyDescent="0.25">
      <c r="A826" s="63"/>
      <c r="B826" s="64"/>
      <c r="C826" s="64"/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28"/>
    </row>
    <row r="827" spans="1:18" x14ac:dyDescent="0.25">
      <c r="A827" s="63"/>
      <c r="B827" s="64"/>
      <c r="C827" s="64"/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28"/>
    </row>
    <row r="828" spans="1:18" x14ac:dyDescent="0.25">
      <c r="A828" s="63"/>
      <c r="B828" s="64"/>
      <c r="C828" s="64"/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28"/>
    </row>
    <row r="829" spans="1:18" x14ac:dyDescent="0.25">
      <c r="A829" s="63"/>
      <c r="B829" s="64"/>
      <c r="C829" s="64"/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28"/>
    </row>
    <row r="830" spans="1:18" x14ac:dyDescent="0.25">
      <c r="A830" s="63"/>
      <c r="B830" s="64"/>
      <c r="C830" s="64"/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28"/>
    </row>
    <row r="831" spans="1:18" x14ac:dyDescent="0.25">
      <c r="A831" s="63"/>
      <c r="B831" s="64"/>
      <c r="C831" s="64"/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28"/>
    </row>
    <row r="832" spans="1:18" x14ac:dyDescent="0.25">
      <c r="A832" s="63"/>
      <c r="B832" s="64"/>
      <c r="C832" s="64"/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28"/>
    </row>
    <row r="833" spans="1:18" x14ac:dyDescent="0.25">
      <c r="A833" s="63"/>
      <c r="B833" s="64"/>
      <c r="C833" s="64"/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28"/>
    </row>
    <row r="834" spans="1:18" x14ac:dyDescent="0.25">
      <c r="A834" s="63"/>
      <c r="B834" s="64"/>
      <c r="C834" s="64"/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28"/>
    </row>
    <row r="835" spans="1:18" x14ac:dyDescent="0.25">
      <c r="A835" s="63"/>
      <c r="B835" s="64"/>
      <c r="C835" s="64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28"/>
    </row>
    <row r="836" spans="1:18" x14ac:dyDescent="0.25">
      <c r="A836" s="63"/>
      <c r="B836" s="64"/>
      <c r="C836" s="64"/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28"/>
    </row>
    <row r="837" spans="1:18" x14ac:dyDescent="0.25">
      <c r="A837" s="63"/>
      <c r="B837" s="64"/>
      <c r="C837" s="64"/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28"/>
    </row>
    <row r="838" spans="1:18" x14ac:dyDescent="0.25">
      <c r="A838" s="63"/>
      <c r="B838" s="64"/>
      <c r="C838" s="64"/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28"/>
    </row>
    <row r="839" spans="1:18" x14ac:dyDescent="0.25">
      <c r="A839" s="63"/>
      <c r="B839" s="64"/>
      <c r="C839" s="64"/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28"/>
    </row>
    <row r="840" spans="1:18" x14ac:dyDescent="0.25">
      <c r="A840" s="63"/>
      <c r="B840" s="64"/>
      <c r="C840" s="64"/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28"/>
    </row>
    <row r="841" spans="1:18" x14ac:dyDescent="0.25">
      <c r="A841" s="63"/>
      <c r="B841" s="64"/>
      <c r="C841" s="64"/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28"/>
    </row>
    <row r="842" spans="1:18" x14ac:dyDescent="0.25">
      <c r="A842" s="63"/>
      <c r="B842" s="64"/>
      <c r="C842" s="64"/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28"/>
    </row>
    <row r="843" spans="1:18" x14ac:dyDescent="0.25">
      <c r="A843" s="63"/>
      <c r="B843" s="64"/>
      <c r="C843" s="64"/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28"/>
    </row>
    <row r="844" spans="1:18" x14ac:dyDescent="0.25">
      <c r="A844" s="63"/>
      <c r="B844" s="64"/>
      <c r="C844" s="64"/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28"/>
    </row>
    <row r="845" spans="1:18" x14ac:dyDescent="0.25">
      <c r="A845" s="63"/>
      <c r="B845" s="64"/>
      <c r="C845" s="64"/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28"/>
    </row>
    <row r="846" spans="1:18" x14ac:dyDescent="0.25">
      <c r="A846" s="63"/>
      <c r="B846" s="64"/>
      <c r="C846" s="64"/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28"/>
    </row>
    <row r="847" spans="1:18" x14ac:dyDescent="0.25">
      <c r="A847" s="63"/>
      <c r="B847" s="64"/>
      <c r="C847" s="64"/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28"/>
    </row>
    <row r="848" spans="1:18" x14ac:dyDescent="0.25">
      <c r="A848" s="63"/>
      <c r="B848" s="64"/>
      <c r="C848" s="64"/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28"/>
    </row>
    <row r="849" spans="1:18" x14ac:dyDescent="0.25">
      <c r="A849" s="63"/>
      <c r="B849" s="64"/>
      <c r="C849" s="64"/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28"/>
    </row>
    <row r="850" spans="1:18" x14ac:dyDescent="0.25">
      <c r="A850" s="63"/>
      <c r="B850" s="64"/>
      <c r="C850" s="64"/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28"/>
    </row>
    <row r="851" spans="1:18" x14ac:dyDescent="0.25">
      <c r="A851" s="63"/>
      <c r="B851" s="64"/>
      <c r="C851" s="64"/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28"/>
    </row>
    <row r="852" spans="1:18" x14ac:dyDescent="0.25">
      <c r="A852" s="63"/>
      <c r="B852" s="64"/>
      <c r="C852" s="64"/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28"/>
    </row>
    <row r="853" spans="1:18" x14ac:dyDescent="0.25">
      <c r="A853" s="63"/>
      <c r="B853" s="64"/>
      <c r="C853" s="64"/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28"/>
    </row>
    <row r="854" spans="1:18" x14ac:dyDescent="0.25">
      <c r="A854" s="63"/>
      <c r="B854" s="64"/>
      <c r="C854" s="64"/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28"/>
    </row>
    <row r="855" spans="1:18" x14ac:dyDescent="0.25">
      <c r="A855" s="63"/>
      <c r="B855" s="64"/>
      <c r="C855" s="64"/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28"/>
    </row>
    <row r="856" spans="1:18" x14ac:dyDescent="0.25">
      <c r="A856" s="63"/>
      <c r="B856" s="64"/>
      <c r="C856" s="64"/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28"/>
    </row>
    <row r="857" spans="1:18" x14ac:dyDescent="0.25">
      <c r="A857" s="63"/>
      <c r="B857" s="64"/>
      <c r="C857" s="64"/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28"/>
    </row>
    <row r="858" spans="1:18" x14ac:dyDescent="0.25">
      <c r="A858" s="63"/>
      <c r="B858" s="64"/>
      <c r="C858" s="64"/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28"/>
    </row>
    <row r="859" spans="1:18" x14ac:dyDescent="0.25">
      <c r="A859" s="63"/>
      <c r="B859" s="64"/>
      <c r="C859" s="64"/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28"/>
    </row>
    <row r="860" spans="1:18" x14ac:dyDescent="0.25">
      <c r="A860" s="63"/>
      <c r="B860" s="64"/>
      <c r="C860" s="64"/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28"/>
    </row>
    <row r="861" spans="1:18" x14ac:dyDescent="0.25">
      <c r="A861" s="63"/>
      <c r="B861" s="64"/>
      <c r="C861" s="64"/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28"/>
    </row>
    <row r="862" spans="1:18" x14ac:dyDescent="0.25">
      <c r="A862" s="63"/>
      <c r="B862" s="64"/>
      <c r="C862" s="64"/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28"/>
    </row>
    <row r="863" spans="1:18" x14ac:dyDescent="0.25">
      <c r="A863" s="63"/>
      <c r="B863" s="64"/>
      <c r="C863" s="64"/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28"/>
    </row>
    <row r="864" spans="1:18" x14ac:dyDescent="0.25">
      <c r="A864" s="63"/>
      <c r="B864" s="64"/>
      <c r="C864" s="64"/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28"/>
    </row>
    <row r="865" spans="1:18" x14ac:dyDescent="0.25">
      <c r="A865" s="63"/>
      <c r="B865" s="64"/>
      <c r="C865" s="64"/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28"/>
    </row>
    <row r="866" spans="1:18" x14ac:dyDescent="0.25">
      <c r="A866" s="63"/>
      <c r="B866" s="64"/>
      <c r="C866" s="64"/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28"/>
    </row>
    <row r="867" spans="1:18" x14ac:dyDescent="0.25">
      <c r="A867" s="63"/>
      <c r="B867" s="64"/>
      <c r="C867" s="64"/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28"/>
    </row>
    <row r="868" spans="1:18" x14ac:dyDescent="0.25">
      <c r="A868" s="63"/>
      <c r="B868" s="64"/>
      <c r="C868" s="64"/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28"/>
    </row>
    <row r="869" spans="1:18" x14ac:dyDescent="0.25">
      <c r="A869" s="63"/>
      <c r="B869" s="64"/>
      <c r="C869" s="64"/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28"/>
    </row>
    <row r="870" spans="1:18" x14ac:dyDescent="0.25">
      <c r="A870" s="63"/>
      <c r="B870" s="64"/>
      <c r="C870" s="64"/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28"/>
    </row>
    <row r="871" spans="1:18" x14ac:dyDescent="0.25">
      <c r="A871" s="63"/>
      <c r="B871" s="64"/>
      <c r="C871" s="64"/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28"/>
    </row>
    <row r="872" spans="1:18" x14ac:dyDescent="0.25">
      <c r="A872" s="63"/>
      <c r="B872" s="64"/>
      <c r="C872" s="64"/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28"/>
    </row>
    <row r="873" spans="1:18" x14ac:dyDescent="0.25">
      <c r="A873" s="63"/>
      <c r="B873" s="64"/>
      <c r="C873" s="64"/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28"/>
    </row>
    <row r="874" spans="1:18" x14ac:dyDescent="0.25">
      <c r="A874" s="63"/>
      <c r="B874" s="64"/>
      <c r="C874" s="64"/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28"/>
    </row>
    <row r="875" spans="1:18" x14ac:dyDescent="0.25">
      <c r="A875" s="63"/>
      <c r="B875" s="64"/>
      <c r="C875" s="64"/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28"/>
    </row>
    <row r="876" spans="1:18" x14ac:dyDescent="0.25">
      <c r="A876" s="63"/>
      <c r="B876" s="64"/>
      <c r="C876" s="64"/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28"/>
    </row>
    <row r="877" spans="1:18" x14ac:dyDescent="0.25">
      <c r="A877" s="63"/>
      <c r="B877" s="64"/>
      <c r="C877" s="64"/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28"/>
    </row>
    <row r="878" spans="1:18" x14ac:dyDescent="0.25">
      <c r="A878" s="63"/>
      <c r="B878" s="64"/>
      <c r="C878" s="64"/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28"/>
    </row>
    <row r="879" spans="1:18" x14ac:dyDescent="0.25">
      <c r="A879" s="63"/>
      <c r="B879" s="64"/>
      <c r="C879" s="64"/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28"/>
    </row>
    <row r="880" spans="1:18" x14ac:dyDescent="0.25">
      <c r="A880" s="63"/>
      <c r="B880" s="64"/>
      <c r="C880" s="64"/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28"/>
    </row>
    <row r="881" spans="1:18" x14ac:dyDescent="0.25">
      <c r="A881" s="63"/>
      <c r="B881" s="64"/>
      <c r="C881" s="64"/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28"/>
    </row>
    <row r="882" spans="1:18" x14ac:dyDescent="0.25">
      <c r="A882" s="63"/>
      <c r="B882" s="64"/>
      <c r="C882" s="64"/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28"/>
    </row>
    <row r="883" spans="1:18" x14ac:dyDescent="0.25">
      <c r="A883" s="63"/>
      <c r="B883" s="64"/>
      <c r="C883" s="64"/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28"/>
    </row>
    <row r="884" spans="1:18" x14ac:dyDescent="0.25">
      <c r="A884" s="63"/>
      <c r="B884" s="64"/>
      <c r="C884" s="64"/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28"/>
    </row>
    <row r="885" spans="1:18" x14ac:dyDescent="0.25">
      <c r="A885" s="63"/>
      <c r="B885" s="64"/>
      <c r="C885" s="64"/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28"/>
    </row>
    <row r="886" spans="1:18" x14ac:dyDescent="0.25">
      <c r="A886" s="63"/>
      <c r="B886" s="64"/>
      <c r="C886" s="64"/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28"/>
    </row>
    <row r="887" spans="1:18" x14ac:dyDescent="0.25">
      <c r="A887" s="63"/>
      <c r="B887" s="64"/>
      <c r="C887" s="64"/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28"/>
    </row>
    <row r="888" spans="1:18" x14ac:dyDescent="0.25">
      <c r="A888" s="63"/>
      <c r="B888" s="64"/>
      <c r="C888" s="64"/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28"/>
    </row>
    <row r="889" spans="1:18" x14ac:dyDescent="0.25">
      <c r="A889" s="63"/>
      <c r="B889" s="64"/>
      <c r="C889" s="64"/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28"/>
    </row>
    <row r="890" spans="1:18" x14ac:dyDescent="0.25">
      <c r="A890" s="63"/>
      <c r="B890" s="64"/>
      <c r="C890" s="64"/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28"/>
    </row>
    <row r="891" spans="1:18" x14ac:dyDescent="0.25">
      <c r="A891" s="63"/>
      <c r="B891" s="64"/>
      <c r="C891" s="64"/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28"/>
    </row>
    <row r="892" spans="1:18" x14ac:dyDescent="0.25">
      <c r="A892" s="63"/>
      <c r="B892" s="64"/>
      <c r="C892" s="64"/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28"/>
    </row>
    <row r="893" spans="1:18" x14ac:dyDescent="0.25">
      <c r="A893" s="63"/>
      <c r="B893" s="64"/>
      <c r="C893" s="64"/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28"/>
    </row>
    <row r="894" spans="1:18" x14ac:dyDescent="0.25">
      <c r="A894" s="63"/>
      <c r="B894" s="64"/>
      <c r="C894" s="64"/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28"/>
    </row>
    <row r="895" spans="1:18" x14ac:dyDescent="0.25">
      <c r="A895" s="63"/>
      <c r="B895" s="64"/>
      <c r="C895" s="64"/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28"/>
    </row>
    <row r="896" spans="1:18" x14ac:dyDescent="0.25">
      <c r="A896" s="63"/>
      <c r="B896" s="64"/>
      <c r="C896" s="64"/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28"/>
    </row>
    <row r="897" spans="1:18" x14ac:dyDescent="0.25">
      <c r="A897" s="63"/>
      <c r="B897" s="64"/>
      <c r="C897" s="64"/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28"/>
    </row>
    <row r="898" spans="1:18" x14ac:dyDescent="0.25">
      <c r="A898" s="63"/>
      <c r="B898" s="64"/>
      <c r="C898" s="64"/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28"/>
    </row>
    <row r="899" spans="1:18" x14ac:dyDescent="0.25">
      <c r="A899" s="63"/>
      <c r="B899" s="64"/>
      <c r="C899" s="64"/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28"/>
    </row>
    <row r="900" spans="1:18" x14ac:dyDescent="0.25">
      <c r="A900" s="63"/>
      <c r="B900" s="64"/>
      <c r="C900" s="64"/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28"/>
    </row>
    <row r="901" spans="1:18" x14ac:dyDescent="0.25">
      <c r="A901" s="63"/>
      <c r="B901" s="64"/>
      <c r="C901" s="64"/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28"/>
    </row>
    <row r="902" spans="1:18" x14ac:dyDescent="0.25">
      <c r="A902" s="63"/>
      <c r="B902" s="64"/>
      <c r="C902" s="64"/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28"/>
    </row>
    <row r="903" spans="1:18" x14ac:dyDescent="0.25">
      <c r="A903" s="63"/>
      <c r="B903" s="64"/>
      <c r="C903" s="64"/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28"/>
    </row>
    <row r="904" spans="1:18" x14ac:dyDescent="0.25">
      <c r="A904" s="63"/>
      <c r="B904" s="64"/>
      <c r="C904" s="64"/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28"/>
    </row>
    <row r="905" spans="1:18" x14ac:dyDescent="0.25">
      <c r="A905" s="63"/>
      <c r="B905" s="64"/>
      <c r="C905" s="64"/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28"/>
    </row>
    <row r="906" spans="1:18" x14ac:dyDescent="0.25">
      <c r="A906" s="63"/>
      <c r="B906" s="64"/>
      <c r="C906" s="64"/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28"/>
    </row>
    <row r="907" spans="1:18" x14ac:dyDescent="0.25">
      <c r="A907" s="63"/>
      <c r="B907" s="64"/>
      <c r="C907" s="64"/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28"/>
    </row>
    <row r="908" spans="1:18" x14ac:dyDescent="0.25">
      <c r="A908" s="63"/>
      <c r="B908" s="64"/>
      <c r="C908" s="64"/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28"/>
    </row>
    <row r="909" spans="1:18" x14ac:dyDescent="0.25">
      <c r="A909" s="63"/>
      <c r="B909" s="64"/>
      <c r="C909" s="64"/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28"/>
    </row>
    <row r="910" spans="1:18" x14ac:dyDescent="0.25">
      <c r="A910" s="63"/>
      <c r="B910" s="64"/>
      <c r="C910" s="64"/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28"/>
    </row>
    <row r="911" spans="1:18" x14ac:dyDescent="0.25">
      <c r="A911" s="63"/>
      <c r="B911" s="64"/>
      <c r="C911" s="64"/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28"/>
    </row>
    <row r="912" spans="1:18" x14ac:dyDescent="0.25">
      <c r="A912" s="63"/>
      <c r="B912" s="64"/>
      <c r="C912" s="64"/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28"/>
    </row>
    <row r="913" spans="1:18" x14ac:dyDescent="0.25">
      <c r="A913" s="63"/>
      <c r="B913" s="64"/>
      <c r="C913" s="64"/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28"/>
    </row>
    <row r="914" spans="1:18" x14ac:dyDescent="0.25">
      <c r="A914" s="63"/>
      <c r="B914" s="64"/>
      <c r="C914" s="64"/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28"/>
    </row>
    <row r="915" spans="1:18" x14ac:dyDescent="0.25">
      <c r="A915" s="63"/>
      <c r="B915" s="64"/>
      <c r="C915" s="64"/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28"/>
    </row>
    <row r="916" spans="1:18" x14ac:dyDescent="0.25">
      <c r="A916" s="63"/>
      <c r="B916" s="64"/>
      <c r="C916" s="64"/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28"/>
    </row>
    <row r="917" spans="1:18" x14ac:dyDescent="0.25">
      <c r="A917" s="63"/>
      <c r="B917" s="64"/>
      <c r="C917" s="64"/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28"/>
    </row>
    <row r="918" spans="1:18" x14ac:dyDescent="0.25">
      <c r="A918" s="63"/>
      <c r="B918" s="64"/>
      <c r="C918" s="64"/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28"/>
    </row>
    <row r="919" spans="1:18" x14ac:dyDescent="0.25">
      <c r="A919" s="63"/>
      <c r="B919" s="64"/>
      <c r="C919" s="64"/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28"/>
    </row>
    <row r="920" spans="1:18" x14ac:dyDescent="0.25">
      <c r="A920" s="63"/>
      <c r="B920" s="64"/>
      <c r="C920" s="64"/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28"/>
    </row>
    <row r="921" spans="1:18" x14ac:dyDescent="0.25">
      <c r="A921" s="63"/>
      <c r="B921" s="64"/>
      <c r="C921" s="64"/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28"/>
    </row>
    <row r="922" spans="1:18" x14ac:dyDescent="0.25">
      <c r="A922" s="63"/>
      <c r="B922" s="64"/>
      <c r="C922" s="64"/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28"/>
    </row>
    <row r="923" spans="1:18" x14ac:dyDescent="0.25">
      <c r="A923" s="63"/>
      <c r="B923" s="64"/>
      <c r="C923" s="64"/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28"/>
    </row>
    <row r="924" spans="1:18" x14ac:dyDescent="0.25">
      <c r="A924" s="63"/>
      <c r="B924" s="64"/>
      <c r="C924" s="64"/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28"/>
    </row>
    <row r="925" spans="1:18" x14ac:dyDescent="0.25">
      <c r="A925" s="63"/>
      <c r="B925" s="64"/>
      <c r="C925" s="64"/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28"/>
    </row>
    <row r="926" spans="1:18" x14ac:dyDescent="0.25">
      <c r="A926" s="63"/>
      <c r="B926" s="64"/>
      <c r="C926" s="64"/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28"/>
    </row>
    <row r="927" spans="1:18" x14ac:dyDescent="0.25">
      <c r="A927" s="63"/>
      <c r="B927" s="64"/>
      <c r="C927" s="64"/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28"/>
    </row>
    <row r="928" spans="1:18" x14ac:dyDescent="0.25">
      <c r="A928" s="63"/>
      <c r="B928" s="64"/>
      <c r="C928" s="64"/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28"/>
    </row>
    <row r="929" spans="1:18" x14ac:dyDescent="0.25">
      <c r="A929" s="63"/>
      <c r="B929" s="64"/>
      <c r="C929" s="64"/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28"/>
    </row>
    <row r="930" spans="1:18" x14ac:dyDescent="0.25">
      <c r="A930" s="63"/>
      <c r="B930" s="64"/>
      <c r="C930" s="64"/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28"/>
    </row>
    <row r="931" spans="1:18" x14ac:dyDescent="0.25">
      <c r="A931" s="63"/>
      <c r="B931" s="64"/>
      <c r="C931" s="64"/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28"/>
    </row>
    <row r="932" spans="1:18" x14ac:dyDescent="0.25">
      <c r="A932" s="63"/>
      <c r="B932" s="64"/>
      <c r="C932" s="64"/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28"/>
    </row>
    <row r="933" spans="1:18" x14ac:dyDescent="0.25">
      <c r="A933" s="63"/>
      <c r="B933" s="64"/>
      <c r="C933" s="64"/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28"/>
    </row>
    <row r="934" spans="1:18" x14ac:dyDescent="0.25">
      <c r="A934" s="63"/>
      <c r="B934" s="64"/>
      <c r="C934" s="64"/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28"/>
    </row>
    <row r="935" spans="1:18" x14ac:dyDescent="0.25">
      <c r="A935" s="63"/>
      <c r="B935" s="64"/>
      <c r="C935" s="64"/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28"/>
    </row>
    <row r="936" spans="1:18" x14ac:dyDescent="0.25">
      <c r="A936" s="63"/>
      <c r="B936" s="64"/>
      <c r="C936" s="64"/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28"/>
    </row>
    <row r="937" spans="1:18" x14ac:dyDescent="0.25">
      <c r="A937" s="63"/>
      <c r="B937" s="64"/>
      <c r="C937" s="64"/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28"/>
    </row>
    <row r="938" spans="1:18" x14ac:dyDescent="0.25">
      <c r="A938" s="63"/>
      <c r="B938" s="64"/>
      <c r="C938" s="64"/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28"/>
    </row>
    <row r="939" spans="1:18" x14ac:dyDescent="0.25">
      <c r="A939" s="63"/>
      <c r="B939" s="64"/>
      <c r="C939" s="64"/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28"/>
    </row>
    <row r="940" spans="1:18" x14ac:dyDescent="0.25">
      <c r="A940" s="63"/>
      <c r="B940" s="64"/>
      <c r="C940" s="64"/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28"/>
    </row>
    <row r="941" spans="1:18" x14ac:dyDescent="0.25">
      <c r="A941" s="63"/>
      <c r="B941" s="64"/>
      <c r="C941" s="64"/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28"/>
    </row>
    <row r="942" spans="1:18" x14ac:dyDescent="0.25">
      <c r="A942" s="63"/>
      <c r="B942" s="64"/>
      <c r="C942" s="64"/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28"/>
    </row>
    <row r="943" spans="1:18" x14ac:dyDescent="0.25">
      <c r="A943" s="63"/>
      <c r="B943" s="64"/>
      <c r="C943" s="64"/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28"/>
    </row>
    <row r="944" spans="1:18" x14ac:dyDescent="0.25">
      <c r="A944" s="63"/>
      <c r="B944" s="64"/>
      <c r="C944" s="64"/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28"/>
    </row>
    <row r="945" spans="1:18" x14ac:dyDescent="0.25">
      <c r="A945" s="63"/>
      <c r="B945" s="64"/>
      <c r="C945" s="64"/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28"/>
    </row>
    <row r="946" spans="1:18" x14ac:dyDescent="0.25">
      <c r="A946" s="63"/>
      <c r="B946" s="64"/>
      <c r="C946" s="64"/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28"/>
    </row>
    <row r="947" spans="1:18" x14ac:dyDescent="0.25">
      <c r="A947" s="63"/>
      <c r="B947" s="64"/>
      <c r="C947" s="64"/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28"/>
    </row>
    <row r="948" spans="1:18" x14ac:dyDescent="0.25">
      <c r="A948" s="63"/>
      <c r="B948" s="64"/>
      <c r="C948" s="64"/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28"/>
    </row>
    <row r="949" spans="1:18" x14ac:dyDescent="0.25">
      <c r="A949" s="63"/>
      <c r="B949" s="64"/>
      <c r="C949" s="64"/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28"/>
    </row>
    <row r="950" spans="1:18" x14ac:dyDescent="0.25">
      <c r="A950" s="63"/>
      <c r="B950" s="64"/>
      <c r="C950" s="64"/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28"/>
    </row>
    <row r="951" spans="1:18" x14ac:dyDescent="0.25">
      <c r="A951" s="63"/>
      <c r="B951" s="64"/>
      <c r="C951" s="64"/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28"/>
    </row>
    <row r="952" spans="1:18" x14ac:dyDescent="0.25">
      <c r="A952" s="63"/>
      <c r="B952" s="64"/>
      <c r="C952" s="64"/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28"/>
    </row>
    <row r="953" spans="1:18" x14ac:dyDescent="0.25">
      <c r="A953" s="63"/>
      <c r="B953" s="64"/>
      <c r="C953" s="64"/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28"/>
    </row>
    <row r="954" spans="1:18" x14ac:dyDescent="0.25">
      <c r="A954" s="63"/>
      <c r="B954" s="64"/>
      <c r="C954" s="64"/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28"/>
    </row>
    <row r="955" spans="1:18" x14ac:dyDescent="0.25">
      <c r="A955" s="63"/>
      <c r="B955" s="64"/>
      <c r="C955" s="64"/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28"/>
    </row>
    <row r="956" spans="1:18" x14ac:dyDescent="0.25">
      <c r="A956" s="63"/>
      <c r="B956" s="64"/>
      <c r="C956" s="64"/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28"/>
    </row>
    <row r="957" spans="1:18" x14ac:dyDescent="0.25">
      <c r="A957" s="63"/>
      <c r="B957" s="64"/>
      <c r="C957" s="64"/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28"/>
    </row>
    <row r="958" spans="1:18" x14ac:dyDescent="0.25">
      <c r="A958" s="63"/>
      <c r="B958" s="64"/>
      <c r="C958" s="64"/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28"/>
    </row>
    <row r="959" spans="1:18" x14ac:dyDescent="0.25">
      <c r="A959" s="63"/>
      <c r="B959" s="64"/>
      <c r="C959" s="64"/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28"/>
    </row>
    <row r="960" spans="1:18" x14ac:dyDescent="0.25">
      <c r="A960" s="63"/>
      <c r="B960" s="64"/>
      <c r="C960" s="64"/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28"/>
    </row>
    <row r="961" spans="1:18" x14ac:dyDescent="0.25">
      <c r="A961" s="63"/>
      <c r="B961" s="64"/>
      <c r="C961" s="64"/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28"/>
    </row>
    <row r="962" spans="1:18" x14ac:dyDescent="0.25">
      <c r="A962" s="63"/>
      <c r="B962" s="64"/>
      <c r="C962" s="64"/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28"/>
    </row>
    <row r="963" spans="1:18" x14ac:dyDescent="0.25">
      <c r="A963" s="63"/>
      <c r="B963" s="64"/>
      <c r="C963" s="64"/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28"/>
    </row>
    <row r="964" spans="1:18" x14ac:dyDescent="0.25">
      <c r="A964" s="63"/>
      <c r="B964" s="64"/>
      <c r="C964" s="64"/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28"/>
    </row>
    <row r="965" spans="1:18" x14ac:dyDescent="0.25">
      <c r="A965" s="63"/>
      <c r="B965" s="64"/>
      <c r="C965" s="64"/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28"/>
    </row>
    <row r="966" spans="1:18" x14ac:dyDescent="0.25">
      <c r="A966" s="63"/>
      <c r="B966" s="64"/>
      <c r="C966" s="64"/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28"/>
    </row>
    <row r="967" spans="1:18" x14ac:dyDescent="0.25">
      <c r="A967" s="63"/>
      <c r="B967" s="64"/>
      <c r="C967" s="64"/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28"/>
    </row>
    <row r="968" spans="1:18" x14ac:dyDescent="0.25">
      <c r="A968" s="63"/>
      <c r="B968" s="64"/>
      <c r="C968" s="64"/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28"/>
    </row>
    <row r="969" spans="1:18" x14ac:dyDescent="0.25">
      <c r="A969" s="63"/>
      <c r="B969" s="64"/>
      <c r="C969" s="64"/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28"/>
    </row>
    <row r="970" spans="1:18" x14ac:dyDescent="0.25">
      <c r="A970" s="63"/>
      <c r="B970" s="64"/>
      <c r="C970" s="64"/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28"/>
    </row>
    <row r="971" spans="1:18" x14ac:dyDescent="0.25">
      <c r="A971" s="63"/>
      <c r="B971" s="64"/>
      <c r="C971" s="64"/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28"/>
    </row>
    <row r="972" spans="1:18" x14ac:dyDescent="0.25">
      <c r="A972" s="63"/>
      <c r="B972" s="64"/>
      <c r="C972" s="64"/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28"/>
    </row>
    <row r="973" spans="1:18" x14ac:dyDescent="0.25">
      <c r="A973" s="63"/>
      <c r="B973" s="64"/>
      <c r="C973" s="64"/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28"/>
    </row>
    <row r="974" spans="1:18" x14ac:dyDescent="0.25">
      <c r="A974" s="63"/>
      <c r="B974" s="64"/>
      <c r="C974" s="64"/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28"/>
    </row>
    <row r="975" spans="1:18" x14ac:dyDescent="0.25">
      <c r="A975" s="63"/>
      <c r="B975" s="64"/>
      <c r="C975" s="64"/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28"/>
    </row>
    <row r="976" spans="1:18" x14ac:dyDescent="0.25">
      <c r="A976" s="63"/>
      <c r="B976" s="64"/>
      <c r="C976" s="64"/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28"/>
    </row>
    <row r="977" spans="1:18" x14ac:dyDescent="0.25">
      <c r="A977" s="63"/>
      <c r="B977" s="64"/>
      <c r="C977" s="64"/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28"/>
    </row>
    <row r="978" spans="1:18" x14ac:dyDescent="0.25">
      <c r="A978" s="63"/>
      <c r="B978" s="64"/>
      <c r="C978" s="64"/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28"/>
    </row>
    <row r="979" spans="1:18" x14ac:dyDescent="0.25">
      <c r="A979" s="63"/>
      <c r="B979" s="64"/>
      <c r="C979" s="64"/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28"/>
    </row>
    <row r="980" spans="1:18" x14ac:dyDescent="0.25">
      <c r="A980" s="63"/>
      <c r="B980" s="64"/>
      <c r="C980" s="64"/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28"/>
    </row>
    <row r="981" spans="1:18" x14ac:dyDescent="0.25">
      <c r="A981" s="63"/>
      <c r="B981" s="64"/>
      <c r="C981" s="64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28"/>
    </row>
    <row r="982" spans="1:18" x14ac:dyDescent="0.25">
      <c r="A982" s="63"/>
      <c r="B982" s="64"/>
      <c r="C982" s="64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28"/>
    </row>
    <row r="983" spans="1:18" x14ac:dyDescent="0.25">
      <c r="A983" s="63"/>
      <c r="B983" s="64"/>
      <c r="C983" s="64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28"/>
    </row>
    <row r="984" spans="1:18" x14ac:dyDescent="0.25">
      <c r="A984" s="63"/>
      <c r="B984" s="64"/>
      <c r="C984" s="64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28"/>
    </row>
    <row r="985" spans="1:18" x14ac:dyDescent="0.25">
      <c r="A985" s="63"/>
      <c r="B985" s="64"/>
      <c r="C985" s="64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28"/>
    </row>
    <row r="986" spans="1:18" x14ac:dyDescent="0.25">
      <c r="A986" s="63"/>
      <c r="B986" s="64"/>
      <c r="C986" s="64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28"/>
    </row>
    <row r="987" spans="1:18" x14ac:dyDescent="0.25">
      <c r="A987" s="63"/>
      <c r="B987" s="64"/>
      <c r="C987" s="64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28"/>
    </row>
    <row r="988" spans="1:18" x14ac:dyDescent="0.25">
      <c r="A988" s="63"/>
      <c r="B988" s="64"/>
      <c r="C988" s="64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28"/>
    </row>
    <row r="989" spans="1:18" x14ac:dyDescent="0.25">
      <c r="A989" s="63"/>
      <c r="B989" s="64"/>
      <c r="C989" s="64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28"/>
    </row>
    <row r="990" spans="1:18" x14ac:dyDescent="0.25">
      <c r="A990" s="63"/>
      <c r="B990" s="64"/>
      <c r="C990" s="64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28"/>
    </row>
    <row r="991" spans="1:18" x14ac:dyDescent="0.25">
      <c r="A991" s="63"/>
      <c r="B991" s="64"/>
      <c r="C991" s="64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28"/>
    </row>
    <row r="992" spans="1:18" x14ac:dyDescent="0.25">
      <c r="A992" s="63"/>
      <c r="B992" s="64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28"/>
    </row>
    <row r="993" spans="1:18" x14ac:dyDescent="0.25">
      <c r="A993" s="63"/>
      <c r="B993" s="64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28"/>
    </row>
    <row r="994" spans="1:18" x14ac:dyDescent="0.25">
      <c r="A994" s="63"/>
      <c r="B994" s="64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28"/>
    </row>
    <row r="995" spans="1:18" x14ac:dyDescent="0.25">
      <c r="A995" s="63"/>
      <c r="B995" s="64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28"/>
    </row>
    <row r="996" spans="1:18" x14ac:dyDescent="0.25">
      <c r="A996" s="63"/>
      <c r="B996" s="64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28"/>
    </row>
    <row r="997" spans="1:18" x14ac:dyDescent="0.25">
      <c r="A997" s="63"/>
      <c r="B997" s="64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28"/>
    </row>
    <row r="998" spans="1:18" x14ac:dyDescent="0.25">
      <c r="A998" s="63"/>
      <c r="B998" s="64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28"/>
    </row>
    <row r="999" spans="1:18" x14ac:dyDescent="0.25">
      <c r="A999" s="63"/>
      <c r="B999" s="64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28"/>
    </row>
    <row r="1000" spans="1:18" x14ac:dyDescent="0.25">
      <c r="A1000" s="63"/>
      <c r="B1000" s="64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28"/>
    </row>
    <row r="1001" spans="1:18" x14ac:dyDescent="0.25">
      <c r="A1001" s="63"/>
      <c r="B1001" s="64"/>
      <c r="C1001" s="64"/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  <c r="Q1001" s="64"/>
      <c r="R1001" s="28"/>
    </row>
    <row r="1002" spans="1:18" x14ac:dyDescent="0.25">
      <c r="A1002" s="63"/>
      <c r="B1002" s="64"/>
      <c r="C1002" s="64"/>
      <c r="D1002" s="64"/>
      <c r="E1002" s="64"/>
      <c r="F1002" s="64"/>
      <c r="G1002" s="64"/>
      <c r="H1002" s="64"/>
      <c r="I1002" s="64"/>
      <c r="J1002" s="64"/>
      <c r="K1002" s="64"/>
      <c r="L1002" s="64"/>
      <c r="M1002" s="64"/>
      <c r="N1002" s="64"/>
      <c r="O1002" s="64"/>
      <c r="P1002" s="64"/>
      <c r="Q1002" s="64"/>
      <c r="R1002" s="28"/>
    </row>
    <row r="1003" spans="1:18" x14ac:dyDescent="0.25">
      <c r="A1003" s="63"/>
      <c r="B1003" s="64"/>
      <c r="C1003" s="64"/>
      <c r="D1003" s="64"/>
      <c r="E1003" s="64"/>
      <c r="F1003" s="64"/>
      <c r="G1003" s="64"/>
      <c r="H1003" s="64"/>
      <c r="I1003" s="64"/>
      <c r="J1003" s="64"/>
      <c r="K1003" s="64"/>
      <c r="L1003" s="64"/>
      <c r="M1003" s="64"/>
      <c r="N1003" s="64"/>
      <c r="O1003" s="64"/>
      <c r="P1003" s="64"/>
      <c r="Q1003" s="64"/>
      <c r="R1003" s="28"/>
    </row>
    <row r="1004" spans="1:18" x14ac:dyDescent="0.25">
      <c r="A1004" s="63"/>
      <c r="B1004" s="64"/>
      <c r="C1004" s="64"/>
      <c r="D1004" s="64"/>
      <c r="E1004" s="64"/>
      <c r="F1004" s="64"/>
      <c r="G1004" s="64"/>
      <c r="H1004" s="64"/>
      <c r="I1004" s="64"/>
      <c r="J1004" s="64"/>
      <c r="K1004" s="64"/>
      <c r="L1004" s="64"/>
      <c r="M1004" s="64"/>
      <c r="N1004" s="64"/>
      <c r="O1004" s="64"/>
      <c r="P1004" s="64"/>
      <c r="Q1004" s="64"/>
      <c r="R1004" s="28"/>
    </row>
    <row r="1005" spans="1:18" x14ac:dyDescent="0.25">
      <c r="A1005" s="63"/>
      <c r="B1005" s="64"/>
      <c r="C1005" s="64"/>
      <c r="D1005" s="64"/>
      <c r="E1005" s="64"/>
      <c r="F1005" s="64"/>
      <c r="G1005" s="64"/>
      <c r="H1005" s="64"/>
      <c r="I1005" s="64"/>
      <c r="J1005" s="64"/>
      <c r="K1005" s="64"/>
      <c r="L1005" s="64"/>
      <c r="M1005" s="64"/>
      <c r="N1005" s="64"/>
      <c r="O1005" s="64"/>
      <c r="P1005" s="64"/>
      <c r="Q1005" s="64"/>
      <c r="R1005" s="28"/>
    </row>
    <row r="1006" spans="1:18" x14ac:dyDescent="0.25">
      <c r="A1006" s="63"/>
      <c r="B1006" s="64"/>
      <c r="C1006" s="64"/>
      <c r="D1006" s="64"/>
      <c r="E1006" s="64"/>
      <c r="F1006" s="64"/>
      <c r="G1006" s="64"/>
      <c r="H1006" s="64"/>
      <c r="I1006" s="64"/>
      <c r="J1006" s="64"/>
      <c r="K1006" s="64"/>
      <c r="L1006" s="64"/>
      <c r="M1006" s="64"/>
      <c r="N1006" s="64"/>
      <c r="O1006" s="64"/>
      <c r="P1006" s="64"/>
      <c r="Q1006" s="64"/>
      <c r="R1006" s="28"/>
    </row>
    <row r="1007" spans="1:18" x14ac:dyDescent="0.25">
      <c r="A1007" s="63"/>
      <c r="B1007" s="64"/>
      <c r="C1007" s="64"/>
      <c r="D1007" s="64"/>
      <c r="E1007" s="64"/>
      <c r="F1007" s="64"/>
      <c r="G1007" s="64"/>
      <c r="H1007" s="64"/>
      <c r="I1007" s="64"/>
      <c r="J1007" s="64"/>
      <c r="K1007" s="64"/>
      <c r="L1007" s="64"/>
      <c r="M1007" s="64"/>
      <c r="N1007" s="64"/>
      <c r="O1007" s="64"/>
      <c r="P1007" s="64"/>
      <c r="Q1007" s="64"/>
      <c r="R1007" s="28"/>
    </row>
    <row r="1008" spans="1:18" x14ac:dyDescent="0.25">
      <c r="A1008" s="63"/>
      <c r="B1008" s="64"/>
      <c r="C1008" s="64"/>
      <c r="D1008" s="64"/>
      <c r="E1008" s="64"/>
      <c r="F1008" s="64"/>
      <c r="G1008" s="64"/>
      <c r="H1008" s="64"/>
      <c r="I1008" s="64"/>
      <c r="J1008" s="64"/>
      <c r="K1008" s="64"/>
      <c r="L1008" s="64"/>
      <c r="M1008" s="64"/>
      <c r="N1008" s="64"/>
      <c r="O1008" s="64"/>
      <c r="P1008" s="64"/>
      <c r="Q1008" s="64"/>
      <c r="R1008" s="28"/>
    </row>
    <row r="1009" spans="1:18" x14ac:dyDescent="0.25">
      <c r="A1009" s="63"/>
      <c r="B1009" s="64"/>
      <c r="C1009" s="64"/>
      <c r="D1009" s="64"/>
      <c r="E1009" s="64"/>
      <c r="F1009" s="64"/>
      <c r="G1009" s="64"/>
      <c r="H1009" s="64"/>
      <c r="I1009" s="64"/>
      <c r="J1009" s="64"/>
      <c r="K1009" s="64"/>
      <c r="L1009" s="64"/>
      <c r="M1009" s="64"/>
      <c r="N1009" s="64"/>
      <c r="O1009" s="64"/>
      <c r="P1009" s="64"/>
      <c r="Q1009" s="64"/>
      <c r="R1009" s="28"/>
    </row>
    <row r="1010" spans="1:18" x14ac:dyDescent="0.25">
      <c r="A1010" s="63"/>
      <c r="B1010" s="64"/>
      <c r="C1010" s="64"/>
      <c r="D1010" s="64"/>
      <c r="E1010" s="64"/>
      <c r="F1010" s="64"/>
      <c r="G1010" s="64"/>
      <c r="H1010" s="64"/>
      <c r="I1010" s="64"/>
      <c r="J1010" s="64"/>
      <c r="K1010" s="64"/>
      <c r="L1010" s="64"/>
      <c r="M1010" s="64"/>
      <c r="N1010" s="64"/>
      <c r="O1010" s="64"/>
      <c r="P1010" s="64"/>
      <c r="Q1010" s="64"/>
      <c r="R1010" s="28"/>
    </row>
    <row r="1011" spans="1:18" x14ac:dyDescent="0.25">
      <c r="A1011" s="63"/>
      <c r="B1011" s="64"/>
      <c r="C1011" s="64"/>
      <c r="D1011" s="64"/>
      <c r="E1011" s="64"/>
      <c r="F1011" s="64"/>
      <c r="G1011" s="64"/>
      <c r="H1011" s="64"/>
      <c r="I1011" s="64"/>
      <c r="J1011" s="64"/>
      <c r="K1011" s="64"/>
      <c r="L1011" s="64"/>
      <c r="M1011" s="64"/>
      <c r="N1011" s="64"/>
      <c r="O1011" s="64"/>
      <c r="P1011" s="64"/>
      <c r="Q1011" s="64"/>
      <c r="R1011" s="28"/>
    </row>
    <row r="1012" spans="1:18" x14ac:dyDescent="0.25">
      <c r="A1012" s="63"/>
      <c r="B1012" s="64"/>
      <c r="C1012" s="64"/>
      <c r="D1012" s="64"/>
      <c r="E1012" s="64"/>
      <c r="F1012" s="64"/>
      <c r="G1012" s="64"/>
      <c r="H1012" s="64"/>
      <c r="I1012" s="64"/>
      <c r="J1012" s="64"/>
      <c r="K1012" s="64"/>
      <c r="L1012" s="64"/>
      <c r="M1012" s="64"/>
      <c r="N1012" s="64"/>
      <c r="O1012" s="64"/>
      <c r="P1012" s="64"/>
      <c r="Q1012" s="64"/>
      <c r="R1012" s="28"/>
    </row>
    <row r="1013" spans="1:18" x14ac:dyDescent="0.25">
      <c r="A1013" s="63"/>
      <c r="B1013" s="64"/>
      <c r="C1013" s="64"/>
      <c r="D1013" s="64"/>
      <c r="E1013" s="64"/>
      <c r="F1013" s="64"/>
      <c r="G1013" s="64"/>
      <c r="H1013" s="64"/>
      <c r="I1013" s="64"/>
      <c r="J1013" s="64"/>
      <c r="K1013" s="64"/>
      <c r="L1013" s="64"/>
      <c r="M1013" s="64"/>
      <c r="N1013" s="64"/>
      <c r="O1013" s="64"/>
      <c r="P1013" s="64"/>
      <c r="Q1013" s="64"/>
      <c r="R1013" s="28"/>
    </row>
    <row r="1014" spans="1:18" x14ac:dyDescent="0.25">
      <c r="A1014" s="63"/>
      <c r="B1014" s="64"/>
      <c r="C1014" s="64"/>
      <c r="D1014" s="64"/>
      <c r="E1014" s="64"/>
      <c r="F1014" s="64"/>
      <c r="G1014" s="64"/>
      <c r="H1014" s="64"/>
      <c r="I1014" s="64"/>
      <c r="J1014" s="64"/>
      <c r="K1014" s="64"/>
      <c r="L1014" s="64"/>
      <c r="M1014" s="64"/>
      <c r="N1014" s="64"/>
      <c r="O1014" s="64"/>
      <c r="P1014" s="64"/>
      <c r="Q1014" s="64"/>
      <c r="R1014" s="28"/>
    </row>
    <row r="1015" spans="1:18" x14ac:dyDescent="0.25">
      <c r="A1015" s="63"/>
      <c r="B1015" s="64"/>
      <c r="C1015" s="64"/>
      <c r="D1015" s="64"/>
      <c r="E1015" s="64"/>
      <c r="F1015" s="64"/>
      <c r="G1015" s="64"/>
      <c r="H1015" s="64"/>
      <c r="I1015" s="64"/>
      <c r="J1015" s="64"/>
      <c r="K1015" s="64"/>
      <c r="L1015" s="64"/>
      <c r="M1015" s="64"/>
      <c r="N1015" s="64"/>
      <c r="O1015" s="64"/>
      <c r="P1015" s="64"/>
      <c r="Q1015" s="64"/>
      <c r="R1015" s="28"/>
    </row>
    <row r="1016" spans="1:18" x14ac:dyDescent="0.25">
      <c r="A1016" s="63"/>
      <c r="B1016" s="64"/>
      <c r="C1016" s="64"/>
      <c r="D1016" s="64"/>
      <c r="E1016" s="64"/>
      <c r="F1016" s="64"/>
      <c r="G1016" s="64"/>
      <c r="H1016" s="64"/>
      <c r="I1016" s="64"/>
      <c r="J1016" s="64"/>
      <c r="K1016" s="64"/>
      <c r="L1016" s="64"/>
      <c r="M1016" s="64"/>
      <c r="N1016" s="64"/>
      <c r="O1016" s="64"/>
      <c r="P1016" s="64"/>
      <c r="Q1016" s="64"/>
      <c r="R1016" s="28"/>
    </row>
    <row r="1017" spans="1:18" x14ac:dyDescent="0.25">
      <c r="A1017" s="63"/>
      <c r="B1017" s="64"/>
      <c r="C1017" s="64"/>
      <c r="D1017" s="64"/>
      <c r="E1017" s="64"/>
      <c r="F1017" s="64"/>
      <c r="G1017" s="64"/>
      <c r="H1017" s="64"/>
      <c r="I1017" s="64"/>
      <c r="J1017" s="64"/>
      <c r="K1017" s="64"/>
      <c r="L1017" s="64"/>
      <c r="M1017" s="64"/>
      <c r="N1017" s="64"/>
      <c r="O1017" s="64"/>
      <c r="P1017" s="64"/>
      <c r="Q1017" s="64"/>
      <c r="R1017" s="28"/>
    </row>
    <row r="1018" spans="1:18" x14ac:dyDescent="0.25">
      <c r="A1018" s="63"/>
      <c r="B1018" s="64"/>
      <c r="C1018" s="64"/>
      <c r="D1018" s="64"/>
      <c r="E1018" s="64"/>
      <c r="F1018" s="64"/>
      <c r="G1018" s="64"/>
      <c r="H1018" s="64"/>
      <c r="I1018" s="64"/>
      <c r="J1018" s="64"/>
      <c r="K1018" s="64"/>
      <c r="L1018" s="64"/>
      <c r="M1018" s="64"/>
      <c r="N1018" s="64"/>
      <c r="O1018" s="64"/>
      <c r="P1018" s="64"/>
      <c r="Q1018" s="64"/>
      <c r="R1018" s="28"/>
    </row>
    <row r="1019" spans="1:18" x14ac:dyDescent="0.25">
      <c r="A1019" s="63"/>
      <c r="B1019" s="64"/>
      <c r="C1019" s="64"/>
      <c r="D1019" s="64"/>
      <c r="E1019" s="64"/>
      <c r="F1019" s="64"/>
      <c r="G1019" s="64"/>
      <c r="H1019" s="64"/>
      <c r="I1019" s="64"/>
      <c r="J1019" s="64"/>
      <c r="K1019" s="64"/>
      <c r="L1019" s="64"/>
      <c r="M1019" s="64"/>
      <c r="N1019" s="64"/>
      <c r="O1019" s="64"/>
      <c r="P1019" s="64"/>
      <c r="Q1019" s="64"/>
      <c r="R1019" s="28"/>
    </row>
    <row r="1020" spans="1:18" x14ac:dyDescent="0.25">
      <c r="A1020" s="63"/>
      <c r="B1020" s="64"/>
      <c r="C1020" s="64"/>
      <c r="D1020" s="64"/>
      <c r="E1020" s="64"/>
      <c r="F1020" s="64"/>
      <c r="G1020" s="64"/>
      <c r="H1020" s="64"/>
      <c r="I1020" s="64"/>
      <c r="J1020" s="64"/>
      <c r="K1020" s="64"/>
      <c r="L1020" s="64"/>
      <c r="M1020" s="64"/>
      <c r="N1020" s="64"/>
      <c r="O1020" s="64"/>
      <c r="P1020" s="64"/>
      <c r="Q1020" s="64"/>
      <c r="R1020" s="28"/>
    </row>
    <row r="1021" spans="1:18" x14ac:dyDescent="0.25">
      <c r="A1021" s="63"/>
      <c r="B1021" s="64"/>
      <c r="C1021" s="64"/>
      <c r="D1021" s="64"/>
      <c r="E1021" s="64"/>
      <c r="F1021" s="64"/>
      <c r="G1021" s="64"/>
      <c r="H1021" s="64"/>
      <c r="I1021" s="64"/>
      <c r="J1021" s="64"/>
      <c r="K1021" s="64"/>
      <c r="L1021" s="64"/>
      <c r="M1021" s="64"/>
      <c r="N1021" s="64"/>
      <c r="O1021" s="64"/>
      <c r="P1021" s="64"/>
      <c r="Q1021" s="64"/>
      <c r="R1021" s="28"/>
    </row>
    <row r="1022" spans="1:18" x14ac:dyDescent="0.25">
      <c r="A1022" s="63"/>
      <c r="B1022" s="64"/>
      <c r="C1022" s="64"/>
      <c r="D1022" s="64"/>
      <c r="E1022" s="64"/>
      <c r="F1022" s="64"/>
      <c r="G1022" s="64"/>
      <c r="H1022" s="64"/>
      <c r="I1022" s="64"/>
      <c r="J1022" s="64"/>
      <c r="K1022" s="64"/>
      <c r="L1022" s="64"/>
      <c r="M1022" s="64"/>
      <c r="N1022" s="64"/>
      <c r="O1022" s="64"/>
      <c r="P1022" s="64"/>
      <c r="Q1022" s="64"/>
      <c r="R1022" s="28"/>
    </row>
    <row r="1023" spans="1:18" x14ac:dyDescent="0.25">
      <c r="A1023" s="63"/>
      <c r="B1023" s="64"/>
      <c r="C1023" s="64"/>
      <c r="D1023" s="64"/>
      <c r="E1023" s="64"/>
      <c r="F1023" s="64"/>
      <c r="G1023" s="64"/>
      <c r="H1023" s="64"/>
      <c r="I1023" s="64"/>
      <c r="J1023" s="64"/>
      <c r="K1023" s="64"/>
      <c r="L1023" s="64"/>
      <c r="M1023" s="64"/>
      <c r="N1023" s="64"/>
      <c r="O1023" s="64"/>
      <c r="P1023" s="64"/>
      <c r="Q1023" s="64"/>
      <c r="R1023" s="28"/>
    </row>
    <row r="1024" spans="1:18" x14ac:dyDescent="0.25">
      <c r="A1024" s="63"/>
      <c r="B1024" s="64"/>
      <c r="C1024" s="64"/>
      <c r="D1024" s="64"/>
      <c r="E1024" s="64"/>
      <c r="F1024" s="64"/>
      <c r="G1024" s="64"/>
      <c r="H1024" s="64"/>
      <c r="I1024" s="64"/>
      <c r="J1024" s="64"/>
      <c r="K1024" s="64"/>
      <c r="L1024" s="64"/>
      <c r="M1024" s="64"/>
      <c r="N1024" s="64"/>
      <c r="O1024" s="64"/>
      <c r="P1024" s="64"/>
      <c r="Q1024" s="64"/>
      <c r="R1024" s="28"/>
    </row>
    <row r="1025" spans="1:18" x14ac:dyDescent="0.25">
      <c r="A1025" s="63"/>
      <c r="B1025" s="64"/>
      <c r="C1025" s="64"/>
      <c r="D1025" s="64"/>
      <c r="E1025" s="64"/>
      <c r="F1025" s="64"/>
      <c r="G1025" s="64"/>
      <c r="H1025" s="64"/>
      <c r="I1025" s="64"/>
      <c r="J1025" s="64"/>
      <c r="K1025" s="64"/>
      <c r="L1025" s="64"/>
      <c r="M1025" s="64"/>
      <c r="N1025" s="64"/>
      <c r="O1025" s="64"/>
      <c r="P1025" s="64"/>
      <c r="Q1025" s="64"/>
      <c r="R1025" s="28"/>
    </row>
    <row r="1026" spans="1:18" x14ac:dyDescent="0.25">
      <c r="A1026" s="63"/>
      <c r="B1026" s="64"/>
      <c r="C1026" s="64"/>
      <c r="D1026" s="64"/>
      <c r="E1026" s="64"/>
      <c r="F1026" s="64"/>
      <c r="G1026" s="64"/>
      <c r="H1026" s="64"/>
      <c r="I1026" s="64"/>
      <c r="J1026" s="64"/>
      <c r="K1026" s="64"/>
      <c r="L1026" s="64"/>
      <c r="M1026" s="64"/>
      <c r="N1026" s="64"/>
      <c r="O1026" s="64"/>
      <c r="P1026" s="64"/>
      <c r="Q1026" s="64"/>
      <c r="R1026" s="28"/>
    </row>
    <row r="1027" spans="1:18" x14ac:dyDescent="0.25">
      <c r="A1027" s="63"/>
      <c r="B1027" s="64"/>
      <c r="C1027" s="64"/>
      <c r="D1027" s="64"/>
      <c r="E1027" s="64"/>
      <c r="F1027" s="64"/>
      <c r="G1027" s="64"/>
      <c r="H1027" s="64"/>
      <c r="I1027" s="64"/>
      <c r="J1027" s="64"/>
      <c r="K1027" s="64"/>
      <c r="L1027" s="64"/>
      <c r="M1027" s="64"/>
      <c r="N1027" s="64"/>
      <c r="O1027" s="64"/>
      <c r="P1027" s="64"/>
      <c r="Q1027" s="64"/>
      <c r="R1027" s="28"/>
    </row>
    <row r="1028" spans="1:18" x14ac:dyDescent="0.25">
      <c r="A1028" s="63"/>
      <c r="B1028" s="64"/>
      <c r="C1028" s="64"/>
      <c r="D1028" s="64"/>
      <c r="E1028" s="64"/>
      <c r="F1028" s="64"/>
      <c r="G1028" s="64"/>
      <c r="H1028" s="64"/>
      <c r="I1028" s="64"/>
      <c r="J1028" s="64"/>
      <c r="K1028" s="64"/>
      <c r="L1028" s="64"/>
      <c r="M1028" s="64"/>
      <c r="N1028" s="64"/>
      <c r="O1028" s="64"/>
      <c r="P1028" s="64"/>
      <c r="Q1028" s="64"/>
      <c r="R1028" s="28"/>
    </row>
    <row r="1029" spans="1:18" x14ac:dyDescent="0.25">
      <c r="A1029" s="63"/>
      <c r="B1029" s="64"/>
      <c r="C1029" s="64"/>
      <c r="D1029" s="64"/>
      <c r="E1029" s="64"/>
      <c r="F1029" s="64"/>
      <c r="G1029" s="64"/>
      <c r="H1029" s="64"/>
      <c r="I1029" s="64"/>
      <c r="J1029" s="64"/>
      <c r="K1029" s="64"/>
      <c r="L1029" s="64"/>
      <c r="M1029" s="64"/>
      <c r="N1029" s="64"/>
      <c r="O1029" s="64"/>
      <c r="P1029" s="64"/>
      <c r="Q1029" s="64"/>
      <c r="R1029" s="28"/>
    </row>
    <row r="1030" spans="1:18" x14ac:dyDescent="0.25">
      <c r="A1030" s="63"/>
      <c r="B1030" s="64"/>
      <c r="C1030" s="64"/>
      <c r="D1030" s="64"/>
      <c r="E1030" s="64"/>
      <c r="F1030" s="64"/>
      <c r="G1030" s="64"/>
      <c r="H1030" s="64"/>
      <c r="I1030" s="64"/>
      <c r="J1030" s="64"/>
      <c r="K1030" s="64"/>
      <c r="L1030" s="64"/>
      <c r="M1030" s="64"/>
      <c r="N1030" s="64"/>
      <c r="O1030" s="64"/>
      <c r="P1030" s="64"/>
      <c r="Q1030" s="64"/>
      <c r="R1030" s="28"/>
    </row>
    <row r="1031" spans="1:18" x14ac:dyDescent="0.25">
      <c r="A1031" s="63"/>
      <c r="B1031" s="64"/>
      <c r="C1031" s="64"/>
      <c r="D1031" s="64"/>
      <c r="E1031" s="64"/>
      <c r="F1031" s="64"/>
      <c r="G1031" s="64"/>
      <c r="H1031" s="64"/>
      <c r="I1031" s="64"/>
      <c r="J1031" s="64"/>
      <c r="K1031" s="64"/>
      <c r="L1031" s="64"/>
      <c r="M1031" s="64"/>
      <c r="N1031" s="64"/>
      <c r="O1031" s="64"/>
      <c r="P1031" s="64"/>
      <c r="Q1031" s="64"/>
      <c r="R1031" s="28"/>
    </row>
    <row r="1032" spans="1:18" x14ac:dyDescent="0.25">
      <c r="A1032" s="63"/>
      <c r="B1032" s="64"/>
      <c r="C1032" s="64"/>
      <c r="D1032" s="64"/>
      <c r="E1032" s="64"/>
      <c r="F1032" s="64"/>
      <c r="G1032" s="64"/>
      <c r="H1032" s="64"/>
      <c r="I1032" s="64"/>
      <c r="J1032" s="64"/>
      <c r="K1032" s="64"/>
      <c r="L1032" s="64"/>
      <c r="M1032" s="64"/>
      <c r="N1032" s="64"/>
      <c r="O1032" s="64"/>
      <c r="P1032" s="64"/>
      <c r="Q1032" s="64"/>
      <c r="R1032" s="28"/>
    </row>
    <row r="1033" spans="1:18" x14ac:dyDescent="0.25">
      <c r="A1033" s="63"/>
      <c r="B1033" s="64"/>
      <c r="C1033" s="64"/>
      <c r="D1033" s="64"/>
      <c r="E1033" s="64"/>
      <c r="F1033" s="64"/>
      <c r="G1033" s="64"/>
      <c r="H1033" s="64"/>
      <c r="I1033" s="64"/>
      <c r="J1033" s="64"/>
      <c r="K1033" s="64"/>
      <c r="L1033" s="64"/>
      <c r="M1033" s="64"/>
      <c r="N1033" s="64"/>
      <c r="O1033" s="64"/>
      <c r="P1033" s="64"/>
      <c r="Q1033" s="64"/>
      <c r="R1033" s="28"/>
    </row>
    <row r="1034" spans="1:18" x14ac:dyDescent="0.25">
      <c r="A1034" s="63"/>
      <c r="B1034" s="64"/>
      <c r="C1034" s="64"/>
      <c r="D1034" s="64"/>
      <c r="E1034" s="64"/>
      <c r="F1034" s="64"/>
      <c r="G1034" s="64"/>
      <c r="H1034" s="64"/>
      <c r="I1034" s="64"/>
      <c r="J1034" s="64"/>
      <c r="K1034" s="64"/>
      <c r="L1034" s="64"/>
      <c r="M1034" s="64"/>
      <c r="N1034" s="64"/>
      <c r="O1034" s="64"/>
      <c r="P1034" s="64"/>
      <c r="Q1034" s="64"/>
      <c r="R1034" s="28"/>
    </row>
    <row r="1035" spans="1:18" x14ac:dyDescent="0.25">
      <c r="A1035" s="63"/>
      <c r="B1035" s="64"/>
      <c r="C1035" s="64"/>
      <c r="D1035" s="64"/>
      <c r="E1035" s="64"/>
      <c r="F1035" s="64"/>
      <c r="G1035" s="64"/>
      <c r="H1035" s="64"/>
      <c r="I1035" s="64"/>
      <c r="J1035" s="64"/>
      <c r="K1035" s="64"/>
      <c r="L1035" s="64"/>
      <c r="M1035" s="64"/>
      <c r="N1035" s="64"/>
      <c r="O1035" s="64"/>
      <c r="P1035" s="64"/>
      <c r="Q1035" s="64"/>
      <c r="R1035" s="28"/>
    </row>
    <row r="1036" spans="1:18" x14ac:dyDescent="0.25">
      <c r="A1036" s="63"/>
      <c r="B1036" s="64"/>
      <c r="C1036" s="64"/>
      <c r="D1036" s="64"/>
      <c r="E1036" s="64"/>
      <c r="F1036" s="64"/>
      <c r="G1036" s="64"/>
      <c r="H1036" s="64"/>
      <c r="I1036" s="64"/>
      <c r="J1036" s="64"/>
      <c r="K1036" s="64"/>
      <c r="L1036" s="64"/>
      <c r="M1036" s="64"/>
      <c r="N1036" s="64"/>
      <c r="O1036" s="64"/>
      <c r="P1036" s="64"/>
      <c r="Q1036" s="64"/>
      <c r="R1036" s="28"/>
    </row>
    <row r="1037" spans="1:18" x14ac:dyDescent="0.25">
      <c r="A1037" s="63"/>
      <c r="B1037" s="64"/>
      <c r="C1037" s="64"/>
      <c r="D1037" s="64"/>
      <c r="E1037" s="64"/>
      <c r="F1037" s="64"/>
      <c r="G1037" s="64"/>
      <c r="H1037" s="64"/>
      <c r="I1037" s="64"/>
      <c r="J1037" s="64"/>
      <c r="K1037" s="64"/>
      <c r="L1037" s="64"/>
      <c r="M1037" s="64"/>
      <c r="N1037" s="64"/>
      <c r="O1037" s="64"/>
      <c r="P1037" s="64"/>
      <c r="Q1037" s="64"/>
      <c r="R1037" s="28"/>
    </row>
    <row r="1038" spans="1:18" x14ac:dyDescent="0.25">
      <c r="A1038" s="63"/>
      <c r="B1038" s="64"/>
      <c r="C1038" s="64"/>
      <c r="D1038" s="64"/>
      <c r="E1038" s="64"/>
      <c r="F1038" s="64"/>
      <c r="G1038" s="64"/>
      <c r="H1038" s="64"/>
      <c r="I1038" s="64"/>
      <c r="J1038" s="64"/>
      <c r="K1038" s="64"/>
      <c r="L1038" s="64"/>
      <c r="M1038" s="64"/>
      <c r="N1038" s="64"/>
      <c r="O1038" s="64"/>
      <c r="P1038" s="64"/>
      <c r="Q1038" s="64"/>
      <c r="R1038" s="28"/>
    </row>
    <row r="1039" spans="1:18" x14ac:dyDescent="0.25">
      <c r="A1039" s="63"/>
      <c r="B1039" s="64"/>
      <c r="C1039" s="64"/>
      <c r="D1039" s="64"/>
      <c r="E1039" s="64"/>
      <c r="F1039" s="64"/>
      <c r="G1039" s="64"/>
      <c r="H1039" s="64"/>
      <c r="I1039" s="64"/>
      <c r="J1039" s="64"/>
      <c r="K1039" s="64"/>
      <c r="L1039" s="64"/>
      <c r="M1039" s="64"/>
      <c r="N1039" s="64"/>
      <c r="O1039" s="64"/>
      <c r="P1039" s="64"/>
      <c r="Q1039" s="64"/>
      <c r="R1039" s="28"/>
    </row>
    <row r="1040" spans="1:18" x14ac:dyDescent="0.25">
      <c r="A1040" s="63"/>
      <c r="B1040" s="64"/>
      <c r="C1040" s="64"/>
      <c r="D1040" s="64"/>
      <c r="E1040" s="64"/>
      <c r="F1040" s="64"/>
      <c r="G1040" s="64"/>
      <c r="H1040" s="64"/>
      <c r="I1040" s="64"/>
      <c r="J1040" s="64"/>
      <c r="K1040" s="64"/>
      <c r="L1040" s="64"/>
      <c r="M1040" s="64"/>
      <c r="N1040" s="64"/>
      <c r="O1040" s="64"/>
      <c r="P1040" s="64"/>
      <c r="Q1040" s="64"/>
      <c r="R1040" s="28"/>
    </row>
    <row r="1041" spans="1:18" x14ac:dyDescent="0.25">
      <c r="A1041" s="63"/>
      <c r="B1041" s="64"/>
      <c r="C1041" s="64"/>
      <c r="D1041" s="64"/>
      <c r="E1041" s="64"/>
      <c r="F1041" s="64"/>
      <c r="G1041" s="64"/>
      <c r="H1041" s="64"/>
      <c r="I1041" s="64"/>
      <c r="J1041" s="64"/>
      <c r="K1041" s="64"/>
      <c r="L1041" s="64"/>
      <c r="M1041" s="64"/>
      <c r="N1041" s="64"/>
      <c r="O1041" s="64"/>
      <c r="P1041" s="64"/>
      <c r="Q1041" s="64"/>
      <c r="R1041" s="28"/>
    </row>
    <row r="1042" spans="1:18" x14ac:dyDescent="0.25">
      <c r="A1042" s="63"/>
      <c r="B1042" s="64"/>
      <c r="C1042" s="64"/>
      <c r="D1042" s="64"/>
      <c r="E1042" s="64"/>
      <c r="F1042" s="64"/>
      <c r="G1042" s="64"/>
      <c r="H1042" s="64"/>
      <c r="I1042" s="64"/>
      <c r="J1042" s="64"/>
      <c r="K1042" s="64"/>
      <c r="L1042" s="64"/>
      <c r="M1042" s="64"/>
      <c r="N1042" s="64"/>
      <c r="O1042" s="64"/>
      <c r="P1042" s="64"/>
      <c r="Q1042" s="64"/>
      <c r="R1042" s="28"/>
    </row>
    <row r="1043" spans="1:18" x14ac:dyDescent="0.25">
      <c r="A1043" s="63"/>
      <c r="B1043" s="64"/>
      <c r="C1043" s="64"/>
      <c r="D1043" s="64"/>
      <c r="E1043" s="64"/>
      <c r="F1043" s="64"/>
      <c r="G1043" s="64"/>
      <c r="H1043" s="64"/>
      <c r="I1043" s="64"/>
      <c r="J1043" s="64"/>
      <c r="K1043" s="64"/>
      <c r="L1043" s="64"/>
      <c r="M1043" s="64"/>
      <c r="N1043" s="64"/>
      <c r="O1043" s="64"/>
      <c r="P1043" s="64"/>
      <c r="Q1043" s="64"/>
      <c r="R1043" s="28"/>
    </row>
    <row r="1044" spans="1:18" x14ac:dyDescent="0.25">
      <c r="A1044" s="63"/>
      <c r="B1044" s="64"/>
      <c r="C1044" s="64"/>
      <c r="D1044" s="64"/>
      <c r="E1044" s="64"/>
      <c r="F1044" s="64"/>
      <c r="G1044" s="64"/>
      <c r="H1044" s="64"/>
      <c r="I1044" s="64"/>
      <c r="J1044" s="64"/>
      <c r="K1044" s="64"/>
      <c r="L1044" s="64"/>
      <c r="M1044" s="64"/>
      <c r="N1044" s="64"/>
      <c r="O1044" s="64"/>
      <c r="P1044" s="64"/>
      <c r="Q1044" s="64"/>
      <c r="R1044" s="28"/>
    </row>
    <row r="1045" spans="1:18" x14ac:dyDescent="0.25">
      <c r="A1045" s="63"/>
      <c r="B1045" s="64"/>
      <c r="C1045" s="64"/>
      <c r="D1045" s="64"/>
      <c r="E1045" s="64"/>
      <c r="F1045" s="64"/>
      <c r="G1045" s="64"/>
      <c r="H1045" s="64"/>
      <c r="I1045" s="64"/>
      <c r="J1045" s="64"/>
      <c r="K1045" s="64"/>
      <c r="L1045" s="64"/>
      <c r="M1045" s="64"/>
      <c r="N1045" s="64"/>
      <c r="O1045" s="64"/>
      <c r="P1045" s="64"/>
      <c r="Q1045" s="64"/>
      <c r="R1045" s="28"/>
    </row>
    <row r="1046" spans="1:18" x14ac:dyDescent="0.25">
      <c r="A1046" s="63"/>
      <c r="B1046" s="64"/>
      <c r="C1046" s="64"/>
      <c r="D1046" s="64"/>
      <c r="E1046" s="64"/>
      <c r="F1046" s="64"/>
      <c r="G1046" s="64"/>
      <c r="H1046" s="64"/>
      <c r="I1046" s="64"/>
      <c r="J1046" s="64"/>
      <c r="K1046" s="64"/>
      <c r="L1046" s="64"/>
      <c r="M1046" s="64"/>
      <c r="N1046" s="64"/>
      <c r="O1046" s="64"/>
      <c r="P1046" s="64"/>
      <c r="Q1046" s="64"/>
      <c r="R1046" s="28"/>
    </row>
    <row r="1047" spans="1:18" x14ac:dyDescent="0.25">
      <c r="A1047" s="63"/>
      <c r="B1047" s="64"/>
      <c r="C1047" s="64"/>
      <c r="D1047" s="64"/>
      <c r="E1047" s="64"/>
      <c r="F1047" s="64"/>
      <c r="G1047" s="64"/>
      <c r="H1047" s="64"/>
      <c r="I1047" s="64"/>
      <c r="J1047" s="64"/>
      <c r="K1047" s="64"/>
      <c r="L1047" s="64"/>
      <c r="M1047" s="64"/>
      <c r="N1047" s="64"/>
      <c r="O1047" s="64"/>
      <c r="P1047" s="64"/>
      <c r="Q1047" s="64"/>
      <c r="R1047" s="28"/>
    </row>
    <row r="1048" spans="1:18" x14ac:dyDescent="0.25">
      <c r="A1048" s="63"/>
      <c r="B1048" s="64"/>
      <c r="C1048" s="64"/>
      <c r="D1048" s="64"/>
      <c r="E1048" s="64"/>
      <c r="F1048" s="64"/>
      <c r="G1048" s="64"/>
      <c r="H1048" s="64"/>
      <c r="I1048" s="64"/>
      <c r="J1048" s="64"/>
      <c r="K1048" s="64"/>
      <c r="L1048" s="64"/>
      <c r="M1048" s="64"/>
      <c r="N1048" s="64"/>
      <c r="O1048" s="64"/>
      <c r="P1048" s="64"/>
      <c r="Q1048" s="64"/>
      <c r="R1048" s="28"/>
    </row>
    <row r="1049" spans="1:18" x14ac:dyDescent="0.25">
      <c r="A1049" s="63"/>
      <c r="B1049" s="64"/>
      <c r="C1049" s="64"/>
      <c r="D1049" s="64"/>
      <c r="E1049" s="64"/>
      <c r="F1049" s="64"/>
      <c r="G1049" s="64"/>
      <c r="H1049" s="64"/>
      <c r="I1049" s="64"/>
      <c r="J1049" s="64"/>
      <c r="K1049" s="64"/>
      <c r="L1049" s="64"/>
      <c r="M1049" s="64"/>
      <c r="N1049" s="64"/>
      <c r="O1049" s="64"/>
      <c r="P1049" s="64"/>
      <c r="Q1049" s="64"/>
      <c r="R1049" s="28"/>
    </row>
    <row r="1050" spans="1:18" x14ac:dyDescent="0.25">
      <c r="A1050" s="63"/>
      <c r="B1050" s="64"/>
      <c r="C1050" s="64"/>
      <c r="D1050" s="64"/>
      <c r="E1050" s="64"/>
      <c r="F1050" s="64"/>
      <c r="G1050" s="64"/>
      <c r="H1050" s="64"/>
      <c r="I1050" s="64"/>
      <c r="J1050" s="64"/>
      <c r="K1050" s="64"/>
      <c r="L1050" s="64"/>
      <c r="M1050" s="64"/>
      <c r="N1050" s="64"/>
      <c r="O1050" s="64"/>
      <c r="P1050" s="64"/>
      <c r="Q1050" s="64"/>
      <c r="R1050" s="28"/>
    </row>
    <row r="1051" spans="1:18" x14ac:dyDescent="0.25">
      <c r="A1051" s="63"/>
      <c r="B1051" s="64"/>
      <c r="C1051" s="64"/>
      <c r="D1051" s="64"/>
      <c r="E1051" s="64"/>
      <c r="F1051" s="64"/>
      <c r="G1051" s="64"/>
      <c r="H1051" s="64"/>
      <c r="I1051" s="64"/>
      <c r="J1051" s="64"/>
      <c r="K1051" s="64"/>
      <c r="L1051" s="64"/>
      <c r="M1051" s="64"/>
      <c r="N1051" s="64"/>
      <c r="O1051" s="64"/>
      <c r="P1051" s="64"/>
      <c r="Q1051" s="64"/>
      <c r="R1051" s="28"/>
    </row>
    <row r="1052" spans="1:18" x14ac:dyDescent="0.25">
      <c r="A1052" s="63"/>
      <c r="B1052" s="64"/>
      <c r="C1052" s="64"/>
      <c r="D1052" s="64"/>
      <c r="E1052" s="64"/>
      <c r="F1052" s="64"/>
      <c r="G1052" s="64"/>
      <c r="H1052" s="64"/>
      <c r="I1052" s="64"/>
      <c r="J1052" s="64"/>
      <c r="K1052" s="64"/>
      <c r="L1052" s="64"/>
      <c r="M1052" s="64"/>
      <c r="N1052" s="64"/>
      <c r="O1052" s="64"/>
      <c r="P1052" s="64"/>
      <c r="Q1052" s="64"/>
      <c r="R1052" s="28"/>
    </row>
    <row r="1053" spans="1:18" x14ac:dyDescent="0.25">
      <c r="A1053" s="63"/>
      <c r="B1053" s="64"/>
      <c r="C1053" s="64"/>
      <c r="D1053" s="64"/>
      <c r="E1053" s="64"/>
      <c r="F1053" s="64"/>
      <c r="G1053" s="64"/>
      <c r="H1053" s="64"/>
      <c r="I1053" s="64"/>
      <c r="J1053" s="64"/>
      <c r="K1053" s="64"/>
      <c r="L1053" s="64"/>
      <c r="M1053" s="64"/>
      <c r="N1053" s="64"/>
      <c r="O1053" s="64"/>
      <c r="P1053" s="64"/>
      <c r="Q1053" s="64"/>
      <c r="R1053" s="28"/>
    </row>
    <row r="1054" spans="1:18" x14ac:dyDescent="0.25">
      <c r="A1054" s="63"/>
      <c r="B1054" s="64"/>
      <c r="C1054" s="64"/>
      <c r="D1054" s="64"/>
      <c r="E1054" s="64"/>
      <c r="F1054" s="64"/>
      <c r="G1054" s="64"/>
      <c r="H1054" s="64"/>
      <c r="I1054" s="64"/>
      <c r="J1054" s="64"/>
      <c r="K1054" s="64"/>
      <c r="L1054" s="64"/>
      <c r="M1054" s="64"/>
      <c r="N1054" s="64"/>
      <c r="O1054" s="64"/>
      <c r="P1054" s="64"/>
      <c r="Q1054" s="64"/>
      <c r="R1054" s="28"/>
    </row>
    <row r="1055" spans="1:18" x14ac:dyDescent="0.25">
      <c r="A1055" s="63"/>
      <c r="B1055" s="64"/>
      <c r="C1055" s="64"/>
      <c r="D1055" s="64"/>
      <c r="E1055" s="64"/>
      <c r="F1055" s="64"/>
      <c r="G1055" s="64"/>
      <c r="H1055" s="64"/>
      <c r="I1055" s="64"/>
      <c r="J1055" s="64"/>
      <c r="K1055" s="64"/>
      <c r="L1055" s="64"/>
      <c r="M1055" s="64"/>
      <c r="N1055" s="64"/>
      <c r="O1055" s="64"/>
      <c r="P1055" s="64"/>
      <c r="Q1055" s="64"/>
      <c r="R1055" s="28"/>
    </row>
    <row r="1056" spans="1:18" x14ac:dyDescent="0.25">
      <c r="A1056" s="63"/>
      <c r="B1056" s="64"/>
      <c r="C1056" s="64"/>
      <c r="D1056" s="64"/>
      <c r="E1056" s="64"/>
      <c r="F1056" s="64"/>
      <c r="G1056" s="64"/>
      <c r="H1056" s="64"/>
      <c r="I1056" s="64"/>
      <c r="J1056" s="64"/>
      <c r="K1056" s="64"/>
      <c r="L1056" s="64"/>
      <c r="M1056" s="64"/>
      <c r="N1056" s="64"/>
      <c r="O1056" s="64"/>
      <c r="P1056" s="64"/>
      <c r="Q1056" s="64"/>
      <c r="R1056" s="28"/>
    </row>
    <row r="1057" spans="1:18" x14ac:dyDescent="0.25">
      <c r="A1057" s="63"/>
      <c r="B1057" s="64"/>
      <c r="C1057" s="64"/>
      <c r="D1057" s="64"/>
      <c r="E1057" s="64"/>
      <c r="F1057" s="64"/>
      <c r="G1057" s="64"/>
      <c r="H1057" s="64"/>
      <c r="I1057" s="64"/>
      <c r="J1057" s="64"/>
      <c r="K1057" s="64"/>
      <c r="L1057" s="64"/>
      <c r="M1057" s="64"/>
      <c r="N1057" s="64"/>
      <c r="O1057" s="64"/>
      <c r="P1057" s="64"/>
      <c r="Q1057" s="64"/>
      <c r="R1057" s="28"/>
    </row>
    <row r="1058" spans="1:18" x14ac:dyDescent="0.25">
      <c r="A1058" s="63"/>
      <c r="B1058" s="64"/>
      <c r="C1058" s="64"/>
      <c r="D1058" s="64"/>
      <c r="E1058" s="64"/>
      <c r="F1058" s="64"/>
      <c r="G1058" s="64"/>
      <c r="H1058" s="64"/>
      <c r="I1058" s="64"/>
      <c r="J1058" s="64"/>
      <c r="K1058" s="64"/>
      <c r="L1058" s="64"/>
      <c r="M1058" s="64"/>
      <c r="N1058" s="64"/>
      <c r="O1058" s="64"/>
      <c r="P1058" s="64"/>
      <c r="Q1058" s="64"/>
      <c r="R1058" s="28"/>
    </row>
    <row r="1059" spans="1:18" x14ac:dyDescent="0.25">
      <c r="A1059" s="63"/>
      <c r="B1059" s="64"/>
      <c r="C1059" s="64"/>
      <c r="D1059" s="64"/>
      <c r="E1059" s="64"/>
      <c r="F1059" s="64"/>
      <c r="G1059" s="64"/>
      <c r="H1059" s="64"/>
      <c r="I1059" s="64"/>
      <c r="J1059" s="64"/>
      <c r="K1059" s="64"/>
      <c r="L1059" s="64"/>
      <c r="M1059" s="64"/>
      <c r="N1059" s="64"/>
      <c r="O1059" s="64"/>
      <c r="P1059" s="64"/>
      <c r="Q1059" s="64"/>
      <c r="R1059" s="28"/>
    </row>
    <row r="1060" spans="1:18" x14ac:dyDescent="0.25">
      <c r="A1060" s="63"/>
      <c r="B1060" s="64"/>
      <c r="C1060" s="64"/>
      <c r="D1060" s="64"/>
      <c r="E1060" s="64"/>
      <c r="F1060" s="64"/>
      <c r="G1060" s="64"/>
      <c r="H1060" s="64"/>
      <c r="I1060" s="64"/>
      <c r="J1060" s="64"/>
      <c r="K1060" s="64"/>
      <c r="L1060" s="64"/>
      <c r="M1060" s="64"/>
      <c r="N1060" s="64"/>
      <c r="O1060" s="64"/>
      <c r="P1060" s="64"/>
      <c r="Q1060" s="64"/>
      <c r="R1060" s="28"/>
    </row>
    <row r="1061" spans="1:18" x14ac:dyDescent="0.25">
      <c r="A1061" s="63"/>
      <c r="B1061" s="64"/>
      <c r="C1061" s="64"/>
      <c r="D1061" s="64"/>
      <c r="E1061" s="64"/>
      <c r="F1061" s="64"/>
      <c r="G1061" s="64"/>
      <c r="H1061" s="64"/>
      <c r="I1061" s="64"/>
      <c r="J1061" s="64"/>
      <c r="K1061" s="64"/>
      <c r="L1061" s="64"/>
      <c r="M1061" s="64"/>
      <c r="N1061" s="64"/>
      <c r="O1061" s="64"/>
      <c r="P1061" s="64"/>
      <c r="Q1061" s="64"/>
      <c r="R1061" s="28"/>
    </row>
    <row r="1062" spans="1:18" x14ac:dyDescent="0.25">
      <c r="A1062" s="63"/>
      <c r="B1062" s="64"/>
      <c r="C1062" s="64"/>
      <c r="D1062" s="64"/>
      <c r="E1062" s="64"/>
      <c r="F1062" s="64"/>
      <c r="G1062" s="64"/>
      <c r="H1062" s="64"/>
      <c r="I1062" s="64"/>
      <c r="J1062" s="64"/>
      <c r="K1062" s="64"/>
      <c r="L1062" s="64"/>
      <c r="M1062" s="64"/>
      <c r="N1062" s="64"/>
      <c r="O1062" s="64"/>
      <c r="P1062" s="64"/>
      <c r="Q1062" s="64"/>
      <c r="R1062" s="28"/>
    </row>
    <row r="1063" spans="1:18" x14ac:dyDescent="0.25">
      <c r="A1063" s="63"/>
      <c r="B1063" s="64"/>
      <c r="C1063" s="64"/>
      <c r="D1063" s="64"/>
      <c r="E1063" s="64"/>
      <c r="F1063" s="64"/>
      <c r="G1063" s="64"/>
      <c r="H1063" s="64"/>
      <c r="I1063" s="64"/>
      <c r="J1063" s="64"/>
      <c r="K1063" s="64"/>
      <c r="L1063" s="64"/>
      <c r="M1063" s="64"/>
      <c r="N1063" s="64"/>
      <c r="O1063" s="64"/>
      <c r="P1063" s="64"/>
      <c r="Q1063" s="64"/>
      <c r="R1063" s="28"/>
    </row>
    <row r="1064" spans="1:18" x14ac:dyDescent="0.25">
      <c r="A1064" s="63"/>
      <c r="B1064" s="64"/>
      <c r="C1064" s="64"/>
      <c r="D1064" s="64"/>
      <c r="E1064" s="64"/>
      <c r="F1064" s="64"/>
      <c r="G1064" s="64"/>
      <c r="H1064" s="64"/>
      <c r="I1064" s="64"/>
      <c r="J1064" s="64"/>
      <c r="K1064" s="64"/>
      <c r="L1064" s="64"/>
      <c r="M1064" s="64"/>
      <c r="N1064" s="64"/>
      <c r="O1064" s="64"/>
      <c r="P1064" s="64"/>
      <c r="Q1064" s="64"/>
      <c r="R1064" s="28"/>
    </row>
    <row r="1065" spans="1:18" x14ac:dyDescent="0.25">
      <c r="A1065" s="63"/>
      <c r="B1065" s="64"/>
      <c r="C1065" s="64"/>
      <c r="D1065" s="64"/>
      <c r="E1065" s="64"/>
      <c r="F1065" s="64"/>
      <c r="G1065" s="64"/>
      <c r="H1065" s="64"/>
      <c r="I1065" s="64"/>
      <c r="J1065" s="64"/>
      <c r="K1065" s="64"/>
      <c r="L1065" s="64"/>
      <c r="M1065" s="64"/>
      <c r="N1065" s="64"/>
      <c r="O1065" s="64"/>
      <c r="P1065" s="64"/>
      <c r="Q1065" s="64"/>
      <c r="R1065" s="28"/>
    </row>
    <row r="1066" spans="1:18" x14ac:dyDescent="0.25">
      <c r="A1066" s="63"/>
      <c r="B1066" s="64"/>
      <c r="C1066" s="64"/>
      <c r="D1066" s="64"/>
      <c r="E1066" s="64"/>
      <c r="F1066" s="64"/>
      <c r="G1066" s="64"/>
      <c r="H1066" s="64"/>
      <c r="I1066" s="64"/>
      <c r="J1066" s="64"/>
      <c r="K1066" s="64"/>
      <c r="L1066" s="64"/>
      <c r="M1066" s="64"/>
      <c r="N1066" s="64"/>
      <c r="O1066" s="64"/>
      <c r="P1066" s="64"/>
      <c r="Q1066" s="64"/>
      <c r="R1066" s="28"/>
    </row>
    <row r="1067" spans="1:18" x14ac:dyDescent="0.25">
      <c r="A1067" s="63"/>
      <c r="B1067" s="64"/>
      <c r="C1067" s="64"/>
      <c r="D1067" s="64"/>
      <c r="E1067" s="64"/>
      <c r="F1067" s="64"/>
      <c r="G1067" s="64"/>
      <c r="H1067" s="64"/>
      <c r="I1067" s="64"/>
      <c r="J1067" s="64"/>
      <c r="K1067" s="64"/>
      <c r="L1067" s="64"/>
      <c r="M1067" s="64"/>
      <c r="N1067" s="64"/>
      <c r="O1067" s="64"/>
      <c r="P1067" s="64"/>
      <c r="Q1067" s="64"/>
      <c r="R1067" s="28"/>
    </row>
    <row r="1068" spans="1:18" x14ac:dyDescent="0.25">
      <c r="A1068" s="63"/>
      <c r="B1068" s="64"/>
      <c r="C1068" s="64"/>
      <c r="D1068" s="64"/>
      <c r="E1068" s="64"/>
      <c r="F1068" s="64"/>
      <c r="G1068" s="64"/>
      <c r="H1068" s="64"/>
      <c r="I1068" s="64"/>
      <c r="J1068" s="64"/>
      <c r="K1068" s="64"/>
      <c r="L1068" s="64"/>
      <c r="M1068" s="64"/>
      <c r="N1068" s="64"/>
      <c r="O1068" s="64"/>
      <c r="P1068" s="64"/>
      <c r="Q1068" s="64"/>
      <c r="R1068" s="28"/>
    </row>
    <row r="1069" spans="1:18" x14ac:dyDescent="0.25">
      <c r="A1069" s="63"/>
      <c r="B1069" s="64"/>
      <c r="C1069" s="64"/>
      <c r="D1069" s="64"/>
      <c r="E1069" s="64"/>
      <c r="F1069" s="64"/>
      <c r="G1069" s="64"/>
      <c r="H1069" s="64"/>
      <c r="I1069" s="64"/>
      <c r="J1069" s="64"/>
      <c r="K1069" s="64"/>
      <c r="L1069" s="64"/>
      <c r="M1069" s="64"/>
      <c r="N1069" s="64"/>
      <c r="O1069" s="64"/>
      <c r="P1069" s="64"/>
      <c r="Q1069" s="64"/>
      <c r="R1069" s="28"/>
    </row>
    <row r="1070" spans="1:18" x14ac:dyDescent="0.25">
      <c r="A1070" s="63"/>
      <c r="B1070" s="64"/>
      <c r="C1070" s="64"/>
      <c r="D1070" s="64"/>
      <c r="E1070" s="64"/>
      <c r="F1070" s="64"/>
      <c r="G1070" s="64"/>
      <c r="H1070" s="64"/>
      <c r="I1070" s="64"/>
      <c r="J1070" s="64"/>
      <c r="K1070" s="64"/>
      <c r="L1070" s="64"/>
      <c r="M1070" s="64"/>
      <c r="N1070" s="64"/>
      <c r="O1070" s="64"/>
      <c r="P1070" s="64"/>
      <c r="Q1070" s="64"/>
      <c r="R1070" s="28"/>
    </row>
    <row r="1071" spans="1:18" x14ac:dyDescent="0.25">
      <c r="A1071" s="63"/>
      <c r="B1071" s="64"/>
      <c r="C1071" s="64"/>
      <c r="D1071" s="64"/>
      <c r="E1071" s="64"/>
      <c r="F1071" s="64"/>
      <c r="G1071" s="64"/>
      <c r="H1071" s="64"/>
      <c r="I1071" s="64"/>
      <c r="J1071" s="64"/>
      <c r="K1071" s="64"/>
      <c r="L1071" s="64"/>
      <c r="M1071" s="64"/>
      <c r="N1071" s="64"/>
      <c r="O1071" s="64"/>
      <c r="P1071" s="64"/>
      <c r="Q1071" s="64"/>
      <c r="R1071" s="28"/>
    </row>
    <row r="1072" spans="1:18" x14ac:dyDescent="0.25">
      <c r="A1072" s="63"/>
      <c r="B1072" s="64"/>
      <c r="C1072" s="64"/>
      <c r="D1072" s="64"/>
      <c r="E1072" s="64"/>
      <c r="F1072" s="64"/>
      <c r="G1072" s="64"/>
      <c r="H1072" s="64"/>
      <c r="I1072" s="64"/>
      <c r="J1072" s="64"/>
      <c r="K1072" s="64"/>
      <c r="L1072" s="64"/>
      <c r="M1072" s="64"/>
      <c r="N1072" s="64"/>
      <c r="O1072" s="64"/>
      <c r="P1072" s="64"/>
      <c r="Q1072" s="64"/>
      <c r="R1072" s="28"/>
    </row>
    <row r="1073" spans="1:18" x14ac:dyDescent="0.25">
      <c r="A1073" s="63"/>
      <c r="B1073" s="64"/>
      <c r="C1073" s="64"/>
      <c r="D1073" s="64"/>
      <c r="E1073" s="64"/>
      <c r="F1073" s="64"/>
      <c r="G1073" s="64"/>
      <c r="H1073" s="64"/>
      <c r="I1073" s="64"/>
      <c r="J1073" s="64"/>
      <c r="K1073" s="64"/>
      <c r="L1073" s="64"/>
      <c r="M1073" s="64"/>
      <c r="N1073" s="64"/>
      <c r="O1073" s="64"/>
      <c r="P1073" s="64"/>
      <c r="Q1073" s="64"/>
      <c r="R1073" s="28"/>
    </row>
    <row r="1074" spans="1:18" x14ac:dyDescent="0.25">
      <c r="A1074" s="63"/>
      <c r="B1074" s="64"/>
      <c r="C1074" s="64"/>
      <c r="D1074" s="64"/>
      <c r="E1074" s="64"/>
      <c r="F1074" s="64"/>
      <c r="G1074" s="64"/>
      <c r="H1074" s="64"/>
      <c r="I1074" s="64"/>
      <c r="J1074" s="64"/>
      <c r="K1074" s="64"/>
      <c r="L1074" s="64"/>
      <c r="M1074" s="64"/>
      <c r="N1074" s="64"/>
      <c r="O1074" s="64"/>
      <c r="P1074" s="64"/>
      <c r="Q1074" s="64"/>
      <c r="R1074" s="28"/>
    </row>
    <row r="1075" spans="1:18" x14ac:dyDescent="0.25">
      <c r="A1075" s="63"/>
      <c r="B1075" s="64"/>
      <c r="C1075" s="64"/>
      <c r="D1075" s="64"/>
      <c r="E1075" s="64"/>
      <c r="F1075" s="64"/>
      <c r="G1075" s="64"/>
      <c r="H1075" s="64"/>
      <c r="I1075" s="64"/>
      <c r="J1075" s="64"/>
      <c r="K1075" s="64"/>
      <c r="L1075" s="64"/>
      <c r="M1075" s="64"/>
      <c r="N1075" s="64"/>
      <c r="O1075" s="64"/>
      <c r="P1075" s="64"/>
      <c r="Q1075" s="64"/>
      <c r="R1075" s="28"/>
    </row>
    <row r="1076" spans="1:18" x14ac:dyDescent="0.25">
      <c r="A1076" s="63"/>
      <c r="B1076" s="64"/>
      <c r="C1076" s="64"/>
      <c r="D1076" s="64"/>
      <c r="E1076" s="64"/>
      <c r="F1076" s="64"/>
      <c r="G1076" s="64"/>
      <c r="H1076" s="64"/>
      <c r="I1076" s="64"/>
      <c r="J1076" s="64"/>
      <c r="K1076" s="64"/>
      <c r="L1076" s="64"/>
      <c r="M1076" s="64"/>
      <c r="N1076" s="64"/>
      <c r="O1076" s="64"/>
      <c r="P1076" s="64"/>
      <c r="Q1076" s="64"/>
      <c r="R1076" s="28"/>
    </row>
    <row r="1077" spans="1:18" x14ac:dyDescent="0.25">
      <c r="A1077" s="63"/>
      <c r="B1077" s="64"/>
      <c r="C1077" s="64"/>
      <c r="D1077" s="64"/>
      <c r="E1077" s="64"/>
      <c r="F1077" s="64"/>
      <c r="G1077" s="64"/>
      <c r="H1077" s="64"/>
      <c r="I1077" s="64"/>
      <c r="J1077" s="64"/>
      <c r="K1077" s="64"/>
      <c r="L1077" s="64"/>
      <c r="M1077" s="64"/>
      <c r="N1077" s="64"/>
      <c r="O1077" s="64"/>
      <c r="P1077" s="64"/>
      <c r="Q1077" s="64"/>
      <c r="R1077" s="28"/>
    </row>
    <row r="1078" spans="1:18" x14ac:dyDescent="0.25">
      <c r="A1078" s="63"/>
      <c r="B1078" s="64"/>
      <c r="C1078" s="64"/>
      <c r="D1078" s="64"/>
      <c r="E1078" s="64"/>
      <c r="F1078" s="64"/>
      <c r="G1078" s="64"/>
      <c r="H1078" s="64"/>
      <c r="I1078" s="64"/>
      <c r="J1078" s="64"/>
      <c r="K1078" s="64"/>
      <c r="L1078" s="64"/>
      <c r="M1078" s="64"/>
      <c r="N1078" s="64"/>
      <c r="O1078" s="64"/>
      <c r="P1078" s="64"/>
      <c r="Q1078" s="64"/>
      <c r="R1078" s="28"/>
    </row>
    <row r="1079" spans="1:18" x14ac:dyDescent="0.25">
      <c r="A1079" s="63"/>
      <c r="B1079" s="64"/>
      <c r="C1079" s="64"/>
      <c r="D1079" s="64"/>
      <c r="E1079" s="64"/>
      <c r="F1079" s="64"/>
      <c r="G1079" s="64"/>
      <c r="H1079" s="64"/>
      <c r="I1079" s="64"/>
      <c r="J1079" s="64"/>
      <c r="K1079" s="64"/>
      <c r="L1079" s="64"/>
      <c r="M1079" s="64"/>
      <c r="N1079" s="64"/>
      <c r="O1079" s="64"/>
      <c r="P1079" s="64"/>
      <c r="Q1079" s="64"/>
      <c r="R1079" s="28"/>
    </row>
    <row r="1080" spans="1:18" x14ac:dyDescent="0.25">
      <c r="A1080" s="63"/>
      <c r="B1080" s="64"/>
      <c r="C1080" s="64"/>
      <c r="D1080" s="64"/>
      <c r="E1080" s="64"/>
      <c r="F1080" s="64"/>
      <c r="G1080" s="64"/>
      <c r="H1080" s="64"/>
      <c r="I1080" s="64"/>
      <c r="J1080" s="64"/>
      <c r="K1080" s="64"/>
      <c r="L1080" s="64"/>
      <c r="M1080" s="64"/>
      <c r="N1080" s="64"/>
      <c r="O1080" s="64"/>
      <c r="P1080" s="64"/>
      <c r="Q1080" s="64"/>
      <c r="R1080" s="28"/>
    </row>
    <row r="1081" spans="1:18" x14ac:dyDescent="0.25">
      <c r="A1081" s="63"/>
      <c r="B1081" s="64"/>
      <c r="C1081" s="64"/>
      <c r="D1081" s="64"/>
      <c r="E1081" s="64"/>
      <c r="F1081" s="64"/>
      <c r="G1081" s="64"/>
      <c r="H1081" s="64"/>
      <c r="I1081" s="64"/>
      <c r="J1081" s="64"/>
      <c r="K1081" s="64"/>
      <c r="L1081" s="64"/>
      <c r="M1081" s="64"/>
      <c r="N1081" s="64"/>
      <c r="O1081" s="64"/>
      <c r="P1081" s="64"/>
      <c r="Q1081" s="64"/>
      <c r="R1081" s="28"/>
    </row>
    <row r="1082" spans="1:18" x14ac:dyDescent="0.25">
      <c r="A1082" s="63"/>
      <c r="B1082" s="64"/>
      <c r="C1082" s="64"/>
      <c r="D1082" s="64"/>
      <c r="E1082" s="64"/>
      <c r="F1082" s="64"/>
      <c r="G1082" s="64"/>
      <c r="H1082" s="64"/>
      <c r="I1082" s="64"/>
      <c r="J1082" s="64"/>
      <c r="K1082" s="64"/>
      <c r="L1082" s="64"/>
      <c r="M1082" s="64"/>
      <c r="N1082" s="64"/>
      <c r="O1082" s="64"/>
      <c r="P1082" s="64"/>
      <c r="Q1082" s="64"/>
      <c r="R1082" s="28"/>
    </row>
    <row r="1083" spans="1:18" x14ac:dyDescent="0.25">
      <c r="A1083" s="63"/>
      <c r="B1083" s="64"/>
      <c r="C1083" s="64"/>
      <c r="D1083" s="64"/>
      <c r="E1083" s="64"/>
      <c r="F1083" s="64"/>
      <c r="G1083" s="64"/>
      <c r="H1083" s="64"/>
      <c r="I1083" s="64"/>
      <c r="J1083" s="64"/>
      <c r="K1083" s="64"/>
      <c r="L1083" s="64"/>
      <c r="M1083" s="64"/>
      <c r="N1083" s="64"/>
      <c r="O1083" s="64"/>
      <c r="P1083" s="64"/>
      <c r="Q1083" s="64"/>
      <c r="R1083" s="28"/>
    </row>
    <row r="1084" spans="1:18" x14ac:dyDescent="0.25">
      <c r="A1084" s="63"/>
      <c r="B1084" s="64"/>
      <c r="C1084" s="64"/>
      <c r="D1084" s="64"/>
      <c r="E1084" s="64"/>
      <c r="F1084" s="64"/>
      <c r="G1084" s="64"/>
      <c r="H1084" s="64"/>
      <c r="I1084" s="64"/>
      <c r="J1084" s="64"/>
      <c r="K1084" s="64"/>
      <c r="L1084" s="64"/>
      <c r="M1084" s="64"/>
      <c r="N1084" s="64"/>
      <c r="O1084" s="64"/>
      <c r="P1084" s="64"/>
      <c r="Q1084" s="64"/>
      <c r="R1084" s="28"/>
    </row>
    <row r="1085" spans="1:18" x14ac:dyDescent="0.25">
      <c r="A1085" s="63"/>
      <c r="B1085" s="64"/>
      <c r="C1085" s="64"/>
      <c r="D1085" s="64"/>
      <c r="E1085" s="64"/>
      <c r="F1085" s="64"/>
      <c r="G1085" s="64"/>
      <c r="H1085" s="64"/>
      <c r="I1085" s="64"/>
      <c r="J1085" s="64"/>
      <c r="K1085" s="64"/>
      <c r="L1085" s="64"/>
      <c r="M1085" s="64"/>
      <c r="N1085" s="64"/>
      <c r="O1085" s="64"/>
      <c r="P1085" s="64"/>
      <c r="Q1085" s="64"/>
      <c r="R1085" s="28"/>
    </row>
    <row r="1086" spans="1:18" x14ac:dyDescent="0.25">
      <c r="A1086" s="63"/>
      <c r="B1086" s="64"/>
      <c r="C1086" s="64"/>
      <c r="D1086" s="64"/>
      <c r="E1086" s="64"/>
      <c r="F1086" s="64"/>
      <c r="G1086" s="64"/>
      <c r="H1086" s="64"/>
      <c r="I1086" s="64"/>
      <c r="J1086" s="64"/>
      <c r="K1086" s="64"/>
      <c r="L1086" s="64"/>
      <c r="M1086" s="64"/>
      <c r="N1086" s="64"/>
      <c r="O1086" s="64"/>
      <c r="P1086" s="64"/>
      <c r="Q1086" s="64"/>
      <c r="R1086" s="28"/>
    </row>
    <row r="1087" spans="1:18" x14ac:dyDescent="0.25">
      <c r="A1087" s="63"/>
      <c r="B1087" s="64"/>
      <c r="C1087" s="64"/>
      <c r="D1087" s="64"/>
      <c r="E1087" s="64"/>
      <c r="F1087" s="64"/>
      <c r="G1087" s="64"/>
      <c r="H1087" s="64"/>
      <c r="I1087" s="64"/>
      <c r="J1087" s="64"/>
      <c r="K1087" s="64"/>
      <c r="L1087" s="64"/>
      <c r="M1087" s="64"/>
      <c r="N1087" s="64"/>
      <c r="O1087" s="64"/>
      <c r="P1087" s="64"/>
      <c r="Q1087" s="64"/>
      <c r="R1087" s="28"/>
    </row>
    <row r="1088" spans="1:18" x14ac:dyDescent="0.25">
      <c r="A1088" s="63"/>
      <c r="B1088" s="64"/>
      <c r="C1088" s="64"/>
      <c r="D1088" s="64"/>
      <c r="E1088" s="64"/>
      <c r="F1088" s="64"/>
      <c r="G1088" s="64"/>
      <c r="H1088" s="64"/>
      <c r="I1088" s="64"/>
      <c r="J1088" s="64"/>
      <c r="K1088" s="64"/>
      <c r="L1088" s="64"/>
      <c r="M1088" s="64"/>
      <c r="N1088" s="64"/>
      <c r="O1088" s="64"/>
      <c r="P1088" s="64"/>
      <c r="Q1088" s="64"/>
      <c r="R1088" s="28"/>
    </row>
    <row r="1089" spans="1:18" x14ac:dyDescent="0.25">
      <c r="A1089" s="63"/>
      <c r="B1089" s="64"/>
      <c r="C1089" s="64"/>
      <c r="D1089" s="64"/>
      <c r="E1089" s="64"/>
      <c r="F1089" s="64"/>
      <c r="G1089" s="64"/>
      <c r="H1089" s="64"/>
      <c r="I1089" s="64"/>
      <c r="J1089" s="64"/>
      <c r="K1089" s="64"/>
      <c r="L1089" s="64"/>
      <c r="M1089" s="64"/>
      <c r="N1089" s="64"/>
      <c r="O1089" s="64"/>
      <c r="P1089" s="64"/>
      <c r="Q1089" s="64"/>
      <c r="R1089" s="28"/>
    </row>
    <row r="1090" spans="1:18" x14ac:dyDescent="0.25">
      <c r="A1090" s="63"/>
      <c r="B1090" s="64"/>
      <c r="C1090" s="64"/>
      <c r="D1090" s="64"/>
      <c r="E1090" s="64"/>
      <c r="F1090" s="64"/>
      <c r="G1090" s="64"/>
      <c r="H1090" s="64"/>
      <c r="I1090" s="64"/>
      <c r="J1090" s="64"/>
      <c r="K1090" s="64"/>
      <c r="L1090" s="64"/>
      <c r="M1090" s="64"/>
      <c r="N1090" s="64"/>
      <c r="O1090" s="64"/>
      <c r="P1090" s="64"/>
      <c r="Q1090" s="64"/>
      <c r="R1090" s="28"/>
    </row>
    <row r="1091" spans="1:18" x14ac:dyDescent="0.25">
      <c r="A1091" s="63"/>
      <c r="B1091" s="64"/>
      <c r="C1091" s="64"/>
      <c r="D1091" s="64"/>
      <c r="E1091" s="64"/>
      <c r="F1091" s="64"/>
      <c r="G1091" s="64"/>
      <c r="H1091" s="64"/>
      <c r="I1091" s="64"/>
      <c r="J1091" s="64"/>
      <c r="K1091" s="64"/>
      <c r="L1091" s="64"/>
      <c r="M1091" s="64"/>
      <c r="N1091" s="64"/>
      <c r="O1091" s="64"/>
      <c r="P1091" s="64"/>
      <c r="Q1091" s="64"/>
      <c r="R1091" s="28"/>
    </row>
    <row r="1092" spans="1:18" x14ac:dyDescent="0.25">
      <c r="A1092" s="63"/>
      <c r="B1092" s="64"/>
      <c r="C1092" s="64"/>
      <c r="D1092" s="64"/>
      <c r="E1092" s="64"/>
      <c r="F1092" s="64"/>
      <c r="G1092" s="64"/>
      <c r="H1092" s="64"/>
      <c r="I1092" s="64"/>
      <c r="J1092" s="64"/>
      <c r="K1092" s="64"/>
      <c r="L1092" s="64"/>
      <c r="M1092" s="64"/>
      <c r="N1092" s="64"/>
      <c r="O1092" s="64"/>
      <c r="P1092" s="64"/>
      <c r="Q1092" s="64"/>
      <c r="R1092" s="28"/>
    </row>
    <row r="1093" spans="1:18" x14ac:dyDescent="0.25">
      <c r="A1093" s="63"/>
      <c r="B1093" s="64"/>
      <c r="C1093" s="64"/>
      <c r="D1093" s="64"/>
      <c r="E1093" s="64"/>
      <c r="F1093" s="64"/>
      <c r="G1093" s="64"/>
      <c r="H1093" s="64"/>
      <c r="I1093" s="64"/>
      <c r="J1093" s="64"/>
      <c r="K1093" s="64"/>
      <c r="L1093" s="64"/>
      <c r="M1093" s="64"/>
      <c r="N1093" s="64"/>
      <c r="O1093" s="64"/>
      <c r="P1093" s="64"/>
      <c r="Q1093" s="64"/>
      <c r="R1093" s="28"/>
    </row>
    <row r="1094" spans="1:18" x14ac:dyDescent="0.25">
      <c r="A1094" s="63"/>
      <c r="B1094" s="64"/>
      <c r="C1094" s="64"/>
      <c r="D1094" s="64"/>
      <c r="E1094" s="64"/>
      <c r="F1094" s="64"/>
      <c r="G1094" s="64"/>
      <c r="H1094" s="64"/>
      <c r="I1094" s="64"/>
      <c r="J1094" s="64"/>
      <c r="K1094" s="64"/>
      <c r="L1094" s="64"/>
      <c r="M1094" s="64"/>
      <c r="N1094" s="64"/>
      <c r="O1094" s="64"/>
      <c r="P1094" s="64"/>
      <c r="Q1094" s="64"/>
      <c r="R1094" s="28"/>
    </row>
    <row r="1095" spans="1:18" x14ac:dyDescent="0.25">
      <c r="A1095" s="63"/>
      <c r="B1095" s="64"/>
      <c r="C1095" s="64"/>
      <c r="D1095" s="64"/>
      <c r="E1095" s="64"/>
      <c r="F1095" s="64"/>
      <c r="G1095" s="64"/>
      <c r="H1095" s="64"/>
      <c r="I1095" s="64"/>
      <c r="J1095" s="64"/>
      <c r="K1095" s="64"/>
      <c r="L1095" s="64"/>
      <c r="M1095" s="64"/>
      <c r="N1095" s="64"/>
      <c r="O1095" s="64"/>
      <c r="P1095" s="64"/>
      <c r="Q1095" s="64"/>
      <c r="R1095" s="28"/>
    </row>
    <row r="1096" spans="1:18" x14ac:dyDescent="0.25">
      <c r="A1096" s="63"/>
      <c r="B1096" s="64"/>
      <c r="C1096" s="64"/>
      <c r="D1096" s="64"/>
      <c r="E1096" s="64"/>
      <c r="F1096" s="64"/>
      <c r="G1096" s="64"/>
      <c r="H1096" s="64"/>
      <c r="I1096" s="64"/>
      <c r="J1096" s="64"/>
      <c r="K1096" s="64"/>
      <c r="L1096" s="64"/>
      <c r="M1096" s="64"/>
      <c r="N1096" s="64"/>
      <c r="O1096" s="64"/>
      <c r="P1096" s="64"/>
      <c r="Q1096" s="64"/>
      <c r="R1096" s="28"/>
    </row>
    <row r="1097" spans="1:18" x14ac:dyDescent="0.25">
      <c r="A1097" s="63"/>
      <c r="B1097" s="64"/>
      <c r="C1097" s="64"/>
      <c r="D1097" s="64"/>
      <c r="E1097" s="64"/>
      <c r="F1097" s="64"/>
      <c r="G1097" s="64"/>
      <c r="H1097" s="64"/>
      <c r="I1097" s="64"/>
      <c r="J1097" s="64"/>
      <c r="K1097" s="64"/>
      <c r="L1097" s="64"/>
      <c r="M1097" s="64"/>
      <c r="N1097" s="64"/>
      <c r="O1097" s="64"/>
      <c r="P1097" s="64"/>
      <c r="Q1097" s="64"/>
      <c r="R1097" s="28"/>
    </row>
    <row r="1098" spans="1:18" x14ac:dyDescent="0.25">
      <c r="A1098" s="63"/>
      <c r="B1098" s="64"/>
      <c r="C1098" s="64"/>
      <c r="D1098" s="64"/>
      <c r="E1098" s="64"/>
      <c r="F1098" s="64"/>
      <c r="G1098" s="64"/>
      <c r="H1098" s="64"/>
      <c r="I1098" s="64"/>
      <c r="J1098" s="64"/>
      <c r="K1098" s="64"/>
      <c r="L1098" s="64"/>
      <c r="M1098" s="64"/>
      <c r="N1098" s="64"/>
      <c r="O1098" s="64"/>
      <c r="P1098" s="64"/>
      <c r="Q1098" s="64"/>
      <c r="R1098" s="28"/>
    </row>
    <row r="1099" spans="1:18" x14ac:dyDescent="0.25">
      <c r="A1099" s="63"/>
      <c r="B1099" s="64"/>
      <c r="C1099" s="64"/>
      <c r="D1099" s="64"/>
      <c r="E1099" s="64"/>
      <c r="F1099" s="64"/>
      <c r="G1099" s="64"/>
      <c r="H1099" s="64"/>
      <c r="I1099" s="64"/>
      <c r="J1099" s="64"/>
      <c r="K1099" s="64"/>
      <c r="L1099" s="64"/>
      <c r="M1099" s="64"/>
      <c r="N1099" s="64"/>
      <c r="O1099" s="64"/>
      <c r="P1099" s="64"/>
      <c r="Q1099" s="64"/>
      <c r="R1099" s="28"/>
    </row>
    <row r="1100" spans="1:18" x14ac:dyDescent="0.25">
      <c r="A1100" s="63"/>
      <c r="B1100" s="64"/>
      <c r="C1100" s="64"/>
      <c r="D1100" s="64"/>
      <c r="E1100" s="64"/>
      <c r="F1100" s="64"/>
      <c r="G1100" s="64"/>
      <c r="H1100" s="64"/>
      <c r="I1100" s="64"/>
      <c r="J1100" s="64"/>
      <c r="K1100" s="64"/>
      <c r="L1100" s="64"/>
      <c r="M1100" s="64"/>
      <c r="N1100" s="64"/>
      <c r="O1100" s="64"/>
      <c r="P1100" s="64"/>
      <c r="Q1100" s="64"/>
      <c r="R1100" s="28"/>
    </row>
    <row r="1101" spans="1:18" x14ac:dyDescent="0.25">
      <c r="A1101" s="63"/>
      <c r="B1101" s="64"/>
      <c r="C1101" s="64"/>
      <c r="D1101" s="64"/>
      <c r="E1101" s="64"/>
      <c r="F1101" s="64"/>
      <c r="G1101" s="64"/>
      <c r="H1101" s="64"/>
      <c r="I1101" s="64"/>
      <c r="J1101" s="64"/>
      <c r="K1101" s="64"/>
      <c r="L1101" s="64"/>
      <c r="M1101" s="64"/>
      <c r="N1101" s="64"/>
      <c r="O1101" s="64"/>
      <c r="P1101" s="64"/>
      <c r="Q1101" s="64"/>
      <c r="R1101" s="28"/>
    </row>
    <row r="1102" spans="1:18" x14ac:dyDescent="0.25">
      <c r="A1102" s="63"/>
      <c r="B1102" s="64"/>
      <c r="C1102" s="64"/>
      <c r="D1102" s="64"/>
      <c r="E1102" s="64"/>
      <c r="F1102" s="64"/>
      <c r="G1102" s="64"/>
      <c r="H1102" s="64"/>
      <c r="I1102" s="64"/>
      <c r="J1102" s="64"/>
      <c r="K1102" s="64"/>
      <c r="L1102" s="64"/>
      <c r="M1102" s="64"/>
      <c r="N1102" s="64"/>
      <c r="O1102" s="64"/>
      <c r="P1102" s="64"/>
      <c r="Q1102" s="64"/>
      <c r="R1102" s="28"/>
    </row>
    <row r="1103" spans="1:18" x14ac:dyDescent="0.25">
      <c r="A1103" s="63"/>
      <c r="B1103" s="64"/>
      <c r="C1103" s="64"/>
      <c r="D1103" s="64"/>
      <c r="E1103" s="64"/>
      <c r="F1103" s="64"/>
      <c r="G1103" s="64"/>
      <c r="H1103" s="64"/>
      <c r="I1103" s="64"/>
      <c r="J1103" s="64"/>
      <c r="K1103" s="64"/>
      <c r="L1103" s="64"/>
      <c r="M1103" s="64"/>
      <c r="N1103" s="64"/>
      <c r="O1103" s="64"/>
      <c r="P1103" s="64"/>
      <c r="Q1103" s="64"/>
      <c r="R1103" s="28"/>
    </row>
    <row r="1104" spans="1:18" x14ac:dyDescent="0.25">
      <c r="A1104" s="63"/>
      <c r="B1104" s="64"/>
      <c r="C1104" s="64"/>
      <c r="D1104" s="64"/>
      <c r="E1104" s="64"/>
      <c r="F1104" s="64"/>
      <c r="G1104" s="64"/>
      <c r="H1104" s="64"/>
      <c r="I1104" s="64"/>
      <c r="J1104" s="64"/>
      <c r="K1104" s="64"/>
      <c r="L1104" s="64"/>
      <c r="M1104" s="64"/>
      <c r="N1104" s="64"/>
      <c r="O1104" s="64"/>
      <c r="P1104" s="64"/>
      <c r="Q1104" s="64"/>
      <c r="R1104" s="28"/>
    </row>
    <row r="1105" spans="1:18" x14ac:dyDescent="0.25">
      <c r="A1105" s="63"/>
      <c r="B1105" s="64"/>
      <c r="C1105" s="64"/>
      <c r="D1105" s="64"/>
      <c r="E1105" s="64"/>
      <c r="F1105" s="64"/>
      <c r="G1105" s="64"/>
      <c r="H1105" s="64"/>
      <c r="I1105" s="64"/>
      <c r="J1105" s="64"/>
      <c r="K1105" s="64"/>
      <c r="L1105" s="64"/>
      <c r="M1105" s="64"/>
      <c r="N1105" s="64"/>
      <c r="O1105" s="64"/>
      <c r="P1105" s="64"/>
      <c r="Q1105" s="64"/>
      <c r="R1105" s="28"/>
    </row>
    <row r="1106" spans="1:18" x14ac:dyDescent="0.25">
      <c r="A1106" s="63"/>
      <c r="B1106" s="64"/>
      <c r="C1106" s="64"/>
      <c r="D1106" s="64"/>
      <c r="E1106" s="64"/>
      <c r="F1106" s="64"/>
      <c r="G1106" s="64"/>
      <c r="H1106" s="64"/>
      <c r="I1106" s="64"/>
      <c r="J1106" s="64"/>
      <c r="K1106" s="64"/>
      <c r="L1106" s="64"/>
      <c r="M1106" s="64"/>
      <c r="N1106" s="64"/>
      <c r="O1106" s="64"/>
      <c r="P1106" s="64"/>
      <c r="Q1106" s="64"/>
      <c r="R1106" s="28"/>
    </row>
    <row r="1107" spans="1:18" x14ac:dyDescent="0.25">
      <c r="A1107" s="63"/>
      <c r="B1107" s="64"/>
      <c r="C1107" s="64"/>
      <c r="D1107" s="64"/>
      <c r="E1107" s="64"/>
      <c r="F1107" s="64"/>
      <c r="G1107" s="64"/>
      <c r="H1107" s="64"/>
      <c r="I1107" s="64"/>
      <c r="J1107" s="64"/>
      <c r="K1107" s="64"/>
      <c r="L1107" s="64"/>
      <c r="M1107" s="64"/>
      <c r="N1107" s="64"/>
      <c r="O1107" s="64"/>
      <c r="P1107" s="64"/>
      <c r="Q1107" s="64"/>
      <c r="R1107" s="28"/>
    </row>
    <row r="1108" spans="1:18" x14ac:dyDescent="0.25">
      <c r="A1108" s="63"/>
      <c r="B1108" s="64"/>
      <c r="C1108" s="64"/>
      <c r="D1108" s="64"/>
      <c r="E1108" s="64"/>
      <c r="F1108" s="64"/>
      <c r="G1108" s="64"/>
      <c r="H1108" s="64"/>
      <c r="I1108" s="64"/>
      <c r="J1108" s="64"/>
      <c r="K1108" s="64"/>
      <c r="L1108" s="64"/>
      <c r="M1108" s="64"/>
      <c r="N1108" s="64"/>
      <c r="O1108" s="64"/>
      <c r="P1108" s="64"/>
      <c r="Q1108" s="64"/>
      <c r="R1108" s="28"/>
    </row>
    <row r="1109" spans="1:18" x14ac:dyDescent="0.25">
      <c r="A1109" s="63"/>
      <c r="B1109" s="64"/>
      <c r="C1109" s="64"/>
      <c r="D1109" s="64"/>
      <c r="E1109" s="64"/>
      <c r="F1109" s="64"/>
      <c r="G1109" s="64"/>
      <c r="H1109" s="64"/>
      <c r="I1109" s="64"/>
      <c r="J1109" s="64"/>
      <c r="K1109" s="64"/>
      <c r="L1109" s="64"/>
      <c r="M1109" s="64"/>
      <c r="N1109" s="64"/>
      <c r="O1109" s="64"/>
      <c r="P1109" s="64"/>
      <c r="Q1109" s="64"/>
      <c r="R1109" s="28"/>
    </row>
    <row r="1110" spans="1:18" x14ac:dyDescent="0.25">
      <c r="A1110" s="63"/>
      <c r="B1110" s="64"/>
      <c r="C1110" s="64"/>
      <c r="D1110" s="64"/>
      <c r="E1110" s="64"/>
      <c r="F1110" s="64"/>
      <c r="G1110" s="64"/>
      <c r="H1110" s="64"/>
      <c r="I1110" s="64"/>
      <c r="J1110" s="64"/>
      <c r="K1110" s="64"/>
      <c r="L1110" s="64"/>
      <c r="M1110" s="64"/>
      <c r="N1110" s="64"/>
      <c r="O1110" s="64"/>
      <c r="P1110" s="64"/>
      <c r="Q1110" s="64"/>
      <c r="R1110" s="28"/>
    </row>
    <row r="1111" spans="1:18" x14ac:dyDescent="0.25">
      <c r="A1111" s="63"/>
      <c r="B1111" s="64"/>
      <c r="C1111" s="64"/>
      <c r="D1111" s="64"/>
      <c r="E1111" s="64"/>
      <c r="F1111" s="64"/>
      <c r="G1111" s="64"/>
      <c r="H1111" s="64"/>
      <c r="I1111" s="64"/>
      <c r="J1111" s="64"/>
      <c r="K1111" s="64"/>
      <c r="L1111" s="64"/>
      <c r="M1111" s="64"/>
      <c r="N1111" s="64"/>
      <c r="O1111" s="64"/>
      <c r="P1111" s="64"/>
      <c r="Q1111" s="64"/>
      <c r="R1111" s="28"/>
    </row>
    <row r="1112" spans="1:18" x14ac:dyDescent="0.25">
      <c r="A1112" s="63"/>
      <c r="B1112" s="64"/>
      <c r="C1112" s="64"/>
      <c r="D1112" s="64"/>
      <c r="E1112" s="64"/>
      <c r="F1112" s="64"/>
      <c r="G1112" s="64"/>
      <c r="H1112" s="64"/>
      <c r="I1112" s="64"/>
      <c r="J1112" s="64"/>
      <c r="K1112" s="64"/>
      <c r="L1112" s="64"/>
      <c r="M1112" s="64"/>
      <c r="N1112" s="64"/>
      <c r="O1112" s="64"/>
      <c r="P1112" s="64"/>
      <c r="Q1112" s="64"/>
      <c r="R1112" s="28"/>
    </row>
    <row r="1113" spans="1:18" x14ac:dyDescent="0.25">
      <c r="A1113" s="63"/>
      <c r="B1113" s="64"/>
      <c r="C1113" s="64"/>
      <c r="D1113" s="64"/>
      <c r="E1113" s="64"/>
      <c r="F1113" s="64"/>
      <c r="G1113" s="64"/>
      <c r="H1113" s="64"/>
      <c r="I1113" s="64"/>
      <c r="J1113" s="64"/>
      <c r="K1113" s="64"/>
      <c r="L1113" s="64"/>
      <c r="M1113" s="64"/>
      <c r="N1113" s="64"/>
      <c r="O1113" s="64"/>
      <c r="P1113" s="64"/>
      <c r="Q1113" s="64"/>
      <c r="R1113" s="28"/>
    </row>
    <row r="1114" spans="1:18" x14ac:dyDescent="0.25">
      <c r="A1114" s="63"/>
      <c r="B1114" s="64"/>
      <c r="C1114" s="64"/>
      <c r="D1114" s="64"/>
      <c r="E1114" s="64"/>
      <c r="F1114" s="64"/>
      <c r="G1114" s="64"/>
      <c r="H1114" s="64"/>
      <c r="I1114" s="64"/>
      <c r="J1114" s="64"/>
      <c r="K1114" s="64"/>
      <c r="L1114" s="64"/>
      <c r="M1114" s="64"/>
      <c r="N1114" s="64"/>
      <c r="O1114" s="64"/>
      <c r="P1114" s="64"/>
      <c r="Q1114" s="64"/>
      <c r="R1114" s="28"/>
    </row>
    <row r="1115" spans="1:18" x14ac:dyDescent="0.25">
      <c r="A1115" s="63"/>
      <c r="B1115" s="64"/>
      <c r="C1115" s="64"/>
      <c r="D1115" s="64"/>
      <c r="E1115" s="64"/>
      <c r="F1115" s="64"/>
      <c r="G1115" s="64"/>
      <c r="H1115" s="64"/>
      <c r="I1115" s="64"/>
      <c r="J1115" s="64"/>
      <c r="K1115" s="64"/>
      <c r="L1115" s="64"/>
      <c r="M1115" s="64"/>
      <c r="N1115" s="64"/>
      <c r="O1115" s="64"/>
      <c r="P1115" s="64"/>
      <c r="Q1115" s="64"/>
      <c r="R1115" s="28"/>
    </row>
    <row r="1116" spans="1:18" x14ac:dyDescent="0.25">
      <c r="A1116" s="63"/>
      <c r="B1116" s="64"/>
      <c r="C1116" s="64"/>
      <c r="D1116" s="64"/>
      <c r="E1116" s="64"/>
      <c r="F1116" s="64"/>
      <c r="G1116" s="64"/>
      <c r="H1116" s="64"/>
      <c r="I1116" s="64"/>
      <c r="J1116" s="64"/>
      <c r="K1116" s="64"/>
      <c r="L1116" s="64"/>
      <c r="M1116" s="64"/>
      <c r="N1116" s="64"/>
      <c r="O1116" s="64"/>
      <c r="P1116" s="64"/>
      <c r="Q1116" s="64"/>
      <c r="R1116" s="28"/>
    </row>
    <row r="1117" spans="1:18" x14ac:dyDescent="0.25">
      <c r="A1117" s="63"/>
      <c r="B1117" s="64"/>
      <c r="C1117" s="64"/>
      <c r="D1117" s="64"/>
      <c r="E1117" s="64"/>
      <c r="F1117" s="64"/>
      <c r="G1117" s="64"/>
      <c r="H1117" s="64"/>
      <c r="I1117" s="64"/>
      <c r="J1117" s="64"/>
      <c r="K1117" s="64"/>
      <c r="L1117" s="64"/>
      <c r="M1117" s="64"/>
      <c r="N1117" s="64"/>
      <c r="O1117" s="64"/>
      <c r="P1117" s="64"/>
      <c r="Q1117" s="64"/>
      <c r="R1117" s="28"/>
    </row>
    <row r="1118" spans="1:18" x14ac:dyDescent="0.25">
      <c r="A1118" s="63"/>
      <c r="B1118" s="64"/>
      <c r="C1118" s="64"/>
      <c r="D1118" s="64"/>
      <c r="E1118" s="64"/>
      <c r="F1118" s="64"/>
      <c r="G1118" s="64"/>
      <c r="H1118" s="64"/>
      <c r="I1118" s="64"/>
      <c r="J1118" s="64"/>
      <c r="K1118" s="64"/>
      <c r="L1118" s="64"/>
      <c r="M1118" s="64"/>
      <c r="N1118" s="64"/>
      <c r="O1118" s="64"/>
      <c r="P1118" s="64"/>
      <c r="Q1118" s="64"/>
      <c r="R1118" s="28"/>
    </row>
    <row r="1119" spans="1:18" x14ac:dyDescent="0.25">
      <c r="A1119" s="63"/>
      <c r="B1119" s="64"/>
      <c r="C1119" s="64"/>
      <c r="D1119" s="64"/>
      <c r="E1119" s="64"/>
      <c r="F1119" s="64"/>
      <c r="G1119" s="64"/>
      <c r="H1119" s="64"/>
      <c r="I1119" s="64"/>
      <c r="J1119" s="64"/>
      <c r="K1119" s="64"/>
      <c r="L1119" s="64"/>
      <c r="M1119" s="64"/>
      <c r="N1119" s="64"/>
      <c r="O1119" s="64"/>
      <c r="P1119" s="64"/>
      <c r="Q1119" s="64"/>
      <c r="R1119" s="28"/>
    </row>
    <row r="1120" spans="1:18" x14ac:dyDescent="0.25">
      <c r="A1120" s="63"/>
      <c r="B1120" s="64"/>
      <c r="C1120" s="64"/>
      <c r="D1120" s="64"/>
      <c r="E1120" s="64"/>
      <c r="F1120" s="64"/>
      <c r="G1120" s="64"/>
      <c r="H1120" s="64"/>
      <c r="I1120" s="64"/>
      <c r="J1120" s="64"/>
      <c r="K1120" s="64"/>
      <c r="L1120" s="64"/>
      <c r="M1120" s="64"/>
      <c r="N1120" s="64"/>
      <c r="O1120" s="64"/>
      <c r="P1120" s="64"/>
      <c r="Q1120" s="64"/>
      <c r="R1120" s="28"/>
    </row>
    <row r="1121" spans="1:18" x14ac:dyDescent="0.25">
      <c r="A1121" s="63"/>
      <c r="B1121" s="64"/>
      <c r="C1121" s="64"/>
      <c r="D1121" s="64"/>
      <c r="E1121" s="64"/>
      <c r="F1121" s="64"/>
      <c r="G1121" s="64"/>
      <c r="H1121" s="64"/>
      <c r="I1121" s="64"/>
      <c r="J1121" s="64"/>
      <c r="K1121" s="64"/>
      <c r="L1121" s="64"/>
      <c r="M1121" s="64"/>
      <c r="N1121" s="64"/>
      <c r="O1121" s="64"/>
      <c r="P1121" s="64"/>
      <c r="Q1121" s="64"/>
      <c r="R1121" s="28"/>
    </row>
    <row r="1122" spans="1:18" x14ac:dyDescent="0.25">
      <c r="A1122" s="63"/>
      <c r="B1122" s="64"/>
      <c r="C1122" s="64"/>
      <c r="D1122" s="64"/>
      <c r="E1122" s="64"/>
      <c r="F1122" s="64"/>
      <c r="G1122" s="64"/>
      <c r="H1122" s="64"/>
      <c r="I1122" s="64"/>
      <c r="J1122" s="64"/>
      <c r="K1122" s="64"/>
      <c r="L1122" s="64"/>
      <c r="M1122" s="64"/>
      <c r="N1122" s="64"/>
      <c r="O1122" s="64"/>
      <c r="P1122" s="64"/>
      <c r="Q1122" s="64"/>
      <c r="R1122" s="28"/>
    </row>
    <row r="1123" spans="1:18" x14ac:dyDescent="0.25">
      <c r="A1123" s="63"/>
      <c r="B1123" s="64"/>
      <c r="C1123" s="64"/>
      <c r="D1123" s="64"/>
      <c r="E1123" s="64"/>
      <c r="F1123" s="64"/>
      <c r="G1123" s="64"/>
      <c r="H1123" s="64"/>
      <c r="I1123" s="64"/>
      <c r="J1123" s="64"/>
      <c r="K1123" s="64"/>
      <c r="L1123" s="64"/>
      <c r="M1123" s="64"/>
      <c r="N1123" s="64"/>
      <c r="O1123" s="64"/>
      <c r="P1123" s="64"/>
      <c r="Q1123" s="64"/>
      <c r="R1123" s="28"/>
    </row>
    <row r="1124" spans="1:18" x14ac:dyDescent="0.25">
      <c r="A1124" s="63"/>
      <c r="B1124" s="64"/>
      <c r="C1124" s="64"/>
      <c r="D1124" s="64"/>
      <c r="E1124" s="64"/>
      <c r="F1124" s="64"/>
      <c r="G1124" s="64"/>
      <c r="H1124" s="64"/>
      <c r="I1124" s="64"/>
      <c r="J1124" s="64"/>
      <c r="K1124" s="64"/>
      <c r="L1124" s="64"/>
      <c r="M1124" s="64"/>
      <c r="N1124" s="64"/>
      <c r="O1124" s="64"/>
      <c r="P1124" s="64"/>
      <c r="Q1124" s="64"/>
      <c r="R1124" s="28"/>
    </row>
    <row r="1125" spans="1:18" x14ac:dyDescent="0.25">
      <c r="A1125" s="63"/>
      <c r="B1125" s="64"/>
      <c r="C1125" s="64"/>
      <c r="D1125" s="64"/>
      <c r="E1125" s="64"/>
      <c r="F1125" s="64"/>
      <c r="G1125" s="64"/>
      <c r="H1125" s="64"/>
      <c r="I1125" s="64"/>
      <c r="J1125" s="64"/>
      <c r="K1125" s="64"/>
      <c r="L1125" s="64"/>
      <c r="M1125" s="64"/>
      <c r="N1125" s="64"/>
      <c r="O1125" s="64"/>
      <c r="P1125" s="64"/>
      <c r="Q1125" s="64"/>
      <c r="R1125" s="28"/>
    </row>
    <row r="1126" spans="1:18" x14ac:dyDescent="0.25">
      <c r="A1126" s="63"/>
      <c r="B1126" s="64"/>
      <c r="C1126" s="64"/>
      <c r="D1126" s="64"/>
      <c r="E1126" s="64"/>
      <c r="F1126" s="64"/>
      <c r="G1126" s="64"/>
      <c r="H1126" s="64"/>
      <c r="I1126" s="64"/>
      <c r="J1126" s="64"/>
      <c r="K1126" s="64"/>
      <c r="L1126" s="64"/>
      <c r="M1126" s="64"/>
      <c r="N1126" s="64"/>
      <c r="O1126" s="64"/>
      <c r="P1126" s="64"/>
      <c r="Q1126" s="64"/>
      <c r="R1126" s="28"/>
    </row>
    <row r="1127" spans="1:18" x14ac:dyDescent="0.25">
      <c r="A1127" s="63"/>
      <c r="B1127" s="64"/>
      <c r="C1127" s="64"/>
      <c r="D1127" s="64"/>
      <c r="E1127" s="64"/>
      <c r="F1127" s="64"/>
      <c r="G1127" s="64"/>
      <c r="H1127" s="64"/>
      <c r="I1127" s="64"/>
      <c r="J1127" s="64"/>
      <c r="K1127" s="64"/>
      <c r="L1127" s="64"/>
      <c r="M1127" s="64"/>
      <c r="N1127" s="64"/>
      <c r="O1127" s="64"/>
      <c r="P1127" s="64"/>
      <c r="Q1127" s="64"/>
      <c r="R1127" s="28"/>
    </row>
    <row r="1128" spans="1:18" x14ac:dyDescent="0.25">
      <c r="A1128" s="63"/>
      <c r="B1128" s="64"/>
      <c r="C1128" s="64"/>
      <c r="D1128" s="64"/>
      <c r="E1128" s="64"/>
      <c r="F1128" s="64"/>
      <c r="G1128" s="64"/>
      <c r="H1128" s="64"/>
      <c r="I1128" s="64"/>
      <c r="J1128" s="64"/>
      <c r="K1128" s="64"/>
      <c r="L1128" s="64"/>
      <c r="M1128" s="64"/>
      <c r="N1128" s="64"/>
      <c r="O1128" s="64"/>
      <c r="P1128" s="64"/>
      <c r="Q1128" s="64"/>
      <c r="R1128" s="28"/>
    </row>
    <row r="1129" spans="1:18" x14ac:dyDescent="0.25">
      <c r="A1129" s="63"/>
      <c r="B1129" s="64"/>
      <c r="C1129" s="64"/>
      <c r="D1129" s="64"/>
      <c r="E1129" s="64"/>
      <c r="F1129" s="64"/>
      <c r="G1129" s="64"/>
      <c r="H1129" s="64"/>
      <c r="I1129" s="64"/>
      <c r="J1129" s="64"/>
      <c r="K1129" s="64"/>
      <c r="L1129" s="64"/>
      <c r="M1129" s="64"/>
      <c r="N1129" s="64"/>
      <c r="O1129" s="64"/>
      <c r="P1129" s="64"/>
      <c r="Q1129" s="64"/>
      <c r="R1129" s="28"/>
    </row>
    <row r="1130" spans="1:18" x14ac:dyDescent="0.25">
      <c r="A1130" s="63"/>
      <c r="B1130" s="64"/>
      <c r="C1130" s="64"/>
      <c r="D1130" s="64"/>
      <c r="E1130" s="64"/>
      <c r="F1130" s="64"/>
      <c r="G1130" s="64"/>
      <c r="H1130" s="64"/>
      <c r="I1130" s="64"/>
      <c r="J1130" s="64"/>
      <c r="K1130" s="64"/>
      <c r="L1130" s="64"/>
      <c r="M1130" s="64"/>
      <c r="N1130" s="64"/>
      <c r="O1130" s="64"/>
      <c r="P1130" s="64"/>
      <c r="Q1130" s="64"/>
      <c r="R1130" s="28"/>
    </row>
    <row r="1131" spans="1:18" x14ac:dyDescent="0.25">
      <c r="A1131" s="63"/>
      <c r="B1131" s="64"/>
      <c r="C1131" s="64"/>
      <c r="D1131" s="64"/>
      <c r="E1131" s="64"/>
      <c r="F1131" s="64"/>
      <c r="G1131" s="64"/>
      <c r="H1131" s="64"/>
      <c r="I1131" s="64"/>
      <c r="J1131" s="64"/>
      <c r="K1131" s="64"/>
      <c r="L1131" s="64"/>
      <c r="M1131" s="64"/>
      <c r="N1131" s="64"/>
      <c r="O1131" s="64"/>
      <c r="P1131" s="64"/>
      <c r="Q1131" s="64"/>
      <c r="R1131" s="28"/>
    </row>
    <row r="1132" spans="1:18" x14ac:dyDescent="0.25">
      <c r="A1132" s="63"/>
      <c r="B1132" s="64"/>
      <c r="C1132" s="64"/>
      <c r="D1132" s="64"/>
      <c r="E1132" s="64"/>
      <c r="F1132" s="64"/>
      <c r="G1132" s="64"/>
      <c r="H1132" s="64"/>
      <c r="I1132" s="64"/>
      <c r="J1132" s="64"/>
      <c r="K1132" s="64"/>
      <c r="L1132" s="64"/>
      <c r="M1132" s="64"/>
      <c r="N1132" s="64"/>
      <c r="O1132" s="64"/>
      <c r="P1132" s="64"/>
      <c r="Q1132" s="64"/>
      <c r="R1132" s="28"/>
    </row>
    <row r="1133" spans="1:18" x14ac:dyDescent="0.25">
      <c r="A1133" s="63"/>
      <c r="B1133" s="64"/>
      <c r="C1133" s="64"/>
      <c r="D1133" s="64"/>
      <c r="E1133" s="64"/>
      <c r="F1133" s="64"/>
      <c r="G1133" s="64"/>
      <c r="H1133" s="64"/>
      <c r="I1133" s="64"/>
      <c r="J1133" s="64"/>
      <c r="K1133" s="64"/>
      <c r="L1133" s="64"/>
      <c r="M1133" s="64"/>
      <c r="N1133" s="64"/>
      <c r="O1133" s="64"/>
      <c r="P1133" s="64"/>
      <c r="Q1133" s="64"/>
      <c r="R1133" s="28"/>
    </row>
    <row r="1134" spans="1:18" x14ac:dyDescent="0.25">
      <c r="A1134" s="63"/>
      <c r="B1134" s="64"/>
      <c r="C1134" s="64"/>
      <c r="D1134" s="64"/>
      <c r="E1134" s="64"/>
      <c r="F1134" s="64"/>
      <c r="G1134" s="64"/>
      <c r="H1134" s="64"/>
      <c r="I1134" s="64"/>
      <c r="J1134" s="64"/>
      <c r="K1134" s="64"/>
      <c r="L1134" s="64"/>
      <c r="M1134" s="64"/>
      <c r="N1134" s="64"/>
      <c r="O1134" s="64"/>
      <c r="P1134" s="64"/>
      <c r="Q1134" s="64"/>
      <c r="R1134" s="28"/>
    </row>
    <row r="1135" spans="1:18" x14ac:dyDescent="0.25">
      <c r="A1135" s="63"/>
      <c r="B1135" s="64"/>
      <c r="C1135" s="64"/>
      <c r="D1135" s="64"/>
      <c r="E1135" s="64"/>
      <c r="F1135" s="64"/>
      <c r="G1135" s="64"/>
      <c r="H1135" s="64"/>
      <c r="I1135" s="64"/>
      <c r="J1135" s="64"/>
      <c r="K1135" s="64"/>
      <c r="L1135" s="64"/>
      <c r="M1135" s="64"/>
      <c r="N1135" s="64"/>
      <c r="O1135" s="64"/>
      <c r="P1135" s="64"/>
      <c r="Q1135" s="64"/>
      <c r="R1135" s="28"/>
    </row>
    <row r="1136" spans="1:18" x14ac:dyDescent="0.25">
      <c r="A1136" s="63"/>
      <c r="B1136" s="64"/>
      <c r="C1136" s="64"/>
      <c r="D1136" s="64"/>
      <c r="E1136" s="64"/>
      <c r="F1136" s="64"/>
      <c r="G1136" s="64"/>
      <c r="H1136" s="64"/>
      <c r="I1136" s="64"/>
      <c r="J1136" s="64"/>
      <c r="K1136" s="64"/>
      <c r="L1136" s="64"/>
      <c r="M1136" s="64"/>
      <c r="N1136" s="64"/>
      <c r="O1136" s="64"/>
      <c r="P1136" s="64"/>
      <c r="Q1136" s="64"/>
      <c r="R1136" s="28"/>
    </row>
    <row r="1137" spans="1:18" x14ac:dyDescent="0.25">
      <c r="A1137" s="63"/>
      <c r="B1137" s="64"/>
      <c r="C1137" s="64"/>
      <c r="D1137" s="64"/>
      <c r="E1137" s="64"/>
      <c r="F1137" s="64"/>
      <c r="G1137" s="64"/>
      <c r="H1137" s="64"/>
      <c r="I1137" s="64"/>
      <c r="J1137" s="64"/>
      <c r="K1137" s="64"/>
      <c r="L1137" s="64"/>
      <c r="M1137" s="64"/>
      <c r="N1137" s="64"/>
      <c r="O1137" s="64"/>
      <c r="P1137" s="64"/>
      <c r="Q1137" s="64"/>
      <c r="R1137" s="28"/>
    </row>
    <row r="1138" spans="1:18" x14ac:dyDescent="0.25">
      <c r="A1138" s="63"/>
      <c r="B1138" s="64"/>
      <c r="C1138" s="64"/>
      <c r="D1138" s="64"/>
      <c r="E1138" s="64"/>
      <c r="F1138" s="64"/>
      <c r="G1138" s="64"/>
      <c r="H1138" s="64"/>
      <c r="I1138" s="64"/>
      <c r="J1138" s="64"/>
      <c r="K1138" s="64"/>
      <c r="L1138" s="64"/>
      <c r="M1138" s="64"/>
      <c r="N1138" s="64"/>
      <c r="O1138" s="64"/>
      <c r="P1138" s="64"/>
      <c r="Q1138" s="64"/>
      <c r="R1138" s="28"/>
    </row>
    <row r="1139" spans="1:18" x14ac:dyDescent="0.25">
      <c r="A1139" s="63"/>
      <c r="B1139" s="64"/>
      <c r="C1139" s="64"/>
      <c r="D1139" s="64"/>
      <c r="E1139" s="64"/>
      <c r="F1139" s="64"/>
      <c r="G1139" s="64"/>
      <c r="H1139" s="64"/>
      <c r="I1139" s="64"/>
      <c r="J1139" s="64"/>
      <c r="K1139" s="64"/>
      <c r="L1139" s="64"/>
      <c r="M1139" s="64"/>
      <c r="N1139" s="64"/>
      <c r="O1139" s="64"/>
      <c r="P1139" s="64"/>
      <c r="Q1139" s="64"/>
      <c r="R1139" s="28"/>
    </row>
    <row r="1140" spans="1:18" x14ac:dyDescent="0.25">
      <c r="A1140" s="63"/>
      <c r="B1140" s="64"/>
      <c r="C1140" s="64"/>
      <c r="D1140" s="64"/>
      <c r="E1140" s="64"/>
      <c r="F1140" s="64"/>
      <c r="G1140" s="64"/>
      <c r="H1140" s="64"/>
      <c r="I1140" s="64"/>
      <c r="J1140" s="64"/>
      <c r="K1140" s="64"/>
      <c r="L1140" s="64"/>
      <c r="M1140" s="64"/>
      <c r="N1140" s="64"/>
      <c r="O1140" s="64"/>
      <c r="P1140" s="64"/>
      <c r="Q1140" s="64"/>
      <c r="R1140" s="28"/>
    </row>
    <row r="1141" spans="1:18" x14ac:dyDescent="0.25">
      <c r="A1141" s="63"/>
      <c r="B1141" s="64"/>
      <c r="C1141" s="64"/>
      <c r="D1141" s="64"/>
      <c r="E1141" s="64"/>
      <c r="F1141" s="64"/>
      <c r="G1141" s="64"/>
      <c r="H1141" s="64"/>
      <c r="I1141" s="64"/>
      <c r="J1141" s="64"/>
      <c r="K1141" s="64"/>
      <c r="L1141" s="64"/>
      <c r="M1141" s="64"/>
      <c r="N1141" s="64"/>
      <c r="O1141" s="64"/>
      <c r="P1141" s="64"/>
      <c r="Q1141" s="64"/>
      <c r="R1141" s="28"/>
    </row>
    <row r="1142" spans="1:18" x14ac:dyDescent="0.25">
      <c r="A1142" s="63"/>
      <c r="B1142" s="64"/>
      <c r="C1142" s="64"/>
      <c r="D1142" s="64"/>
      <c r="E1142" s="64"/>
      <c r="F1142" s="64"/>
      <c r="G1142" s="64"/>
      <c r="H1142" s="64"/>
      <c r="I1142" s="64"/>
      <c r="J1142" s="64"/>
      <c r="K1142" s="64"/>
      <c r="L1142" s="64"/>
      <c r="M1142" s="64"/>
      <c r="N1142" s="64"/>
      <c r="O1142" s="64"/>
      <c r="P1142" s="64"/>
      <c r="Q1142" s="64"/>
      <c r="R1142" s="28"/>
    </row>
    <row r="1143" spans="1:18" x14ac:dyDescent="0.25">
      <c r="A1143" s="63"/>
      <c r="B1143" s="64"/>
      <c r="C1143" s="64"/>
      <c r="D1143" s="64"/>
      <c r="E1143" s="64"/>
      <c r="F1143" s="64"/>
      <c r="G1143" s="64"/>
      <c r="H1143" s="64"/>
      <c r="I1143" s="64"/>
      <c r="J1143" s="64"/>
      <c r="K1143" s="64"/>
      <c r="L1143" s="64"/>
      <c r="M1143" s="64"/>
      <c r="N1143" s="64"/>
      <c r="O1143" s="64"/>
      <c r="P1143" s="64"/>
      <c r="Q1143" s="64"/>
      <c r="R1143" s="28"/>
    </row>
    <row r="1144" spans="1:18" x14ac:dyDescent="0.25">
      <c r="A1144" s="63"/>
      <c r="B1144" s="64"/>
      <c r="C1144" s="64"/>
      <c r="D1144" s="64"/>
      <c r="E1144" s="64"/>
      <c r="F1144" s="64"/>
      <c r="G1144" s="64"/>
      <c r="H1144" s="64"/>
      <c r="I1144" s="64"/>
      <c r="J1144" s="64"/>
      <c r="K1144" s="64"/>
      <c r="L1144" s="64"/>
      <c r="M1144" s="64"/>
      <c r="N1144" s="64"/>
      <c r="O1144" s="64"/>
      <c r="P1144" s="64"/>
      <c r="Q1144" s="64"/>
      <c r="R1144" s="28"/>
    </row>
    <row r="1145" spans="1:18" x14ac:dyDescent="0.25">
      <c r="A1145" s="63"/>
      <c r="B1145" s="64"/>
      <c r="C1145" s="64"/>
      <c r="D1145" s="64"/>
      <c r="E1145" s="64"/>
      <c r="F1145" s="64"/>
      <c r="G1145" s="64"/>
      <c r="H1145" s="64"/>
      <c r="I1145" s="64"/>
      <c r="J1145" s="64"/>
      <c r="K1145" s="64"/>
      <c r="L1145" s="64"/>
      <c r="M1145" s="64"/>
      <c r="N1145" s="64"/>
      <c r="O1145" s="64"/>
      <c r="P1145" s="64"/>
      <c r="Q1145" s="64"/>
      <c r="R1145" s="28"/>
    </row>
    <row r="1146" spans="1:18" x14ac:dyDescent="0.25">
      <c r="A1146" s="63"/>
      <c r="B1146" s="64"/>
      <c r="C1146" s="64"/>
      <c r="D1146" s="64"/>
      <c r="E1146" s="64"/>
      <c r="F1146" s="64"/>
      <c r="G1146" s="64"/>
      <c r="H1146" s="64"/>
      <c r="I1146" s="64"/>
      <c r="J1146" s="64"/>
      <c r="K1146" s="64"/>
      <c r="L1146" s="64"/>
      <c r="M1146" s="64"/>
      <c r="N1146" s="64"/>
      <c r="O1146" s="64"/>
      <c r="P1146" s="64"/>
      <c r="Q1146" s="64"/>
      <c r="R1146" s="28"/>
    </row>
    <row r="1147" spans="1:18" x14ac:dyDescent="0.25">
      <c r="A1147" s="63"/>
      <c r="B1147" s="64"/>
      <c r="C1147" s="64"/>
      <c r="D1147" s="64"/>
      <c r="E1147" s="64"/>
      <c r="F1147" s="64"/>
      <c r="G1147" s="64"/>
      <c r="H1147" s="64"/>
      <c r="I1147" s="64"/>
      <c r="J1147" s="64"/>
      <c r="K1147" s="64"/>
      <c r="L1147" s="64"/>
      <c r="M1147" s="64"/>
      <c r="N1147" s="64"/>
      <c r="O1147" s="64"/>
      <c r="P1147" s="64"/>
      <c r="Q1147" s="64"/>
      <c r="R1147" s="64"/>
    </row>
    <row r="1148" spans="1:18" x14ac:dyDescent="0.25">
      <c r="A1148" s="63"/>
      <c r="B1148" s="64"/>
      <c r="C1148" s="64"/>
      <c r="D1148" s="64"/>
      <c r="E1148" s="64"/>
      <c r="F1148" s="64"/>
      <c r="G1148" s="64"/>
      <c r="H1148" s="64"/>
      <c r="I1148" s="64"/>
      <c r="J1148" s="64"/>
      <c r="K1148" s="64"/>
      <c r="L1148" s="64"/>
      <c r="M1148" s="64"/>
      <c r="N1148" s="64"/>
      <c r="O1148" s="64"/>
      <c r="P1148" s="64"/>
      <c r="Q1148" s="64"/>
      <c r="R1148" s="64"/>
    </row>
    <row r="1149" spans="1:18" x14ac:dyDescent="0.25">
      <c r="A1149" s="63"/>
      <c r="B1149" s="64"/>
      <c r="C1149" s="64"/>
      <c r="D1149" s="64"/>
      <c r="E1149" s="64"/>
      <c r="F1149" s="64"/>
      <c r="G1149" s="64"/>
      <c r="H1149" s="64"/>
      <c r="I1149" s="64"/>
      <c r="J1149" s="64"/>
      <c r="K1149" s="64"/>
      <c r="L1149" s="64"/>
      <c r="M1149" s="64"/>
      <c r="N1149" s="64"/>
      <c r="O1149" s="64"/>
      <c r="P1149" s="64"/>
      <c r="Q1149" s="64"/>
      <c r="R1149" s="64"/>
    </row>
    <row r="1150" spans="1:18" x14ac:dyDescent="0.25">
      <c r="A1150" s="63"/>
      <c r="B1150" s="64"/>
      <c r="C1150" s="64"/>
      <c r="D1150" s="64"/>
      <c r="E1150" s="64"/>
      <c r="F1150" s="64"/>
      <c r="G1150" s="64"/>
      <c r="H1150" s="64"/>
      <c r="I1150" s="64"/>
      <c r="J1150" s="64"/>
      <c r="K1150" s="64"/>
      <c r="L1150" s="64"/>
      <c r="M1150" s="64"/>
      <c r="N1150" s="64"/>
      <c r="O1150" s="64"/>
      <c r="P1150" s="64"/>
      <c r="Q1150" s="64"/>
      <c r="R1150" s="64"/>
    </row>
    <row r="1151" spans="1:18" x14ac:dyDescent="0.25">
      <c r="A1151" s="63"/>
      <c r="B1151" s="64"/>
      <c r="C1151" s="64"/>
      <c r="D1151" s="64"/>
      <c r="E1151" s="64"/>
      <c r="F1151" s="64"/>
      <c r="G1151" s="64"/>
      <c r="H1151" s="64"/>
      <c r="I1151" s="64"/>
      <c r="J1151" s="64"/>
      <c r="K1151" s="64"/>
      <c r="L1151" s="64"/>
      <c r="M1151" s="64"/>
      <c r="N1151" s="64"/>
      <c r="O1151" s="64"/>
      <c r="P1151" s="64"/>
      <c r="Q1151" s="64"/>
      <c r="R1151" s="64"/>
    </row>
    <row r="1152" spans="1:18" x14ac:dyDescent="0.25">
      <c r="A1152" s="63"/>
      <c r="B1152" s="64"/>
      <c r="C1152" s="64"/>
      <c r="D1152" s="64"/>
      <c r="E1152" s="64"/>
      <c r="F1152" s="64"/>
      <c r="G1152" s="64"/>
      <c r="H1152" s="64"/>
      <c r="I1152" s="64"/>
      <c r="J1152" s="64"/>
      <c r="K1152" s="64"/>
      <c r="L1152" s="64"/>
      <c r="M1152" s="64"/>
      <c r="N1152" s="64"/>
      <c r="O1152" s="64"/>
      <c r="P1152" s="64"/>
      <c r="Q1152" s="64"/>
      <c r="R1152" s="64"/>
    </row>
    <row r="1153" spans="1:18" x14ac:dyDescent="0.25">
      <c r="A1153" s="63"/>
      <c r="B1153" s="64"/>
      <c r="C1153" s="64"/>
      <c r="D1153" s="64"/>
      <c r="E1153" s="64"/>
      <c r="F1153" s="64"/>
      <c r="G1153" s="64"/>
      <c r="H1153" s="64"/>
      <c r="I1153" s="64"/>
      <c r="J1153" s="64"/>
      <c r="K1153" s="64"/>
      <c r="L1153" s="64"/>
      <c r="M1153" s="64"/>
      <c r="N1153" s="64"/>
      <c r="O1153" s="64"/>
      <c r="P1153" s="64"/>
      <c r="Q1153" s="64"/>
      <c r="R1153" s="64"/>
    </row>
    <row r="1154" spans="1:18" x14ac:dyDescent="0.25">
      <c r="A1154" s="63"/>
      <c r="B1154" s="64"/>
      <c r="C1154" s="64"/>
      <c r="D1154" s="64"/>
      <c r="E1154" s="64"/>
      <c r="F1154" s="64"/>
      <c r="G1154" s="64"/>
      <c r="H1154" s="64"/>
      <c r="I1154" s="64"/>
      <c r="J1154" s="64"/>
      <c r="K1154" s="64"/>
      <c r="L1154" s="64"/>
      <c r="M1154" s="64"/>
      <c r="N1154" s="64"/>
      <c r="O1154" s="64"/>
      <c r="P1154" s="64"/>
      <c r="Q1154" s="64"/>
      <c r="R1154" s="64"/>
    </row>
    <row r="1155" spans="1:18" x14ac:dyDescent="0.25">
      <c r="A1155" s="63"/>
      <c r="B1155" s="64"/>
      <c r="C1155" s="64"/>
      <c r="D1155" s="64"/>
      <c r="E1155" s="64"/>
      <c r="F1155" s="64"/>
      <c r="G1155" s="64"/>
      <c r="H1155" s="64"/>
      <c r="I1155" s="64"/>
      <c r="J1155" s="64"/>
      <c r="K1155" s="64"/>
      <c r="L1155" s="64"/>
      <c r="M1155" s="64"/>
      <c r="N1155" s="64"/>
      <c r="O1155" s="64"/>
      <c r="P1155" s="64"/>
      <c r="Q1155" s="64"/>
      <c r="R1155" s="64"/>
    </row>
    <row r="1156" spans="1:18" x14ac:dyDescent="0.25">
      <c r="A1156" s="63"/>
      <c r="B1156" s="64"/>
      <c r="C1156" s="64"/>
      <c r="D1156" s="64"/>
      <c r="E1156" s="64"/>
      <c r="F1156" s="64"/>
      <c r="G1156" s="64"/>
      <c r="H1156" s="64"/>
      <c r="I1156" s="64"/>
      <c r="J1156" s="64"/>
      <c r="K1156" s="64"/>
      <c r="L1156" s="64"/>
      <c r="M1156" s="64"/>
      <c r="N1156" s="64"/>
      <c r="O1156" s="64"/>
      <c r="P1156" s="64"/>
      <c r="Q1156" s="64"/>
      <c r="R1156" s="64"/>
    </row>
    <row r="1157" spans="1:18" x14ac:dyDescent="0.25">
      <c r="A1157" s="63"/>
      <c r="B1157" s="64"/>
      <c r="C1157" s="64"/>
      <c r="D1157" s="64"/>
      <c r="E1157" s="64"/>
      <c r="F1157" s="64"/>
      <c r="G1157" s="64"/>
      <c r="H1157" s="64"/>
      <c r="I1157" s="64"/>
      <c r="J1157" s="64"/>
      <c r="K1157" s="64"/>
      <c r="L1157" s="64"/>
      <c r="M1157" s="64"/>
      <c r="N1157" s="64"/>
      <c r="O1157" s="64"/>
      <c r="P1157" s="64"/>
      <c r="Q1157" s="64"/>
      <c r="R1157" s="64"/>
    </row>
    <row r="1158" spans="1:18" x14ac:dyDescent="0.25">
      <c r="A1158" s="63"/>
      <c r="B1158" s="64"/>
      <c r="C1158" s="64"/>
      <c r="D1158" s="64"/>
      <c r="E1158" s="64"/>
      <c r="F1158" s="64"/>
      <c r="G1158" s="64"/>
      <c r="H1158" s="64"/>
      <c r="I1158" s="64"/>
      <c r="J1158" s="64"/>
      <c r="K1158" s="64"/>
      <c r="L1158" s="64"/>
      <c r="M1158" s="64"/>
      <c r="N1158" s="64"/>
      <c r="O1158" s="64"/>
      <c r="P1158" s="64"/>
      <c r="Q1158" s="64"/>
      <c r="R1158" s="64"/>
    </row>
    <row r="1159" spans="1:18" x14ac:dyDescent="0.25">
      <c r="A1159" s="63"/>
      <c r="B1159" s="64"/>
      <c r="C1159" s="64"/>
      <c r="D1159" s="64"/>
      <c r="E1159" s="64"/>
      <c r="F1159" s="64"/>
      <c r="G1159" s="64"/>
      <c r="H1159" s="64"/>
      <c r="I1159" s="64"/>
      <c r="J1159" s="64"/>
      <c r="K1159" s="64"/>
      <c r="L1159" s="64"/>
      <c r="M1159" s="64"/>
      <c r="N1159" s="64"/>
      <c r="O1159" s="64"/>
      <c r="P1159" s="64"/>
      <c r="Q1159" s="64"/>
      <c r="R1159" s="64"/>
    </row>
    <row r="1160" spans="1:18" x14ac:dyDescent="0.25">
      <c r="A1160" s="63"/>
      <c r="B1160" s="64"/>
      <c r="C1160" s="64"/>
      <c r="D1160" s="64"/>
      <c r="E1160" s="64"/>
      <c r="F1160" s="64"/>
      <c r="G1160" s="64"/>
      <c r="H1160" s="64"/>
      <c r="I1160" s="64"/>
      <c r="J1160" s="64"/>
      <c r="K1160" s="64"/>
      <c r="L1160" s="64"/>
      <c r="M1160" s="64"/>
      <c r="N1160" s="64"/>
      <c r="O1160" s="64"/>
      <c r="P1160" s="64"/>
      <c r="Q1160" s="64"/>
      <c r="R1160" s="64"/>
    </row>
    <row r="1161" spans="1:18" x14ac:dyDescent="0.25">
      <c r="A1161" s="63"/>
      <c r="B1161" s="64"/>
      <c r="C1161" s="64"/>
      <c r="D1161" s="64"/>
      <c r="E1161" s="64"/>
      <c r="F1161" s="64"/>
      <c r="G1161" s="64"/>
      <c r="H1161" s="64"/>
      <c r="I1161" s="64"/>
      <c r="J1161" s="64"/>
      <c r="K1161" s="64"/>
      <c r="L1161" s="64"/>
      <c r="M1161" s="64"/>
      <c r="N1161" s="64"/>
      <c r="O1161" s="64"/>
      <c r="P1161" s="64"/>
      <c r="Q1161" s="64"/>
      <c r="R1161" s="64"/>
    </row>
    <row r="1162" spans="1:18" x14ac:dyDescent="0.25">
      <c r="A1162" s="63"/>
      <c r="B1162" s="64"/>
      <c r="C1162" s="64"/>
      <c r="D1162" s="64"/>
      <c r="E1162" s="64"/>
      <c r="F1162" s="64"/>
      <c r="G1162" s="64"/>
      <c r="H1162" s="64"/>
      <c r="I1162" s="64"/>
      <c r="J1162" s="64"/>
      <c r="K1162" s="64"/>
      <c r="L1162" s="64"/>
      <c r="M1162" s="64"/>
      <c r="N1162" s="64"/>
      <c r="O1162" s="64"/>
      <c r="P1162" s="64"/>
      <c r="Q1162" s="64"/>
      <c r="R1162" s="64"/>
    </row>
    <row r="1163" spans="1:18" x14ac:dyDescent="0.25">
      <c r="A1163" s="63"/>
      <c r="B1163" s="64"/>
      <c r="C1163" s="64"/>
      <c r="D1163" s="64"/>
      <c r="E1163" s="64"/>
      <c r="F1163" s="64"/>
      <c r="G1163" s="64"/>
      <c r="H1163" s="64"/>
      <c r="I1163" s="64"/>
      <c r="J1163" s="64"/>
      <c r="K1163" s="64"/>
      <c r="L1163" s="64"/>
      <c r="M1163" s="64"/>
      <c r="N1163" s="64"/>
      <c r="O1163" s="64"/>
      <c r="P1163" s="64"/>
      <c r="Q1163" s="64"/>
      <c r="R1163" s="64"/>
    </row>
    <row r="1164" spans="1:18" x14ac:dyDescent="0.25">
      <c r="A1164" s="63"/>
      <c r="B1164" s="64"/>
      <c r="C1164" s="64"/>
      <c r="D1164" s="64"/>
      <c r="E1164" s="64"/>
      <c r="F1164" s="64"/>
      <c r="G1164" s="64"/>
      <c r="H1164" s="64"/>
      <c r="I1164" s="64"/>
      <c r="J1164" s="64"/>
      <c r="K1164" s="64"/>
      <c r="L1164" s="64"/>
      <c r="M1164" s="64"/>
      <c r="N1164" s="64"/>
      <c r="O1164" s="64"/>
      <c r="P1164" s="64"/>
      <c r="Q1164" s="64"/>
      <c r="R1164" s="64"/>
    </row>
    <row r="1165" spans="1:18" x14ac:dyDescent="0.25">
      <c r="A1165" s="63"/>
      <c r="B1165" s="64"/>
      <c r="C1165" s="64"/>
      <c r="D1165" s="64"/>
      <c r="E1165" s="64"/>
      <c r="F1165" s="64"/>
      <c r="G1165" s="64"/>
      <c r="H1165" s="64"/>
      <c r="I1165" s="64"/>
      <c r="J1165" s="64"/>
      <c r="K1165" s="64"/>
      <c r="L1165" s="64"/>
      <c r="M1165" s="64"/>
      <c r="N1165" s="64"/>
      <c r="O1165" s="64"/>
      <c r="P1165" s="64"/>
      <c r="Q1165" s="64"/>
      <c r="R1165" s="64"/>
    </row>
    <row r="1166" spans="1:18" x14ac:dyDescent="0.25">
      <c r="A1166" s="63"/>
      <c r="B1166" s="64"/>
      <c r="C1166" s="64"/>
      <c r="D1166" s="64"/>
      <c r="E1166" s="64"/>
      <c r="F1166" s="64"/>
      <c r="G1166" s="64"/>
      <c r="H1166" s="64"/>
      <c r="I1166" s="64"/>
      <c r="J1166" s="64"/>
      <c r="K1166" s="64"/>
      <c r="L1166" s="64"/>
      <c r="M1166" s="64"/>
      <c r="N1166" s="64"/>
      <c r="O1166" s="64"/>
      <c r="P1166" s="64"/>
      <c r="Q1166" s="64"/>
      <c r="R1166" s="64"/>
    </row>
    <row r="1167" spans="1:18" x14ac:dyDescent="0.25">
      <c r="A1167" s="63"/>
      <c r="B1167" s="64"/>
      <c r="C1167" s="64"/>
      <c r="D1167" s="64"/>
      <c r="E1167" s="64"/>
      <c r="F1167" s="64"/>
      <c r="G1167" s="64"/>
      <c r="H1167" s="64"/>
      <c r="I1167" s="64"/>
      <c r="J1167" s="64"/>
      <c r="K1167" s="64"/>
      <c r="L1167" s="64"/>
      <c r="M1167" s="64"/>
      <c r="N1167" s="64"/>
      <c r="O1167" s="64"/>
      <c r="P1167" s="64"/>
      <c r="Q1167" s="64"/>
      <c r="R1167" s="64"/>
    </row>
    <row r="1168" spans="1:18" x14ac:dyDescent="0.25">
      <c r="A1168" s="63"/>
      <c r="B1168" s="64"/>
      <c r="C1168" s="64"/>
      <c r="D1168" s="64"/>
      <c r="E1168" s="64"/>
      <c r="F1168" s="64"/>
      <c r="G1168" s="64"/>
      <c r="H1168" s="64"/>
      <c r="I1168" s="64"/>
      <c r="J1168" s="64"/>
      <c r="K1168" s="64"/>
      <c r="L1168" s="64"/>
      <c r="M1168" s="64"/>
      <c r="N1168" s="64"/>
      <c r="O1168" s="64"/>
      <c r="P1168" s="64"/>
      <c r="Q1168" s="64"/>
      <c r="R1168" s="64"/>
    </row>
    <row r="1169" spans="1:18" x14ac:dyDescent="0.25">
      <c r="A1169" s="63"/>
      <c r="B1169" s="64"/>
      <c r="C1169" s="64"/>
      <c r="D1169" s="64"/>
      <c r="E1169" s="64"/>
      <c r="F1169" s="64"/>
      <c r="G1169" s="64"/>
      <c r="H1169" s="64"/>
      <c r="I1169" s="64"/>
      <c r="J1169" s="64"/>
      <c r="K1169" s="64"/>
      <c r="L1169" s="64"/>
      <c r="M1169" s="64"/>
      <c r="N1169" s="64"/>
      <c r="O1169" s="64"/>
      <c r="P1169" s="64"/>
      <c r="Q1169" s="64"/>
      <c r="R1169" s="64"/>
    </row>
    <row r="1170" spans="1:18" x14ac:dyDescent="0.25">
      <c r="A1170" s="63"/>
      <c r="B1170" s="64"/>
      <c r="C1170" s="64"/>
      <c r="D1170" s="64"/>
      <c r="E1170" s="64"/>
      <c r="F1170" s="64"/>
      <c r="G1170" s="64"/>
      <c r="H1170" s="64"/>
      <c r="I1170" s="64"/>
      <c r="J1170" s="64"/>
      <c r="K1170" s="64"/>
      <c r="L1170" s="64"/>
      <c r="M1170" s="64"/>
      <c r="N1170" s="64"/>
      <c r="O1170" s="64"/>
      <c r="P1170" s="64"/>
      <c r="Q1170" s="64"/>
      <c r="R1170" s="64"/>
    </row>
    <row r="1171" spans="1:18" x14ac:dyDescent="0.25">
      <c r="A1171" s="63"/>
      <c r="B1171" s="64"/>
      <c r="C1171" s="64"/>
      <c r="D1171" s="64"/>
      <c r="E1171" s="64"/>
      <c r="F1171" s="64"/>
      <c r="G1171" s="64"/>
      <c r="H1171" s="64"/>
      <c r="I1171" s="64"/>
      <c r="J1171" s="64"/>
      <c r="K1171" s="64"/>
      <c r="L1171" s="64"/>
      <c r="M1171" s="64"/>
      <c r="N1171" s="64"/>
      <c r="O1171" s="64"/>
      <c r="P1171" s="64"/>
      <c r="Q1171" s="64"/>
      <c r="R1171" s="64"/>
    </row>
    <row r="1172" spans="1:18" x14ac:dyDescent="0.25">
      <c r="A1172" s="63"/>
      <c r="B1172" s="64"/>
      <c r="C1172" s="64"/>
      <c r="D1172" s="64"/>
      <c r="E1172" s="64"/>
      <c r="F1172" s="64"/>
      <c r="G1172" s="64"/>
      <c r="H1172" s="64"/>
      <c r="I1172" s="64"/>
      <c r="J1172" s="64"/>
      <c r="K1172" s="64"/>
      <c r="L1172" s="64"/>
      <c r="M1172" s="64"/>
      <c r="N1172" s="64"/>
      <c r="O1172" s="64"/>
      <c r="P1172" s="64"/>
      <c r="Q1172" s="64"/>
      <c r="R1172" s="64"/>
    </row>
    <row r="1173" spans="1:18" x14ac:dyDescent="0.25">
      <c r="A1173" s="63"/>
      <c r="B1173" s="64"/>
      <c r="C1173" s="64"/>
      <c r="D1173" s="64"/>
      <c r="E1173" s="64"/>
      <c r="F1173" s="64"/>
      <c r="G1173" s="64"/>
      <c r="H1173" s="64"/>
      <c r="I1173" s="64"/>
      <c r="J1173" s="64"/>
      <c r="K1173" s="64"/>
      <c r="L1173" s="64"/>
      <c r="M1173" s="64"/>
      <c r="N1173" s="64"/>
      <c r="O1173" s="64"/>
      <c r="P1173" s="64"/>
      <c r="Q1173" s="64"/>
      <c r="R1173" s="64"/>
    </row>
    <row r="1174" spans="1:18" x14ac:dyDescent="0.25">
      <c r="A1174" s="63"/>
      <c r="B1174" s="64"/>
      <c r="C1174" s="64"/>
      <c r="D1174" s="64"/>
      <c r="E1174" s="64"/>
      <c r="F1174" s="64"/>
      <c r="G1174" s="64"/>
      <c r="H1174" s="64"/>
      <c r="I1174" s="64"/>
      <c r="J1174" s="64"/>
      <c r="K1174" s="64"/>
      <c r="L1174" s="64"/>
      <c r="M1174" s="64"/>
      <c r="N1174" s="64"/>
      <c r="O1174" s="64"/>
      <c r="P1174" s="64"/>
      <c r="Q1174" s="64"/>
      <c r="R1174" s="64"/>
    </row>
    <row r="1175" spans="1:18" x14ac:dyDescent="0.25">
      <c r="A1175" s="63"/>
      <c r="B1175" s="64"/>
      <c r="C1175" s="64"/>
      <c r="D1175" s="64"/>
      <c r="E1175" s="64"/>
      <c r="F1175" s="64"/>
      <c r="G1175" s="64"/>
      <c r="H1175" s="64"/>
      <c r="I1175" s="64"/>
      <c r="J1175" s="64"/>
      <c r="K1175" s="64"/>
      <c r="L1175" s="64"/>
      <c r="M1175" s="64"/>
      <c r="N1175" s="64"/>
      <c r="O1175" s="64"/>
      <c r="P1175" s="64"/>
      <c r="Q1175" s="64"/>
      <c r="R1175" s="64"/>
    </row>
    <row r="1176" spans="1:18" x14ac:dyDescent="0.25">
      <c r="A1176" s="63"/>
      <c r="B1176" s="64"/>
      <c r="C1176" s="64"/>
      <c r="D1176" s="64"/>
      <c r="E1176" s="64"/>
      <c r="F1176" s="64"/>
      <c r="G1176" s="64"/>
      <c r="H1176" s="64"/>
      <c r="I1176" s="64"/>
      <c r="J1176" s="64"/>
      <c r="K1176" s="64"/>
      <c r="L1176" s="64"/>
      <c r="M1176" s="64"/>
      <c r="N1176" s="64"/>
      <c r="O1176" s="64"/>
      <c r="P1176" s="64"/>
      <c r="Q1176" s="64"/>
      <c r="R1176" s="64"/>
    </row>
    <row r="1177" spans="1:18" x14ac:dyDescent="0.25">
      <c r="A1177" s="63"/>
      <c r="B1177" s="64"/>
      <c r="C1177" s="64"/>
      <c r="D1177" s="64"/>
      <c r="E1177" s="64"/>
      <c r="F1177" s="64"/>
      <c r="G1177" s="64"/>
      <c r="H1177" s="64"/>
      <c r="I1177" s="64"/>
      <c r="J1177" s="64"/>
      <c r="K1177" s="64"/>
      <c r="L1177" s="64"/>
      <c r="M1177" s="64"/>
      <c r="N1177" s="64"/>
      <c r="O1177" s="64"/>
      <c r="P1177" s="64"/>
      <c r="Q1177" s="64"/>
      <c r="R1177" s="64"/>
    </row>
    <row r="1178" spans="1:18" x14ac:dyDescent="0.25">
      <c r="A1178" s="63"/>
      <c r="B1178" s="64"/>
      <c r="C1178" s="64"/>
      <c r="D1178" s="64"/>
      <c r="E1178" s="64"/>
      <c r="F1178" s="64"/>
      <c r="G1178" s="64"/>
      <c r="H1178" s="64"/>
      <c r="I1178" s="64"/>
      <c r="J1178" s="64"/>
      <c r="K1178" s="64"/>
      <c r="L1178" s="64"/>
      <c r="M1178" s="64"/>
      <c r="N1178" s="64"/>
      <c r="O1178" s="64"/>
      <c r="P1178" s="64"/>
      <c r="Q1178" s="64"/>
      <c r="R1178" s="64"/>
    </row>
    <row r="1179" spans="1:18" x14ac:dyDescent="0.25">
      <c r="A1179" s="63"/>
      <c r="B1179" s="64"/>
      <c r="C1179" s="64"/>
      <c r="D1179" s="64"/>
      <c r="E1179" s="64"/>
      <c r="F1179" s="64"/>
      <c r="G1179" s="64"/>
      <c r="H1179" s="64"/>
      <c r="I1179" s="64"/>
      <c r="J1179" s="64"/>
      <c r="K1179" s="64"/>
      <c r="L1179" s="64"/>
      <c r="M1179" s="64"/>
      <c r="N1179" s="64"/>
      <c r="O1179" s="64"/>
      <c r="P1179" s="64"/>
      <c r="Q1179" s="64"/>
      <c r="R1179" s="64"/>
    </row>
    <row r="1180" spans="1:18" x14ac:dyDescent="0.25">
      <c r="A1180" s="63"/>
      <c r="B1180" s="64"/>
      <c r="C1180" s="64"/>
      <c r="D1180" s="64"/>
      <c r="E1180" s="64"/>
      <c r="F1180" s="64"/>
      <c r="G1180" s="64"/>
      <c r="H1180" s="64"/>
      <c r="I1180" s="64"/>
      <c r="J1180" s="64"/>
      <c r="K1180" s="64"/>
      <c r="L1180" s="64"/>
      <c r="M1180" s="64"/>
      <c r="N1180" s="64"/>
      <c r="O1180" s="64"/>
      <c r="P1180" s="64"/>
      <c r="Q1180" s="64"/>
      <c r="R1180" s="64"/>
    </row>
    <row r="1181" spans="1:18" x14ac:dyDescent="0.25">
      <c r="A1181" s="63"/>
      <c r="B1181" s="64"/>
      <c r="C1181" s="64"/>
      <c r="D1181" s="64"/>
      <c r="E1181" s="64"/>
      <c r="F1181" s="64"/>
      <c r="G1181" s="64"/>
      <c r="H1181" s="64"/>
      <c r="I1181" s="64"/>
      <c r="J1181" s="64"/>
      <c r="K1181" s="64"/>
      <c r="L1181" s="64"/>
      <c r="M1181" s="64"/>
      <c r="N1181" s="64"/>
      <c r="O1181" s="64"/>
      <c r="P1181" s="64"/>
      <c r="Q1181" s="64"/>
      <c r="R1181" s="64"/>
    </row>
    <row r="1182" spans="1:18" x14ac:dyDescent="0.25">
      <c r="A1182" s="63"/>
      <c r="B1182" s="64"/>
      <c r="C1182" s="64"/>
      <c r="D1182" s="64"/>
      <c r="E1182" s="64"/>
      <c r="F1182" s="64"/>
      <c r="G1182" s="64"/>
      <c r="H1182" s="64"/>
      <c r="I1182" s="64"/>
      <c r="J1182" s="64"/>
      <c r="K1182" s="64"/>
      <c r="L1182" s="64"/>
      <c r="M1182" s="64"/>
      <c r="N1182" s="64"/>
      <c r="O1182" s="64"/>
      <c r="P1182" s="64"/>
      <c r="Q1182" s="64"/>
      <c r="R1182" s="64"/>
    </row>
    <row r="1183" spans="1:18" x14ac:dyDescent="0.25">
      <c r="A1183" s="63"/>
      <c r="B1183" s="64"/>
      <c r="C1183" s="64"/>
      <c r="D1183" s="64"/>
      <c r="E1183" s="64"/>
      <c r="F1183" s="64"/>
      <c r="G1183" s="64"/>
      <c r="H1183" s="64"/>
      <c r="I1183" s="64"/>
      <c r="J1183" s="64"/>
      <c r="K1183" s="64"/>
      <c r="L1183" s="64"/>
      <c r="M1183" s="64"/>
      <c r="N1183" s="64"/>
      <c r="O1183" s="64"/>
      <c r="P1183" s="64"/>
      <c r="Q1183" s="64"/>
      <c r="R1183" s="64"/>
    </row>
    <row r="1184" spans="1:18" x14ac:dyDescent="0.25">
      <c r="A1184" s="63"/>
      <c r="B1184" s="64"/>
      <c r="C1184" s="64"/>
      <c r="D1184" s="64"/>
      <c r="E1184" s="64"/>
      <c r="F1184" s="64"/>
      <c r="G1184" s="64"/>
      <c r="H1184" s="64"/>
      <c r="I1184" s="64"/>
      <c r="J1184" s="64"/>
      <c r="K1184" s="64"/>
      <c r="L1184" s="64"/>
      <c r="M1184" s="64"/>
      <c r="N1184" s="64"/>
      <c r="O1184" s="64"/>
      <c r="P1184" s="64"/>
      <c r="Q1184" s="64"/>
      <c r="R1184" s="64"/>
    </row>
    <row r="1185" spans="1:18" x14ac:dyDescent="0.25">
      <c r="A1185" s="63"/>
      <c r="B1185" s="64"/>
      <c r="C1185" s="64"/>
      <c r="D1185" s="64"/>
      <c r="E1185" s="64"/>
      <c r="F1185" s="64"/>
      <c r="G1185" s="64"/>
      <c r="H1185" s="64"/>
      <c r="I1185" s="64"/>
      <c r="J1185" s="64"/>
      <c r="K1185" s="64"/>
      <c r="L1185" s="64"/>
      <c r="M1185" s="64"/>
      <c r="N1185" s="64"/>
      <c r="O1185" s="64"/>
      <c r="P1185" s="64"/>
      <c r="Q1185" s="64"/>
      <c r="R1185" s="64"/>
    </row>
    <row r="1186" spans="1:18" x14ac:dyDescent="0.25">
      <c r="A1186" s="63"/>
      <c r="B1186" s="64"/>
      <c r="C1186" s="64"/>
      <c r="D1186" s="64"/>
      <c r="E1186" s="64"/>
      <c r="F1186" s="64"/>
      <c r="G1186" s="64"/>
      <c r="H1186" s="64"/>
      <c r="I1186" s="64"/>
      <c r="J1186" s="64"/>
      <c r="K1186" s="64"/>
      <c r="L1186" s="64"/>
      <c r="M1186" s="64"/>
      <c r="N1186" s="64"/>
      <c r="O1186" s="64"/>
      <c r="P1186" s="64"/>
      <c r="Q1186" s="64"/>
      <c r="R1186" s="64"/>
    </row>
    <row r="1187" spans="1:18" x14ac:dyDescent="0.25">
      <c r="A1187" s="63"/>
      <c r="B1187" s="64"/>
      <c r="C1187" s="64"/>
      <c r="D1187" s="64"/>
      <c r="E1187" s="64"/>
      <c r="F1187" s="64"/>
      <c r="G1187" s="64"/>
      <c r="H1187" s="64"/>
      <c r="I1187" s="64"/>
      <c r="J1187" s="64"/>
      <c r="K1187" s="64"/>
      <c r="L1187" s="64"/>
      <c r="M1187" s="64"/>
      <c r="N1187" s="64"/>
      <c r="O1187" s="64"/>
      <c r="P1187" s="64"/>
      <c r="Q1187" s="64"/>
      <c r="R1187" s="64"/>
    </row>
    <row r="1188" spans="1:18" x14ac:dyDescent="0.25">
      <c r="A1188" s="63"/>
      <c r="B1188" s="64"/>
      <c r="C1188" s="64"/>
      <c r="D1188" s="64"/>
      <c r="E1188" s="64"/>
      <c r="F1188" s="64"/>
      <c r="G1188" s="64"/>
      <c r="H1188" s="64"/>
      <c r="I1188" s="64"/>
      <c r="J1188" s="64"/>
      <c r="K1188" s="64"/>
      <c r="L1188" s="64"/>
      <c r="M1188" s="64"/>
      <c r="N1188" s="64"/>
      <c r="O1188" s="64"/>
      <c r="P1188" s="64"/>
      <c r="Q1188" s="64"/>
      <c r="R1188" s="64"/>
    </row>
    <row r="1189" spans="1:18" x14ac:dyDescent="0.25">
      <c r="A1189" s="63"/>
      <c r="B1189" s="64"/>
      <c r="C1189" s="64"/>
      <c r="D1189" s="64"/>
      <c r="E1189" s="64"/>
      <c r="F1189" s="64"/>
      <c r="G1189" s="64"/>
      <c r="H1189" s="64"/>
      <c r="I1189" s="64"/>
      <c r="J1189" s="64"/>
      <c r="K1189" s="64"/>
      <c r="L1189" s="64"/>
      <c r="M1189" s="64"/>
      <c r="N1189" s="64"/>
      <c r="O1189" s="64"/>
      <c r="P1189" s="64"/>
      <c r="Q1189" s="64"/>
      <c r="R1189" s="64"/>
    </row>
    <row r="1190" spans="1:18" x14ac:dyDescent="0.25">
      <c r="A1190" s="63"/>
      <c r="B1190" s="64"/>
      <c r="C1190" s="64"/>
      <c r="D1190" s="64"/>
      <c r="E1190" s="64"/>
      <c r="F1190" s="64"/>
      <c r="G1190" s="64"/>
      <c r="H1190" s="64"/>
      <c r="I1190" s="64"/>
      <c r="J1190" s="64"/>
      <c r="K1190" s="64"/>
      <c r="L1190" s="64"/>
      <c r="M1190" s="64"/>
      <c r="N1190" s="64"/>
      <c r="O1190" s="64"/>
      <c r="P1190" s="64"/>
      <c r="Q1190" s="64"/>
      <c r="R1190" s="64"/>
    </row>
    <row r="1191" spans="1:18" x14ac:dyDescent="0.25">
      <c r="A1191" s="63"/>
      <c r="B1191" s="64"/>
      <c r="C1191" s="64"/>
      <c r="D1191" s="64"/>
      <c r="E1191" s="64"/>
      <c r="F1191" s="64"/>
      <c r="G1191" s="64"/>
      <c r="H1191" s="64"/>
      <c r="I1191" s="64"/>
      <c r="J1191" s="64"/>
      <c r="K1191" s="64"/>
      <c r="L1191" s="64"/>
      <c r="M1191" s="64"/>
      <c r="N1191" s="64"/>
      <c r="O1191" s="64"/>
      <c r="P1191" s="64"/>
      <c r="Q1191" s="64"/>
      <c r="R1191" s="64"/>
    </row>
    <row r="1192" spans="1:18" x14ac:dyDescent="0.25">
      <c r="A1192" s="63"/>
      <c r="B1192" s="64"/>
      <c r="C1192" s="64"/>
      <c r="D1192" s="64"/>
      <c r="E1192" s="64"/>
      <c r="F1192" s="64"/>
      <c r="G1192" s="64"/>
      <c r="H1192" s="64"/>
      <c r="I1192" s="64"/>
      <c r="J1192" s="64"/>
      <c r="K1192" s="64"/>
      <c r="L1192" s="64"/>
      <c r="M1192" s="64"/>
      <c r="N1192" s="64"/>
      <c r="O1192" s="64"/>
      <c r="P1192" s="64"/>
      <c r="Q1192" s="64"/>
      <c r="R1192" s="64"/>
    </row>
    <row r="1193" spans="1:18" x14ac:dyDescent="0.25">
      <c r="A1193" s="63"/>
      <c r="B1193" s="64"/>
      <c r="C1193" s="64"/>
      <c r="D1193" s="64"/>
      <c r="E1193" s="64"/>
      <c r="F1193" s="64"/>
      <c r="G1193" s="64"/>
      <c r="H1193" s="64"/>
      <c r="I1193" s="64"/>
      <c r="J1193" s="64"/>
      <c r="K1193" s="64"/>
      <c r="L1193" s="64"/>
      <c r="M1193" s="64"/>
      <c r="N1193" s="64"/>
      <c r="O1193" s="64"/>
      <c r="P1193" s="64"/>
      <c r="Q1193" s="64"/>
      <c r="R1193" s="64"/>
    </row>
    <row r="1194" spans="1:18" x14ac:dyDescent="0.25">
      <c r="A1194" s="63"/>
      <c r="B1194" s="64"/>
      <c r="C1194" s="64"/>
      <c r="D1194" s="64"/>
      <c r="E1194" s="64"/>
      <c r="F1194" s="64"/>
      <c r="G1194" s="64"/>
      <c r="H1194" s="64"/>
      <c r="I1194" s="64"/>
      <c r="J1194" s="64"/>
      <c r="K1194" s="64"/>
      <c r="L1194" s="64"/>
      <c r="M1194" s="64"/>
      <c r="N1194" s="64"/>
      <c r="O1194" s="64"/>
      <c r="P1194" s="64"/>
      <c r="Q1194" s="64"/>
      <c r="R1194" s="64"/>
    </row>
    <row r="1195" spans="1:18" x14ac:dyDescent="0.25">
      <c r="A1195" s="63"/>
      <c r="B1195" s="64"/>
      <c r="C1195" s="64"/>
      <c r="D1195" s="64"/>
      <c r="E1195" s="64"/>
      <c r="F1195" s="64"/>
      <c r="G1195" s="64"/>
      <c r="H1195" s="64"/>
      <c r="I1195" s="64"/>
      <c r="J1195" s="64"/>
      <c r="K1195" s="64"/>
      <c r="L1195" s="64"/>
      <c r="M1195" s="64"/>
      <c r="N1195" s="64"/>
      <c r="O1195" s="64"/>
      <c r="P1195" s="64"/>
      <c r="Q1195" s="64"/>
      <c r="R1195" s="64"/>
    </row>
    <row r="1196" spans="1:18" x14ac:dyDescent="0.25">
      <c r="A1196" s="63"/>
      <c r="B1196" s="64"/>
      <c r="C1196" s="64"/>
      <c r="D1196" s="64"/>
      <c r="E1196" s="64"/>
      <c r="F1196" s="64"/>
      <c r="G1196" s="64"/>
      <c r="H1196" s="64"/>
      <c r="I1196" s="64"/>
      <c r="J1196" s="64"/>
      <c r="K1196" s="64"/>
      <c r="L1196" s="64"/>
      <c r="M1196" s="64"/>
      <c r="N1196" s="64"/>
      <c r="O1196" s="64"/>
      <c r="P1196" s="64"/>
      <c r="Q1196" s="64"/>
      <c r="R1196" s="64"/>
    </row>
    <row r="1197" spans="1:18" x14ac:dyDescent="0.25">
      <c r="A1197" s="63"/>
      <c r="B1197" s="64"/>
      <c r="C1197" s="64"/>
      <c r="D1197" s="64"/>
      <c r="E1197" s="64"/>
      <c r="F1197" s="64"/>
      <c r="G1197" s="64"/>
      <c r="H1197" s="64"/>
      <c r="I1197" s="64"/>
      <c r="J1197" s="64"/>
      <c r="K1197" s="64"/>
      <c r="L1197" s="64"/>
      <c r="M1197" s="64"/>
      <c r="N1197" s="64"/>
      <c r="O1197" s="64"/>
      <c r="P1197" s="64"/>
      <c r="Q1197" s="64"/>
      <c r="R1197" s="64"/>
    </row>
    <row r="1198" spans="1:18" x14ac:dyDescent="0.25">
      <c r="A1198" s="63"/>
      <c r="B1198" s="64"/>
      <c r="C1198" s="64"/>
      <c r="D1198" s="64"/>
      <c r="E1198" s="64"/>
      <c r="F1198" s="64"/>
      <c r="G1198" s="64"/>
      <c r="H1198" s="64"/>
      <c r="I1198" s="64"/>
      <c r="J1198" s="64"/>
      <c r="K1198" s="64"/>
      <c r="L1198" s="64"/>
      <c r="M1198" s="64"/>
      <c r="N1198" s="64"/>
      <c r="O1198" s="64"/>
      <c r="P1198" s="64"/>
      <c r="Q1198" s="64"/>
      <c r="R1198" s="64"/>
    </row>
    <row r="1199" spans="1:18" x14ac:dyDescent="0.25">
      <c r="A1199" s="63"/>
      <c r="B1199" s="64"/>
      <c r="C1199" s="64"/>
      <c r="D1199" s="64"/>
      <c r="E1199" s="64"/>
      <c r="F1199" s="64"/>
      <c r="G1199" s="64"/>
      <c r="H1199" s="64"/>
      <c r="I1199" s="64"/>
      <c r="J1199" s="64"/>
      <c r="K1199" s="64"/>
      <c r="L1199" s="64"/>
      <c r="M1199" s="64"/>
      <c r="N1199" s="64"/>
      <c r="O1199" s="64"/>
      <c r="P1199" s="64"/>
      <c r="Q1199" s="64"/>
      <c r="R1199" s="64"/>
    </row>
    <row r="1200" spans="1:18" x14ac:dyDescent="0.25">
      <c r="A1200" s="63"/>
      <c r="B1200" s="64"/>
      <c r="C1200" s="64"/>
      <c r="D1200" s="64"/>
      <c r="E1200" s="64"/>
      <c r="F1200" s="64"/>
      <c r="G1200" s="64"/>
      <c r="H1200" s="64"/>
      <c r="I1200" s="64"/>
      <c r="J1200" s="64"/>
      <c r="K1200" s="64"/>
      <c r="L1200" s="64"/>
      <c r="M1200" s="64"/>
      <c r="N1200" s="64"/>
      <c r="O1200" s="64"/>
      <c r="P1200" s="64"/>
      <c r="Q1200" s="64"/>
      <c r="R1200" s="64"/>
    </row>
    <row r="1201" spans="1:18" x14ac:dyDescent="0.25">
      <c r="A1201" s="63"/>
      <c r="B1201" s="64"/>
      <c r="C1201" s="64"/>
      <c r="D1201" s="64"/>
      <c r="E1201" s="64"/>
      <c r="F1201" s="64"/>
      <c r="G1201" s="64"/>
      <c r="H1201" s="64"/>
      <c r="I1201" s="64"/>
      <c r="J1201" s="64"/>
      <c r="K1201" s="64"/>
      <c r="L1201" s="64"/>
      <c r="M1201" s="64"/>
      <c r="N1201" s="64"/>
      <c r="O1201" s="64"/>
      <c r="P1201" s="64"/>
      <c r="Q1201" s="64"/>
      <c r="R1201" s="64"/>
    </row>
    <row r="1202" spans="1:18" x14ac:dyDescent="0.25">
      <c r="A1202" s="63"/>
      <c r="B1202" s="64"/>
      <c r="C1202" s="64"/>
      <c r="D1202" s="64"/>
      <c r="E1202" s="64"/>
      <c r="F1202" s="64"/>
      <c r="G1202" s="64"/>
      <c r="H1202" s="64"/>
      <c r="I1202" s="64"/>
      <c r="J1202" s="64"/>
      <c r="K1202" s="64"/>
      <c r="L1202" s="64"/>
      <c r="M1202" s="64"/>
      <c r="N1202" s="64"/>
      <c r="O1202" s="64"/>
      <c r="P1202" s="64"/>
      <c r="Q1202" s="64"/>
      <c r="R1202" s="64"/>
    </row>
    <row r="1203" spans="1:18" x14ac:dyDescent="0.25">
      <c r="A1203" s="63"/>
      <c r="B1203" s="64"/>
      <c r="C1203" s="64"/>
      <c r="D1203" s="64"/>
      <c r="E1203" s="64"/>
      <c r="F1203" s="64"/>
      <c r="G1203" s="64"/>
      <c r="H1203" s="64"/>
      <c r="I1203" s="64"/>
      <c r="J1203" s="64"/>
      <c r="K1203" s="64"/>
      <c r="L1203" s="64"/>
      <c r="M1203" s="64"/>
      <c r="N1203" s="64"/>
      <c r="O1203" s="64"/>
      <c r="P1203" s="64"/>
      <c r="Q1203" s="64"/>
      <c r="R1203" s="64"/>
    </row>
    <row r="1204" spans="1:18" x14ac:dyDescent="0.25">
      <c r="A1204" s="63"/>
      <c r="B1204" s="64"/>
      <c r="C1204" s="64"/>
      <c r="D1204" s="64"/>
      <c r="E1204" s="64"/>
      <c r="F1204" s="64"/>
      <c r="G1204" s="64"/>
      <c r="H1204" s="64"/>
      <c r="I1204" s="64"/>
      <c r="J1204" s="64"/>
      <c r="K1204" s="64"/>
      <c r="L1204" s="64"/>
      <c r="M1204" s="64"/>
      <c r="N1204" s="64"/>
      <c r="O1204" s="64"/>
      <c r="P1204" s="64"/>
      <c r="Q1204" s="64"/>
      <c r="R1204" s="64"/>
    </row>
    <row r="1205" spans="1:18" x14ac:dyDescent="0.25">
      <c r="A1205" s="63"/>
      <c r="B1205" s="64"/>
      <c r="C1205" s="64"/>
      <c r="D1205" s="64"/>
      <c r="E1205" s="64"/>
      <c r="F1205" s="64"/>
      <c r="G1205" s="64"/>
      <c r="H1205" s="64"/>
      <c r="I1205" s="64"/>
      <c r="J1205" s="64"/>
      <c r="K1205" s="64"/>
      <c r="L1205" s="64"/>
      <c r="M1205" s="64"/>
      <c r="N1205" s="64"/>
      <c r="O1205" s="64"/>
      <c r="P1205" s="64"/>
      <c r="Q1205" s="64"/>
      <c r="R1205" s="64"/>
    </row>
    <row r="1206" spans="1:18" x14ac:dyDescent="0.25">
      <c r="A1206" s="63"/>
      <c r="B1206" s="64"/>
      <c r="C1206" s="64"/>
      <c r="D1206" s="64"/>
      <c r="E1206" s="64"/>
      <c r="F1206" s="64"/>
      <c r="G1206" s="64"/>
      <c r="H1206" s="64"/>
      <c r="I1206" s="64"/>
      <c r="J1206" s="64"/>
      <c r="K1206" s="64"/>
      <c r="L1206" s="64"/>
      <c r="M1206" s="64"/>
      <c r="N1206" s="64"/>
      <c r="O1206" s="64"/>
      <c r="P1206" s="64"/>
      <c r="Q1206" s="64"/>
      <c r="R1206" s="64"/>
    </row>
    <row r="1207" spans="1:18" x14ac:dyDescent="0.25">
      <c r="A1207" s="63"/>
      <c r="B1207" s="64"/>
      <c r="C1207" s="64"/>
      <c r="D1207" s="64"/>
      <c r="E1207" s="64"/>
      <c r="F1207" s="64"/>
      <c r="G1207" s="64"/>
      <c r="H1207" s="64"/>
      <c r="I1207" s="64"/>
      <c r="J1207" s="64"/>
      <c r="K1207" s="64"/>
      <c r="L1207" s="64"/>
      <c r="M1207" s="64"/>
      <c r="N1207" s="64"/>
      <c r="O1207" s="64"/>
      <c r="P1207" s="64"/>
      <c r="Q1207" s="64"/>
      <c r="R1207" s="64"/>
    </row>
    <row r="1208" spans="1:18" x14ac:dyDescent="0.25">
      <c r="A1208" s="63"/>
      <c r="B1208" s="64"/>
      <c r="C1208" s="64"/>
      <c r="D1208" s="64"/>
      <c r="E1208" s="64"/>
      <c r="F1208" s="64"/>
      <c r="G1208" s="64"/>
      <c r="H1208" s="64"/>
      <c r="I1208" s="64"/>
      <c r="J1208" s="64"/>
      <c r="K1208" s="64"/>
      <c r="L1208" s="64"/>
      <c r="M1208" s="64"/>
      <c r="N1208" s="64"/>
      <c r="O1208" s="64"/>
      <c r="P1208" s="64"/>
      <c r="Q1208" s="64"/>
      <c r="R1208" s="64"/>
    </row>
    <row r="1209" spans="1:18" x14ac:dyDescent="0.25">
      <c r="A1209" s="63"/>
      <c r="B1209" s="64"/>
      <c r="C1209" s="64"/>
      <c r="D1209" s="64"/>
      <c r="E1209" s="64"/>
      <c r="F1209" s="64"/>
      <c r="G1209" s="64"/>
      <c r="H1209" s="64"/>
      <c r="I1209" s="64"/>
      <c r="J1209" s="64"/>
      <c r="K1209" s="64"/>
      <c r="L1209" s="64"/>
      <c r="M1209" s="64"/>
      <c r="N1209" s="64"/>
      <c r="O1209" s="64"/>
      <c r="P1209" s="64"/>
      <c r="Q1209" s="64"/>
      <c r="R1209" s="64"/>
    </row>
    <row r="1210" spans="1:18" x14ac:dyDescent="0.25">
      <c r="A1210" s="63"/>
      <c r="B1210" s="64"/>
      <c r="C1210" s="64"/>
      <c r="D1210" s="64"/>
      <c r="E1210" s="64"/>
      <c r="F1210" s="64"/>
      <c r="G1210" s="64"/>
      <c r="H1210" s="64"/>
      <c r="I1210" s="64"/>
      <c r="J1210" s="64"/>
      <c r="K1210" s="64"/>
      <c r="L1210" s="64"/>
      <c r="M1210" s="64"/>
      <c r="N1210" s="64"/>
      <c r="O1210" s="64"/>
      <c r="P1210" s="64"/>
      <c r="Q1210" s="64"/>
      <c r="R1210" s="64"/>
    </row>
    <row r="1211" spans="1:18" x14ac:dyDescent="0.25">
      <c r="A1211" s="63"/>
      <c r="B1211" s="64"/>
      <c r="C1211" s="64"/>
      <c r="D1211" s="64"/>
      <c r="E1211" s="64"/>
      <c r="F1211" s="64"/>
      <c r="G1211" s="64"/>
      <c r="H1211" s="64"/>
      <c r="I1211" s="64"/>
      <c r="J1211" s="64"/>
      <c r="K1211" s="64"/>
      <c r="L1211" s="64"/>
      <c r="M1211" s="64"/>
      <c r="N1211" s="64"/>
      <c r="O1211" s="64"/>
      <c r="P1211" s="64"/>
      <c r="Q1211" s="64"/>
      <c r="R1211" s="64"/>
    </row>
    <row r="1212" spans="1:18" x14ac:dyDescent="0.25">
      <c r="A1212" s="63"/>
      <c r="B1212" s="64"/>
      <c r="C1212" s="64"/>
      <c r="D1212" s="64"/>
      <c r="E1212" s="64"/>
      <c r="F1212" s="64"/>
      <c r="G1212" s="64"/>
      <c r="H1212" s="64"/>
      <c r="I1212" s="64"/>
      <c r="J1212" s="64"/>
      <c r="K1212" s="64"/>
      <c r="L1212" s="64"/>
      <c r="M1212" s="64"/>
      <c r="N1212" s="64"/>
      <c r="O1212" s="64"/>
      <c r="P1212" s="64"/>
      <c r="Q1212" s="64"/>
      <c r="R1212" s="64"/>
    </row>
    <row r="1213" spans="1:18" x14ac:dyDescent="0.25">
      <c r="A1213" s="63"/>
      <c r="B1213" s="64"/>
      <c r="C1213" s="64"/>
      <c r="D1213" s="64"/>
      <c r="E1213" s="64"/>
      <c r="F1213" s="64"/>
      <c r="G1213" s="64"/>
      <c r="H1213" s="64"/>
      <c r="I1213" s="64"/>
      <c r="J1213" s="64"/>
      <c r="K1213" s="64"/>
      <c r="L1213" s="64"/>
      <c r="M1213" s="64"/>
      <c r="N1213" s="64"/>
      <c r="O1213" s="64"/>
      <c r="P1213" s="64"/>
      <c r="Q1213" s="64"/>
      <c r="R1213" s="64"/>
    </row>
    <row r="1214" spans="1:18" x14ac:dyDescent="0.25">
      <c r="A1214" s="63"/>
      <c r="B1214" s="64"/>
      <c r="C1214" s="64"/>
      <c r="D1214" s="64"/>
      <c r="E1214" s="64"/>
      <c r="F1214" s="64"/>
      <c r="G1214" s="64"/>
      <c r="H1214" s="64"/>
      <c r="I1214" s="64"/>
      <c r="J1214" s="64"/>
      <c r="K1214" s="64"/>
      <c r="L1214" s="64"/>
      <c r="M1214" s="64"/>
      <c r="N1214" s="64"/>
      <c r="O1214" s="64"/>
      <c r="P1214" s="64"/>
      <c r="Q1214" s="64"/>
      <c r="R1214" s="64"/>
    </row>
    <row r="1215" spans="1:18" x14ac:dyDescent="0.25">
      <c r="A1215" s="63"/>
      <c r="B1215" s="64"/>
      <c r="C1215" s="64"/>
      <c r="D1215" s="64"/>
      <c r="E1215" s="64"/>
      <c r="F1215" s="64"/>
      <c r="G1215" s="64"/>
      <c r="H1215" s="64"/>
      <c r="I1215" s="64"/>
      <c r="J1215" s="64"/>
      <c r="K1215" s="64"/>
      <c r="L1215" s="64"/>
      <c r="M1215" s="64"/>
      <c r="N1215" s="64"/>
      <c r="O1215" s="64"/>
      <c r="P1215" s="64"/>
      <c r="Q1215" s="64"/>
      <c r="R1215" s="64"/>
    </row>
    <row r="1216" spans="1:18" x14ac:dyDescent="0.25">
      <c r="A1216" s="63"/>
      <c r="B1216" s="64"/>
      <c r="C1216" s="64"/>
      <c r="D1216" s="64"/>
      <c r="E1216" s="64"/>
      <c r="F1216" s="64"/>
      <c r="G1216" s="64"/>
      <c r="H1216" s="64"/>
      <c r="I1216" s="64"/>
      <c r="J1216" s="64"/>
      <c r="K1216" s="64"/>
      <c r="L1216" s="64"/>
      <c r="M1216" s="64"/>
      <c r="N1216" s="64"/>
      <c r="O1216" s="64"/>
      <c r="P1216" s="64"/>
      <c r="Q1216" s="64"/>
      <c r="R1216" s="64"/>
    </row>
    <row r="1217" spans="1:18" x14ac:dyDescent="0.25">
      <c r="A1217" s="63"/>
      <c r="B1217" s="64"/>
      <c r="C1217" s="64"/>
      <c r="D1217" s="64"/>
      <c r="E1217" s="64"/>
      <c r="F1217" s="64"/>
      <c r="G1217" s="64"/>
      <c r="H1217" s="64"/>
      <c r="I1217" s="64"/>
      <c r="J1217" s="64"/>
      <c r="K1217" s="64"/>
      <c r="L1217" s="64"/>
      <c r="M1217" s="64"/>
      <c r="N1217" s="64"/>
      <c r="O1217" s="64"/>
      <c r="P1217" s="64"/>
      <c r="Q1217" s="64"/>
      <c r="R1217" s="64"/>
    </row>
    <row r="1218" spans="1:18" x14ac:dyDescent="0.25">
      <c r="A1218" s="63"/>
      <c r="B1218" s="64"/>
      <c r="C1218" s="64"/>
      <c r="D1218" s="64"/>
      <c r="E1218" s="64"/>
      <c r="F1218" s="64"/>
      <c r="G1218" s="64"/>
      <c r="H1218" s="64"/>
      <c r="I1218" s="64"/>
      <c r="J1218" s="64"/>
      <c r="K1218" s="64"/>
      <c r="L1218" s="64"/>
      <c r="M1218" s="64"/>
      <c r="N1218" s="64"/>
      <c r="O1218" s="64"/>
      <c r="P1218" s="64"/>
      <c r="Q1218" s="64"/>
      <c r="R1218" s="64"/>
    </row>
    <row r="1219" spans="1:18" x14ac:dyDescent="0.25">
      <c r="A1219" s="63"/>
      <c r="B1219" s="64"/>
      <c r="C1219" s="64"/>
      <c r="D1219" s="64"/>
      <c r="E1219" s="64"/>
      <c r="F1219" s="64"/>
      <c r="G1219" s="64"/>
      <c r="H1219" s="64"/>
      <c r="I1219" s="64"/>
      <c r="J1219" s="64"/>
      <c r="K1219" s="64"/>
      <c r="L1219" s="64"/>
      <c r="M1219" s="64"/>
      <c r="N1219" s="64"/>
      <c r="O1219" s="64"/>
      <c r="P1219" s="64"/>
      <c r="Q1219" s="64"/>
      <c r="R1219" s="64"/>
    </row>
    <row r="1220" spans="1:18" x14ac:dyDescent="0.25">
      <c r="A1220" s="63"/>
      <c r="B1220" s="64"/>
      <c r="C1220" s="64"/>
      <c r="D1220" s="64"/>
      <c r="E1220" s="64"/>
      <c r="F1220" s="64"/>
      <c r="G1220" s="64"/>
      <c r="H1220" s="64"/>
      <c r="I1220" s="64"/>
      <c r="J1220" s="64"/>
      <c r="K1220" s="64"/>
      <c r="L1220" s="64"/>
      <c r="M1220" s="64"/>
      <c r="N1220" s="64"/>
      <c r="O1220" s="64"/>
      <c r="P1220" s="64"/>
      <c r="Q1220" s="64"/>
      <c r="R1220" s="64"/>
    </row>
    <row r="1221" spans="1:18" x14ac:dyDescent="0.25">
      <c r="A1221" s="63"/>
      <c r="B1221" s="64"/>
      <c r="C1221" s="64"/>
      <c r="D1221" s="64"/>
      <c r="E1221" s="64"/>
      <c r="F1221" s="64"/>
      <c r="G1221" s="64"/>
      <c r="H1221" s="64"/>
      <c r="I1221" s="64"/>
      <c r="J1221" s="64"/>
      <c r="K1221" s="64"/>
      <c r="L1221" s="64"/>
      <c r="M1221" s="64"/>
      <c r="N1221" s="64"/>
      <c r="O1221" s="64"/>
      <c r="P1221" s="64"/>
      <c r="Q1221" s="64"/>
      <c r="R1221" s="64"/>
    </row>
    <row r="1222" spans="1:18" x14ac:dyDescent="0.25">
      <c r="A1222" s="63"/>
      <c r="B1222" s="64"/>
      <c r="C1222" s="64"/>
      <c r="D1222" s="64"/>
      <c r="E1222" s="64"/>
      <c r="F1222" s="64"/>
      <c r="G1222" s="64"/>
      <c r="H1222" s="64"/>
      <c r="I1222" s="64"/>
      <c r="J1222" s="64"/>
      <c r="K1222" s="64"/>
      <c r="L1222" s="64"/>
      <c r="M1222" s="64"/>
      <c r="N1222" s="64"/>
      <c r="O1222" s="64"/>
      <c r="P1222" s="64"/>
      <c r="Q1222" s="64"/>
      <c r="R1222" s="64"/>
    </row>
    <row r="1223" spans="1:18" x14ac:dyDescent="0.25">
      <c r="A1223" s="63"/>
      <c r="B1223" s="64"/>
      <c r="C1223" s="64"/>
      <c r="D1223" s="64"/>
      <c r="E1223" s="64"/>
      <c r="F1223" s="64"/>
      <c r="G1223" s="64"/>
      <c r="H1223" s="64"/>
      <c r="I1223" s="64"/>
      <c r="J1223" s="64"/>
      <c r="K1223" s="64"/>
      <c r="L1223" s="64"/>
      <c r="M1223" s="64"/>
      <c r="N1223" s="64"/>
      <c r="O1223" s="64"/>
      <c r="P1223" s="64"/>
      <c r="Q1223" s="64"/>
      <c r="R1223" s="64"/>
    </row>
    <row r="1224" spans="1:18" x14ac:dyDescent="0.25">
      <c r="A1224" s="63"/>
      <c r="B1224" s="64"/>
      <c r="C1224" s="64"/>
      <c r="D1224" s="64"/>
      <c r="E1224" s="64"/>
      <c r="F1224" s="64"/>
      <c r="G1224" s="64"/>
      <c r="H1224" s="64"/>
      <c r="I1224" s="64"/>
      <c r="J1224" s="64"/>
      <c r="K1224" s="64"/>
      <c r="L1224" s="64"/>
      <c r="M1224" s="64"/>
      <c r="N1224" s="64"/>
      <c r="O1224" s="64"/>
      <c r="P1224" s="64"/>
      <c r="Q1224" s="64"/>
      <c r="R1224" s="64"/>
    </row>
    <row r="1225" spans="1:18" x14ac:dyDescent="0.25">
      <c r="A1225" s="63"/>
      <c r="B1225" s="64"/>
      <c r="C1225" s="64"/>
      <c r="D1225" s="64"/>
      <c r="E1225" s="64"/>
      <c r="F1225" s="64"/>
      <c r="G1225" s="64"/>
      <c r="H1225" s="64"/>
      <c r="I1225" s="64"/>
      <c r="J1225" s="64"/>
      <c r="K1225" s="64"/>
      <c r="L1225" s="64"/>
      <c r="M1225" s="64"/>
      <c r="N1225" s="64"/>
      <c r="O1225" s="64"/>
      <c r="P1225" s="64"/>
      <c r="Q1225" s="64"/>
      <c r="R1225" s="64"/>
    </row>
    <row r="1226" spans="1:18" x14ac:dyDescent="0.25">
      <c r="A1226" s="63"/>
      <c r="B1226" s="64"/>
      <c r="C1226" s="64"/>
      <c r="D1226" s="64"/>
      <c r="E1226" s="64"/>
      <c r="F1226" s="64"/>
      <c r="G1226" s="64"/>
      <c r="H1226" s="64"/>
      <c r="I1226" s="64"/>
      <c r="J1226" s="64"/>
      <c r="K1226" s="64"/>
      <c r="L1226" s="64"/>
      <c r="M1226" s="64"/>
      <c r="N1226" s="64"/>
      <c r="O1226" s="64"/>
      <c r="P1226" s="64"/>
      <c r="Q1226" s="64"/>
      <c r="R1226" s="64"/>
    </row>
    <row r="1227" spans="1:18" x14ac:dyDescent="0.25">
      <c r="A1227" s="63"/>
      <c r="B1227" s="64"/>
      <c r="C1227" s="64"/>
      <c r="D1227" s="64"/>
      <c r="E1227" s="64"/>
      <c r="F1227" s="64"/>
      <c r="G1227" s="64"/>
      <c r="H1227" s="64"/>
      <c r="I1227" s="64"/>
      <c r="J1227" s="64"/>
      <c r="K1227" s="64"/>
      <c r="L1227" s="64"/>
      <c r="M1227" s="64"/>
      <c r="N1227" s="64"/>
      <c r="O1227" s="64"/>
      <c r="P1227" s="64"/>
      <c r="Q1227" s="64"/>
      <c r="R1227" s="64"/>
    </row>
    <row r="1228" spans="1:18" x14ac:dyDescent="0.25">
      <c r="A1228" s="63"/>
      <c r="B1228" s="64"/>
      <c r="C1228" s="64"/>
      <c r="D1228" s="64"/>
      <c r="E1228" s="64"/>
      <c r="F1228" s="64"/>
      <c r="G1228" s="64"/>
      <c r="H1228" s="64"/>
      <c r="I1228" s="64"/>
      <c r="J1228" s="64"/>
      <c r="K1228" s="64"/>
      <c r="L1228" s="64"/>
      <c r="M1228" s="64"/>
      <c r="N1228" s="64"/>
      <c r="O1228" s="64"/>
      <c r="P1228" s="64"/>
      <c r="Q1228" s="64"/>
      <c r="R1228" s="64"/>
    </row>
    <row r="1229" spans="1:18" x14ac:dyDescent="0.25">
      <c r="A1229" s="63"/>
      <c r="B1229" s="64"/>
      <c r="C1229" s="64"/>
      <c r="D1229" s="64"/>
      <c r="E1229" s="64"/>
      <c r="F1229" s="64"/>
      <c r="G1229" s="64"/>
      <c r="H1229" s="64"/>
      <c r="I1229" s="64"/>
      <c r="J1229" s="64"/>
      <c r="K1229" s="64"/>
      <c r="L1229" s="64"/>
      <c r="M1229" s="64"/>
      <c r="N1229" s="64"/>
      <c r="O1229" s="64"/>
      <c r="P1229" s="64"/>
      <c r="Q1229" s="64"/>
      <c r="R1229" s="64"/>
    </row>
    <row r="1230" spans="1:18" x14ac:dyDescent="0.25">
      <c r="A1230" s="63"/>
      <c r="B1230" s="64"/>
      <c r="C1230" s="64"/>
      <c r="D1230" s="64"/>
      <c r="E1230" s="64"/>
      <c r="F1230" s="64"/>
      <c r="G1230" s="64"/>
      <c r="H1230" s="64"/>
      <c r="I1230" s="64"/>
      <c r="J1230" s="64"/>
      <c r="K1230" s="64"/>
      <c r="L1230" s="64"/>
      <c r="M1230" s="64"/>
      <c r="N1230" s="64"/>
      <c r="O1230" s="64"/>
      <c r="P1230" s="64"/>
      <c r="Q1230" s="64"/>
      <c r="R1230" s="64"/>
    </row>
    <row r="1231" spans="1:18" x14ac:dyDescent="0.25">
      <c r="A1231" s="63"/>
      <c r="B1231" s="64"/>
      <c r="C1231" s="64"/>
      <c r="D1231" s="64"/>
      <c r="E1231" s="64"/>
      <c r="F1231" s="64"/>
      <c r="G1231" s="64"/>
      <c r="H1231" s="64"/>
      <c r="I1231" s="64"/>
      <c r="J1231" s="64"/>
      <c r="K1231" s="64"/>
      <c r="L1231" s="64"/>
      <c r="M1231" s="64"/>
      <c r="N1231" s="64"/>
      <c r="O1231" s="64"/>
      <c r="P1231" s="64"/>
      <c r="Q1231" s="64"/>
      <c r="R1231" s="64"/>
    </row>
    <row r="1232" spans="1:18" x14ac:dyDescent="0.25">
      <c r="A1232" s="63"/>
      <c r="B1232" s="64"/>
      <c r="C1232" s="64"/>
      <c r="D1232" s="64"/>
      <c r="E1232" s="64"/>
      <c r="F1232" s="64"/>
      <c r="G1232" s="64"/>
      <c r="H1232" s="64"/>
      <c r="I1232" s="64"/>
      <c r="J1232" s="64"/>
      <c r="K1232" s="64"/>
      <c r="L1232" s="64"/>
      <c r="M1232" s="64"/>
      <c r="N1232" s="64"/>
      <c r="O1232" s="64"/>
      <c r="P1232" s="64"/>
      <c r="Q1232" s="64"/>
      <c r="R1232" s="64"/>
    </row>
    <row r="1233" spans="1:18" x14ac:dyDescent="0.25">
      <c r="A1233" s="63"/>
      <c r="B1233" s="64"/>
      <c r="C1233" s="64"/>
      <c r="D1233" s="64"/>
      <c r="E1233" s="64"/>
      <c r="F1233" s="64"/>
      <c r="G1233" s="64"/>
      <c r="H1233" s="64"/>
      <c r="I1233" s="64"/>
      <c r="J1233" s="64"/>
      <c r="K1233" s="64"/>
      <c r="L1233" s="64"/>
      <c r="M1233" s="64"/>
      <c r="N1233" s="64"/>
      <c r="O1233" s="64"/>
      <c r="P1233" s="64"/>
      <c r="Q1233" s="64"/>
      <c r="R1233" s="64"/>
    </row>
    <row r="1234" spans="1:18" x14ac:dyDescent="0.25">
      <c r="A1234" s="63"/>
      <c r="B1234" s="64"/>
      <c r="C1234" s="64"/>
      <c r="D1234" s="64"/>
      <c r="E1234" s="64"/>
      <c r="F1234" s="64"/>
      <c r="G1234" s="64"/>
      <c r="H1234" s="64"/>
      <c r="I1234" s="64"/>
      <c r="J1234" s="64"/>
      <c r="K1234" s="64"/>
      <c r="L1234" s="64"/>
      <c r="M1234" s="64"/>
      <c r="N1234" s="64"/>
      <c r="O1234" s="64"/>
      <c r="P1234" s="64"/>
      <c r="Q1234" s="64"/>
      <c r="R1234" s="64"/>
    </row>
    <row r="1235" spans="1:18" x14ac:dyDescent="0.25">
      <c r="A1235" s="63"/>
      <c r="B1235" s="64"/>
      <c r="C1235" s="64"/>
      <c r="D1235" s="64"/>
      <c r="E1235" s="64"/>
      <c r="F1235" s="64"/>
      <c r="G1235" s="64"/>
      <c r="H1235" s="64"/>
      <c r="I1235" s="64"/>
      <c r="J1235" s="64"/>
      <c r="K1235" s="64"/>
      <c r="L1235" s="64"/>
      <c r="M1235" s="64"/>
      <c r="N1235" s="64"/>
      <c r="O1235" s="64"/>
      <c r="P1235" s="64"/>
      <c r="Q1235" s="64"/>
      <c r="R1235" s="64"/>
    </row>
    <row r="1236" spans="1:18" x14ac:dyDescent="0.25">
      <c r="A1236" s="63"/>
      <c r="B1236" s="64"/>
      <c r="C1236" s="64"/>
      <c r="D1236" s="64"/>
      <c r="E1236" s="64"/>
      <c r="F1236" s="64"/>
      <c r="G1236" s="64"/>
      <c r="H1236" s="64"/>
      <c r="I1236" s="64"/>
      <c r="J1236" s="64"/>
      <c r="K1236" s="64"/>
      <c r="L1236" s="64"/>
      <c r="M1236" s="64"/>
      <c r="N1236" s="64"/>
      <c r="O1236" s="64"/>
      <c r="P1236" s="64"/>
      <c r="Q1236" s="64"/>
      <c r="R1236" s="64"/>
    </row>
    <row r="1237" spans="1:18" x14ac:dyDescent="0.25">
      <c r="A1237" s="63"/>
      <c r="B1237" s="64"/>
      <c r="C1237" s="64"/>
      <c r="D1237" s="64"/>
      <c r="E1237" s="64"/>
      <c r="F1237" s="64"/>
      <c r="G1237" s="64"/>
      <c r="H1237" s="64"/>
      <c r="I1237" s="64"/>
      <c r="J1237" s="64"/>
      <c r="K1237" s="64"/>
      <c r="L1237" s="64"/>
      <c r="M1237" s="64"/>
      <c r="N1237" s="64"/>
      <c r="O1237" s="64"/>
      <c r="P1237" s="64"/>
      <c r="Q1237" s="64"/>
      <c r="R1237" s="64"/>
    </row>
    <row r="1238" spans="1:18" x14ac:dyDescent="0.25">
      <c r="A1238" s="63"/>
      <c r="B1238" s="64"/>
      <c r="C1238" s="64"/>
      <c r="D1238" s="64"/>
      <c r="E1238" s="64"/>
      <c r="F1238" s="64"/>
      <c r="G1238" s="64"/>
      <c r="H1238" s="64"/>
      <c r="I1238" s="64"/>
      <c r="J1238" s="64"/>
      <c r="K1238" s="64"/>
      <c r="L1238" s="64"/>
      <c r="M1238" s="64"/>
      <c r="N1238" s="64"/>
      <c r="O1238" s="64"/>
      <c r="P1238" s="64"/>
      <c r="Q1238" s="64"/>
      <c r="R1238" s="64"/>
    </row>
    <row r="1239" spans="1:18" x14ac:dyDescent="0.25">
      <c r="A1239" s="63"/>
      <c r="B1239" s="64"/>
      <c r="C1239" s="64"/>
      <c r="D1239" s="64"/>
      <c r="E1239" s="64"/>
      <c r="F1239" s="64"/>
      <c r="G1239" s="64"/>
      <c r="H1239" s="64"/>
      <c r="I1239" s="64"/>
      <c r="J1239" s="64"/>
      <c r="K1239" s="64"/>
      <c r="L1239" s="64"/>
      <c r="M1239" s="64"/>
      <c r="N1239" s="64"/>
      <c r="O1239" s="64"/>
      <c r="P1239" s="64"/>
      <c r="Q1239" s="64"/>
      <c r="R1239" s="64"/>
    </row>
    <row r="1240" spans="1:18" x14ac:dyDescent="0.25">
      <c r="A1240" s="63"/>
      <c r="B1240" s="64"/>
      <c r="C1240" s="64"/>
      <c r="D1240" s="64"/>
      <c r="E1240" s="64"/>
      <c r="F1240" s="64"/>
      <c r="G1240" s="64"/>
      <c r="H1240" s="64"/>
      <c r="I1240" s="64"/>
      <c r="J1240" s="64"/>
      <c r="K1240" s="64"/>
      <c r="L1240" s="64"/>
      <c r="M1240" s="64"/>
      <c r="N1240" s="64"/>
      <c r="O1240" s="64"/>
      <c r="P1240" s="64"/>
      <c r="Q1240" s="64"/>
      <c r="R1240" s="64"/>
    </row>
    <row r="1241" spans="1:18" x14ac:dyDescent="0.25">
      <c r="A1241" s="63"/>
      <c r="B1241" s="64"/>
      <c r="C1241" s="64"/>
      <c r="D1241" s="64"/>
      <c r="E1241" s="64"/>
      <c r="F1241" s="64"/>
      <c r="G1241" s="64"/>
      <c r="H1241" s="64"/>
      <c r="I1241" s="64"/>
      <c r="J1241" s="64"/>
      <c r="K1241" s="64"/>
      <c r="L1241" s="64"/>
      <c r="M1241" s="64"/>
      <c r="N1241" s="64"/>
      <c r="O1241" s="64"/>
      <c r="P1241" s="64"/>
      <c r="Q1241" s="64"/>
      <c r="R1241" s="64"/>
    </row>
    <row r="1242" spans="1:18" x14ac:dyDescent="0.25">
      <c r="A1242" s="63"/>
      <c r="B1242" s="64"/>
      <c r="C1242" s="64"/>
      <c r="D1242" s="64"/>
      <c r="E1242" s="64"/>
      <c r="F1242" s="64"/>
      <c r="G1242" s="64"/>
      <c r="H1242" s="64"/>
      <c r="I1242" s="64"/>
      <c r="J1242" s="64"/>
      <c r="K1242" s="64"/>
      <c r="L1242" s="64"/>
      <c r="M1242" s="64"/>
      <c r="N1242" s="64"/>
      <c r="O1242" s="64"/>
      <c r="P1242" s="64"/>
      <c r="Q1242" s="64"/>
      <c r="R1242" s="64"/>
    </row>
    <row r="1243" spans="1:18" x14ac:dyDescent="0.25">
      <c r="A1243" s="63"/>
      <c r="B1243" s="64"/>
      <c r="C1243" s="64"/>
      <c r="D1243" s="64"/>
      <c r="E1243" s="64"/>
      <c r="F1243" s="64"/>
      <c r="G1243" s="64"/>
      <c r="H1243" s="64"/>
      <c r="I1243" s="64"/>
      <c r="J1243" s="64"/>
      <c r="K1243" s="64"/>
      <c r="L1243" s="64"/>
      <c r="M1243" s="64"/>
      <c r="N1243" s="64"/>
      <c r="O1243" s="64"/>
      <c r="P1243" s="64"/>
      <c r="Q1243" s="64"/>
      <c r="R1243" s="64"/>
    </row>
    <row r="1244" spans="1:18" x14ac:dyDescent="0.25">
      <c r="A1244" s="63"/>
      <c r="B1244" s="64"/>
      <c r="C1244" s="64"/>
      <c r="D1244" s="64"/>
      <c r="E1244" s="64"/>
      <c r="F1244" s="64"/>
      <c r="G1244" s="64"/>
      <c r="H1244" s="64"/>
      <c r="I1244" s="64"/>
      <c r="J1244" s="64"/>
      <c r="K1244" s="64"/>
      <c r="L1244" s="64"/>
      <c r="M1244" s="64"/>
      <c r="N1244" s="64"/>
      <c r="O1244" s="64"/>
      <c r="P1244" s="64"/>
      <c r="Q1244" s="64"/>
      <c r="R1244" s="64"/>
    </row>
    <row r="1245" spans="1:18" x14ac:dyDescent="0.25">
      <c r="A1245" s="63"/>
      <c r="B1245" s="64"/>
      <c r="C1245" s="64"/>
      <c r="D1245" s="64"/>
      <c r="E1245" s="64"/>
      <c r="F1245" s="64"/>
      <c r="G1245" s="64"/>
      <c r="H1245" s="64"/>
      <c r="I1245" s="64"/>
      <c r="J1245" s="64"/>
      <c r="K1245" s="64"/>
      <c r="L1245" s="64"/>
      <c r="M1245" s="64"/>
      <c r="N1245" s="64"/>
      <c r="O1245" s="64"/>
      <c r="P1245" s="64"/>
      <c r="Q1245" s="64"/>
      <c r="R1245" s="64"/>
    </row>
    <row r="1246" spans="1:18" x14ac:dyDescent="0.25">
      <c r="A1246" s="63"/>
      <c r="B1246" s="64"/>
      <c r="C1246" s="64"/>
      <c r="D1246" s="64"/>
      <c r="E1246" s="64"/>
      <c r="F1246" s="64"/>
      <c r="G1246" s="64"/>
      <c r="H1246" s="64"/>
      <c r="I1246" s="64"/>
      <c r="J1246" s="64"/>
      <c r="K1246" s="64"/>
      <c r="L1246" s="64"/>
      <c r="M1246" s="64"/>
      <c r="N1246" s="64"/>
      <c r="O1246" s="64"/>
      <c r="P1246" s="64"/>
      <c r="Q1246" s="64"/>
      <c r="R1246" s="64"/>
    </row>
    <row r="1247" spans="1:18" x14ac:dyDescent="0.25">
      <c r="A1247" s="63"/>
      <c r="B1247" s="64"/>
      <c r="C1247" s="64"/>
      <c r="D1247" s="64"/>
      <c r="E1247" s="64"/>
      <c r="F1247" s="64"/>
      <c r="G1247" s="64"/>
      <c r="H1247" s="64"/>
      <c r="I1247" s="64"/>
      <c r="J1247" s="64"/>
      <c r="K1247" s="64"/>
      <c r="L1247" s="64"/>
      <c r="M1247" s="64"/>
      <c r="N1247" s="64"/>
      <c r="O1247" s="64"/>
      <c r="P1247" s="64"/>
      <c r="Q1247" s="64"/>
      <c r="R1247" s="64"/>
    </row>
    <row r="1248" spans="1:18" x14ac:dyDescent="0.25">
      <c r="A1248" s="63"/>
      <c r="B1248" s="64"/>
      <c r="C1248" s="64"/>
      <c r="D1248" s="64"/>
      <c r="E1248" s="64"/>
      <c r="F1248" s="64"/>
      <c r="G1248" s="64"/>
      <c r="H1248" s="64"/>
      <c r="I1248" s="64"/>
      <c r="J1248" s="64"/>
      <c r="K1248" s="64"/>
      <c r="L1248" s="64"/>
      <c r="M1248" s="64"/>
      <c r="N1248" s="64"/>
      <c r="O1248" s="64"/>
      <c r="P1248" s="64"/>
      <c r="Q1248" s="64"/>
      <c r="R1248" s="64"/>
    </row>
    <row r="1249" spans="1:18" x14ac:dyDescent="0.25">
      <c r="A1249" s="63"/>
      <c r="B1249" s="64"/>
      <c r="C1249" s="64"/>
      <c r="D1249" s="64"/>
      <c r="E1249" s="64"/>
      <c r="F1249" s="64"/>
      <c r="G1249" s="64"/>
      <c r="H1249" s="64"/>
      <c r="I1249" s="64"/>
      <c r="J1249" s="64"/>
      <c r="K1249" s="64"/>
      <c r="L1249" s="64"/>
      <c r="M1249" s="64"/>
      <c r="N1249" s="64"/>
      <c r="O1249" s="64"/>
      <c r="P1249" s="64"/>
      <c r="Q1249" s="64"/>
      <c r="R1249" s="64"/>
    </row>
    <row r="1250" spans="1:18" x14ac:dyDescent="0.25">
      <c r="A1250" s="63"/>
      <c r="B1250" s="64"/>
      <c r="C1250" s="64"/>
      <c r="D1250" s="64"/>
      <c r="E1250" s="64"/>
      <c r="F1250" s="64"/>
      <c r="G1250" s="64"/>
      <c r="H1250" s="64"/>
      <c r="I1250" s="64"/>
      <c r="J1250" s="64"/>
      <c r="K1250" s="64"/>
      <c r="L1250" s="64"/>
      <c r="M1250" s="64"/>
      <c r="N1250" s="64"/>
      <c r="O1250" s="64"/>
      <c r="P1250" s="64"/>
      <c r="Q1250" s="64"/>
      <c r="R1250" s="64"/>
    </row>
    <row r="1251" spans="1:18" x14ac:dyDescent="0.25">
      <c r="A1251" s="63"/>
      <c r="B1251" s="64"/>
      <c r="C1251" s="64"/>
      <c r="D1251" s="64"/>
      <c r="E1251" s="64"/>
      <c r="F1251" s="64"/>
      <c r="G1251" s="64"/>
      <c r="H1251" s="64"/>
      <c r="I1251" s="64"/>
      <c r="J1251" s="64"/>
      <c r="K1251" s="64"/>
      <c r="L1251" s="64"/>
      <c r="M1251" s="64"/>
      <c r="N1251" s="64"/>
      <c r="O1251" s="64"/>
      <c r="P1251" s="64"/>
      <c r="Q1251" s="64"/>
      <c r="R1251" s="64"/>
    </row>
    <row r="1252" spans="1:18" x14ac:dyDescent="0.25">
      <c r="A1252" s="63"/>
      <c r="B1252" s="64"/>
      <c r="C1252" s="64"/>
      <c r="D1252" s="64"/>
      <c r="E1252" s="64"/>
      <c r="F1252" s="64"/>
      <c r="G1252" s="64"/>
      <c r="H1252" s="64"/>
      <c r="I1252" s="64"/>
      <c r="J1252" s="64"/>
      <c r="K1252" s="64"/>
      <c r="L1252" s="64"/>
      <c r="M1252" s="64"/>
      <c r="N1252" s="64"/>
      <c r="O1252" s="64"/>
      <c r="P1252" s="64"/>
      <c r="Q1252" s="64"/>
      <c r="R1252" s="64"/>
    </row>
    <row r="1253" spans="1:18" x14ac:dyDescent="0.25">
      <c r="A1253" s="63"/>
      <c r="B1253" s="64"/>
      <c r="C1253" s="64"/>
      <c r="D1253" s="64"/>
      <c r="E1253" s="64"/>
      <c r="F1253" s="64"/>
      <c r="G1253" s="64"/>
      <c r="H1253" s="64"/>
      <c r="I1253" s="64"/>
      <c r="J1253" s="64"/>
      <c r="K1253" s="64"/>
      <c r="L1253" s="64"/>
      <c r="M1253" s="64"/>
      <c r="N1253" s="64"/>
      <c r="O1253" s="64"/>
      <c r="P1253" s="64"/>
      <c r="Q1253" s="64"/>
      <c r="R1253" s="64"/>
    </row>
    <row r="1254" spans="1:18" x14ac:dyDescent="0.25">
      <c r="A1254" s="63"/>
      <c r="B1254" s="64"/>
      <c r="C1254" s="64"/>
      <c r="D1254" s="64"/>
      <c r="E1254" s="64"/>
      <c r="F1254" s="64"/>
      <c r="G1254" s="64"/>
      <c r="H1254" s="64"/>
      <c r="I1254" s="64"/>
      <c r="J1254" s="64"/>
      <c r="K1254" s="64"/>
      <c r="L1254" s="64"/>
      <c r="M1254" s="64"/>
      <c r="N1254" s="64"/>
      <c r="O1254" s="64"/>
      <c r="P1254" s="64"/>
      <c r="Q1254" s="64"/>
      <c r="R1254" s="64"/>
    </row>
    <row r="1255" spans="1:18" x14ac:dyDescent="0.25">
      <c r="A1255" s="63"/>
      <c r="B1255" s="64"/>
      <c r="C1255" s="64"/>
      <c r="D1255" s="64"/>
      <c r="E1255" s="64"/>
      <c r="F1255" s="64"/>
      <c r="G1255" s="64"/>
      <c r="H1255" s="64"/>
      <c r="I1255" s="64"/>
      <c r="J1255" s="64"/>
      <c r="K1255" s="64"/>
      <c r="L1255" s="64"/>
      <c r="M1255" s="64"/>
      <c r="N1255" s="64"/>
      <c r="O1255" s="64"/>
      <c r="P1255" s="64"/>
      <c r="Q1255" s="64"/>
      <c r="R1255" s="64"/>
    </row>
    <row r="1256" spans="1:18" x14ac:dyDescent="0.25">
      <c r="A1256" s="63"/>
      <c r="B1256" s="64"/>
      <c r="C1256" s="64"/>
      <c r="D1256" s="64"/>
      <c r="E1256" s="64"/>
      <c r="F1256" s="64"/>
      <c r="G1256" s="64"/>
      <c r="H1256" s="64"/>
      <c r="I1256" s="64"/>
      <c r="J1256" s="64"/>
      <c r="K1256" s="64"/>
      <c r="L1256" s="64"/>
      <c r="M1256" s="64"/>
      <c r="N1256" s="64"/>
      <c r="O1256" s="64"/>
      <c r="P1256" s="64"/>
      <c r="Q1256" s="64"/>
      <c r="R1256" s="64"/>
    </row>
    <row r="1257" spans="1:18" x14ac:dyDescent="0.25">
      <c r="A1257" s="63"/>
      <c r="B1257" s="64"/>
      <c r="C1257" s="64"/>
      <c r="D1257" s="64"/>
      <c r="E1257" s="64"/>
      <c r="F1257" s="64"/>
      <c r="G1257" s="64"/>
      <c r="H1257" s="64"/>
      <c r="I1257" s="64"/>
      <c r="J1257" s="64"/>
      <c r="K1257" s="64"/>
      <c r="L1257" s="64"/>
      <c r="M1257" s="64"/>
      <c r="N1257" s="64"/>
      <c r="O1257" s="64"/>
      <c r="P1257" s="64"/>
      <c r="Q1257" s="64"/>
      <c r="R1257" s="64"/>
    </row>
    <row r="1258" spans="1:18" x14ac:dyDescent="0.25">
      <c r="A1258" s="63"/>
      <c r="B1258" s="64"/>
      <c r="C1258" s="64"/>
      <c r="D1258" s="64"/>
      <c r="E1258" s="64"/>
      <c r="F1258" s="64"/>
      <c r="G1258" s="64"/>
      <c r="H1258" s="64"/>
      <c r="I1258" s="64"/>
      <c r="J1258" s="64"/>
      <c r="K1258" s="64"/>
      <c r="L1258" s="64"/>
      <c r="M1258" s="64"/>
      <c r="N1258" s="64"/>
      <c r="O1258" s="64"/>
      <c r="P1258" s="64"/>
      <c r="Q1258" s="64"/>
      <c r="R1258" s="64"/>
    </row>
    <row r="1259" spans="1:18" x14ac:dyDescent="0.25">
      <c r="A1259" s="63"/>
      <c r="B1259" s="64"/>
      <c r="C1259" s="64"/>
      <c r="D1259" s="64"/>
      <c r="E1259" s="64"/>
      <c r="F1259" s="64"/>
      <c r="G1259" s="64"/>
      <c r="H1259" s="64"/>
      <c r="I1259" s="64"/>
      <c r="J1259" s="64"/>
      <c r="K1259" s="64"/>
      <c r="L1259" s="64"/>
      <c r="M1259" s="64"/>
      <c r="N1259" s="64"/>
      <c r="O1259" s="64"/>
      <c r="P1259" s="64"/>
      <c r="Q1259" s="64"/>
      <c r="R1259" s="64"/>
    </row>
    <row r="1260" spans="1:18" x14ac:dyDescent="0.25">
      <c r="A1260" s="63"/>
      <c r="B1260" s="64"/>
      <c r="C1260" s="64"/>
      <c r="D1260" s="64"/>
      <c r="E1260" s="64"/>
      <c r="F1260" s="64"/>
      <c r="G1260" s="64"/>
      <c r="H1260" s="64"/>
      <c r="I1260" s="64"/>
      <c r="J1260" s="64"/>
      <c r="K1260" s="64"/>
      <c r="L1260" s="64"/>
      <c r="M1260" s="64"/>
      <c r="N1260" s="64"/>
      <c r="O1260" s="64"/>
      <c r="P1260" s="64"/>
      <c r="Q1260" s="64"/>
      <c r="R1260" s="64"/>
    </row>
    <row r="1261" spans="1:18" x14ac:dyDescent="0.25">
      <c r="A1261" s="63"/>
      <c r="B1261" s="64"/>
      <c r="C1261" s="64"/>
      <c r="D1261" s="64"/>
      <c r="E1261" s="64"/>
      <c r="F1261" s="64"/>
      <c r="G1261" s="64"/>
      <c r="H1261" s="64"/>
      <c r="I1261" s="64"/>
      <c r="J1261" s="64"/>
      <c r="K1261" s="64"/>
      <c r="L1261" s="64"/>
      <c r="M1261" s="64"/>
      <c r="N1261" s="64"/>
      <c r="O1261" s="64"/>
      <c r="P1261" s="64"/>
      <c r="Q1261" s="64"/>
      <c r="R1261" s="64"/>
    </row>
    <row r="1262" spans="1:18" x14ac:dyDescent="0.25">
      <c r="A1262" s="63"/>
      <c r="B1262" s="64"/>
      <c r="C1262" s="64"/>
      <c r="D1262" s="64"/>
      <c r="E1262" s="64"/>
      <c r="F1262" s="64"/>
      <c r="G1262" s="64"/>
      <c r="H1262" s="64"/>
      <c r="I1262" s="64"/>
      <c r="J1262" s="64"/>
      <c r="K1262" s="64"/>
      <c r="L1262" s="64"/>
      <c r="M1262" s="64"/>
      <c r="N1262" s="64"/>
      <c r="O1262" s="64"/>
      <c r="P1262" s="64"/>
      <c r="Q1262" s="64"/>
      <c r="R1262" s="64"/>
    </row>
    <row r="1263" spans="1:18" x14ac:dyDescent="0.25">
      <c r="A1263" s="63"/>
      <c r="B1263" s="64"/>
      <c r="C1263" s="64"/>
      <c r="D1263" s="64"/>
      <c r="E1263" s="64"/>
      <c r="F1263" s="64"/>
      <c r="G1263" s="64"/>
      <c r="H1263" s="64"/>
      <c r="I1263" s="64"/>
      <c r="J1263" s="64"/>
      <c r="K1263" s="64"/>
      <c r="L1263" s="64"/>
      <c r="M1263" s="64"/>
      <c r="N1263" s="64"/>
      <c r="O1263" s="64"/>
      <c r="P1263" s="64"/>
      <c r="Q1263" s="64"/>
      <c r="R1263" s="64"/>
    </row>
    <row r="1264" spans="1:18" x14ac:dyDescent="0.25">
      <c r="A1264" s="63"/>
      <c r="B1264" s="64"/>
      <c r="C1264" s="64"/>
      <c r="D1264" s="64"/>
      <c r="E1264" s="64"/>
      <c r="F1264" s="64"/>
      <c r="G1264" s="64"/>
      <c r="H1264" s="64"/>
      <c r="I1264" s="64"/>
      <c r="J1264" s="64"/>
      <c r="K1264" s="64"/>
      <c r="L1264" s="64"/>
      <c r="M1264" s="64"/>
      <c r="N1264" s="64"/>
      <c r="O1264" s="64"/>
      <c r="P1264" s="64"/>
      <c r="Q1264" s="64"/>
      <c r="R1264" s="64"/>
    </row>
    <row r="1265" spans="1:18" x14ac:dyDescent="0.25">
      <c r="A1265" s="63"/>
      <c r="B1265" s="64"/>
      <c r="C1265" s="64"/>
      <c r="D1265" s="64"/>
      <c r="E1265" s="64"/>
      <c r="F1265" s="64"/>
      <c r="G1265" s="64"/>
      <c r="H1265" s="64"/>
      <c r="I1265" s="64"/>
      <c r="J1265" s="64"/>
      <c r="K1265" s="64"/>
      <c r="L1265" s="64"/>
      <c r="M1265" s="64"/>
      <c r="N1265" s="64"/>
      <c r="O1265" s="64"/>
      <c r="P1265" s="64"/>
      <c r="Q1265" s="64"/>
      <c r="R1265" s="64"/>
    </row>
    <row r="1266" spans="1:18" x14ac:dyDescent="0.25">
      <c r="A1266" s="63"/>
      <c r="B1266" s="64"/>
      <c r="C1266" s="64"/>
      <c r="D1266" s="64"/>
      <c r="E1266" s="64"/>
      <c r="F1266" s="64"/>
      <c r="G1266" s="64"/>
      <c r="H1266" s="64"/>
      <c r="I1266" s="64"/>
      <c r="J1266" s="64"/>
      <c r="K1266" s="64"/>
      <c r="L1266" s="64"/>
      <c r="M1266" s="64"/>
      <c r="N1266" s="64"/>
      <c r="O1266" s="64"/>
      <c r="P1266" s="64"/>
      <c r="Q1266" s="64"/>
      <c r="R1266" s="64"/>
    </row>
    <row r="1267" spans="1:18" x14ac:dyDescent="0.25">
      <c r="A1267" s="63"/>
      <c r="B1267" s="64"/>
      <c r="C1267" s="64"/>
      <c r="D1267" s="64"/>
      <c r="E1267" s="64"/>
      <c r="F1267" s="64"/>
      <c r="G1267" s="64"/>
      <c r="H1267" s="64"/>
      <c r="I1267" s="64"/>
      <c r="J1267" s="64"/>
      <c r="K1267" s="64"/>
      <c r="L1267" s="64"/>
      <c r="M1267" s="64"/>
      <c r="N1267" s="64"/>
      <c r="O1267" s="64"/>
      <c r="P1267" s="64"/>
      <c r="Q1267" s="64"/>
      <c r="R1267" s="64"/>
    </row>
    <row r="1268" spans="1:18" x14ac:dyDescent="0.25">
      <c r="A1268" s="63"/>
      <c r="B1268" s="64"/>
      <c r="C1268" s="64"/>
      <c r="D1268" s="64"/>
      <c r="E1268" s="64"/>
      <c r="F1268" s="64"/>
      <c r="G1268" s="64"/>
      <c r="H1268" s="64"/>
      <c r="I1268" s="64"/>
      <c r="J1268" s="64"/>
      <c r="K1268" s="64"/>
      <c r="L1268" s="64"/>
      <c r="M1268" s="64"/>
      <c r="N1268" s="64"/>
      <c r="O1268" s="64"/>
      <c r="P1268" s="64"/>
      <c r="Q1268" s="64"/>
      <c r="R1268" s="64"/>
    </row>
    <row r="1269" spans="1:18" x14ac:dyDescent="0.25">
      <c r="A1269" s="63"/>
      <c r="B1269" s="64"/>
      <c r="C1269" s="64"/>
      <c r="D1269" s="64"/>
      <c r="E1269" s="64"/>
      <c r="F1269" s="64"/>
      <c r="G1269" s="64"/>
      <c r="H1269" s="64"/>
      <c r="I1269" s="64"/>
      <c r="J1269" s="64"/>
      <c r="K1269" s="64"/>
      <c r="L1269" s="64"/>
      <c r="M1269" s="64"/>
      <c r="N1269" s="64"/>
      <c r="O1269" s="64"/>
      <c r="P1269" s="64"/>
      <c r="Q1269" s="64"/>
      <c r="R1269" s="64"/>
    </row>
    <row r="1270" spans="1:18" x14ac:dyDescent="0.25">
      <c r="A1270" s="63"/>
      <c r="B1270" s="64"/>
      <c r="C1270" s="64"/>
      <c r="D1270" s="64"/>
      <c r="E1270" s="64"/>
      <c r="F1270" s="64"/>
      <c r="G1270" s="64"/>
      <c r="H1270" s="64"/>
      <c r="I1270" s="64"/>
      <c r="J1270" s="64"/>
      <c r="K1270" s="64"/>
      <c r="L1270" s="64"/>
      <c r="M1270" s="64"/>
      <c r="N1270" s="64"/>
      <c r="O1270" s="64"/>
      <c r="P1270" s="64"/>
      <c r="Q1270" s="64"/>
      <c r="R1270" s="64"/>
    </row>
    <row r="1271" spans="1:18" x14ac:dyDescent="0.25">
      <c r="A1271" s="63"/>
      <c r="B1271" s="64"/>
      <c r="C1271" s="64"/>
      <c r="D1271" s="64"/>
      <c r="E1271" s="64"/>
      <c r="F1271" s="64"/>
      <c r="G1271" s="64"/>
      <c r="H1271" s="64"/>
      <c r="I1271" s="64"/>
      <c r="J1271" s="64"/>
      <c r="K1271" s="64"/>
      <c r="L1271" s="64"/>
      <c r="M1271" s="64"/>
      <c r="N1271" s="64"/>
      <c r="O1271" s="64"/>
      <c r="P1271" s="64"/>
      <c r="Q1271" s="64"/>
      <c r="R1271" s="64"/>
    </row>
    <row r="1272" spans="1:18" x14ac:dyDescent="0.25">
      <c r="A1272" s="63"/>
      <c r="B1272" s="64"/>
      <c r="C1272" s="64"/>
      <c r="D1272" s="64"/>
      <c r="E1272" s="64"/>
      <c r="F1272" s="64"/>
      <c r="G1272" s="64"/>
      <c r="H1272" s="64"/>
      <c r="I1272" s="64"/>
      <c r="J1272" s="64"/>
      <c r="K1272" s="64"/>
      <c r="L1272" s="64"/>
      <c r="M1272" s="64"/>
      <c r="N1272" s="64"/>
      <c r="O1272" s="64"/>
      <c r="P1272" s="64"/>
      <c r="Q1272" s="64"/>
      <c r="R1272" s="64"/>
    </row>
    <row r="1273" spans="1:18" x14ac:dyDescent="0.25">
      <c r="A1273" s="63"/>
      <c r="B1273" s="64"/>
      <c r="C1273" s="64"/>
      <c r="D1273" s="64"/>
      <c r="E1273" s="64"/>
      <c r="F1273" s="64"/>
      <c r="G1273" s="64"/>
      <c r="H1273" s="64"/>
      <c r="I1273" s="64"/>
      <c r="J1273" s="64"/>
      <c r="K1273" s="64"/>
      <c r="L1273" s="64"/>
      <c r="M1273" s="64"/>
      <c r="N1273" s="64"/>
      <c r="O1273" s="64"/>
      <c r="P1273" s="64"/>
      <c r="Q1273" s="64"/>
      <c r="R1273" s="64"/>
    </row>
    <row r="1274" spans="1:18" x14ac:dyDescent="0.25">
      <c r="A1274" s="63"/>
      <c r="B1274" s="64"/>
      <c r="C1274" s="64"/>
      <c r="D1274" s="64"/>
      <c r="E1274" s="64"/>
      <c r="F1274" s="64"/>
      <c r="G1274" s="64"/>
      <c r="H1274" s="64"/>
      <c r="I1274" s="64"/>
      <c r="J1274" s="64"/>
      <c r="K1274" s="64"/>
      <c r="L1274" s="64"/>
      <c r="M1274" s="64"/>
      <c r="N1274" s="64"/>
      <c r="O1274" s="64"/>
      <c r="P1274" s="64"/>
      <c r="Q1274" s="64"/>
      <c r="R1274" s="64"/>
    </row>
    <row r="1275" spans="1:18" x14ac:dyDescent="0.25">
      <c r="A1275" s="63"/>
      <c r="B1275" s="64"/>
      <c r="C1275" s="64"/>
      <c r="D1275" s="64"/>
      <c r="E1275" s="64"/>
      <c r="F1275" s="64"/>
      <c r="G1275" s="64"/>
      <c r="H1275" s="64"/>
      <c r="I1275" s="64"/>
      <c r="J1275" s="64"/>
      <c r="K1275" s="64"/>
      <c r="L1275" s="64"/>
      <c r="M1275" s="64"/>
      <c r="N1275" s="64"/>
      <c r="O1275" s="64"/>
      <c r="P1275" s="64"/>
      <c r="Q1275" s="64"/>
      <c r="R1275" s="64"/>
    </row>
    <row r="1276" spans="1:18" x14ac:dyDescent="0.25">
      <c r="A1276" s="63"/>
      <c r="B1276" s="64"/>
      <c r="C1276" s="64"/>
      <c r="D1276" s="64"/>
      <c r="E1276" s="64"/>
      <c r="F1276" s="64"/>
      <c r="G1276" s="64"/>
      <c r="H1276" s="64"/>
      <c r="I1276" s="64"/>
      <c r="J1276" s="64"/>
      <c r="K1276" s="64"/>
      <c r="L1276" s="64"/>
      <c r="M1276" s="64"/>
      <c r="N1276" s="64"/>
      <c r="O1276" s="64"/>
      <c r="P1276" s="64"/>
      <c r="Q1276" s="64"/>
      <c r="R1276" s="64"/>
    </row>
    <row r="1277" spans="1:18" x14ac:dyDescent="0.25">
      <c r="A1277" s="63"/>
      <c r="B1277" s="64"/>
      <c r="C1277" s="64"/>
      <c r="D1277" s="64"/>
      <c r="E1277" s="64"/>
      <c r="F1277" s="64"/>
      <c r="G1277" s="64"/>
      <c r="H1277" s="64"/>
      <c r="I1277" s="64"/>
      <c r="J1277" s="64"/>
      <c r="K1277" s="64"/>
      <c r="L1277" s="64"/>
      <c r="M1277" s="64"/>
      <c r="N1277" s="64"/>
      <c r="O1277" s="64"/>
      <c r="P1277" s="64"/>
      <c r="Q1277" s="64"/>
      <c r="R1277" s="64"/>
    </row>
    <row r="1278" spans="1:18" x14ac:dyDescent="0.25">
      <c r="A1278" s="63"/>
      <c r="B1278" s="64"/>
      <c r="C1278" s="64"/>
      <c r="D1278" s="64"/>
      <c r="E1278" s="64"/>
      <c r="F1278" s="64"/>
      <c r="G1278" s="64"/>
      <c r="H1278" s="64"/>
      <c r="I1278" s="64"/>
      <c r="J1278" s="64"/>
      <c r="K1278" s="64"/>
      <c r="L1278" s="64"/>
      <c r="M1278" s="64"/>
      <c r="N1278" s="64"/>
      <c r="O1278" s="64"/>
      <c r="P1278" s="64"/>
      <c r="Q1278" s="64"/>
      <c r="R1278" s="64"/>
    </row>
    <row r="1279" spans="1:18" x14ac:dyDescent="0.25">
      <c r="A1279" s="63"/>
      <c r="B1279" s="64"/>
      <c r="C1279" s="64"/>
      <c r="D1279" s="64"/>
      <c r="E1279" s="64"/>
      <c r="F1279" s="64"/>
      <c r="G1279" s="64"/>
      <c r="H1279" s="64"/>
      <c r="I1279" s="64"/>
      <c r="J1279" s="64"/>
      <c r="K1279" s="64"/>
      <c r="L1279" s="64"/>
      <c r="M1279" s="64"/>
      <c r="N1279" s="64"/>
      <c r="O1279" s="64"/>
      <c r="P1279" s="64"/>
      <c r="Q1279" s="64"/>
      <c r="R1279" s="64"/>
    </row>
    <row r="1280" spans="1:18" x14ac:dyDescent="0.25">
      <c r="A1280" s="63"/>
      <c r="B1280" s="64"/>
      <c r="C1280" s="64"/>
      <c r="D1280" s="64"/>
      <c r="E1280" s="64"/>
      <c r="F1280" s="64"/>
      <c r="G1280" s="64"/>
      <c r="H1280" s="64"/>
      <c r="I1280" s="64"/>
      <c r="J1280" s="64"/>
      <c r="K1280" s="64"/>
      <c r="L1280" s="64"/>
      <c r="M1280" s="64"/>
      <c r="N1280" s="64"/>
      <c r="O1280" s="64"/>
      <c r="P1280" s="64"/>
      <c r="Q1280" s="64"/>
      <c r="R1280" s="64"/>
    </row>
    <row r="1281" spans="1:18" x14ac:dyDescent="0.25">
      <c r="A1281" s="63"/>
      <c r="B1281" s="64"/>
      <c r="C1281" s="64"/>
      <c r="D1281" s="64"/>
      <c r="E1281" s="64"/>
      <c r="F1281" s="64"/>
      <c r="G1281" s="64"/>
      <c r="H1281" s="64"/>
      <c r="I1281" s="64"/>
      <c r="J1281" s="64"/>
      <c r="K1281" s="64"/>
      <c r="L1281" s="64"/>
      <c r="M1281" s="64"/>
      <c r="N1281" s="64"/>
      <c r="O1281" s="64"/>
      <c r="P1281" s="64"/>
      <c r="Q1281" s="64"/>
      <c r="R1281" s="64"/>
    </row>
    <row r="1282" spans="1:18" x14ac:dyDescent="0.25">
      <c r="A1282" s="63"/>
      <c r="B1282" s="64"/>
      <c r="C1282" s="64"/>
      <c r="D1282" s="64"/>
      <c r="E1282" s="64"/>
      <c r="F1282" s="64"/>
      <c r="G1282" s="64"/>
      <c r="H1282" s="64"/>
      <c r="I1282" s="64"/>
      <c r="J1282" s="64"/>
      <c r="K1282" s="64"/>
      <c r="L1282" s="64"/>
      <c r="M1282" s="64"/>
      <c r="N1282" s="64"/>
      <c r="O1282" s="64"/>
      <c r="P1282" s="64"/>
      <c r="Q1282" s="64"/>
      <c r="R1282" s="64"/>
    </row>
    <row r="1283" spans="1:18" x14ac:dyDescent="0.25">
      <c r="A1283" s="63"/>
      <c r="B1283" s="64"/>
      <c r="C1283" s="64"/>
      <c r="D1283" s="64"/>
      <c r="E1283" s="64"/>
      <c r="F1283" s="64"/>
      <c r="G1283" s="64"/>
      <c r="H1283" s="64"/>
      <c r="I1283" s="64"/>
      <c r="J1283" s="64"/>
      <c r="K1283" s="64"/>
      <c r="L1283" s="64"/>
      <c r="M1283" s="64"/>
      <c r="N1283" s="64"/>
      <c r="O1283" s="64"/>
      <c r="P1283" s="64"/>
      <c r="Q1283" s="64"/>
      <c r="R1283" s="64"/>
    </row>
    <row r="1284" spans="1:18" x14ac:dyDescent="0.25">
      <c r="A1284" s="63"/>
      <c r="B1284" s="64"/>
      <c r="C1284" s="64"/>
      <c r="D1284" s="64"/>
      <c r="E1284" s="64"/>
      <c r="F1284" s="64"/>
      <c r="G1284" s="64"/>
      <c r="H1284" s="64"/>
      <c r="I1284" s="64"/>
      <c r="J1284" s="64"/>
      <c r="K1284" s="64"/>
      <c r="L1284" s="64"/>
      <c r="M1284" s="64"/>
      <c r="N1284" s="64"/>
      <c r="O1284" s="64"/>
      <c r="P1284" s="64"/>
      <c r="Q1284" s="64"/>
      <c r="R1284" s="64"/>
    </row>
    <row r="1285" spans="1:18" x14ac:dyDescent="0.25">
      <c r="A1285" s="63"/>
      <c r="B1285" s="64"/>
      <c r="C1285" s="64"/>
      <c r="D1285" s="64"/>
      <c r="E1285" s="64"/>
      <c r="F1285" s="64"/>
      <c r="G1285" s="64"/>
      <c r="H1285" s="64"/>
      <c r="I1285" s="64"/>
      <c r="J1285" s="64"/>
      <c r="K1285" s="64"/>
      <c r="L1285" s="64"/>
      <c r="M1285" s="64"/>
      <c r="N1285" s="64"/>
      <c r="O1285" s="64"/>
      <c r="P1285" s="64"/>
      <c r="Q1285" s="64"/>
      <c r="R1285" s="64"/>
    </row>
    <row r="1286" spans="1:18" x14ac:dyDescent="0.25">
      <c r="A1286" s="63"/>
      <c r="B1286" s="64"/>
      <c r="C1286" s="64"/>
      <c r="D1286" s="64"/>
      <c r="E1286" s="64"/>
      <c r="F1286" s="64"/>
      <c r="G1286" s="64"/>
      <c r="H1286" s="64"/>
      <c r="I1286" s="64"/>
      <c r="J1286" s="64"/>
      <c r="K1286" s="64"/>
      <c r="L1286" s="64"/>
      <c r="M1286" s="64"/>
      <c r="N1286" s="64"/>
      <c r="O1286" s="64"/>
      <c r="P1286" s="64"/>
      <c r="Q1286" s="64"/>
      <c r="R1286" s="64"/>
    </row>
    <row r="1287" spans="1:18" x14ac:dyDescent="0.25">
      <c r="A1287" s="63"/>
      <c r="B1287" s="64"/>
      <c r="C1287" s="64"/>
      <c r="D1287" s="64"/>
      <c r="E1287" s="64"/>
      <c r="F1287" s="64"/>
      <c r="G1287" s="64"/>
      <c r="H1287" s="64"/>
      <c r="I1287" s="64"/>
      <c r="J1287" s="64"/>
      <c r="K1287" s="64"/>
      <c r="L1287" s="64"/>
      <c r="M1287" s="64"/>
      <c r="N1287" s="64"/>
      <c r="O1287" s="64"/>
      <c r="P1287" s="64"/>
      <c r="Q1287" s="64"/>
      <c r="R1287" s="64"/>
    </row>
    <row r="1288" spans="1:18" x14ac:dyDescent="0.25">
      <c r="A1288" s="63"/>
      <c r="B1288" s="64"/>
      <c r="C1288" s="64"/>
      <c r="D1288" s="64"/>
      <c r="E1288" s="64"/>
      <c r="F1288" s="64"/>
      <c r="G1288" s="64"/>
      <c r="H1288" s="64"/>
      <c r="I1288" s="64"/>
      <c r="J1288" s="64"/>
      <c r="K1288" s="64"/>
      <c r="L1288" s="64"/>
      <c r="M1288" s="64"/>
      <c r="N1288" s="64"/>
      <c r="O1288" s="64"/>
      <c r="P1288" s="64"/>
      <c r="Q1288" s="64"/>
      <c r="R1288" s="64"/>
    </row>
    <row r="1289" spans="1:18" x14ac:dyDescent="0.25">
      <c r="A1289" s="63"/>
      <c r="B1289" s="64"/>
      <c r="C1289" s="64"/>
      <c r="D1289" s="64"/>
      <c r="E1289" s="64"/>
      <c r="F1289" s="64"/>
      <c r="G1289" s="64"/>
      <c r="H1289" s="64"/>
      <c r="I1289" s="64"/>
      <c r="J1289" s="64"/>
      <c r="K1289" s="64"/>
      <c r="L1289" s="64"/>
      <c r="M1289" s="64"/>
      <c r="N1289" s="64"/>
      <c r="O1289" s="64"/>
      <c r="P1289" s="64"/>
      <c r="Q1289" s="64"/>
      <c r="R1289" s="64"/>
    </row>
    <row r="1290" spans="1:18" x14ac:dyDescent="0.25">
      <c r="A1290" s="63"/>
      <c r="B1290" s="64"/>
      <c r="C1290" s="64"/>
      <c r="D1290" s="64"/>
      <c r="E1290" s="64"/>
      <c r="F1290" s="64"/>
      <c r="G1290" s="64"/>
      <c r="H1290" s="64"/>
      <c r="I1290" s="64"/>
      <c r="J1290" s="64"/>
      <c r="K1290" s="64"/>
      <c r="L1290" s="64"/>
      <c r="M1290" s="64"/>
      <c r="N1290" s="64"/>
      <c r="O1290" s="64"/>
      <c r="P1290" s="64"/>
      <c r="Q1290" s="64"/>
      <c r="R1290" s="64"/>
    </row>
    <row r="1291" spans="1:18" x14ac:dyDescent="0.25">
      <c r="A1291" s="63"/>
      <c r="B1291" s="64"/>
      <c r="C1291" s="64"/>
      <c r="D1291" s="64"/>
      <c r="E1291" s="64"/>
      <c r="F1291" s="64"/>
      <c r="G1291" s="64"/>
      <c r="H1291" s="64"/>
      <c r="I1291" s="64"/>
      <c r="J1291" s="64"/>
      <c r="K1291" s="64"/>
      <c r="L1291" s="64"/>
      <c r="M1291" s="64"/>
      <c r="N1291" s="64"/>
      <c r="O1291" s="64"/>
      <c r="P1291" s="64"/>
      <c r="Q1291" s="64"/>
      <c r="R1291" s="64"/>
    </row>
    <row r="1292" spans="1:18" x14ac:dyDescent="0.25">
      <c r="A1292" s="63"/>
      <c r="B1292" s="64"/>
      <c r="C1292" s="64"/>
      <c r="D1292" s="64"/>
      <c r="E1292" s="64"/>
      <c r="F1292" s="64"/>
      <c r="G1292" s="64"/>
      <c r="H1292" s="64"/>
      <c r="I1292" s="64"/>
      <c r="J1292" s="64"/>
      <c r="K1292" s="64"/>
      <c r="L1292" s="64"/>
      <c r="M1292" s="64"/>
      <c r="N1292" s="64"/>
      <c r="O1292" s="64"/>
      <c r="P1292" s="64"/>
      <c r="Q1292" s="64"/>
      <c r="R1292" s="64"/>
    </row>
    <row r="1293" spans="1:18" x14ac:dyDescent="0.25">
      <c r="A1293" s="63"/>
      <c r="B1293" s="64"/>
      <c r="C1293" s="64"/>
      <c r="D1293" s="64"/>
      <c r="E1293" s="64"/>
      <c r="F1293" s="64"/>
      <c r="G1293" s="64"/>
      <c r="H1293" s="64"/>
      <c r="I1293" s="64"/>
      <c r="J1293" s="64"/>
      <c r="K1293" s="64"/>
      <c r="L1293" s="64"/>
      <c r="M1293" s="64"/>
      <c r="N1293" s="64"/>
      <c r="O1293" s="64"/>
      <c r="P1293" s="64"/>
      <c r="Q1293" s="64"/>
      <c r="R1293" s="64"/>
    </row>
    <row r="1294" spans="1:18" x14ac:dyDescent="0.25">
      <c r="A1294" s="63"/>
      <c r="B1294" s="64"/>
      <c r="C1294" s="64"/>
      <c r="D1294" s="64"/>
      <c r="E1294" s="64"/>
      <c r="F1294" s="64"/>
      <c r="G1294" s="64"/>
      <c r="H1294" s="64"/>
      <c r="I1294" s="64"/>
      <c r="J1294" s="64"/>
      <c r="K1294" s="64"/>
      <c r="L1294" s="64"/>
      <c r="M1294" s="64"/>
      <c r="N1294" s="64"/>
      <c r="O1294" s="64"/>
      <c r="P1294" s="64"/>
      <c r="Q1294" s="64"/>
      <c r="R1294" s="64"/>
    </row>
    <row r="1295" spans="1:18" x14ac:dyDescent="0.25">
      <c r="A1295" s="63"/>
      <c r="B1295" s="64"/>
      <c r="C1295" s="64"/>
      <c r="D1295" s="64"/>
      <c r="E1295" s="64"/>
      <c r="F1295" s="64"/>
      <c r="G1295" s="64"/>
      <c r="H1295" s="64"/>
      <c r="I1295" s="64"/>
      <c r="J1295" s="64"/>
      <c r="K1295" s="64"/>
      <c r="L1295" s="64"/>
      <c r="M1295" s="64"/>
      <c r="N1295" s="64"/>
      <c r="O1295" s="64"/>
      <c r="P1295" s="64"/>
      <c r="Q1295" s="64"/>
      <c r="R1295" s="64"/>
    </row>
    <row r="1296" spans="1:18" x14ac:dyDescent="0.25">
      <c r="A1296" s="63"/>
      <c r="B1296" s="64"/>
      <c r="C1296" s="64"/>
      <c r="D1296" s="64"/>
      <c r="E1296" s="64"/>
      <c r="F1296" s="64"/>
      <c r="G1296" s="64"/>
      <c r="H1296" s="64"/>
      <c r="I1296" s="64"/>
      <c r="J1296" s="64"/>
      <c r="K1296" s="64"/>
      <c r="L1296" s="64"/>
      <c r="M1296" s="64"/>
      <c r="N1296" s="64"/>
      <c r="O1296" s="64"/>
      <c r="P1296" s="64"/>
      <c r="Q1296" s="64"/>
      <c r="R1296" s="64"/>
    </row>
    <row r="1297" spans="1:18" x14ac:dyDescent="0.25">
      <c r="A1297" s="63"/>
      <c r="B1297" s="64"/>
      <c r="C1297" s="64"/>
      <c r="D1297" s="64"/>
      <c r="E1297" s="64"/>
      <c r="F1297" s="64"/>
      <c r="G1297" s="64"/>
      <c r="H1297" s="64"/>
      <c r="I1297" s="64"/>
      <c r="J1297" s="64"/>
      <c r="K1297" s="64"/>
      <c r="L1297" s="64"/>
      <c r="M1297" s="64"/>
      <c r="N1297" s="64"/>
      <c r="O1297" s="64"/>
      <c r="P1297" s="64"/>
      <c r="Q1297" s="64"/>
      <c r="R1297" s="64"/>
    </row>
    <row r="1298" spans="1:18" x14ac:dyDescent="0.25">
      <c r="A1298" s="63"/>
      <c r="B1298" s="64"/>
      <c r="C1298" s="64"/>
      <c r="D1298" s="64"/>
      <c r="E1298" s="64"/>
      <c r="F1298" s="64"/>
      <c r="G1298" s="64"/>
      <c r="H1298" s="64"/>
      <c r="I1298" s="64"/>
      <c r="J1298" s="64"/>
      <c r="K1298" s="64"/>
      <c r="L1298" s="64"/>
      <c r="M1298" s="64"/>
      <c r="N1298" s="64"/>
      <c r="O1298" s="64"/>
      <c r="P1298" s="64"/>
      <c r="Q1298" s="64"/>
      <c r="R1298" s="64"/>
    </row>
    <row r="1299" spans="1:18" x14ac:dyDescent="0.25">
      <c r="A1299" s="63"/>
      <c r="B1299" s="64"/>
      <c r="C1299" s="64"/>
      <c r="D1299" s="64"/>
      <c r="E1299" s="64"/>
      <c r="F1299" s="64"/>
      <c r="G1299" s="64"/>
      <c r="H1299" s="64"/>
      <c r="I1299" s="64"/>
      <c r="J1299" s="64"/>
      <c r="K1299" s="64"/>
      <c r="L1299" s="64"/>
      <c r="M1299" s="64"/>
      <c r="N1299" s="64"/>
      <c r="O1299" s="64"/>
      <c r="P1299" s="64"/>
      <c r="Q1299" s="64"/>
      <c r="R1299" s="64"/>
    </row>
    <row r="1300" spans="1:18" x14ac:dyDescent="0.25">
      <c r="A1300" s="63"/>
      <c r="B1300" s="64"/>
      <c r="C1300" s="64"/>
      <c r="D1300" s="64"/>
      <c r="E1300" s="64"/>
      <c r="F1300" s="64"/>
      <c r="G1300" s="64"/>
      <c r="H1300" s="64"/>
      <c r="I1300" s="64"/>
      <c r="J1300" s="64"/>
      <c r="K1300" s="64"/>
      <c r="L1300" s="64"/>
      <c r="M1300" s="64"/>
      <c r="N1300" s="64"/>
      <c r="O1300" s="64"/>
      <c r="P1300" s="64"/>
      <c r="Q1300" s="64"/>
      <c r="R1300" s="64"/>
    </row>
    <row r="1301" spans="1:18" x14ac:dyDescent="0.25">
      <c r="A1301" s="63"/>
      <c r="B1301" s="64"/>
      <c r="C1301" s="64"/>
      <c r="D1301" s="64"/>
      <c r="E1301" s="64"/>
      <c r="F1301" s="64"/>
      <c r="G1301" s="64"/>
      <c r="H1301" s="64"/>
      <c r="I1301" s="64"/>
      <c r="J1301" s="64"/>
      <c r="K1301" s="64"/>
      <c r="L1301" s="64"/>
      <c r="M1301" s="64"/>
      <c r="N1301" s="64"/>
      <c r="O1301" s="64"/>
      <c r="P1301" s="64"/>
      <c r="Q1301" s="64"/>
      <c r="R1301" s="64"/>
    </row>
    <row r="1302" spans="1:18" x14ac:dyDescent="0.25">
      <c r="A1302" s="63"/>
      <c r="B1302" s="64"/>
      <c r="C1302" s="64"/>
      <c r="D1302" s="64"/>
      <c r="E1302" s="64"/>
      <c r="F1302" s="64"/>
      <c r="G1302" s="64"/>
      <c r="H1302" s="64"/>
      <c r="I1302" s="64"/>
      <c r="J1302" s="64"/>
      <c r="K1302" s="64"/>
      <c r="L1302" s="64"/>
      <c r="M1302" s="64"/>
      <c r="N1302" s="64"/>
      <c r="O1302" s="64"/>
      <c r="P1302" s="64"/>
      <c r="Q1302" s="64"/>
      <c r="R1302" s="64"/>
    </row>
    <row r="1303" spans="1:18" x14ac:dyDescent="0.25">
      <c r="A1303" s="63"/>
      <c r="B1303" s="64"/>
      <c r="C1303" s="64"/>
      <c r="D1303" s="64"/>
      <c r="E1303" s="64"/>
      <c r="F1303" s="64"/>
      <c r="G1303" s="64"/>
      <c r="H1303" s="64"/>
      <c r="I1303" s="64"/>
      <c r="J1303" s="64"/>
      <c r="K1303" s="64"/>
      <c r="L1303" s="64"/>
      <c r="M1303" s="64"/>
      <c r="N1303" s="64"/>
      <c r="O1303" s="64"/>
      <c r="P1303" s="64"/>
      <c r="Q1303" s="64"/>
      <c r="R1303" s="64"/>
    </row>
    <row r="1304" spans="1:18" x14ac:dyDescent="0.25">
      <c r="A1304" s="63"/>
      <c r="B1304" s="64"/>
      <c r="C1304" s="64"/>
      <c r="D1304" s="64"/>
      <c r="E1304" s="64"/>
      <c r="F1304" s="64"/>
      <c r="G1304" s="64"/>
      <c r="H1304" s="64"/>
      <c r="I1304" s="64"/>
      <c r="J1304" s="64"/>
      <c r="K1304" s="64"/>
      <c r="L1304" s="64"/>
      <c r="M1304" s="64"/>
      <c r="N1304" s="64"/>
      <c r="O1304" s="64"/>
      <c r="P1304" s="64"/>
      <c r="Q1304" s="64"/>
      <c r="R1304" s="64"/>
    </row>
    <row r="1305" spans="1:18" x14ac:dyDescent="0.25">
      <c r="A1305" s="63"/>
      <c r="B1305" s="64"/>
      <c r="C1305" s="64"/>
      <c r="D1305" s="64"/>
      <c r="E1305" s="64"/>
      <c r="F1305" s="64"/>
      <c r="G1305" s="64"/>
      <c r="H1305" s="64"/>
      <c r="I1305" s="64"/>
      <c r="J1305" s="64"/>
      <c r="K1305" s="64"/>
      <c r="L1305" s="64"/>
      <c r="M1305" s="64"/>
      <c r="N1305" s="64"/>
      <c r="O1305" s="64"/>
      <c r="P1305" s="64"/>
      <c r="Q1305" s="64"/>
      <c r="R1305" s="64"/>
    </row>
    <row r="1306" spans="1:18" x14ac:dyDescent="0.25">
      <c r="A1306" s="63"/>
      <c r="B1306" s="64"/>
      <c r="C1306" s="64"/>
      <c r="D1306" s="64"/>
      <c r="E1306" s="64"/>
      <c r="F1306" s="64"/>
      <c r="G1306" s="64"/>
      <c r="H1306" s="64"/>
      <c r="I1306" s="64"/>
      <c r="J1306" s="64"/>
      <c r="K1306" s="64"/>
      <c r="L1306" s="64"/>
      <c r="M1306" s="64"/>
      <c r="N1306" s="64"/>
      <c r="O1306" s="64"/>
      <c r="P1306" s="64"/>
      <c r="Q1306" s="64"/>
      <c r="R1306" s="64"/>
    </row>
    <row r="1307" spans="1:18" x14ac:dyDescent="0.25">
      <c r="A1307" s="63"/>
      <c r="B1307" s="64"/>
      <c r="C1307" s="64"/>
      <c r="D1307" s="64"/>
      <c r="E1307" s="64"/>
      <c r="F1307" s="64"/>
      <c r="G1307" s="64"/>
      <c r="H1307" s="64"/>
      <c r="I1307" s="64"/>
      <c r="J1307" s="64"/>
      <c r="K1307" s="64"/>
      <c r="L1307" s="64"/>
      <c r="M1307" s="64"/>
      <c r="N1307" s="64"/>
      <c r="O1307" s="64"/>
      <c r="P1307" s="64"/>
      <c r="Q1307" s="64"/>
      <c r="R1307" s="64"/>
    </row>
    <row r="1308" spans="1:18" x14ac:dyDescent="0.25">
      <c r="A1308" s="63"/>
      <c r="B1308" s="64"/>
      <c r="C1308" s="64"/>
      <c r="D1308" s="64"/>
      <c r="E1308" s="64"/>
      <c r="F1308" s="64"/>
      <c r="G1308" s="64"/>
      <c r="H1308" s="64"/>
      <c r="I1308" s="64"/>
      <c r="J1308" s="64"/>
      <c r="K1308" s="64"/>
      <c r="L1308" s="64"/>
      <c r="M1308" s="64"/>
      <c r="N1308" s="64"/>
      <c r="O1308" s="64"/>
      <c r="P1308" s="64"/>
      <c r="Q1308" s="64"/>
      <c r="R1308" s="64"/>
    </row>
    <row r="1309" spans="1:18" x14ac:dyDescent="0.25">
      <c r="A1309" s="63"/>
      <c r="B1309" s="64"/>
      <c r="C1309" s="64"/>
      <c r="D1309" s="64"/>
      <c r="E1309" s="64"/>
      <c r="F1309" s="64"/>
      <c r="G1309" s="64"/>
      <c r="H1309" s="64"/>
      <c r="I1309" s="64"/>
      <c r="J1309" s="64"/>
      <c r="K1309" s="64"/>
      <c r="L1309" s="64"/>
      <c r="M1309" s="64"/>
      <c r="N1309" s="64"/>
      <c r="O1309" s="64"/>
      <c r="P1309" s="64"/>
      <c r="Q1309" s="64"/>
      <c r="R1309" s="64"/>
    </row>
    <row r="1310" spans="1:18" x14ac:dyDescent="0.25">
      <c r="A1310" s="63"/>
      <c r="B1310" s="64"/>
      <c r="C1310" s="64"/>
      <c r="D1310" s="64"/>
      <c r="E1310" s="64"/>
      <c r="F1310" s="64"/>
      <c r="G1310" s="64"/>
      <c r="H1310" s="64"/>
      <c r="I1310" s="64"/>
      <c r="J1310" s="64"/>
      <c r="K1310" s="64"/>
      <c r="L1310" s="64"/>
      <c r="M1310" s="64"/>
      <c r="N1310" s="64"/>
      <c r="O1310" s="64"/>
      <c r="P1310" s="64"/>
      <c r="Q1310" s="64"/>
      <c r="R1310" s="64"/>
    </row>
    <row r="1311" spans="1:18" x14ac:dyDescent="0.25">
      <c r="A1311" s="63"/>
      <c r="B1311" s="64"/>
      <c r="C1311" s="64"/>
      <c r="D1311" s="64"/>
      <c r="E1311" s="64"/>
      <c r="F1311" s="64"/>
      <c r="G1311" s="64"/>
      <c r="H1311" s="64"/>
      <c r="I1311" s="64"/>
      <c r="J1311" s="64"/>
      <c r="K1311" s="64"/>
      <c r="L1311" s="64"/>
      <c r="M1311" s="64"/>
      <c r="N1311" s="64"/>
      <c r="O1311" s="64"/>
      <c r="P1311" s="64"/>
      <c r="Q1311" s="64"/>
      <c r="R1311" s="64"/>
    </row>
    <row r="1312" spans="1:18" x14ac:dyDescent="0.25">
      <c r="A1312" s="63"/>
      <c r="B1312" s="64"/>
      <c r="C1312" s="64"/>
      <c r="D1312" s="64"/>
      <c r="E1312" s="64"/>
      <c r="F1312" s="64"/>
      <c r="G1312" s="64"/>
      <c r="H1312" s="64"/>
      <c r="I1312" s="64"/>
      <c r="J1312" s="64"/>
      <c r="K1312" s="64"/>
      <c r="L1312" s="64"/>
      <c r="M1312" s="64"/>
      <c r="N1312" s="64"/>
      <c r="O1312" s="64"/>
      <c r="P1312" s="64"/>
      <c r="Q1312" s="64"/>
      <c r="R1312" s="64"/>
    </row>
    <row r="1313" spans="1:18" x14ac:dyDescent="0.25">
      <c r="A1313" s="63"/>
      <c r="B1313" s="64"/>
      <c r="C1313" s="64"/>
      <c r="D1313" s="64"/>
      <c r="E1313" s="64"/>
      <c r="F1313" s="64"/>
      <c r="G1313" s="64"/>
      <c r="H1313" s="64"/>
      <c r="I1313" s="64"/>
      <c r="J1313" s="64"/>
      <c r="K1313" s="64"/>
      <c r="L1313" s="64"/>
      <c r="M1313" s="64"/>
      <c r="N1313" s="64"/>
      <c r="O1313" s="64"/>
      <c r="P1313" s="64"/>
      <c r="Q1313" s="64"/>
      <c r="R1313" s="64"/>
    </row>
    <row r="1314" spans="1:18" x14ac:dyDescent="0.25">
      <c r="A1314" s="63"/>
      <c r="B1314" s="64"/>
      <c r="C1314" s="64"/>
      <c r="D1314" s="64"/>
      <c r="E1314" s="64"/>
      <c r="F1314" s="64"/>
      <c r="G1314" s="64"/>
      <c r="H1314" s="64"/>
      <c r="I1314" s="64"/>
      <c r="J1314" s="64"/>
      <c r="K1314" s="64"/>
      <c r="L1314" s="64"/>
      <c r="M1314" s="64"/>
      <c r="N1314" s="64"/>
      <c r="O1314" s="64"/>
      <c r="P1314" s="64"/>
      <c r="Q1314" s="64"/>
      <c r="R1314" s="64"/>
    </row>
    <row r="1315" spans="1:18" x14ac:dyDescent="0.25">
      <c r="A1315" s="63"/>
      <c r="B1315" s="64"/>
      <c r="C1315" s="64"/>
      <c r="D1315" s="64"/>
      <c r="E1315" s="64"/>
      <c r="F1315" s="64"/>
      <c r="G1315" s="64"/>
      <c r="H1315" s="64"/>
      <c r="I1315" s="64"/>
      <c r="J1315" s="64"/>
      <c r="K1315" s="64"/>
      <c r="L1315" s="64"/>
      <c r="M1315" s="64"/>
      <c r="N1315" s="64"/>
      <c r="O1315" s="64"/>
      <c r="P1315" s="64"/>
      <c r="Q1315" s="64"/>
      <c r="R1315" s="64"/>
    </row>
    <row r="1316" spans="1:18" x14ac:dyDescent="0.25">
      <c r="A1316" s="63"/>
      <c r="B1316" s="64"/>
      <c r="C1316" s="64"/>
      <c r="D1316" s="64"/>
      <c r="E1316" s="64"/>
      <c r="F1316" s="64"/>
      <c r="G1316" s="64"/>
      <c r="H1316" s="64"/>
      <c r="I1316" s="64"/>
      <c r="J1316" s="64"/>
      <c r="K1316" s="64"/>
      <c r="L1316" s="64"/>
      <c r="M1316" s="64"/>
      <c r="N1316" s="64"/>
      <c r="O1316" s="64"/>
      <c r="P1316" s="64"/>
      <c r="Q1316" s="64"/>
      <c r="R1316" s="64"/>
    </row>
    <row r="1317" spans="1:18" x14ac:dyDescent="0.25">
      <c r="A1317" s="63"/>
      <c r="B1317" s="64"/>
      <c r="C1317" s="64"/>
      <c r="D1317" s="64"/>
      <c r="E1317" s="64"/>
      <c r="F1317" s="64"/>
      <c r="G1317" s="64"/>
      <c r="H1317" s="64"/>
      <c r="I1317" s="64"/>
      <c r="J1317" s="64"/>
      <c r="K1317" s="64"/>
      <c r="L1317" s="64"/>
      <c r="M1317" s="64"/>
      <c r="N1317" s="64"/>
      <c r="O1317" s="64"/>
      <c r="P1317" s="64"/>
      <c r="Q1317" s="64"/>
      <c r="R1317" s="64"/>
    </row>
    <row r="1318" spans="1:18" x14ac:dyDescent="0.25">
      <c r="A1318" s="63"/>
      <c r="B1318" s="64"/>
      <c r="C1318" s="64"/>
      <c r="D1318" s="64"/>
      <c r="E1318" s="64"/>
      <c r="F1318" s="64"/>
      <c r="G1318" s="64"/>
      <c r="H1318" s="64"/>
      <c r="I1318" s="64"/>
      <c r="J1318" s="64"/>
      <c r="K1318" s="64"/>
      <c r="L1318" s="64"/>
      <c r="M1318" s="64"/>
      <c r="N1318" s="64"/>
      <c r="O1318" s="64"/>
      <c r="P1318" s="64"/>
      <c r="Q1318" s="64"/>
      <c r="R1318" s="64"/>
    </row>
    <row r="1319" spans="1:18" x14ac:dyDescent="0.25">
      <c r="A1319" s="63"/>
      <c r="B1319" s="64"/>
      <c r="C1319" s="64"/>
      <c r="D1319" s="64"/>
      <c r="E1319" s="64"/>
      <c r="F1319" s="64"/>
      <c r="G1319" s="64"/>
      <c r="H1319" s="64"/>
      <c r="I1319" s="64"/>
      <c r="J1319" s="64"/>
      <c r="K1319" s="64"/>
      <c r="L1319" s="64"/>
      <c r="M1319" s="64"/>
      <c r="N1319" s="64"/>
      <c r="O1319" s="64"/>
      <c r="P1319" s="64"/>
      <c r="Q1319" s="64"/>
      <c r="R1319" s="64"/>
    </row>
    <row r="1320" spans="1:18" x14ac:dyDescent="0.25">
      <c r="A1320" s="63"/>
      <c r="B1320" s="64"/>
      <c r="C1320" s="64"/>
      <c r="D1320" s="64"/>
      <c r="E1320" s="64"/>
      <c r="F1320" s="64"/>
      <c r="G1320" s="64"/>
      <c r="H1320" s="64"/>
      <c r="I1320" s="64"/>
      <c r="J1320" s="64"/>
      <c r="K1320" s="64"/>
      <c r="L1320" s="64"/>
      <c r="M1320" s="64"/>
      <c r="N1320" s="64"/>
      <c r="O1320" s="64"/>
      <c r="P1320" s="64"/>
      <c r="Q1320" s="64"/>
      <c r="R1320" s="64"/>
    </row>
    <row r="1321" spans="1:18" x14ac:dyDescent="0.25">
      <c r="A1321" s="63"/>
      <c r="B1321" s="64"/>
      <c r="C1321" s="64"/>
      <c r="D1321" s="64"/>
      <c r="E1321" s="64"/>
      <c r="F1321" s="64"/>
      <c r="G1321" s="64"/>
      <c r="H1321" s="64"/>
      <c r="I1321" s="64"/>
      <c r="J1321" s="64"/>
      <c r="K1321" s="64"/>
      <c r="L1321" s="64"/>
      <c r="M1321" s="64"/>
      <c r="N1321" s="64"/>
      <c r="O1321" s="64"/>
      <c r="P1321" s="64"/>
      <c r="Q1321" s="64"/>
      <c r="R1321" s="64"/>
    </row>
    <row r="1322" spans="1:18" x14ac:dyDescent="0.25">
      <c r="A1322" s="63"/>
      <c r="B1322" s="64"/>
      <c r="C1322" s="64"/>
      <c r="D1322" s="64"/>
      <c r="E1322" s="64"/>
      <c r="F1322" s="64"/>
      <c r="G1322" s="64"/>
      <c r="H1322" s="64"/>
      <c r="I1322" s="64"/>
      <c r="J1322" s="64"/>
      <c r="K1322" s="64"/>
      <c r="L1322" s="64"/>
      <c r="M1322" s="64"/>
      <c r="N1322" s="64"/>
      <c r="O1322" s="64"/>
      <c r="P1322" s="64"/>
      <c r="Q1322" s="64"/>
      <c r="R1322" s="64"/>
    </row>
    <row r="1323" spans="1:18" x14ac:dyDescent="0.25">
      <c r="A1323" s="63"/>
      <c r="B1323" s="64"/>
      <c r="C1323" s="64"/>
      <c r="D1323" s="64"/>
      <c r="E1323" s="64"/>
      <c r="F1323" s="64"/>
      <c r="G1323" s="64"/>
      <c r="H1323" s="64"/>
      <c r="I1323" s="64"/>
      <c r="J1323" s="64"/>
      <c r="K1323" s="64"/>
      <c r="L1323" s="64"/>
      <c r="M1323" s="64"/>
      <c r="N1323" s="64"/>
      <c r="O1323" s="64"/>
      <c r="P1323" s="64"/>
      <c r="Q1323" s="64"/>
      <c r="R1323" s="64"/>
    </row>
    <row r="1324" spans="1:18" x14ac:dyDescent="0.25">
      <c r="A1324" s="63"/>
      <c r="B1324" s="64"/>
      <c r="C1324" s="64"/>
      <c r="D1324" s="64"/>
      <c r="E1324" s="64"/>
      <c r="F1324" s="64"/>
      <c r="G1324" s="64"/>
      <c r="H1324" s="64"/>
      <c r="I1324" s="64"/>
      <c r="J1324" s="64"/>
      <c r="K1324" s="64"/>
      <c r="L1324" s="64"/>
      <c r="M1324" s="64"/>
      <c r="N1324" s="64"/>
      <c r="O1324" s="64"/>
      <c r="P1324" s="64"/>
      <c r="Q1324" s="64"/>
      <c r="R1324" s="64"/>
    </row>
    <row r="1325" spans="1:18" x14ac:dyDescent="0.25">
      <c r="A1325" s="63"/>
      <c r="B1325" s="64"/>
      <c r="C1325" s="64"/>
      <c r="D1325" s="64"/>
      <c r="E1325" s="64"/>
      <c r="F1325" s="64"/>
      <c r="G1325" s="64"/>
      <c r="H1325" s="64"/>
      <c r="I1325" s="64"/>
      <c r="J1325" s="64"/>
      <c r="K1325" s="64"/>
      <c r="L1325" s="64"/>
      <c r="M1325" s="64"/>
      <c r="N1325" s="64"/>
      <c r="O1325" s="64"/>
      <c r="P1325" s="64"/>
      <c r="Q1325" s="64"/>
      <c r="R1325" s="64"/>
    </row>
    <row r="1326" spans="1:18" x14ac:dyDescent="0.25">
      <c r="A1326" s="63"/>
      <c r="B1326" s="64"/>
      <c r="C1326" s="64"/>
      <c r="D1326" s="64"/>
      <c r="E1326" s="64"/>
      <c r="F1326" s="64"/>
      <c r="G1326" s="64"/>
      <c r="H1326" s="64"/>
      <c r="I1326" s="64"/>
      <c r="J1326" s="64"/>
      <c r="K1326" s="64"/>
      <c r="L1326" s="64"/>
      <c r="M1326" s="64"/>
      <c r="N1326" s="64"/>
      <c r="O1326" s="64"/>
      <c r="P1326" s="64"/>
      <c r="Q1326" s="64"/>
      <c r="R1326" s="64"/>
    </row>
    <row r="1327" spans="1:18" x14ac:dyDescent="0.25">
      <c r="A1327" s="63"/>
      <c r="B1327" s="64"/>
      <c r="C1327" s="64"/>
      <c r="D1327" s="64"/>
      <c r="E1327" s="64"/>
      <c r="F1327" s="64"/>
      <c r="G1327" s="64"/>
      <c r="H1327" s="64"/>
      <c r="I1327" s="64"/>
      <c r="J1327" s="64"/>
      <c r="K1327" s="64"/>
      <c r="L1327" s="64"/>
      <c r="M1327" s="64"/>
      <c r="N1327" s="64"/>
      <c r="O1327" s="64"/>
      <c r="P1327" s="64"/>
      <c r="Q1327" s="64"/>
      <c r="R1327" s="64"/>
    </row>
    <row r="1328" spans="1:18" x14ac:dyDescent="0.25">
      <c r="A1328" s="63"/>
      <c r="B1328" s="64"/>
      <c r="C1328" s="64"/>
      <c r="D1328" s="64"/>
      <c r="E1328" s="64"/>
      <c r="F1328" s="64"/>
      <c r="G1328" s="64"/>
      <c r="H1328" s="64"/>
      <c r="I1328" s="64"/>
      <c r="J1328" s="64"/>
      <c r="K1328" s="64"/>
      <c r="L1328" s="64"/>
      <c r="M1328" s="64"/>
      <c r="N1328" s="64"/>
      <c r="O1328" s="64"/>
      <c r="P1328" s="64"/>
      <c r="Q1328" s="64"/>
      <c r="R1328" s="64"/>
    </row>
    <row r="1329" spans="1:18" x14ac:dyDescent="0.25">
      <c r="A1329" s="63"/>
      <c r="B1329" s="64"/>
      <c r="C1329" s="64"/>
      <c r="D1329" s="64"/>
      <c r="E1329" s="64"/>
      <c r="F1329" s="64"/>
      <c r="G1329" s="64"/>
      <c r="H1329" s="64"/>
      <c r="I1329" s="64"/>
      <c r="J1329" s="64"/>
      <c r="K1329" s="64"/>
      <c r="L1329" s="64"/>
      <c r="M1329" s="64"/>
      <c r="N1329" s="64"/>
      <c r="O1329" s="64"/>
      <c r="P1329" s="64"/>
      <c r="Q1329" s="64"/>
      <c r="R1329" s="64"/>
    </row>
    <row r="1330" spans="1:18" x14ac:dyDescent="0.25">
      <c r="A1330" s="63"/>
      <c r="B1330" s="64"/>
      <c r="C1330" s="64"/>
      <c r="D1330" s="64"/>
      <c r="E1330" s="64"/>
      <c r="F1330" s="64"/>
      <c r="G1330" s="64"/>
      <c r="H1330" s="64"/>
      <c r="I1330" s="64"/>
      <c r="J1330" s="64"/>
      <c r="K1330" s="64"/>
      <c r="L1330" s="64"/>
      <c r="M1330" s="64"/>
      <c r="N1330" s="64"/>
      <c r="O1330" s="64"/>
      <c r="P1330" s="64"/>
      <c r="Q1330" s="64"/>
      <c r="R1330" s="64"/>
    </row>
    <row r="1331" spans="1:18" x14ac:dyDescent="0.25">
      <c r="A1331" s="63"/>
      <c r="B1331" s="64"/>
      <c r="C1331" s="64"/>
      <c r="D1331" s="64"/>
      <c r="E1331" s="64"/>
      <c r="F1331" s="64"/>
      <c r="G1331" s="64"/>
      <c r="H1331" s="64"/>
      <c r="I1331" s="64"/>
      <c r="J1331" s="64"/>
      <c r="K1331" s="64"/>
      <c r="L1331" s="64"/>
      <c r="M1331" s="64"/>
      <c r="N1331" s="64"/>
      <c r="O1331" s="64"/>
      <c r="P1331" s="64"/>
      <c r="Q1331" s="64"/>
      <c r="R1331" s="64"/>
    </row>
    <row r="1332" spans="1:18" x14ac:dyDescent="0.25">
      <c r="A1332" s="63"/>
      <c r="B1332" s="64"/>
      <c r="C1332" s="64"/>
      <c r="D1332" s="64"/>
      <c r="E1332" s="64"/>
      <c r="F1332" s="64"/>
      <c r="G1332" s="64"/>
      <c r="H1332" s="64"/>
      <c r="I1332" s="64"/>
      <c r="J1332" s="64"/>
      <c r="K1332" s="64"/>
      <c r="L1332" s="64"/>
      <c r="M1332" s="64"/>
      <c r="N1332" s="64"/>
      <c r="O1332" s="64"/>
      <c r="P1332" s="64"/>
      <c r="Q1332" s="64"/>
      <c r="R1332" s="64"/>
    </row>
    <row r="1333" spans="1:18" x14ac:dyDescent="0.25">
      <c r="A1333" s="63"/>
      <c r="B1333" s="64"/>
      <c r="C1333" s="64"/>
      <c r="D1333" s="64"/>
      <c r="E1333" s="64"/>
      <c r="F1333" s="64"/>
      <c r="G1333" s="64"/>
      <c r="H1333" s="64"/>
      <c r="I1333" s="64"/>
      <c r="J1333" s="64"/>
      <c r="K1333" s="64"/>
      <c r="L1333" s="64"/>
      <c r="M1333" s="64"/>
      <c r="N1333" s="64"/>
      <c r="O1333" s="64"/>
      <c r="P1333" s="64"/>
      <c r="Q1333" s="64"/>
      <c r="R1333" s="64"/>
    </row>
    <row r="1334" spans="1:18" x14ac:dyDescent="0.25">
      <c r="A1334" s="63"/>
      <c r="B1334" s="64"/>
      <c r="C1334" s="64"/>
      <c r="D1334" s="64"/>
      <c r="E1334" s="64"/>
      <c r="F1334" s="64"/>
      <c r="G1334" s="64"/>
      <c r="H1334" s="64"/>
      <c r="I1334" s="64"/>
      <c r="J1334" s="64"/>
      <c r="K1334" s="64"/>
      <c r="L1334" s="64"/>
      <c r="M1334" s="64"/>
      <c r="N1334" s="64"/>
      <c r="O1334" s="64"/>
      <c r="P1334" s="64"/>
      <c r="Q1334" s="64"/>
      <c r="R1334" s="64"/>
    </row>
    <row r="1335" spans="1:18" x14ac:dyDescent="0.25">
      <c r="A1335" s="63"/>
      <c r="B1335" s="64"/>
      <c r="C1335" s="64"/>
      <c r="D1335" s="64"/>
      <c r="E1335" s="64"/>
      <c r="F1335" s="64"/>
      <c r="G1335" s="64"/>
      <c r="H1335" s="64"/>
      <c r="I1335" s="64"/>
      <c r="J1335" s="64"/>
      <c r="K1335" s="64"/>
      <c r="L1335" s="64"/>
      <c r="M1335" s="64"/>
      <c r="N1335" s="64"/>
      <c r="O1335" s="64"/>
      <c r="P1335" s="64"/>
      <c r="Q1335" s="64"/>
      <c r="R1335" s="64"/>
    </row>
    <row r="1336" spans="1:18" x14ac:dyDescent="0.25">
      <c r="A1336" s="63"/>
      <c r="B1336" s="64"/>
      <c r="C1336" s="64"/>
      <c r="D1336" s="64"/>
      <c r="E1336" s="64"/>
      <c r="F1336" s="64"/>
      <c r="G1336" s="64"/>
      <c r="H1336" s="64"/>
      <c r="I1336" s="64"/>
      <c r="J1336" s="64"/>
      <c r="K1336" s="64"/>
      <c r="L1336" s="64"/>
      <c r="M1336" s="64"/>
      <c r="N1336" s="64"/>
      <c r="O1336" s="64"/>
      <c r="P1336" s="64"/>
      <c r="Q1336" s="64"/>
      <c r="R1336" s="64"/>
    </row>
    <row r="1337" spans="1:18" x14ac:dyDescent="0.25">
      <c r="A1337" s="63"/>
      <c r="B1337" s="64"/>
      <c r="C1337" s="64"/>
      <c r="D1337" s="64"/>
      <c r="E1337" s="64"/>
      <c r="F1337" s="64"/>
      <c r="G1337" s="64"/>
      <c r="H1337" s="64"/>
      <c r="I1337" s="64"/>
      <c r="J1337" s="64"/>
      <c r="K1337" s="64"/>
      <c r="L1337" s="64"/>
      <c r="M1337" s="64"/>
      <c r="N1337" s="64"/>
      <c r="O1337" s="64"/>
      <c r="P1337" s="64"/>
      <c r="Q1337" s="64"/>
      <c r="R1337" s="64"/>
    </row>
    <row r="1338" spans="1:18" x14ac:dyDescent="0.25">
      <c r="A1338" s="63"/>
      <c r="B1338" s="64"/>
      <c r="C1338" s="64"/>
      <c r="D1338" s="64"/>
      <c r="E1338" s="64"/>
      <c r="F1338" s="64"/>
      <c r="G1338" s="64"/>
      <c r="H1338" s="64"/>
      <c r="I1338" s="64"/>
      <c r="J1338" s="64"/>
      <c r="K1338" s="64"/>
      <c r="L1338" s="64"/>
      <c r="M1338" s="64"/>
      <c r="N1338" s="64"/>
      <c r="O1338" s="64"/>
      <c r="P1338" s="64"/>
      <c r="Q1338" s="64"/>
      <c r="R1338" s="64"/>
    </row>
    <row r="1339" spans="1:18" x14ac:dyDescent="0.25">
      <c r="A1339" s="63"/>
      <c r="B1339" s="64"/>
      <c r="C1339" s="64"/>
      <c r="D1339" s="64"/>
      <c r="E1339" s="64"/>
      <c r="F1339" s="64"/>
      <c r="G1339" s="64"/>
      <c r="H1339" s="64"/>
      <c r="I1339" s="64"/>
      <c r="J1339" s="64"/>
      <c r="K1339" s="64"/>
      <c r="L1339" s="64"/>
      <c r="M1339" s="64"/>
      <c r="N1339" s="64"/>
      <c r="O1339" s="64"/>
      <c r="P1339" s="64"/>
      <c r="Q1339" s="64"/>
      <c r="R1339" s="64"/>
    </row>
    <row r="1340" spans="1:18" x14ac:dyDescent="0.25">
      <c r="A1340" s="63"/>
      <c r="B1340" s="64"/>
      <c r="C1340" s="64"/>
      <c r="D1340" s="64"/>
      <c r="E1340" s="64"/>
      <c r="F1340" s="64"/>
      <c r="G1340" s="64"/>
      <c r="H1340" s="64"/>
      <c r="I1340" s="64"/>
      <c r="J1340" s="64"/>
      <c r="K1340" s="64"/>
      <c r="L1340" s="64"/>
      <c r="M1340" s="64"/>
      <c r="N1340" s="64"/>
      <c r="O1340" s="64"/>
      <c r="P1340" s="64"/>
      <c r="Q1340" s="64"/>
      <c r="R1340" s="64"/>
    </row>
    <row r="1341" spans="1:18" x14ac:dyDescent="0.25">
      <c r="A1341" s="63"/>
      <c r="B1341" s="64"/>
      <c r="C1341" s="64"/>
      <c r="D1341" s="64"/>
      <c r="E1341" s="64"/>
      <c r="F1341" s="64"/>
      <c r="G1341" s="64"/>
      <c r="H1341" s="64"/>
      <c r="I1341" s="64"/>
      <c r="J1341" s="64"/>
      <c r="K1341" s="64"/>
      <c r="L1341" s="64"/>
      <c r="M1341" s="64"/>
      <c r="N1341" s="64"/>
      <c r="O1341" s="64"/>
      <c r="P1341" s="64"/>
      <c r="Q1341" s="64"/>
      <c r="R1341" s="64"/>
    </row>
    <row r="1342" spans="1:18" x14ac:dyDescent="0.25">
      <c r="A1342" s="63"/>
      <c r="B1342" s="64"/>
      <c r="C1342" s="64"/>
      <c r="D1342" s="64"/>
      <c r="E1342" s="64"/>
      <c r="F1342" s="64"/>
      <c r="G1342" s="64"/>
      <c r="H1342" s="64"/>
      <c r="I1342" s="64"/>
      <c r="J1342" s="64"/>
      <c r="K1342" s="64"/>
      <c r="L1342" s="64"/>
      <c r="M1342" s="64"/>
      <c r="N1342" s="64"/>
      <c r="O1342" s="64"/>
      <c r="P1342" s="64"/>
      <c r="Q1342" s="64"/>
      <c r="R1342" s="64"/>
    </row>
    <row r="1343" spans="1:18" x14ac:dyDescent="0.25">
      <c r="A1343" s="63"/>
      <c r="B1343" s="64"/>
      <c r="C1343" s="64"/>
      <c r="D1343" s="64"/>
      <c r="E1343" s="64"/>
      <c r="F1343" s="64"/>
      <c r="G1343" s="64"/>
      <c r="H1343" s="64"/>
      <c r="I1343" s="64"/>
      <c r="J1343" s="64"/>
      <c r="K1343" s="64"/>
      <c r="L1343" s="64"/>
      <c r="M1343" s="64"/>
      <c r="N1343" s="64"/>
      <c r="O1343" s="64"/>
      <c r="P1343" s="64"/>
      <c r="Q1343" s="64"/>
      <c r="R1343" s="64"/>
    </row>
    <row r="1344" spans="1:18" x14ac:dyDescent="0.25">
      <c r="A1344" s="63"/>
      <c r="B1344" s="64"/>
      <c r="C1344" s="64"/>
      <c r="D1344" s="64"/>
      <c r="E1344" s="64"/>
      <c r="F1344" s="64"/>
      <c r="G1344" s="64"/>
      <c r="H1344" s="64"/>
      <c r="I1344" s="64"/>
      <c r="J1344" s="64"/>
      <c r="K1344" s="64"/>
      <c r="L1344" s="64"/>
      <c r="M1344" s="64"/>
      <c r="N1344" s="64"/>
      <c r="O1344" s="64"/>
      <c r="P1344" s="64"/>
      <c r="Q1344" s="64"/>
      <c r="R1344" s="64"/>
    </row>
    <row r="1345" spans="1:18" x14ac:dyDescent="0.25">
      <c r="A1345" s="63"/>
      <c r="B1345" s="64"/>
      <c r="C1345" s="64"/>
      <c r="D1345" s="64"/>
      <c r="E1345" s="64"/>
      <c r="F1345" s="64"/>
      <c r="G1345" s="64"/>
      <c r="H1345" s="64"/>
      <c r="I1345" s="64"/>
      <c r="J1345" s="64"/>
      <c r="K1345" s="64"/>
      <c r="L1345" s="64"/>
      <c r="M1345" s="64"/>
      <c r="N1345" s="64"/>
      <c r="O1345" s="64"/>
      <c r="P1345" s="64"/>
      <c r="Q1345" s="64"/>
      <c r="R1345" s="64"/>
    </row>
    <row r="1346" spans="1:18" x14ac:dyDescent="0.25">
      <c r="A1346" s="63"/>
      <c r="B1346" s="64"/>
      <c r="C1346" s="64"/>
      <c r="D1346" s="64"/>
      <c r="E1346" s="64"/>
      <c r="F1346" s="64"/>
      <c r="G1346" s="64"/>
      <c r="H1346" s="64"/>
      <c r="I1346" s="64"/>
      <c r="J1346" s="64"/>
      <c r="K1346" s="64"/>
      <c r="L1346" s="64"/>
      <c r="M1346" s="64"/>
      <c r="N1346" s="64"/>
      <c r="O1346" s="64"/>
      <c r="P1346" s="64"/>
      <c r="Q1346" s="64"/>
      <c r="R1346" s="64"/>
    </row>
    <row r="1347" spans="1:18" x14ac:dyDescent="0.25">
      <c r="A1347" s="63"/>
      <c r="B1347" s="64"/>
      <c r="C1347" s="64"/>
      <c r="D1347" s="64"/>
      <c r="E1347" s="64"/>
      <c r="F1347" s="64"/>
      <c r="G1347" s="64"/>
      <c r="H1347" s="64"/>
      <c r="I1347" s="64"/>
      <c r="J1347" s="64"/>
      <c r="K1347" s="64"/>
      <c r="L1347" s="64"/>
      <c r="M1347" s="64"/>
      <c r="N1347" s="64"/>
      <c r="O1347" s="64"/>
      <c r="P1347" s="64"/>
      <c r="Q1347" s="64"/>
      <c r="R1347" s="64"/>
    </row>
    <row r="1348" spans="1:18" x14ac:dyDescent="0.25">
      <c r="A1348" s="63"/>
      <c r="B1348" s="64"/>
      <c r="C1348" s="64"/>
      <c r="D1348" s="64"/>
      <c r="E1348" s="64"/>
      <c r="F1348" s="64"/>
      <c r="G1348" s="64"/>
      <c r="H1348" s="64"/>
      <c r="I1348" s="64"/>
      <c r="J1348" s="64"/>
      <c r="K1348" s="64"/>
      <c r="L1348" s="64"/>
      <c r="M1348" s="64"/>
      <c r="N1348" s="64"/>
      <c r="O1348" s="64"/>
      <c r="P1348" s="64"/>
      <c r="Q1348" s="64"/>
      <c r="R1348" s="64"/>
    </row>
    <row r="1349" spans="1:18" x14ac:dyDescent="0.25">
      <c r="A1349" s="63"/>
      <c r="B1349" s="64"/>
      <c r="C1349" s="64"/>
      <c r="D1349" s="64"/>
      <c r="E1349" s="64"/>
      <c r="F1349" s="64"/>
      <c r="G1349" s="64"/>
      <c r="H1349" s="64"/>
      <c r="I1349" s="64"/>
      <c r="J1349" s="64"/>
      <c r="K1349" s="64"/>
      <c r="L1349" s="64"/>
      <c r="M1349" s="64"/>
      <c r="N1349" s="64"/>
      <c r="O1349" s="64"/>
      <c r="P1349" s="64"/>
      <c r="Q1349" s="64"/>
      <c r="R1349" s="64"/>
    </row>
    <row r="1350" spans="1:18" x14ac:dyDescent="0.25">
      <c r="A1350" s="63"/>
      <c r="B1350" s="64"/>
      <c r="C1350" s="64"/>
      <c r="D1350" s="64"/>
      <c r="E1350" s="64"/>
      <c r="F1350" s="64"/>
      <c r="G1350" s="64"/>
      <c r="H1350" s="64"/>
      <c r="I1350" s="64"/>
      <c r="J1350" s="64"/>
      <c r="K1350" s="64"/>
      <c r="L1350" s="64"/>
      <c r="M1350" s="64"/>
      <c r="N1350" s="64"/>
      <c r="O1350" s="64"/>
      <c r="P1350" s="64"/>
      <c r="Q1350" s="64"/>
      <c r="R1350" s="64"/>
    </row>
    <row r="1351" spans="1:18" x14ac:dyDescent="0.25">
      <c r="A1351" s="63"/>
      <c r="B1351" s="64"/>
      <c r="C1351" s="64"/>
      <c r="D1351" s="64"/>
      <c r="E1351" s="64"/>
      <c r="F1351" s="64"/>
      <c r="G1351" s="64"/>
      <c r="H1351" s="64"/>
      <c r="I1351" s="64"/>
      <c r="J1351" s="64"/>
      <c r="K1351" s="64"/>
      <c r="L1351" s="64"/>
      <c r="M1351" s="64"/>
      <c r="N1351" s="64"/>
      <c r="O1351" s="64"/>
      <c r="P1351" s="64"/>
      <c r="Q1351" s="64"/>
      <c r="R1351" s="64"/>
    </row>
    <row r="1352" spans="1:18" x14ac:dyDescent="0.25">
      <c r="A1352" s="63"/>
      <c r="B1352" s="64"/>
      <c r="C1352" s="64"/>
      <c r="D1352" s="64"/>
      <c r="E1352" s="64"/>
      <c r="F1352" s="64"/>
      <c r="G1352" s="64"/>
      <c r="H1352" s="64"/>
      <c r="I1352" s="64"/>
      <c r="J1352" s="64"/>
      <c r="K1352" s="64"/>
      <c r="L1352" s="64"/>
      <c r="M1352" s="64"/>
      <c r="N1352" s="64"/>
      <c r="O1352" s="64"/>
      <c r="P1352" s="64"/>
      <c r="Q1352" s="64"/>
      <c r="R1352" s="64"/>
    </row>
    <row r="1353" spans="1:18" x14ac:dyDescent="0.25">
      <c r="A1353" s="63"/>
      <c r="B1353" s="64"/>
      <c r="C1353" s="64"/>
      <c r="D1353" s="64"/>
      <c r="E1353" s="64"/>
      <c r="F1353" s="64"/>
      <c r="G1353" s="64"/>
      <c r="H1353" s="64"/>
      <c r="I1353" s="64"/>
      <c r="J1353" s="64"/>
      <c r="K1353" s="64"/>
      <c r="L1353" s="64"/>
      <c r="M1353" s="64"/>
      <c r="N1353" s="64"/>
      <c r="O1353" s="64"/>
      <c r="P1353" s="64"/>
      <c r="Q1353" s="64"/>
      <c r="R1353" s="64"/>
    </row>
    <row r="1354" spans="1:18" x14ac:dyDescent="0.25">
      <c r="A1354" s="63"/>
      <c r="B1354" s="64"/>
      <c r="C1354" s="64"/>
      <c r="D1354" s="64"/>
      <c r="E1354" s="64"/>
      <c r="F1354" s="64"/>
      <c r="G1354" s="64"/>
      <c r="H1354" s="64"/>
      <c r="I1354" s="64"/>
      <c r="J1354" s="64"/>
      <c r="K1354" s="64"/>
      <c r="L1354" s="64"/>
      <c r="M1354" s="64"/>
      <c r="N1354" s="64"/>
      <c r="O1354" s="64"/>
      <c r="P1354" s="64"/>
      <c r="Q1354" s="64"/>
      <c r="R1354" s="64"/>
    </row>
    <row r="1355" spans="1:18" x14ac:dyDescent="0.25">
      <c r="A1355" s="63"/>
      <c r="B1355" s="64"/>
      <c r="C1355" s="64"/>
      <c r="D1355" s="64"/>
      <c r="E1355" s="64"/>
      <c r="F1355" s="64"/>
      <c r="G1355" s="64"/>
      <c r="H1355" s="64"/>
      <c r="I1355" s="64"/>
      <c r="J1355" s="64"/>
      <c r="K1355" s="64"/>
      <c r="L1355" s="64"/>
      <c r="M1355" s="64"/>
      <c r="N1355" s="64"/>
      <c r="O1355" s="64"/>
      <c r="P1355" s="64"/>
      <c r="Q1355" s="64"/>
      <c r="R1355" s="64"/>
    </row>
    <row r="1356" spans="1:18" x14ac:dyDescent="0.25">
      <c r="A1356" s="63"/>
      <c r="B1356" s="64"/>
      <c r="C1356" s="64"/>
      <c r="D1356" s="64"/>
      <c r="E1356" s="64"/>
      <c r="F1356" s="64"/>
      <c r="G1356" s="64"/>
      <c r="H1356" s="64"/>
      <c r="I1356" s="64"/>
      <c r="J1356" s="64"/>
      <c r="K1356" s="64"/>
      <c r="L1356" s="64"/>
      <c r="M1356" s="64"/>
      <c r="N1356" s="64"/>
      <c r="O1356" s="64"/>
      <c r="P1356" s="64"/>
      <c r="Q1356" s="64"/>
      <c r="R1356" s="64"/>
    </row>
    <row r="1357" spans="1:18" x14ac:dyDescent="0.25">
      <c r="A1357" s="63"/>
      <c r="B1357" s="64"/>
      <c r="C1357" s="64"/>
      <c r="D1357" s="64"/>
      <c r="E1357" s="64"/>
      <c r="F1357" s="64"/>
      <c r="G1357" s="64"/>
      <c r="H1357" s="64"/>
      <c r="I1357" s="64"/>
      <c r="J1357" s="64"/>
      <c r="K1357" s="64"/>
      <c r="L1357" s="64"/>
      <c r="M1357" s="64"/>
      <c r="N1357" s="64"/>
      <c r="O1357" s="64"/>
      <c r="P1357" s="64"/>
      <c r="Q1357" s="64"/>
      <c r="R1357" s="64"/>
    </row>
    <row r="1358" spans="1:18" x14ac:dyDescent="0.25">
      <c r="A1358" s="63"/>
      <c r="B1358" s="64"/>
      <c r="C1358" s="64"/>
      <c r="D1358" s="64"/>
      <c r="E1358" s="64"/>
      <c r="F1358" s="64"/>
      <c r="G1358" s="64"/>
      <c r="H1358" s="64"/>
      <c r="I1358" s="64"/>
      <c r="J1358" s="64"/>
      <c r="K1358" s="64"/>
      <c r="L1358" s="64"/>
      <c r="M1358" s="64"/>
      <c r="N1358" s="64"/>
      <c r="O1358" s="64"/>
      <c r="P1358" s="64"/>
      <c r="Q1358" s="64"/>
      <c r="R1358" s="64"/>
    </row>
    <row r="1359" spans="1:18" x14ac:dyDescent="0.25">
      <c r="A1359" s="63"/>
      <c r="B1359" s="64"/>
      <c r="C1359" s="64"/>
      <c r="D1359" s="64"/>
      <c r="E1359" s="64"/>
      <c r="F1359" s="64"/>
      <c r="G1359" s="64"/>
      <c r="H1359" s="64"/>
      <c r="I1359" s="64"/>
      <c r="J1359" s="64"/>
      <c r="K1359" s="64"/>
      <c r="L1359" s="64"/>
      <c r="M1359" s="64"/>
      <c r="N1359" s="64"/>
      <c r="O1359" s="64"/>
      <c r="P1359" s="64"/>
      <c r="Q1359" s="64"/>
      <c r="R1359" s="64"/>
    </row>
    <row r="1360" spans="1:18" x14ac:dyDescent="0.25">
      <c r="A1360" s="63"/>
      <c r="B1360" s="64"/>
      <c r="C1360" s="64"/>
      <c r="D1360" s="64"/>
      <c r="E1360" s="64"/>
      <c r="F1360" s="64"/>
      <c r="G1360" s="64"/>
      <c r="H1360" s="64"/>
      <c r="I1360" s="64"/>
      <c r="J1360" s="64"/>
      <c r="K1360" s="64"/>
      <c r="L1360" s="64"/>
      <c r="M1360" s="64"/>
      <c r="N1360" s="64"/>
      <c r="O1360" s="64"/>
      <c r="P1360" s="64"/>
      <c r="Q1360" s="64"/>
      <c r="R1360" s="64"/>
    </row>
    <row r="1361" spans="1:18" x14ac:dyDescent="0.25">
      <c r="A1361" s="63"/>
      <c r="B1361" s="64"/>
      <c r="C1361" s="64"/>
      <c r="D1361" s="64"/>
      <c r="E1361" s="64"/>
      <c r="F1361" s="64"/>
      <c r="G1361" s="64"/>
      <c r="H1361" s="64"/>
      <c r="I1361" s="64"/>
      <c r="J1361" s="64"/>
      <c r="K1361" s="64"/>
      <c r="L1361" s="64"/>
      <c r="M1361" s="64"/>
      <c r="N1361" s="64"/>
      <c r="O1361" s="64"/>
      <c r="P1361" s="64"/>
      <c r="Q1361" s="64"/>
      <c r="R1361" s="64"/>
    </row>
    <row r="1362" spans="1:18" x14ac:dyDescent="0.25">
      <c r="A1362" s="63"/>
      <c r="B1362" s="64"/>
      <c r="C1362" s="64"/>
      <c r="D1362" s="64"/>
      <c r="E1362" s="64"/>
      <c r="F1362" s="64"/>
      <c r="G1362" s="64"/>
      <c r="H1362" s="64"/>
      <c r="I1362" s="64"/>
      <c r="J1362" s="64"/>
      <c r="K1362" s="64"/>
      <c r="L1362" s="64"/>
      <c r="M1362" s="64"/>
      <c r="N1362" s="64"/>
      <c r="O1362" s="64"/>
      <c r="P1362" s="64"/>
      <c r="Q1362" s="64"/>
      <c r="R1362" s="64"/>
    </row>
    <row r="1363" spans="1:18" x14ac:dyDescent="0.25">
      <c r="A1363" s="63"/>
      <c r="B1363" s="64"/>
      <c r="C1363" s="64"/>
      <c r="D1363" s="64"/>
      <c r="E1363" s="64"/>
      <c r="F1363" s="64"/>
      <c r="G1363" s="64"/>
      <c r="H1363" s="64"/>
      <c r="I1363" s="64"/>
      <c r="J1363" s="64"/>
      <c r="K1363" s="64"/>
      <c r="L1363" s="64"/>
      <c r="M1363" s="64"/>
      <c r="N1363" s="64"/>
      <c r="O1363" s="64"/>
      <c r="P1363" s="64"/>
      <c r="Q1363" s="64"/>
      <c r="R1363" s="64"/>
    </row>
    <row r="1364" spans="1:18" x14ac:dyDescent="0.25">
      <c r="A1364" s="63"/>
      <c r="B1364" s="64"/>
      <c r="C1364" s="64"/>
      <c r="D1364" s="64"/>
      <c r="E1364" s="64"/>
      <c r="F1364" s="64"/>
      <c r="G1364" s="64"/>
      <c r="H1364" s="64"/>
      <c r="I1364" s="64"/>
      <c r="J1364" s="64"/>
      <c r="K1364" s="64"/>
      <c r="L1364" s="64"/>
      <c r="M1364" s="64"/>
      <c r="N1364" s="64"/>
      <c r="O1364" s="64"/>
      <c r="P1364" s="64"/>
      <c r="Q1364" s="64"/>
      <c r="R1364" s="64"/>
    </row>
    <row r="1365" spans="1:18" x14ac:dyDescent="0.25">
      <c r="A1365" s="63"/>
      <c r="B1365" s="64"/>
      <c r="C1365" s="64"/>
      <c r="D1365" s="64"/>
      <c r="E1365" s="64"/>
      <c r="F1365" s="64"/>
      <c r="G1365" s="64"/>
      <c r="H1365" s="64"/>
      <c r="I1365" s="64"/>
      <c r="J1365" s="64"/>
      <c r="K1365" s="64"/>
      <c r="L1365" s="64"/>
      <c r="M1365" s="64"/>
      <c r="N1365" s="64"/>
      <c r="O1365" s="64"/>
      <c r="P1365" s="64"/>
      <c r="Q1365" s="64"/>
      <c r="R1365" s="64"/>
    </row>
    <row r="1366" spans="1:18" x14ac:dyDescent="0.25">
      <c r="A1366" s="63"/>
      <c r="B1366" s="64"/>
      <c r="C1366" s="64"/>
      <c r="D1366" s="64"/>
      <c r="E1366" s="64"/>
      <c r="F1366" s="64"/>
      <c r="G1366" s="64"/>
      <c r="H1366" s="64"/>
      <c r="I1366" s="64"/>
      <c r="J1366" s="64"/>
      <c r="K1366" s="64"/>
      <c r="L1366" s="64"/>
      <c r="M1366" s="64"/>
      <c r="N1366" s="64"/>
      <c r="O1366" s="64"/>
      <c r="P1366" s="64"/>
      <c r="Q1366" s="64"/>
      <c r="R1366" s="64"/>
    </row>
    <row r="1367" spans="1:18" x14ac:dyDescent="0.25">
      <c r="A1367" s="63"/>
      <c r="B1367" s="64"/>
      <c r="C1367" s="64"/>
      <c r="D1367" s="64"/>
      <c r="E1367" s="64"/>
      <c r="F1367" s="64"/>
      <c r="G1367" s="64"/>
      <c r="H1367" s="64"/>
      <c r="I1367" s="64"/>
      <c r="J1367" s="64"/>
      <c r="K1367" s="64"/>
      <c r="L1367" s="64"/>
      <c r="M1367" s="64"/>
      <c r="N1367" s="64"/>
      <c r="O1367" s="64"/>
      <c r="P1367" s="64"/>
      <c r="Q1367" s="64"/>
      <c r="R1367" s="64"/>
    </row>
    <row r="1368" spans="1:18" x14ac:dyDescent="0.25">
      <c r="A1368" s="63"/>
      <c r="B1368" s="64"/>
      <c r="C1368" s="64"/>
      <c r="D1368" s="64"/>
      <c r="E1368" s="64"/>
      <c r="F1368" s="64"/>
      <c r="G1368" s="64"/>
      <c r="H1368" s="64"/>
      <c r="I1368" s="64"/>
      <c r="J1368" s="64"/>
      <c r="K1368" s="64"/>
      <c r="L1368" s="64"/>
      <c r="M1368" s="64"/>
      <c r="N1368" s="64"/>
      <c r="O1368" s="64"/>
      <c r="P1368" s="64"/>
      <c r="Q1368" s="64"/>
      <c r="R1368" s="64"/>
    </row>
    <row r="1369" spans="1:18" x14ac:dyDescent="0.25">
      <c r="A1369" s="63"/>
      <c r="B1369" s="64"/>
      <c r="C1369" s="64"/>
      <c r="D1369" s="64"/>
      <c r="E1369" s="64"/>
      <c r="F1369" s="64"/>
      <c r="G1369" s="64"/>
      <c r="H1369" s="64"/>
      <c r="I1369" s="64"/>
      <c r="J1369" s="64"/>
      <c r="K1369" s="64"/>
      <c r="L1369" s="64"/>
      <c r="M1369" s="64"/>
      <c r="N1369" s="64"/>
      <c r="O1369" s="64"/>
      <c r="P1369" s="64"/>
      <c r="Q1369" s="64"/>
      <c r="R1369" s="64"/>
    </row>
    <row r="1370" spans="1:18" x14ac:dyDescent="0.25">
      <c r="A1370" s="63"/>
      <c r="B1370" s="64"/>
      <c r="C1370" s="64"/>
      <c r="D1370" s="64"/>
      <c r="E1370" s="64"/>
      <c r="F1370" s="64"/>
      <c r="G1370" s="64"/>
      <c r="H1370" s="64"/>
      <c r="I1370" s="64"/>
      <c r="J1370" s="64"/>
      <c r="K1370" s="64"/>
      <c r="L1370" s="64"/>
      <c r="M1370" s="64"/>
      <c r="N1370" s="64"/>
      <c r="O1370" s="64"/>
      <c r="P1370" s="64"/>
      <c r="Q1370" s="64"/>
      <c r="R1370" s="64"/>
    </row>
    <row r="1371" spans="1:18" x14ac:dyDescent="0.25">
      <c r="A1371" s="63"/>
      <c r="B1371" s="64"/>
      <c r="C1371" s="64"/>
      <c r="D1371" s="64"/>
      <c r="E1371" s="64"/>
      <c r="F1371" s="64"/>
      <c r="G1371" s="64"/>
      <c r="H1371" s="64"/>
      <c r="I1371" s="64"/>
      <c r="J1371" s="64"/>
      <c r="K1371" s="64"/>
      <c r="L1371" s="64"/>
      <c r="M1371" s="64"/>
      <c r="N1371" s="64"/>
      <c r="O1371" s="64"/>
      <c r="P1371" s="64"/>
      <c r="Q1371" s="64"/>
      <c r="R1371" s="64"/>
    </row>
    <row r="1372" spans="1:18" x14ac:dyDescent="0.25">
      <c r="A1372" s="63"/>
      <c r="B1372" s="64"/>
      <c r="C1372" s="64"/>
      <c r="D1372" s="64"/>
      <c r="E1372" s="64"/>
      <c r="F1372" s="64"/>
      <c r="G1372" s="64"/>
      <c r="H1372" s="64"/>
      <c r="I1372" s="64"/>
      <c r="J1372" s="64"/>
      <c r="K1372" s="64"/>
      <c r="L1372" s="64"/>
      <c r="M1372" s="64"/>
      <c r="N1372" s="64"/>
      <c r="O1372" s="64"/>
      <c r="P1372" s="64"/>
      <c r="Q1372" s="64"/>
      <c r="R1372" s="64"/>
    </row>
    <row r="1373" spans="1:18" x14ac:dyDescent="0.25">
      <c r="A1373" s="63"/>
      <c r="B1373" s="64"/>
      <c r="C1373" s="64"/>
      <c r="D1373" s="64"/>
      <c r="E1373" s="64"/>
      <c r="F1373" s="64"/>
      <c r="G1373" s="64"/>
      <c r="H1373" s="64"/>
      <c r="I1373" s="64"/>
      <c r="J1373" s="64"/>
      <c r="K1373" s="64"/>
      <c r="L1373" s="64"/>
      <c r="M1373" s="64"/>
      <c r="N1373" s="64"/>
      <c r="O1373" s="64"/>
      <c r="P1373" s="64"/>
      <c r="Q1373" s="64"/>
      <c r="R1373" s="64"/>
    </row>
    <row r="1374" spans="1:18" x14ac:dyDescent="0.25">
      <c r="A1374" s="63"/>
      <c r="B1374" s="64"/>
      <c r="C1374" s="64"/>
      <c r="D1374" s="64"/>
      <c r="E1374" s="64"/>
      <c r="F1374" s="64"/>
      <c r="G1374" s="64"/>
      <c r="H1374" s="64"/>
      <c r="I1374" s="64"/>
      <c r="J1374" s="64"/>
      <c r="K1374" s="64"/>
      <c r="L1374" s="64"/>
      <c r="M1374" s="64"/>
      <c r="N1374" s="64"/>
      <c r="O1374" s="64"/>
      <c r="P1374" s="64"/>
      <c r="Q1374" s="64"/>
      <c r="R1374" s="64"/>
    </row>
    <row r="1375" spans="1:18" x14ac:dyDescent="0.25">
      <c r="A1375" s="63"/>
      <c r="B1375" s="64"/>
      <c r="C1375" s="64"/>
      <c r="D1375" s="64"/>
      <c r="E1375" s="64"/>
      <c r="F1375" s="64"/>
      <c r="G1375" s="64"/>
      <c r="H1375" s="64"/>
      <c r="I1375" s="64"/>
      <c r="J1375" s="64"/>
      <c r="K1375" s="64"/>
      <c r="L1375" s="64"/>
      <c r="M1375" s="64"/>
      <c r="N1375" s="64"/>
      <c r="O1375" s="64"/>
      <c r="P1375" s="64"/>
      <c r="Q1375" s="64"/>
      <c r="R1375" s="64"/>
    </row>
    <row r="1376" spans="1:18" x14ac:dyDescent="0.25">
      <c r="A1376" s="63"/>
      <c r="B1376" s="64"/>
      <c r="C1376" s="64"/>
      <c r="D1376" s="64"/>
      <c r="E1376" s="64"/>
      <c r="F1376" s="64"/>
      <c r="G1376" s="64"/>
      <c r="H1376" s="64"/>
      <c r="I1376" s="64"/>
      <c r="J1376" s="64"/>
      <c r="K1376" s="64"/>
      <c r="L1376" s="64"/>
      <c r="M1376" s="64"/>
      <c r="N1376" s="64"/>
      <c r="O1376" s="64"/>
      <c r="P1376" s="64"/>
      <c r="Q1376" s="64"/>
      <c r="R1376" s="64"/>
    </row>
    <row r="1377" spans="1:18" x14ac:dyDescent="0.25">
      <c r="A1377" s="63"/>
      <c r="B1377" s="64"/>
      <c r="C1377" s="64"/>
      <c r="D1377" s="64"/>
      <c r="E1377" s="64"/>
      <c r="F1377" s="64"/>
      <c r="G1377" s="64"/>
      <c r="H1377" s="64"/>
      <c r="I1377" s="64"/>
      <c r="J1377" s="64"/>
      <c r="K1377" s="64"/>
      <c r="L1377" s="64"/>
      <c r="M1377" s="64"/>
      <c r="N1377" s="64"/>
      <c r="O1377" s="64"/>
      <c r="P1377" s="64"/>
      <c r="Q1377" s="64"/>
      <c r="R1377" s="64"/>
    </row>
    <row r="1378" spans="1:18" x14ac:dyDescent="0.25">
      <c r="A1378" s="63"/>
      <c r="B1378" s="64"/>
      <c r="C1378" s="64"/>
      <c r="D1378" s="64"/>
      <c r="E1378" s="64"/>
      <c r="F1378" s="64"/>
      <c r="G1378" s="64"/>
      <c r="H1378" s="64"/>
      <c r="I1378" s="64"/>
      <c r="J1378" s="64"/>
      <c r="K1378" s="64"/>
      <c r="L1378" s="64"/>
      <c r="M1378" s="64"/>
      <c r="N1378" s="64"/>
      <c r="O1378" s="64"/>
      <c r="P1378" s="64"/>
      <c r="Q1378" s="64"/>
      <c r="R1378" s="64"/>
    </row>
    <row r="1379" spans="1:18" x14ac:dyDescent="0.25">
      <c r="A1379" s="63"/>
      <c r="B1379" s="64"/>
      <c r="C1379" s="64"/>
      <c r="D1379" s="64"/>
      <c r="E1379" s="64"/>
      <c r="F1379" s="64"/>
      <c r="G1379" s="64"/>
      <c r="H1379" s="64"/>
      <c r="I1379" s="64"/>
      <c r="J1379" s="64"/>
      <c r="K1379" s="64"/>
      <c r="L1379" s="64"/>
      <c r="M1379" s="64"/>
      <c r="N1379" s="64"/>
      <c r="O1379" s="64"/>
      <c r="P1379" s="64"/>
      <c r="Q1379" s="64"/>
      <c r="R1379" s="64"/>
    </row>
    <row r="1380" spans="1:18" x14ac:dyDescent="0.25">
      <c r="A1380" s="63"/>
      <c r="B1380" s="64"/>
      <c r="C1380" s="64"/>
      <c r="D1380" s="64"/>
      <c r="E1380" s="64"/>
      <c r="F1380" s="64"/>
      <c r="G1380" s="64"/>
      <c r="H1380" s="64"/>
      <c r="I1380" s="64"/>
      <c r="J1380" s="64"/>
      <c r="K1380" s="64"/>
      <c r="L1380" s="64"/>
      <c r="M1380" s="64"/>
      <c r="N1380" s="64"/>
      <c r="O1380" s="64"/>
      <c r="P1380" s="64"/>
      <c r="Q1380" s="64"/>
      <c r="R1380" s="64"/>
    </row>
    <row r="1381" spans="1:18" x14ac:dyDescent="0.25">
      <c r="A1381" s="63"/>
      <c r="B1381" s="64"/>
      <c r="C1381" s="64"/>
      <c r="D1381" s="64"/>
      <c r="E1381" s="64"/>
      <c r="F1381" s="64"/>
      <c r="G1381" s="64"/>
      <c r="H1381" s="64"/>
      <c r="I1381" s="64"/>
      <c r="J1381" s="64"/>
      <c r="K1381" s="64"/>
      <c r="L1381" s="64"/>
      <c r="M1381" s="64"/>
      <c r="N1381" s="64"/>
      <c r="O1381" s="64"/>
      <c r="P1381" s="64"/>
      <c r="Q1381" s="64"/>
      <c r="R1381" s="64"/>
    </row>
    <row r="1382" spans="1:18" x14ac:dyDescent="0.25">
      <c r="A1382" s="63"/>
      <c r="B1382" s="64"/>
      <c r="C1382" s="64"/>
      <c r="D1382" s="64"/>
      <c r="E1382" s="64"/>
      <c r="F1382" s="64"/>
      <c r="G1382" s="64"/>
      <c r="H1382" s="64"/>
      <c r="I1382" s="64"/>
      <c r="J1382" s="64"/>
      <c r="K1382" s="64"/>
      <c r="L1382" s="64"/>
      <c r="M1382" s="64"/>
      <c r="N1382" s="64"/>
      <c r="O1382" s="64"/>
      <c r="P1382" s="64"/>
      <c r="Q1382" s="64"/>
      <c r="R1382" s="64"/>
    </row>
    <row r="1383" spans="1:18" x14ac:dyDescent="0.25">
      <c r="A1383" s="63"/>
      <c r="B1383" s="64"/>
      <c r="C1383" s="64"/>
      <c r="D1383" s="64"/>
      <c r="E1383" s="64"/>
      <c r="F1383" s="64"/>
      <c r="G1383" s="64"/>
      <c r="H1383" s="64"/>
      <c r="I1383" s="64"/>
      <c r="J1383" s="64"/>
      <c r="K1383" s="64"/>
      <c r="L1383" s="64"/>
      <c r="M1383" s="64"/>
      <c r="N1383" s="64"/>
      <c r="O1383" s="64"/>
      <c r="P1383" s="64"/>
      <c r="Q1383" s="64"/>
      <c r="R1383" s="64"/>
    </row>
    <row r="1384" spans="1:18" x14ac:dyDescent="0.25">
      <c r="A1384" s="63"/>
      <c r="B1384" s="64"/>
      <c r="C1384" s="64"/>
      <c r="D1384" s="64"/>
      <c r="E1384" s="64"/>
      <c r="F1384" s="64"/>
      <c r="G1384" s="64"/>
      <c r="H1384" s="64"/>
      <c r="I1384" s="64"/>
      <c r="J1384" s="64"/>
      <c r="K1384" s="64"/>
      <c r="L1384" s="64"/>
      <c r="M1384" s="64"/>
      <c r="N1384" s="64"/>
      <c r="O1384" s="64"/>
      <c r="P1384" s="64"/>
      <c r="Q1384" s="64"/>
      <c r="R1384" s="64"/>
    </row>
    <row r="1385" spans="1:18" x14ac:dyDescent="0.25">
      <c r="A1385" s="63"/>
      <c r="B1385" s="64"/>
      <c r="C1385" s="64"/>
      <c r="D1385" s="64"/>
      <c r="E1385" s="64"/>
      <c r="F1385" s="64"/>
      <c r="G1385" s="64"/>
      <c r="H1385" s="64"/>
      <c r="I1385" s="64"/>
      <c r="J1385" s="64"/>
      <c r="K1385" s="64"/>
      <c r="L1385" s="64"/>
      <c r="M1385" s="64"/>
      <c r="N1385" s="64"/>
      <c r="O1385" s="64"/>
      <c r="P1385" s="64"/>
      <c r="Q1385" s="64"/>
      <c r="R1385" s="64"/>
    </row>
    <row r="1386" spans="1:18" x14ac:dyDescent="0.25">
      <c r="A1386" s="63"/>
      <c r="B1386" s="64"/>
      <c r="C1386" s="64"/>
      <c r="D1386" s="64"/>
      <c r="E1386" s="64"/>
      <c r="F1386" s="64"/>
      <c r="G1386" s="64"/>
      <c r="H1386" s="64"/>
      <c r="I1386" s="64"/>
      <c r="J1386" s="64"/>
      <c r="K1386" s="64"/>
      <c r="L1386" s="64"/>
      <c r="M1386" s="64"/>
      <c r="N1386" s="64"/>
      <c r="O1386" s="64"/>
      <c r="P1386" s="64"/>
      <c r="Q1386" s="64"/>
      <c r="R1386" s="64"/>
    </row>
    <row r="1387" spans="1:18" x14ac:dyDescent="0.25">
      <c r="A1387" s="63"/>
      <c r="B1387" s="64"/>
      <c r="C1387" s="64"/>
      <c r="D1387" s="64"/>
      <c r="E1387" s="64"/>
      <c r="F1387" s="64"/>
      <c r="G1387" s="64"/>
      <c r="H1387" s="64"/>
      <c r="I1387" s="64"/>
      <c r="J1387" s="64"/>
      <c r="K1387" s="64"/>
      <c r="L1387" s="64"/>
      <c r="M1387" s="64"/>
      <c r="N1387" s="64"/>
      <c r="O1387" s="64"/>
      <c r="P1387" s="64"/>
      <c r="Q1387" s="64"/>
      <c r="R1387" s="64"/>
    </row>
    <row r="1388" spans="1:18" x14ac:dyDescent="0.25">
      <c r="A1388" s="63"/>
      <c r="B1388" s="64"/>
      <c r="C1388" s="64"/>
      <c r="D1388" s="64"/>
      <c r="E1388" s="64"/>
      <c r="F1388" s="64"/>
      <c r="G1388" s="64"/>
      <c r="H1388" s="64"/>
      <c r="I1388" s="64"/>
      <c r="J1388" s="64"/>
      <c r="K1388" s="64"/>
      <c r="L1388" s="64"/>
      <c r="M1388" s="64"/>
      <c r="N1388" s="64"/>
      <c r="O1388" s="64"/>
      <c r="P1388" s="64"/>
      <c r="Q1388" s="64"/>
      <c r="R1388" s="64"/>
    </row>
    <row r="1389" spans="1:18" x14ac:dyDescent="0.25">
      <c r="A1389" s="63"/>
      <c r="B1389" s="64"/>
      <c r="C1389" s="64"/>
      <c r="D1389" s="64"/>
      <c r="E1389" s="64"/>
      <c r="F1389" s="64"/>
      <c r="G1389" s="64"/>
      <c r="H1389" s="64"/>
      <c r="I1389" s="64"/>
      <c r="J1389" s="64"/>
      <c r="K1389" s="64"/>
      <c r="L1389" s="64"/>
      <c r="M1389" s="64"/>
      <c r="N1389" s="64"/>
      <c r="O1389" s="64"/>
      <c r="P1389" s="64"/>
      <c r="Q1389" s="64"/>
      <c r="R1389" s="64"/>
    </row>
    <row r="1390" spans="1:18" x14ac:dyDescent="0.25">
      <c r="A1390" s="63"/>
      <c r="B1390" s="64"/>
      <c r="C1390" s="64"/>
      <c r="D1390" s="64"/>
      <c r="E1390" s="64"/>
      <c r="F1390" s="64"/>
      <c r="G1390" s="64"/>
      <c r="H1390" s="64"/>
      <c r="I1390" s="64"/>
      <c r="J1390" s="64"/>
      <c r="K1390" s="64"/>
      <c r="L1390" s="64"/>
      <c r="M1390" s="64"/>
      <c r="N1390" s="64"/>
      <c r="O1390" s="64"/>
      <c r="P1390" s="64"/>
      <c r="Q1390" s="64"/>
      <c r="R1390" s="64"/>
    </row>
    <row r="1391" spans="1:18" x14ac:dyDescent="0.25">
      <c r="A1391" s="63"/>
      <c r="B1391" s="64"/>
      <c r="C1391" s="64"/>
      <c r="D1391" s="64"/>
      <c r="E1391" s="64"/>
      <c r="F1391" s="64"/>
      <c r="G1391" s="64"/>
      <c r="H1391" s="64"/>
      <c r="I1391" s="64"/>
      <c r="J1391" s="64"/>
      <c r="K1391" s="64"/>
      <c r="L1391" s="64"/>
      <c r="M1391" s="64"/>
      <c r="N1391" s="64"/>
      <c r="O1391" s="64"/>
      <c r="P1391" s="64"/>
      <c r="Q1391" s="64"/>
      <c r="R1391" s="64"/>
    </row>
    <row r="1392" spans="1:18" x14ac:dyDescent="0.25">
      <c r="A1392" s="63"/>
      <c r="B1392" s="64"/>
      <c r="C1392" s="64"/>
      <c r="D1392" s="64"/>
      <c r="E1392" s="64"/>
      <c r="F1392" s="64"/>
      <c r="G1392" s="64"/>
      <c r="H1392" s="64"/>
      <c r="I1392" s="64"/>
      <c r="J1392" s="64"/>
      <c r="K1392" s="64"/>
      <c r="L1392" s="64"/>
      <c r="M1392" s="64"/>
      <c r="N1392" s="64"/>
      <c r="O1392" s="64"/>
      <c r="P1392" s="64"/>
      <c r="Q1392" s="64"/>
      <c r="R1392" s="64"/>
    </row>
    <row r="1393" spans="1:18" x14ac:dyDescent="0.25">
      <c r="A1393" s="63"/>
      <c r="B1393" s="64"/>
      <c r="C1393" s="64"/>
      <c r="D1393" s="64"/>
      <c r="E1393" s="64"/>
      <c r="F1393" s="64"/>
      <c r="G1393" s="64"/>
      <c r="H1393" s="64"/>
      <c r="I1393" s="64"/>
      <c r="J1393" s="64"/>
      <c r="K1393" s="64"/>
      <c r="L1393" s="64"/>
      <c r="M1393" s="64"/>
      <c r="N1393" s="64"/>
      <c r="O1393" s="64"/>
      <c r="P1393" s="64"/>
      <c r="Q1393" s="64"/>
      <c r="R1393" s="64"/>
    </row>
    <row r="1394" spans="1:18" x14ac:dyDescent="0.25">
      <c r="A1394" s="63"/>
      <c r="B1394" s="64"/>
      <c r="C1394" s="64"/>
      <c r="D1394" s="64"/>
      <c r="E1394" s="64"/>
      <c r="F1394" s="64"/>
      <c r="G1394" s="64"/>
      <c r="H1394" s="64"/>
      <c r="I1394" s="64"/>
      <c r="J1394" s="64"/>
      <c r="K1394" s="64"/>
      <c r="L1394" s="64"/>
      <c r="M1394" s="64"/>
      <c r="N1394" s="64"/>
      <c r="O1394" s="64"/>
      <c r="P1394" s="64"/>
      <c r="Q1394" s="64"/>
      <c r="R1394" s="64"/>
    </row>
    <row r="1395" spans="1:18" x14ac:dyDescent="0.25">
      <c r="A1395" s="63"/>
      <c r="B1395" s="64"/>
      <c r="C1395" s="64"/>
      <c r="D1395" s="64"/>
      <c r="E1395" s="64"/>
      <c r="F1395" s="64"/>
      <c r="G1395" s="64"/>
      <c r="H1395" s="64"/>
      <c r="I1395" s="64"/>
      <c r="J1395" s="64"/>
      <c r="K1395" s="64"/>
      <c r="L1395" s="64"/>
      <c r="M1395" s="64"/>
      <c r="N1395" s="64"/>
      <c r="O1395" s="64"/>
      <c r="P1395" s="64"/>
      <c r="Q1395" s="64"/>
      <c r="R1395" s="64"/>
    </row>
    <row r="1396" spans="1:18" x14ac:dyDescent="0.25">
      <c r="A1396" s="63"/>
      <c r="B1396" s="64"/>
      <c r="C1396" s="64"/>
      <c r="D1396" s="64"/>
      <c r="E1396" s="64"/>
      <c r="F1396" s="64"/>
      <c r="G1396" s="64"/>
      <c r="H1396" s="64"/>
      <c r="I1396" s="64"/>
      <c r="J1396" s="64"/>
      <c r="K1396" s="64"/>
      <c r="L1396" s="64"/>
      <c r="M1396" s="64"/>
      <c r="N1396" s="64"/>
      <c r="O1396" s="64"/>
      <c r="P1396" s="64"/>
      <c r="Q1396" s="64"/>
      <c r="R1396" s="64"/>
    </row>
    <row r="1397" spans="1:18" x14ac:dyDescent="0.25">
      <c r="A1397" s="63"/>
      <c r="B1397" s="64"/>
      <c r="C1397" s="64"/>
      <c r="D1397" s="64"/>
      <c r="E1397" s="64"/>
      <c r="F1397" s="64"/>
      <c r="G1397" s="64"/>
      <c r="H1397" s="64"/>
      <c r="I1397" s="64"/>
      <c r="J1397" s="64"/>
      <c r="K1397" s="64"/>
      <c r="L1397" s="64"/>
      <c r="M1397" s="64"/>
      <c r="N1397" s="64"/>
      <c r="O1397" s="64"/>
      <c r="P1397" s="64"/>
      <c r="Q1397" s="64"/>
      <c r="R1397" s="64"/>
    </row>
    <row r="1398" spans="1:18" x14ac:dyDescent="0.25">
      <c r="A1398" s="63"/>
      <c r="B1398" s="64"/>
      <c r="C1398" s="64"/>
      <c r="D1398" s="64"/>
      <c r="E1398" s="64"/>
      <c r="F1398" s="64"/>
      <c r="G1398" s="64"/>
      <c r="H1398" s="64"/>
      <c r="I1398" s="64"/>
      <c r="J1398" s="64"/>
      <c r="K1398" s="64"/>
      <c r="L1398" s="64"/>
      <c r="M1398" s="64"/>
      <c r="N1398" s="64"/>
      <c r="O1398" s="64"/>
      <c r="P1398" s="64"/>
      <c r="Q1398" s="64"/>
      <c r="R1398" s="64"/>
    </row>
    <row r="1399" spans="1:18" x14ac:dyDescent="0.25">
      <c r="A1399" s="63"/>
      <c r="B1399" s="64"/>
      <c r="C1399" s="64"/>
      <c r="D1399" s="64"/>
      <c r="E1399" s="64"/>
      <c r="F1399" s="64"/>
      <c r="G1399" s="64"/>
      <c r="H1399" s="64"/>
      <c r="I1399" s="64"/>
      <c r="J1399" s="64"/>
      <c r="K1399" s="64"/>
      <c r="L1399" s="64"/>
      <c r="M1399" s="64"/>
      <c r="N1399" s="64"/>
      <c r="O1399" s="64"/>
      <c r="P1399" s="64"/>
      <c r="Q1399" s="64"/>
      <c r="R1399" s="64"/>
    </row>
    <row r="1400" spans="1:18" x14ac:dyDescent="0.25">
      <c r="A1400" s="63"/>
      <c r="B1400" s="64"/>
      <c r="C1400" s="64"/>
      <c r="D1400" s="64"/>
      <c r="E1400" s="64"/>
      <c r="F1400" s="64"/>
      <c r="G1400" s="64"/>
      <c r="H1400" s="64"/>
      <c r="I1400" s="64"/>
      <c r="J1400" s="64"/>
      <c r="K1400" s="64"/>
      <c r="L1400" s="64"/>
      <c r="M1400" s="64"/>
      <c r="N1400" s="64"/>
      <c r="O1400" s="64"/>
      <c r="P1400" s="64"/>
      <c r="Q1400" s="64"/>
      <c r="R1400" s="64"/>
    </row>
    <row r="1401" spans="1:18" x14ac:dyDescent="0.25">
      <c r="A1401" s="63"/>
      <c r="B1401" s="64"/>
      <c r="C1401" s="64"/>
      <c r="D1401" s="64"/>
      <c r="E1401" s="64"/>
      <c r="F1401" s="64"/>
      <c r="G1401" s="64"/>
      <c r="H1401" s="64"/>
      <c r="I1401" s="64"/>
      <c r="J1401" s="64"/>
      <c r="K1401" s="64"/>
      <c r="L1401" s="64"/>
      <c r="M1401" s="64"/>
      <c r="N1401" s="64"/>
      <c r="O1401" s="64"/>
      <c r="P1401" s="64"/>
      <c r="Q1401" s="64"/>
      <c r="R1401" s="64"/>
    </row>
    <row r="1402" spans="1:18" x14ac:dyDescent="0.25">
      <c r="A1402" s="63"/>
      <c r="B1402" s="64"/>
      <c r="C1402" s="64"/>
      <c r="D1402" s="64"/>
      <c r="E1402" s="64"/>
      <c r="F1402" s="64"/>
      <c r="G1402" s="64"/>
      <c r="H1402" s="64"/>
      <c r="I1402" s="64"/>
      <c r="J1402" s="64"/>
      <c r="K1402" s="64"/>
      <c r="L1402" s="64"/>
      <c r="M1402" s="64"/>
      <c r="N1402" s="64"/>
      <c r="O1402" s="64"/>
      <c r="P1402" s="64"/>
      <c r="Q1402" s="64"/>
      <c r="R1402" s="64"/>
    </row>
    <row r="1403" spans="1:18" x14ac:dyDescent="0.25">
      <c r="A1403" s="63"/>
      <c r="B1403" s="64"/>
      <c r="C1403" s="64"/>
      <c r="D1403" s="64"/>
      <c r="E1403" s="64"/>
      <c r="F1403" s="64"/>
      <c r="G1403" s="64"/>
      <c r="H1403" s="64"/>
      <c r="I1403" s="64"/>
      <c r="J1403" s="64"/>
      <c r="K1403" s="64"/>
      <c r="L1403" s="64"/>
      <c r="M1403" s="64"/>
      <c r="N1403" s="64"/>
      <c r="O1403" s="64"/>
      <c r="P1403" s="64"/>
      <c r="Q1403" s="64"/>
      <c r="R1403" s="64"/>
    </row>
    <row r="1404" spans="1:18" x14ac:dyDescent="0.25">
      <c r="A1404" s="63"/>
      <c r="B1404" s="64"/>
      <c r="C1404" s="64"/>
      <c r="D1404" s="64"/>
      <c r="E1404" s="64"/>
      <c r="F1404" s="64"/>
      <c r="G1404" s="64"/>
      <c r="H1404" s="64"/>
      <c r="I1404" s="64"/>
      <c r="J1404" s="64"/>
      <c r="K1404" s="64"/>
      <c r="L1404" s="64"/>
      <c r="M1404" s="64"/>
      <c r="N1404" s="64"/>
      <c r="O1404" s="64"/>
      <c r="P1404" s="64"/>
      <c r="Q1404" s="64"/>
      <c r="R1404" s="64"/>
    </row>
    <row r="1405" spans="1:18" x14ac:dyDescent="0.25">
      <c r="A1405" s="63"/>
      <c r="B1405" s="64"/>
      <c r="C1405" s="64"/>
      <c r="D1405" s="64"/>
      <c r="E1405" s="64"/>
      <c r="F1405" s="64"/>
      <c r="G1405" s="64"/>
      <c r="H1405" s="64"/>
      <c r="I1405" s="64"/>
      <c r="J1405" s="64"/>
      <c r="K1405" s="64"/>
      <c r="L1405" s="64"/>
      <c r="M1405" s="64"/>
      <c r="N1405" s="64"/>
      <c r="O1405" s="64"/>
      <c r="P1405" s="64"/>
      <c r="Q1405" s="64"/>
      <c r="R1405" s="64"/>
    </row>
    <row r="1406" spans="1:18" x14ac:dyDescent="0.25">
      <c r="A1406" s="63"/>
      <c r="B1406" s="64"/>
      <c r="C1406" s="64"/>
      <c r="D1406" s="64"/>
      <c r="E1406" s="64"/>
      <c r="F1406" s="64"/>
      <c r="G1406" s="64"/>
      <c r="H1406" s="64"/>
      <c r="I1406" s="64"/>
      <c r="J1406" s="64"/>
      <c r="K1406" s="64"/>
      <c r="L1406" s="64"/>
      <c r="M1406" s="64"/>
      <c r="N1406" s="64"/>
      <c r="O1406" s="64"/>
      <c r="P1406" s="64"/>
      <c r="Q1406" s="64"/>
      <c r="R1406" s="64"/>
    </row>
    <row r="1407" spans="1:18" x14ac:dyDescent="0.25">
      <c r="A1407" s="63"/>
      <c r="B1407" s="64"/>
      <c r="C1407" s="64"/>
      <c r="D1407" s="64"/>
      <c r="E1407" s="64"/>
      <c r="F1407" s="64"/>
      <c r="G1407" s="64"/>
      <c r="H1407" s="64"/>
      <c r="I1407" s="64"/>
      <c r="J1407" s="64"/>
      <c r="K1407" s="64"/>
      <c r="L1407" s="64"/>
      <c r="M1407" s="64"/>
      <c r="N1407" s="64"/>
      <c r="O1407" s="64"/>
      <c r="P1407" s="64"/>
      <c r="Q1407" s="64"/>
      <c r="R1407" s="64"/>
    </row>
    <row r="1408" spans="1:18" x14ac:dyDescent="0.25">
      <c r="A1408" s="63"/>
      <c r="B1408" s="64"/>
      <c r="C1408" s="64"/>
      <c r="D1408" s="64"/>
      <c r="E1408" s="64"/>
      <c r="F1408" s="64"/>
      <c r="G1408" s="64"/>
      <c r="H1408" s="64"/>
      <c r="I1408" s="64"/>
      <c r="J1408" s="64"/>
      <c r="K1408" s="64"/>
      <c r="L1408" s="64"/>
      <c r="M1408" s="64"/>
      <c r="N1408" s="64"/>
      <c r="O1408" s="64"/>
      <c r="P1408" s="64"/>
      <c r="Q1408" s="64"/>
      <c r="R1408" s="64"/>
    </row>
    <row r="1409" spans="1:18" x14ac:dyDescent="0.25">
      <c r="A1409" s="63"/>
      <c r="B1409" s="64"/>
      <c r="C1409" s="64"/>
      <c r="D1409" s="64"/>
      <c r="E1409" s="64"/>
      <c r="F1409" s="64"/>
      <c r="G1409" s="64"/>
      <c r="H1409" s="64"/>
      <c r="I1409" s="64"/>
      <c r="J1409" s="64"/>
      <c r="K1409" s="64"/>
      <c r="L1409" s="64"/>
      <c r="M1409" s="64"/>
      <c r="N1409" s="64"/>
      <c r="O1409" s="64"/>
      <c r="P1409" s="64"/>
      <c r="Q1409" s="64"/>
      <c r="R1409" s="64"/>
    </row>
    <row r="1410" spans="1:18" x14ac:dyDescent="0.25">
      <c r="A1410" s="63"/>
      <c r="B1410" s="64"/>
      <c r="C1410" s="64"/>
      <c r="D1410" s="64"/>
      <c r="E1410" s="64"/>
      <c r="F1410" s="64"/>
      <c r="G1410" s="64"/>
      <c r="H1410" s="64"/>
      <c r="I1410" s="64"/>
      <c r="J1410" s="64"/>
      <c r="K1410" s="64"/>
      <c r="L1410" s="64"/>
      <c r="M1410" s="64"/>
      <c r="N1410" s="64"/>
      <c r="O1410" s="64"/>
      <c r="P1410" s="64"/>
      <c r="Q1410" s="64"/>
      <c r="R1410" s="64"/>
    </row>
    <row r="1411" spans="1:18" x14ac:dyDescent="0.25">
      <c r="A1411" s="63"/>
      <c r="B1411" s="64"/>
      <c r="C1411" s="64"/>
      <c r="D1411" s="64"/>
      <c r="E1411" s="64"/>
      <c r="F1411" s="64"/>
      <c r="G1411" s="64"/>
      <c r="H1411" s="64"/>
      <c r="I1411" s="64"/>
      <c r="J1411" s="64"/>
      <c r="K1411" s="64"/>
      <c r="L1411" s="64"/>
      <c r="M1411" s="64"/>
      <c r="N1411" s="64"/>
      <c r="O1411" s="64"/>
      <c r="P1411" s="64"/>
      <c r="Q1411" s="64"/>
      <c r="R1411" s="64"/>
    </row>
    <row r="1412" spans="1:18" x14ac:dyDescent="0.25">
      <c r="A1412" s="63"/>
      <c r="B1412" s="64"/>
      <c r="C1412" s="64"/>
      <c r="D1412" s="64"/>
      <c r="E1412" s="64"/>
      <c r="F1412" s="64"/>
      <c r="G1412" s="64"/>
      <c r="H1412" s="64"/>
      <c r="I1412" s="64"/>
      <c r="J1412" s="64"/>
      <c r="K1412" s="64"/>
      <c r="L1412" s="64"/>
      <c r="M1412" s="64"/>
      <c r="N1412" s="64"/>
      <c r="O1412" s="64"/>
      <c r="P1412" s="64"/>
      <c r="Q1412" s="64"/>
      <c r="R1412" s="64"/>
    </row>
    <row r="1413" spans="1:18" x14ac:dyDescent="0.25">
      <c r="A1413" s="63"/>
      <c r="B1413" s="64"/>
      <c r="C1413" s="64"/>
      <c r="D1413" s="64"/>
      <c r="E1413" s="64"/>
      <c r="F1413" s="64"/>
      <c r="G1413" s="64"/>
      <c r="H1413" s="64"/>
      <c r="I1413" s="64"/>
      <c r="J1413" s="64"/>
      <c r="K1413" s="64"/>
      <c r="L1413" s="64"/>
      <c r="M1413" s="64"/>
      <c r="N1413" s="64"/>
      <c r="O1413" s="64"/>
      <c r="P1413" s="64"/>
      <c r="Q1413" s="64"/>
      <c r="R1413" s="64"/>
    </row>
    <row r="1414" spans="1:18" x14ac:dyDescent="0.25">
      <c r="A1414" s="63"/>
      <c r="B1414" s="64"/>
      <c r="C1414" s="64"/>
      <c r="D1414" s="64"/>
      <c r="E1414" s="64"/>
      <c r="F1414" s="64"/>
      <c r="G1414" s="64"/>
      <c r="H1414" s="64"/>
      <c r="I1414" s="64"/>
      <c r="J1414" s="64"/>
      <c r="K1414" s="64"/>
      <c r="L1414" s="64"/>
      <c r="M1414" s="64"/>
      <c r="N1414" s="64"/>
      <c r="O1414" s="64"/>
      <c r="P1414" s="64"/>
      <c r="Q1414" s="64"/>
      <c r="R1414" s="64"/>
    </row>
    <row r="1415" spans="1:18" x14ac:dyDescent="0.25">
      <c r="A1415" s="63"/>
      <c r="B1415" s="64"/>
      <c r="C1415" s="64"/>
      <c r="D1415" s="64"/>
      <c r="E1415" s="64"/>
      <c r="F1415" s="64"/>
      <c r="G1415" s="64"/>
      <c r="H1415" s="64"/>
      <c r="I1415" s="64"/>
      <c r="J1415" s="64"/>
      <c r="K1415" s="64"/>
      <c r="L1415" s="64"/>
      <c r="M1415" s="64"/>
      <c r="N1415" s="64"/>
      <c r="O1415" s="64"/>
      <c r="P1415" s="64"/>
      <c r="Q1415" s="64"/>
      <c r="R1415" s="64"/>
    </row>
    <row r="1416" spans="1:18" x14ac:dyDescent="0.25">
      <c r="A1416" s="63"/>
      <c r="B1416" s="64"/>
      <c r="C1416" s="64"/>
      <c r="D1416" s="64"/>
      <c r="E1416" s="64"/>
      <c r="F1416" s="64"/>
      <c r="G1416" s="64"/>
      <c r="H1416" s="64"/>
      <c r="I1416" s="64"/>
      <c r="J1416" s="64"/>
      <c r="K1416" s="64"/>
      <c r="L1416" s="64"/>
      <c r="M1416" s="64"/>
      <c r="N1416" s="64"/>
      <c r="O1416" s="64"/>
      <c r="P1416" s="64"/>
      <c r="Q1416" s="64"/>
      <c r="R1416" s="64"/>
    </row>
    <row r="1417" spans="1:18" x14ac:dyDescent="0.25">
      <c r="A1417" s="63"/>
      <c r="B1417" s="64"/>
      <c r="C1417" s="64"/>
      <c r="D1417" s="64"/>
      <c r="E1417" s="64"/>
      <c r="F1417" s="64"/>
      <c r="G1417" s="64"/>
      <c r="H1417" s="64"/>
      <c r="I1417" s="64"/>
      <c r="J1417" s="64"/>
      <c r="K1417" s="64"/>
      <c r="L1417" s="64"/>
      <c r="M1417" s="64"/>
      <c r="N1417" s="64"/>
      <c r="O1417" s="64"/>
      <c r="P1417" s="64"/>
      <c r="Q1417" s="64"/>
      <c r="R1417" s="64"/>
    </row>
    <row r="1418" spans="1:18" x14ac:dyDescent="0.25">
      <c r="A1418" s="63"/>
      <c r="B1418" s="64"/>
      <c r="C1418" s="64"/>
      <c r="D1418" s="64"/>
      <c r="E1418" s="64"/>
      <c r="F1418" s="64"/>
      <c r="G1418" s="64"/>
      <c r="H1418" s="64"/>
      <c r="I1418" s="64"/>
      <c r="J1418" s="64"/>
      <c r="K1418" s="64"/>
      <c r="L1418" s="64"/>
      <c r="M1418" s="64"/>
      <c r="N1418" s="64"/>
      <c r="O1418" s="64"/>
      <c r="P1418" s="64"/>
      <c r="Q1418" s="64"/>
      <c r="R1418" s="64"/>
    </row>
    <row r="1419" spans="1:18" x14ac:dyDescent="0.25">
      <c r="A1419" s="63"/>
      <c r="B1419" s="64"/>
      <c r="C1419" s="64"/>
      <c r="D1419" s="64"/>
      <c r="E1419" s="64"/>
      <c r="F1419" s="64"/>
      <c r="G1419" s="64"/>
      <c r="H1419" s="64"/>
      <c r="I1419" s="64"/>
      <c r="J1419" s="64"/>
      <c r="K1419" s="64"/>
      <c r="L1419" s="64"/>
      <c r="M1419" s="64"/>
      <c r="N1419" s="64"/>
      <c r="O1419" s="64"/>
      <c r="P1419" s="64"/>
      <c r="Q1419" s="64"/>
      <c r="R1419" s="64"/>
    </row>
    <row r="1420" spans="1:18" x14ac:dyDescent="0.25">
      <c r="A1420" s="63"/>
      <c r="B1420" s="64"/>
      <c r="C1420" s="64"/>
      <c r="D1420" s="64"/>
      <c r="E1420" s="64"/>
      <c r="F1420" s="64"/>
      <c r="G1420" s="64"/>
      <c r="H1420" s="64"/>
      <c r="I1420" s="64"/>
      <c r="J1420" s="64"/>
      <c r="K1420" s="64"/>
      <c r="L1420" s="64"/>
      <c r="M1420" s="64"/>
      <c r="N1420" s="64"/>
      <c r="O1420" s="64"/>
      <c r="P1420" s="64"/>
      <c r="Q1420" s="64"/>
      <c r="R1420" s="64"/>
    </row>
    <row r="1421" spans="1:18" x14ac:dyDescent="0.25">
      <c r="A1421" s="63"/>
      <c r="B1421" s="64"/>
      <c r="C1421" s="64"/>
      <c r="D1421" s="64"/>
      <c r="E1421" s="64"/>
      <c r="F1421" s="64"/>
      <c r="G1421" s="64"/>
      <c r="H1421" s="64"/>
      <c r="I1421" s="64"/>
      <c r="J1421" s="64"/>
      <c r="K1421" s="64"/>
      <c r="L1421" s="64"/>
      <c r="M1421" s="64"/>
      <c r="N1421" s="64"/>
      <c r="O1421" s="64"/>
      <c r="P1421" s="64"/>
      <c r="Q1421" s="64"/>
      <c r="R1421" s="64"/>
    </row>
    <row r="1422" spans="1:18" x14ac:dyDescent="0.25">
      <c r="A1422" s="63"/>
      <c r="B1422" s="64"/>
      <c r="C1422" s="64"/>
      <c r="D1422" s="64"/>
      <c r="E1422" s="64"/>
      <c r="F1422" s="64"/>
      <c r="G1422" s="64"/>
      <c r="H1422" s="64"/>
      <c r="I1422" s="64"/>
      <c r="J1422" s="64"/>
      <c r="K1422" s="64"/>
      <c r="L1422" s="64"/>
      <c r="M1422" s="64"/>
      <c r="N1422" s="64"/>
      <c r="O1422" s="64"/>
      <c r="P1422" s="64"/>
      <c r="Q1422" s="64"/>
      <c r="R1422" s="64"/>
    </row>
    <row r="1423" spans="1:18" x14ac:dyDescent="0.25">
      <c r="A1423" s="63"/>
      <c r="B1423" s="64"/>
      <c r="C1423" s="64"/>
      <c r="D1423" s="64"/>
      <c r="E1423" s="64"/>
      <c r="F1423" s="64"/>
      <c r="G1423" s="64"/>
      <c r="H1423" s="64"/>
      <c r="I1423" s="64"/>
      <c r="J1423" s="64"/>
      <c r="K1423" s="64"/>
      <c r="L1423" s="64"/>
      <c r="M1423" s="64"/>
      <c r="N1423" s="64"/>
      <c r="O1423" s="64"/>
      <c r="P1423" s="64"/>
      <c r="Q1423" s="64"/>
      <c r="R1423" s="64"/>
    </row>
    <row r="1424" spans="1:18" x14ac:dyDescent="0.25">
      <c r="A1424" s="63"/>
      <c r="B1424" s="64"/>
      <c r="C1424" s="64"/>
      <c r="D1424" s="64"/>
      <c r="E1424" s="64"/>
      <c r="F1424" s="64"/>
      <c r="G1424" s="64"/>
      <c r="H1424" s="64"/>
      <c r="I1424" s="64"/>
      <c r="J1424" s="64"/>
      <c r="K1424" s="64"/>
      <c r="L1424" s="64"/>
      <c r="M1424" s="64"/>
      <c r="N1424" s="64"/>
      <c r="O1424" s="64"/>
      <c r="P1424" s="64"/>
      <c r="Q1424" s="64"/>
      <c r="R1424" s="64"/>
    </row>
    <row r="1425" spans="1:18" x14ac:dyDescent="0.25">
      <c r="A1425" s="63"/>
      <c r="B1425" s="64"/>
      <c r="C1425" s="64"/>
      <c r="D1425" s="64"/>
      <c r="E1425" s="64"/>
      <c r="F1425" s="64"/>
      <c r="G1425" s="64"/>
      <c r="H1425" s="64"/>
      <c r="I1425" s="64"/>
      <c r="J1425" s="64"/>
      <c r="K1425" s="64"/>
      <c r="L1425" s="64"/>
      <c r="M1425" s="64"/>
      <c r="N1425" s="64"/>
      <c r="O1425" s="64"/>
      <c r="P1425" s="64"/>
      <c r="Q1425" s="64"/>
      <c r="R1425" s="64"/>
    </row>
    <row r="1426" spans="1:18" x14ac:dyDescent="0.25">
      <c r="A1426" s="63"/>
      <c r="B1426" s="64"/>
      <c r="C1426" s="64"/>
      <c r="D1426" s="64"/>
      <c r="E1426" s="64"/>
      <c r="F1426" s="64"/>
      <c r="G1426" s="64"/>
      <c r="H1426" s="64"/>
      <c r="I1426" s="64"/>
      <c r="J1426" s="64"/>
      <c r="K1426" s="64"/>
      <c r="L1426" s="64"/>
      <c r="M1426" s="64"/>
      <c r="N1426" s="64"/>
      <c r="O1426" s="64"/>
      <c r="P1426" s="64"/>
      <c r="Q1426" s="64"/>
      <c r="R1426" s="64"/>
    </row>
    <row r="1427" spans="1:18" x14ac:dyDescent="0.25">
      <c r="A1427" s="63"/>
      <c r="B1427" s="64"/>
      <c r="C1427" s="64"/>
      <c r="D1427" s="64"/>
      <c r="E1427" s="64"/>
      <c r="F1427" s="64"/>
      <c r="G1427" s="64"/>
      <c r="H1427" s="64"/>
      <c r="I1427" s="64"/>
      <c r="J1427" s="64"/>
      <c r="K1427" s="64"/>
      <c r="L1427" s="64"/>
      <c r="M1427" s="64"/>
      <c r="N1427" s="64"/>
      <c r="O1427" s="64"/>
      <c r="P1427" s="64"/>
      <c r="Q1427" s="64"/>
      <c r="R1427" s="64"/>
    </row>
    <row r="1428" spans="1:18" x14ac:dyDescent="0.25">
      <c r="A1428" s="63"/>
      <c r="B1428" s="64"/>
      <c r="C1428" s="64"/>
      <c r="D1428" s="64"/>
      <c r="E1428" s="64"/>
      <c r="F1428" s="64"/>
      <c r="G1428" s="64"/>
      <c r="H1428" s="64"/>
      <c r="I1428" s="64"/>
      <c r="J1428" s="64"/>
      <c r="K1428" s="64"/>
      <c r="L1428" s="64"/>
      <c r="M1428" s="64"/>
      <c r="N1428" s="64"/>
      <c r="O1428" s="64"/>
      <c r="P1428" s="64"/>
      <c r="Q1428" s="64"/>
      <c r="R1428" s="64"/>
    </row>
    <row r="1429" spans="1:18" x14ac:dyDescent="0.25">
      <c r="A1429" s="63"/>
      <c r="B1429" s="64"/>
      <c r="C1429" s="64"/>
      <c r="D1429" s="64"/>
      <c r="E1429" s="64"/>
      <c r="F1429" s="64"/>
      <c r="G1429" s="64"/>
      <c r="H1429" s="64"/>
      <c r="I1429" s="64"/>
      <c r="J1429" s="64"/>
      <c r="K1429" s="64"/>
      <c r="L1429" s="64"/>
      <c r="M1429" s="64"/>
      <c r="N1429" s="64"/>
      <c r="O1429" s="64"/>
      <c r="P1429" s="64"/>
      <c r="Q1429" s="64"/>
      <c r="R1429" s="64"/>
    </row>
    <row r="1430" spans="1:18" x14ac:dyDescent="0.25">
      <c r="A1430" s="63"/>
      <c r="B1430" s="64"/>
      <c r="C1430" s="64"/>
      <c r="D1430" s="64"/>
      <c r="E1430" s="64"/>
      <c r="F1430" s="64"/>
      <c r="G1430" s="64"/>
      <c r="H1430" s="64"/>
      <c r="I1430" s="64"/>
      <c r="J1430" s="64"/>
      <c r="K1430" s="64"/>
      <c r="L1430" s="64"/>
      <c r="M1430" s="64"/>
      <c r="N1430" s="64"/>
      <c r="O1430" s="64"/>
      <c r="P1430" s="64"/>
      <c r="Q1430" s="64"/>
      <c r="R1430" s="64"/>
    </row>
    <row r="1431" spans="1:18" x14ac:dyDescent="0.25">
      <c r="A1431" s="63"/>
      <c r="B1431" s="64"/>
      <c r="C1431" s="64"/>
      <c r="D1431" s="64"/>
      <c r="E1431" s="64"/>
      <c r="F1431" s="64"/>
      <c r="G1431" s="64"/>
      <c r="H1431" s="64"/>
      <c r="I1431" s="64"/>
      <c r="J1431" s="64"/>
      <c r="K1431" s="64"/>
      <c r="L1431" s="64"/>
      <c r="M1431" s="64"/>
      <c r="N1431" s="64"/>
      <c r="O1431" s="64"/>
      <c r="P1431" s="64"/>
      <c r="Q1431" s="64"/>
      <c r="R1431" s="64"/>
    </row>
    <row r="1432" spans="1:18" x14ac:dyDescent="0.25">
      <c r="A1432" s="63"/>
      <c r="B1432" s="64"/>
      <c r="C1432" s="64"/>
      <c r="D1432" s="64"/>
      <c r="E1432" s="64"/>
      <c r="F1432" s="64"/>
      <c r="G1432" s="64"/>
      <c r="H1432" s="64"/>
      <c r="I1432" s="64"/>
      <c r="J1432" s="64"/>
      <c r="K1432" s="64"/>
      <c r="L1432" s="64"/>
      <c r="M1432" s="64"/>
      <c r="N1432" s="64"/>
      <c r="O1432" s="64"/>
      <c r="P1432" s="64"/>
      <c r="Q1432" s="64"/>
      <c r="R1432" s="64"/>
    </row>
    <row r="1433" spans="1:18" x14ac:dyDescent="0.25">
      <c r="A1433" s="63"/>
      <c r="B1433" s="64"/>
      <c r="C1433" s="64"/>
      <c r="D1433" s="64"/>
      <c r="E1433" s="64"/>
      <c r="F1433" s="64"/>
      <c r="G1433" s="64"/>
      <c r="H1433" s="64"/>
      <c r="I1433" s="64"/>
      <c r="J1433" s="64"/>
      <c r="K1433" s="64"/>
      <c r="L1433" s="64"/>
      <c r="M1433" s="64"/>
      <c r="N1433" s="64"/>
      <c r="O1433" s="64"/>
      <c r="P1433" s="64"/>
      <c r="Q1433" s="64"/>
      <c r="R1433" s="64"/>
    </row>
    <row r="1434" spans="1:18" x14ac:dyDescent="0.25">
      <c r="A1434" s="63"/>
      <c r="B1434" s="64"/>
      <c r="C1434" s="64"/>
      <c r="D1434" s="64"/>
      <c r="E1434" s="64"/>
      <c r="F1434" s="64"/>
      <c r="G1434" s="64"/>
      <c r="H1434" s="64"/>
      <c r="I1434" s="64"/>
      <c r="J1434" s="64"/>
      <c r="K1434" s="64"/>
      <c r="L1434" s="64"/>
      <c r="M1434" s="64"/>
      <c r="N1434" s="64"/>
      <c r="O1434" s="64"/>
      <c r="P1434" s="64"/>
      <c r="Q1434" s="64"/>
      <c r="R1434" s="64"/>
    </row>
    <row r="1435" spans="1:18" x14ac:dyDescent="0.25">
      <c r="A1435" s="63"/>
      <c r="B1435" s="64"/>
      <c r="C1435" s="64"/>
      <c r="D1435" s="64"/>
      <c r="E1435" s="64"/>
      <c r="F1435" s="64"/>
      <c r="G1435" s="64"/>
      <c r="H1435" s="64"/>
      <c r="I1435" s="64"/>
      <c r="J1435" s="64"/>
      <c r="K1435" s="64"/>
      <c r="L1435" s="64"/>
      <c r="M1435" s="64"/>
      <c r="N1435" s="64"/>
      <c r="O1435" s="64"/>
      <c r="P1435" s="64"/>
      <c r="Q1435" s="64"/>
      <c r="R1435" s="64"/>
    </row>
    <row r="1436" spans="1:18" x14ac:dyDescent="0.25">
      <c r="A1436" s="63"/>
      <c r="B1436" s="64"/>
      <c r="C1436" s="64"/>
      <c r="D1436" s="64"/>
      <c r="E1436" s="64"/>
      <c r="F1436" s="64"/>
      <c r="G1436" s="64"/>
      <c r="H1436" s="64"/>
      <c r="I1436" s="64"/>
      <c r="J1436" s="64"/>
      <c r="K1436" s="64"/>
      <c r="L1436" s="64"/>
      <c r="M1436" s="64"/>
      <c r="N1436" s="64"/>
      <c r="O1436" s="64"/>
      <c r="P1436" s="64"/>
      <c r="Q1436" s="64"/>
      <c r="R1436" s="64"/>
    </row>
    <row r="1437" spans="1:18" x14ac:dyDescent="0.25">
      <c r="A1437" s="63"/>
      <c r="B1437" s="64"/>
      <c r="C1437" s="64"/>
      <c r="D1437" s="64"/>
      <c r="E1437" s="64"/>
      <c r="F1437" s="64"/>
      <c r="G1437" s="64"/>
      <c r="H1437" s="64"/>
      <c r="I1437" s="64"/>
      <c r="J1437" s="64"/>
      <c r="K1437" s="64"/>
      <c r="L1437" s="64"/>
      <c r="M1437" s="64"/>
      <c r="N1437" s="64"/>
      <c r="O1437" s="64"/>
      <c r="P1437" s="64"/>
      <c r="Q1437" s="64"/>
      <c r="R1437" s="64"/>
    </row>
    <row r="1438" spans="1:18" x14ac:dyDescent="0.25">
      <c r="A1438" s="63"/>
      <c r="B1438" s="64"/>
      <c r="C1438" s="64"/>
      <c r="D1438" s="64"/>
      <c r="E1438" s="64"/>
      <c r="F1438" s="64"/>
      <c r="G1438" s="64"/>
      <c r="H1438" s="64"/>
      <c r="I1438" s="64"/>
      <c r="J1438" s="64"/>
      <c r="K1438" s="64"/>
      <c r="L1438" s="64"/>
      <c r="M1438" s="64"/>
      <c r="N1438" s="64"/>
      <c r="O1438" s="64"/>
      <c r="P1438" s="64"/>
      <c r="Q1438" s="64"/>
      <c r="R1438" s="64"/>
    </row>
    <row r="1439" spans="1:18" x14ac:dyDescent="0.25">
      <c r="A1439" s="63"/>
      <c r="B1439" s="64"/>
      <c r="C1439" s="64"/>
      <c r="D1439" s="64"/>
      <c r="E1439" s="64"/>
      <c r="F1439" s="64"/>
      <c r="G1439" s="64"/>
      <c r="H1439" s="64"/>
      <c r="I1439" s="64"/>
      <c r="J1439" s="64"/>
      <c r="K1439" s="64"/>
      <c r="L1439" s="64"/>
      <c r="M1439" s="64"/>
      <c r="N1439" s="64"/>
      <c r="O1439" s="64"/>
      <c r="P1439" s="64"/>
      <c r="Q1439" s="64"/>
      <c r="R1439" s="64"/>
    </row>
    <row r="1440" spans="1:18" x14ac:dyDescent="0.25">
      <c r="A1440" s="63"/>
      <c r="B1440" s="64"/>
      <c r="C1440" s="64"/>
      <c r="D1440" s="64"/>
      <c r="E1440" s="64"/>
      <c r="F1440" s="64"/>
      <c r="G1440" s="64"/>
      <c r="H1440" s="64"/>
      <c r="I1440" s="64"/>
      <c r="J1440" s="64"/>
      <c r="K1440" s="64"/>
      <c r="L1440" s="64"/>
      <c r="M1440" s="64"/>
      <c r="N1440" s="64"/>
      <c r="O1440" s="64"/>
      <c r="P1440" s="64"/>
      <c r="Q1440" s="64"/>
      <c r="R1440" s="64"/>
    </row>
    <row r="1441" spans="1:18" x14ac:dyDescent="0.25">
      <c r="A1441" s="63"/>
      <c r="B1441" s="64"/>
      <c r="C1441" s="64"/>
      <c r="D1441" s="64"/>
      <c r="E1441" s="64"/>
      <c r="F1441" s="64"/>
      <c r="G1441" s="64"/>
      <c r="H1441" s="64"/>
      <c r="I1441" s="64"/>
      <c r="J1441" s="64"/>
      <c r="K1441" s="64"/>
      <c r="L1441" s="64"/>
      <c r="M1441" s="64"/>
      <c r="N1441" s="64"/>
      <c r="O1441" s="64"/>
      <c r="P1441" s="64"/>
      <c r="Q1441" s="64"/>
      <c r="R1441" s="64"/>
    </row>
    <row r="1442" spans="1:18" x14ac:dyDescent="0.25">
      <c r="A1442" s="63"/>
      <c r="B1442" s="64"/>
      <c r="C1442" s="64"/>
      <c r="D1442" s="64"/>
      <c r="E1442" s="64"/>
      <c r="F1442" s="64"/>
      <c r="G1442" s="64"/>
      <c r="H1442" s="64"/>
      <c r="I1442" s="64"/>
      <c r="J1442" s="64"/>
      <c r="K1442" s="64"/>
      <c r="L1442" s="64"/>
      <c r="M1442" s="64"/>
      <c r="N1442" s="64"/>
      <c r="O1442" s="64"/>
      <c r="P1442" s="64"/>
      <c r="Q1442" s="64"/>
      <c r="R1442" s="64"/>
    </row>
    <row r="1443" spans="1:18" x14ac:dyDescent="0.25">
      <c r="A1443" s="63"/>
      <c r="B1443" s="64"/>
      <c r="C1443" s="64"/>
      <c r="D1443" s="64"/>
      <c r="E1443" s="64"/>
      <c r="F1443" s="64"/>
      <c r="G1443" s="64"/>
      <c r="H1443" s="64"/>
      <c r="I1443" s="64"/>
      <c r="J1443" s="64"/>
      <c r="K1443" s="64"/>
      <c r="L1443" s="64"/>
      <c r="M1443" s="64"/>
      <c r="N1443" s="64"/>
      <c r="O1443" s="64"/>
      <c r="P1443" s="64"/>
      <c r="Q1443" s="64"/>
      <c r="R1443" s="64"/>
    </row>
    <row r="1444" spans="1:18" x14ac:dyDescent="0.25">
      <c r="A1444" s="63"/>
      <c r="B1444" s="64"/>
      <c r="C1444" s="64"/>
      <c r="D1444" s="64"/>
      <c r="E1444" s="64"/>
      <c r="F1444" s="64"/>
      <c r="G1444" s="64"/>
      <c r="H1444" s="64"/>
      <c r="I1444" s="64"/>
      <c r="J1444" s="64"/>
      <c r="K1444" s="64"/>
      <c r="L1444" s="64"/>
      <c r="M1444" s="64"/>
      <c r="N1444" s="64"/>
      <c r="O1444" s="64"/>
      <c r="P1444" s="64"/>
      <c r="Q1444" s="64"/>
      <c r="R1444" s="64"/>
    </row>
    <row r="1445" spans="1:18" x14ac:dyDescent="0.25">
      <c r="A1445" s="63"/>
      <c r="B1445" s="64"/>
      <c r="C1445" s="64"/>
      <c r="D1445" s="64"/>
      <c r="E1445" s="64"/>
      <c r="F1445" s="64"/>
      <c r="G1445" s="64"/>
      <c r="H1445" s="64"/>
      <c r="I1445" s="64"/>
      <c r="J1445" s="64"/>
      <c r="K1445" s="64"/>
      <c r="L1445" s="64"/>
      <c r="M1445" s="64"/>
      <c r="N1445" s="64"/>
      <c r="O1445" s="64"/>
      <c r="P1445" s="64"/>
      <c r="Q1445" s="64"/>
      <c r="R1445" s="64"/>
    </row>
    <row r="1446" spans="1:18" x14ac:dyDescent="0.25">
      <c r="A1446" s="63"/>
      <c r="B1446" s="64"/>
      <c r="C1446" s="64"/>
      <c r="D1446" s="64"/>
      <c r="E1446" s="64"/>
      <c r="F1446" s="64"/>
      <c r="G1446" s="64"/>
      <c r="H1446" s="64"/>
      <c r="I1446" s="64"/>
      <c r="J1446" s="64"/>
      <c r="K1446" s="64"/>
      <c r="L1446" s="64"/>
      <c r="M1446" s="64"/>
      <c r="N1446" s="64"/>
      <c r="O1446" s="64"/>
      <c r="P1446" s="64"/>
      <c r="Q1446" s="64"/>
      <c r="R1446" s="64"/>
    </row>
    <row r="1447" spans="1:18" x14ac:dyDescent="0.25">
      <c r="A1447" s="63"/>
      <c r="B1447" s="64"/>
      <c r="C1447" s="64"/>
      <c r="D1447" s="64"/>
      <c r="E1447" s="64"/>
      <c r="F1447" s="64"/>
      <c r="G1447" s="64"/>
      <c r="H1447" s="64"/>
      <c r="I1447" s="64"/>
      <c r="J1447" s="64"/>
      <c r="K1447" s="64"/>
      <c r="L1447" s="64"/>
      <c r="M1447" s="64"/>
      <c r="N1447" s="64"/>
      <c r="O1447" s="64"/>
      <c r="P1447" s="64"/>
      <c r="Q1447" s="64"/>
      <c r="R1447" s="64"/>
    </row>
    <row r="1448" spans="1:18" x14ac:dyDescent="0.25">
      <c r="A1448" s="63"/>
      <c r="B1448" s="64"/>
      <c r="C1448" s="64"/>
      <c r="D1448" s="64"/>
      <c r="E1448" s="64"/>
      <c r="F1448" s="64"/>
      <c r="G1448" s="64"/>
      <c r="H1448" s="64"/>
      <c r="I1448" s="64"/>
      <c r="J1448" s="64"/>
      <c r="K1448" s="64"/>
      <c r="L1448" s="64"/>
      <c r="M1448" s="64"/>
      <c r="N1448" s="64"/>
      <c r="O1448" s="64"/>
      <c r="P1448" s="64"/>
      <c r="Q1448" s="64"/>
      <c r="R1448" s="64"/>
    </row>
    <row r="1449" spans="1:18" x14ac:dyDescent="0.25">
      <c r="A1449" s="63"/>
      <c r="B1449" s="64"/>
      <c r="C1449" s="64"/>
      <c r="D1449" s="64"/>
      <c r="E1449" s="64"/>
      <c r="F1449" s="64"/>
      <c r="G1449" s="64"/>
      <c r="H1449" s="64"/>
      <c r="I1449" s="64"/>
      <c r="J1449" s="64"/>
      <c r="K1449" s="64"/>
      <c r="L1449" s="64"/>
      <c r="M1449" s="64"/>
      <c r="N1449" s="64"/>
      <c r="O1449" s="64"/>
      <c r="P1449" s="64"/>
      <c r="Q1449" s="64"/>
      <c r="R1449" s="64"/>
    </row>
    <row r="1450" spans="1:18" x14ac:dyDescent="0.25">
      <c r="A1450" s="63"/>
      <c r="B1450" s="64"/>
      <c r="C1450" s="64"/>
      <c r="D1450" s="64"/>
      <c r="E1450" s="64"/>
      <c r="F1450" s="64"/>
      <c r="G1450" s="64"/>
      <c r="H1450" s="64"/>
      <c r="I1450" s="64"/>
      <c r="J1450" s="64"/>
      <c r="K1450" s="64"/>
      <c r="L1450" s="64"/>
      <c r="M1450" s="64"/>
      <c r="N1450" s="64"/>
      <c r="O1450" s="64"/>
      <c r="P1450" s="64"/>
      <c r="Q1450" s="64"/>
      <c r="R1450" s="64"/>
    </row>
    <row r="1451" spans="1:18" x14ac:dyDescent="0.25">
      <c r="A1451" s="63"/>
      <c r="B1451" s="64"/>
      <c r="C1451" s="64"/>
      <c r="D1451" s="64"/>
      <c r="E1451" s="64"/>
      <c r="F1451" s="64"/>
      <c r="G1451" s="64"/>
      <c r="H1451" s="64"/>
      <c r="I1451" s="64"/>
      <c r="J1451" s="64"/>
      <c r="K1451" s="64"/>
      <c r="L1451" s="64"/>
      <c r="M1451" s="64"/>
      <c r="N1451" s="64"/>
      <c r="O1451" s="64"/>
      <c r="P1451" s="64"/>
      <c r="Q1451" s="64"/>
      <c r="R1451" s="64"/>
    </row>
    <row r="1452" spans="1:18" x14ac:dyDescent="0.25">
      <c r="A1452" s="63"/>
      <c r="B1452" s="64"/>
      <c r="C1452" s="64"/>
      <c r="D1452" s="64"/>
      <c r="E1452" s="64"/>
      <c r="F1452" s="64"/>
      <c r="G1452" s="64"/>
      <c r="H1452" s="64"/>
      <c r="I1452" s="64"/>
      <c r="J1452" s="64"/>
      <c r="K1452" s="64"/>
      <c r="L1452" s="64"/>
      <c r="M1452" s="64"/>
      <c r="N1452" s="64"/>
      <c r="O1452" s="64"/>
      <c r="P1452" s="64"/>
      <c r="Q1452" s="64"/>
      <c r="R1452" s="64"/>
    </row>
    <row r="1453" spans="1:18" x14ac:dyDescent="0.25">
      <c r="A1453" s="63"/>
      <c r="B1453" s="64"/>
      <c r="C1453" s="64"/>
      <c r="D1453" s="64"/>
      <c r="E1453" s="64"/>
      <c r="F1453" s="64"/>
      <c r="G1453" s="64"/>
      <c r="H1453" s="64"/>
      <c r="I1453" s="64"/>
      <c r="J1453" s="64"/>
      <c r="K1453" s="64"/>
      <c r="L1453" s="64"/>
      <c r="M1453" s="64"/>
      <c r="N1453" s="64"/>
      <c r="O1453" s="64"/>
      <c r="P1453" s="64"/>
      <c r="Q1453" s="64"/>
      <c r="R1453" s="64"/>
    </row>
    <row r="1454" spans="1:18" x14ac:dyDescent="0.25">
      <c r="A1454" s="63"/>
      <c r="B1454" s="64"/>
      <c r="C1454" s="64"/>
      <c r="D1454" s="64"/>
      <c r="E1454" s="64"/>
      <c r="F1454" s="64"/>
      <c r="G1454" s="64"/>
      <c r="H1454" s="64"/>
      <c r="I1454" s="64"/>
      <c r="J1454" s="64"/>
      <c r="K1454" s="64"/>
      <c r="L1454" s="64"/>
      <c r="M1454" s="64"/>
      <c r="N1454" s="64"/>
      <c r="O1454" s="64"/>
      <c r="P1454" s="64"/>
      <c r="Q1454" s="64"/>
      <c r="R1454" s="64"/>
    </row>
    <row r="1455" spans="1:18" x14ac:dyDescent="0.25">
      <c r="A1455" s="63"/>
      <c r="B1455" s="64"/>
      <c r="C1455" s="64"/>
      <c r="D1455" s="64"/>
      <c r="E1455" s="64"/>
      <c r="F1455" s="64"/>
      <c r="G1455" s="64"/>
      <c r="H1455" s="64"/>
      <c r="I1455" s="64"/>
      <c r="J1455" s="64"/>
      <c r="K1455" s="64"/>
      <c r="L1455" s="64"/>
      <c r="M1455" s="64"/>
      <c r="N1455" s="64"/>
      <c r="O1455" s="64"/>
      <c r="P1455" s="64"/>
      <c r="Q1455" s="64"/>
      <c r="R1455" s="64"/>
    </row>
    <row r="1456" spans="1:18" x14ac:dyDescent="0.25">
      <c r="A1456" s="63"/>
      <c r="B1456" s="64"/>
      <c r="C1456" s="64"/>
      <c r="D1456" s="64"/>
      <c r="E1456" s="64"/>
      <c r="F1456" s="64"/>
      <c r="G1456" s="64"/>
      <c r="H1456" s="64"/>
      <c r="I1456" s="64"/>
      <c r="J1456" s="64"/>
      <c r="K1456" s="64"/>
      <c r="L1456" s="64"/>
      <c r="M1456" s="64"/>
      <c r="N1456" s="64"/>
      <c r="O1456" s="64"/>
      <c r="P1456" s="64"/>
      <c r="Q1456" s="64"/>
      <c r="R1456" s="64"/>
    </row>
    <row r="1457" spans="1:18" x14ac:dyDescent="0.25">
      <c r="A1457" s="63"/>
      <c r="B1457" s="64"/>
      <c r="C1457" s="64"/>
      <c r="D1457" s="64"/>
      <c r="E1457" s="64"/>
      <c r="F1457" s="64"/>
      <c r="G1457" s="64"/>
      <c r="H1457" s="64"/>
      <c r="I1457" s="64"/>
      <c r="J1457" s="64"/>
      <c r="K1457" s="64"/>
      <c r="L1457" s="64"/>
      <c r="M1457" s="64"/>
      <c r="N1457" s="64"/>
      <c r="O1457" s="64"/>
      <c r="P1457" s="64"/>
      <c r="Q1457" s="64"/>
      <c r="R1457" s="64"/>
    </row>
    <row r="1458" spans="1:18" x14ac:dyDescent="0.25">
      <c r="A1458" s="63"/>
      <c r="B1458" s="64"/>
      <c r="C1458" s="64"/>
      <c r="D1458" s="64"/>
      <c r="E1458" s="64"/>
      <c r="F1458" s="64"/>
      <c r="G1458" s="64"/>
      <c r="H1458" s="64"/>
      <c r="I1458" s="64"/>
      <c r="J1458" s="64"/>
      <c r="K1458" s="64"/>
      <c r="L1458" s="64"/>
      <c r="M1458" s="64"/>
      <c r="N1458" s="64"/>
      <c r="O1458" s="64"/>
      <c r="P1458" s="64"/>
      <c r="Q1458" s="64"/>
      <c r="R1458" s="64"/>
    </row>
    <row r="1459" spans="1:18" x14ac:dyDescent="0.25">
      <c r="A1459" s="63"/>
      <c r="B1459" s="64"/>
      <c r="C1459" s="64"/>
      <c r="D1459" s="64"/>
      <c r="E1459" s="64"/>
      <c r="F1459" s="64"/>
      <c r="G1459" s="64"/>
      <c r="H1459" s="64"/>
      <c r="I1459" s="64"/>
      <c r="J1459" s="64"/>
      <c r="K1459" s="64"/>
      <c r="L1459" s="64"/>
      <c r="M1459" s="64"/>
      <c r="N1459" s="64"/>
      <c r="O1459" s="64"/>
      <c r="P1459" s="64"/>
      <c r="Q1459" s="64"/>
      <c r="R1459" s="64"/>
    </row>
    <row r="1460" spans="1:18" x14ac:dyDescent="0.25">
      <c r="A1460" s="63"/>
      <c r="B1460" s="64"/>
      <c r="C1460" s="64"/>
      <c r="D1460" s="64"/>
      <c r="E1460" s="64"/>
      <c r="F1460" s="64"/>
      <c r="G1460" s="64"/>
      <c r="H1460" s="64"/>
      <c r="I1460" s="64"/>
      <c r="J1460" s="64"/>
      <c r="K1460" s="64"/>
      <c r="L1460" s="64"/>
      <c r="M1460" s="64"/>
      <c r="N1460" s="64"/>
      <c r="O1460" s="64"/>
      <c r="P1460" s="64"/>
      <c r="Q1460" s="64"/>
      <c r="R1460" s="64"/>
    </row>
    <row r="1461" spans="1:18" x14ac:dyDescent="0.25">
      <c r="A1461" s="63"/>
      <c r="B1461" s="64"/>
      <c r="C1461" s="64"/>
      <c r="D1461" s="64"/>
      <c r="E1461" s="64"/>
      <c r="F1461" s="64"/>
      <c r="G1461" s="64"/>
      <c r="H1461" s="64"/>
      <c r="I1461" s="64"/>
      <c r="J1461" s="64"/>
      <c r="K1461" s="64"/>
      <c r="L1461" s="64"/>
      <c r="M1461" s="64"/>
      <c r="N1461" s="64"/>
      <c r="O1461" s="64"/>
      <c r="P1461" s="64"/>
      <c r="Q1461" s="64"/>
      <c r="R1461" s="64"/>
    </row>
    <row r="1462" spans="1:18" x14ac:dyDescent="0.25">
      <c r="A1462" s="63"/>
      <c r="B1462" s="64"/>
      <c r="C1462" s="64"/>
      <c r="D1462" s="64"/>
      <c r="E1462" s="64"/>
      <c r="F1462" s="64"/>
      <c r="G1462" s="64"/>
      <c r="H1462" s="64"/>
      <c r="I1462" s="64"/>
      <c r="J1462" s="64"/>
      <c r="K1462" s="64"/>
      <c r="L1462" s="64"/>
      <c r="M1462" s="64"/>
      <c r="N1462" s="64"/>
      <c r="O1462" s="64"/>
      <c r="P1462" s="64"/>
      <c r="Q1462" s="64"/>
      <c r="R1462" s="64"/>
    </row>
    <row r="1463" spans="1:18" x14ac:dyDescent="0.25">
      <c r="A1463" s="63"/>
      <c r="B1463" s="64"/>
      <c r="C1463" s="64"/>
      <c r="D1463" s="64"/>
      <c r="E1463" s="64"/>
      <c r="F1463" s="64"/>
      <c r="G1463" s="64"/>
      <c r="H1463" s="64"/>
      <c r="I1463" s="64"/>
      <c r="J1463" s="64"/>
      <c r="K1463" s="64"/>
      <c r="L1463" s="64"/>
      <c r="M1463" s="64"/>
      <c r="N1463" s="64"/>
      <c r="O1463" s="64"/>
      <c r="P1463" s="64"/>
      <c r="Q1463" s="64"/>
      <c r="R1463" s="64"/>
    </row>
    <row r="1464" spans="1:18" x14ac:dyDescent="0.25">
      <c r="A1464" s="63"/>
      <c r="B1464" s="64"/>
      <c r="C1464" s="64"/>
      <c r="D1464" s="64"/>
      <c r="E1464" s="64"/>
      <c r="F1464" s="64"/>
      <c r="G1464" s="64"/>
      <c r="H1464" s="64"/>
      <c r="I1464" s="64"/>
      <c r="J1464" s="64"/>
      <c r="K1464" s="64"/>
      <c r="L1464" s="64"/>
      <c r="M1464" s="64"/>
      <c r="N1464" s="64"/>
      <c r="O1464" s="64"/>
      <c r="P1464" s="64"/>
      <c r="Q1464" s="64"/>
      <c r="R1464" s="64"/>
    </row>
    <row r="1465" spans="1:18" x14ac:dyDescent="0.25">
      <c r="A1465" s="63"/>
      <c r="B1465" s="64"/>
      <c r="C1465" s="64"/>
      <c r="D1465" s="64"/>
      <c r="E1465" s="64"/>
      <c r="F1465" s="64"/>
      <c r="G1465" s="64"/>
      <c r="H1465" s="64"/>
      <c r="I1465" s="64"/>
      <c r="J1465" s="64"/>
      <c r="K1465" s="64"/>
      <c r="L1465" s="64"/>
      <c r="M1465" s="64"/>
      <c r="N1465" s="64"/>
      <c r="O1465" s="64"/>
      <c r="P1465" s="64"/>
      <c r="Q1465" s="64"/>
      <c r="R1465" s="64"/>
    </row>
    <row r="1466" spans="1:18" x14ac:dyDescent="0.25">
      <c r="A1466" s="63"/>
      <c r="B1466" s="64"/>
      <c r="C1466" s="64"/>
      <c r="D1466" s="64"/>
      <c r="E1466" s="64"/>
      <c r="F1466" s="64"/>
      <c r="G1466" s="64"/>
      <c r="H1466" s="64"/>
      <c r="I1466" s="64"/>
      <c r="J1466" s="64"/>
      <c r="K1466" s="64"/>
      <c r="L1466" s="64"/>
      <c r="M1466" s="64"/>
      <c r="N1466" s="64"/>
      <c r="O1466" s="64"/>
      <c r="P1466" s="64"/>
      <c r="Q1466" s="64"/>
      <c r="R1466" s="64"/>
    </row>
    <row r="1467" spans="1:18" x14ac:dyDescent="0.25">
      <c r="A1467" s="63"/>
      <c r="B1467" s="64"/>
      <c r="C1467" s="64"/>
      <c r="D1467" s="64"/>
      <c r="E1467" s="64"/>
      <c r="F1467" s="64"/>
      <c r="G1467" s="64"/>
      <c r="H1467" s="64"/>
      <c r="I1467" s="64"/>
      <c r="J1467" s="64"/>
      <c r="K1467" s="64"/>
      <c r="L1467" s="64"/>
      <c r="M1467" s="64"/>
      <c r="N1467" s="64"/>
      <c r="O1467" s="64"/>
      <c r="P1467" s="64"/>
      <c r="Q1467" s="64"/>
      <c r="R1467" s="64"/>
    </row>
    <row r="1468" spans="1:18" x14ac:dyDescent="0.25">
      <c r="A1468" s="63"/>
      <c r="B1468" s="64"/>
      <c r="C1468" s="64"/>
      <c r="D1468" s="64"/>
      <c r="E1468" s="64"/>
      <c r="F1468" s="64"/>
      <c r="G1468" s="64"/>
      <c r="H1468" s="64"/>
      <c r="I1468" s="64"/>
      <c r="J1468" s="64"/>
      <c r="K1468" s="64"/>
      <c r="L1468" s="64"/>
      <c r="M1468" s="64"/>
      <c r="N1468" s="64"/>
      <c r="O1468" s="64"/>
      <c r="P1468" s="64"/>
      <c r="Q1468" s="64"/>
      <c r="R1468" s="64"/>
    </row>
    <row r="1469" spans="1:18" x14ac:dyDescent="0.25">
      <c r="A1469" s="63"/>
      <c r="B1469" s="64"/>
      <c r="C1469" s="64"/>
      <c r="D1469" s="64"/>
      <c r="E1469" s="64"/>
      <c r="F1469" s="64"/>
      <c r="G1469" s="64"/>
      <c r="H1469" s="64"/>
      <c r="I1469" s="64"/>
      <c r="J1469" s="64"/>
      <c r="K1469" s="64"/>
      <c r="L1469" s="64"/>
      <c r="M1469" s="64"/>
      <c r="N1469" s="64"/>
      <c r="O1469" s="64"/>
      <c r="P1469" s="64"/>
      <c r="Q1469" s="64"/>
      <c r="R1469" s="64"/>
    </row>
    <row r="1470" spans="1:18" x14ac:dyDescent="0.25">
      <c r="A1470" s="63"/>
      <c r="B1470" s="64"/>
      <c r="C1470" s="64"/>
      <c r="D1470" s="64"/>
      <c r="E1470" s="64"/>
      <c r="F1470" s="64"/>
      <c r="G1470" s="64"/>
      <c r="H1470" s="64"/>
      <c r="I1470" s="64"/>
      <c r="J1470" s="64"/>
      <c r="K1470" s="64"/>
      <c r="L1470" s="64"/>
      <c r="M1470" s="64"/>
      <c r="N1470" s="64"/>
      <c r="O1470" s="64"/>
      <c r="P1470" s="64"/>
      <c r="Q1470" s="64"/>
      <c r="R1470" s="64"/>
    </row>
    <row r="1471" spans="1:18" x14ac:dyDescent="0.25">
      <c r="A1471" s="63"/>
      <c r="B1471" s="64"/>
      <c r="C1471" s="64"/>
      <c r="D1471" s="64"/>
      <c r="E1471" s="64"/>
      <c r="F1471" s="64"/>
      <c r="G1471" s="64"/>
      <c r="H1471" s="64"/>
      <c r="I1471" s="64"/>
      <c r="J1471" s="64"/>
      <c r="K1471" s="64"/>
      <c r="L1471" s="64"/>
      <c r="M1471" s="64"/>
      <c r="N1471" s="64"/>
      <c r="O1471" s="64"/>
      <c r="P1471" s="64"/>
      <c r="Q1471" s="64"/>
      <c r="R1471" s="64"/>
    </row>
    <row r="1472" spans="1:18" x14ac:dyDescent="0.25">
      <c r="A1472" s="63"/>
      <c r="B1472" s="64"/>
      <c r="C1472" s="64"/>
      <c r="D1472" s="64"/>
      <c r="E1472" s="64"/>
      <c r="F1472" s="64"/>
      <c r="G1472" s="64"/>
      <c r="H1472" s="64"/>
      <c r="I1472" s="64"/>
      <c r="J1472" s="64"/>
      <c r="K1472" s="64"/>
      <c r="L1472" s="64"/>
      <c r="M1472" s="64"/>
      <c r="N1472" s="64"/>
      <c r="O1472" s="64"/>
      <c r="P1472" s="64"/>
      <c r="Q1472" s="64"/>
      <c r="R1472" s="64"/>
    </row>
    <row r="1473" spans="1:18" x14ac:dyDescent="0.25">
      <c r="A1473" s="63"/>
      <c r="B1473" s="64"/>
      <c r="C1473" s="64"/>
      <c r="D1473" s="64"/>
      <c r="E1473" s="64"/>
      <c r="F1473" s="64"/>
      <c r="G1473" s="64"/>
      <c r="H1473" s="64"/>
      <c r="I1473" s="64"/>
      <c r="J1473" s="64"/>
      <c r="K1473" s="64"/>
      <c r="L1473" s="64"/>
      <c r="M1473" s="64"/>
      <c r="N1473" s="64"/>
      <c r="O1473" s="64"/>
      <c r="P1473" s="64"/>
      <c r="Q1473" s="64"/>
      <c r="R1473" s="64"/>
    </row>
    <row r="1474" spans="1:18" x14ac:dyDescent="0.25">
      <c r="A1474" s="63"/>
      <c r="B1474" s="64"/>
      <c r="C1474" s="64"/>
      <c r="D1474" s="64"/>
      <c r="E1474" s="64"/>
      <c r="F1474" s="64"/>
      <c r="G1474" s="64"/>
      <c r="H1474" s="64"/>
      <c r="I1474" s="64"/>
      <c r="J1474" s="64"/>
      <c r="K1474" s="64"/>
      <c r="L1474" s="64"/>
      <c r="M1474" s="64"/>
      <c r="N1474" s="64"/>
      <c r="O1474" s="64"/>
      <c r="P1474" s="64"/>
      <c r="Q1474" s="64"/>
      <c r="R1474" s="64"/>
    </row>
    <row r="1475" spans="1:18" x14ac:dyDescent="0.25">
      <c r="A1475" s="63"/>
      <c r="B1475" s="64"/>
      <c r="C1475" s="64"/>
      <c r="D1475" s="64"/>
      <c r="E1475" s="64"/>
      <c r="F1475" s="64"/>
      <c r="G1475" s="64"/>
      <c r="H1475" s="64"/>
      <c r="I1475" s="64"/>
      <c r="J1475" s="64"/>
      <c r="K1475" s="64"/>
      <c r="L1475" s="64"/>
      <c r="M1475" s="64"/>
      <c r="N1475" s="64"/>
      <c r="O1475" s="64"/>
      <c r="P1475" s="64"/>
      <c r="Q1475" s="64"/>
      <c r="R1475" s="64"/>
    </row>
    <row r="1476" spans="1:18" x14ac:dyDescent="0.25">
      <c r="A1476" s="63"/>
      <c r="B1476" s="64"/>
      <c r="C1476" s="64"/>
      <c r="D1476" s="64"/>
      <c r="E1476" s="64"/>
      <c r="F1476" s="64"/>
      <c r="G1476" s="64"/>
      <c r="H1476" s="64"/>
      <c r="I1476" s="64"/>
      <c r="J1476" s="64"/>
      <c r="K1476" s="64"/>
      <c r="L1476" s="64"/>
      <c r="M1476" s="64"/>
      <c r="N1476" s="64"/>
      <c r="O1476" s="64"/>
      <c r="P1476" s="64"/>
      <c r="Q1476" s="64"/>
      <c r="R1476" s="64"/>
    </row>
    <row r="1477" spans="1:18" x14ac:dyDescent="0.25">
      <c r="A1477" s="63"/>
      <c r="B1477" s="64"/>
      <c r="C1477" s="64"/>
      <c r="D1477" s="64"/>
      <c r="E1477" s="64"/>
      <c r="F1477" s="64"/>
      <c r="G1477" s="64"/>
      <c r="H1477" s="64"/>
      <c r="I1477" s="64"/>
      <c r="J1477" s="64"/>
      <c r="K1477" s="64"/>
      <c r="L1477" s="64"/>
      <c r="M1477" s="64"/>
      <c r="N1477" s="64"/>
      <c r="O1477" s="64"/>
      <c r="P1477" s="64"/>
      <c r="Q1477" s="64"/>
      <c r="R1477" s="64"/>
    </row>
    <row r="1478" spans="1:18" x14ac:dyDescent="0.25">
      <c r="A1478" s="63"/>
      <c r="B1478" s="64"/>
      <c r="C1478" s="64"/>
      <c r="D1478" s="64"/>
      <c r="E1478" s="64"/>
      <c r="F1478" s="64"/>
      <c r="G1478" s="64"/>
      <c r="H1478" s="64"/>
      <c r="I1478" s="64"/>
      <c r="J1478" s="64"/>
      <c r="K1478" s="64"/>
      <c r="L1478" s="64"/>
      <c r="M1478" s="64"/>
      <c r="N1478" s="64"/>
      <c r="O1478" s="64"/>
      <c r="P1478" s="64"/>
      <c r="Q1478" s="64"/>
      <c r="R1478" s="64"/>
    </row>
    <row r="1479" spans="1:18" x14ac:dyDescent="0.25">
      <c r="A1479" s="63"/>
      <c r="B1479" s="64"/>
      <c r="C1479" s="64"/>
      <c r="D1479" s="64"/>
      <c r="E1479" s="64"/>
      <c r="F1479" s="64"/>
      <c r="G1479" s="64"/>
      <c r="H1479" s="64"/>
      <c r="I1479" s="64"/>
      <c r="J1479" s="64"/>
      <c r="K1479" s="64"/>
      <c r="L1479" s="64"/>
      <c r="M1479" s="64"/>
      <c r="N1479" s="64"/>
      <c r="O1479" s="64"/>
      <c r="P1479" s="64"/>
      <c r="Q1479" s="64"/>
      <c r="R1479" s="64"/>
    </row>
    <row r="1480" spans="1:18" x14ac:dyDescent="0.25">
      <c r="A1480" s="63"/>
      <c r="B1480" s="64"/>
      <c r="C1480" s="64"/>
      <c r="D1480" s="64"/>
      <c r="E1480" s="64"/>
      <c r="F1480" s="64"/>
      <c r="G1480" s="64"/>
      <c r="H1480" s="64"/>
      <c r="I1480" s="64"/>
      <c r="J1480" s="64"/>
      <c r="K1480" s="64"/>
      <c r="L1480" s="64"/>
      <c r="M1480" s="64"/>
      <c r="N1480" s="64"/>
      <c r="O1480" s="64"/>
      <c r="P1480" s="64"/>
      <c r="Q1480" s="64"/>
      <c r="R1480" s="64"/>
    </row>
    <row r="1481" spans="1:18" x14ac:dyDescent="0.25">
      <c r="A1481" s="63"/>
      <c r="B1481" s="64"/>
      <c r="C1481" s="64"/>
      <c r="D1481" s="64"/>
      <c r="E1481" s="64"/>
      <c r="F1481" s="64"/>
      <c r="G1481" s="64"/>
      <c r="H1481" s="64"/>
      <c r="I1481" s="64"/>
      <c r="J1481" s="64"/>
      <c r="K1481" s="64"/>
      <c r="L1481" s="64"/>
      <c r="M1481" s="64"/>
      <c r="N1481" s="64"/>
      <c r="O1481" s="64"/>
      <c r="P1481" s="64"/>
      <c r="Q1481" s="64"/>
      <c r="R1481" s="64"/>
    </row>
    <row r="1482" spans="1:18" x14ac:dyDescent="0.25">
      <c r="A1482" s="63"/>
      <c r="B1482" s="64"/>
      <c r="C1482" s="64"/>
      <c r="D1482" s="64"/>
      <c r="E1482" s="64"/>
      <c r="F1482" s="64"/>
      <c r="G1482" s="64"/>
      <c r="H1482" s="64"/>
      <c r="I1482" s="64"/>
      <c r="J1482" s="64"/>
      <c r="K1482" s="64"/>
      <c r="L1482" s="64"/>
      <c r="M1482" s="64"/>
      <c r="N1482" s="64"/>
      <c r="O1482" s="64"/>
      <c r="P1482" s="64"/>
      <c r="Q1482" s="64"/>
      <c r="R1482" s="64"/>
    </row>
    <row r="1483" spans="1:18" x14ac:dyDescent="0.25">
      <c r="A1483" s="63"/>
      <c r="B1483" s="64"/>
      <c r="C1483" s="64"/>
      <c r="D1483" s="64"/>
      <c r="E1483" s="64"/>
      <c r="F1483" s="64"/>
      <c r="G1483" s="64"/>
      <c r="H1483" s="64"/>
      <c r="I1483" s="64"/>
      <c r="J1483" s="64"/>
      <c r="K1483" s="64"/>
      <c r="L1483" s="64"/>
      <c r="M1483" s="64"/>
      <c r="N1483" s="64"/>
      <c r="O1483" s="64"/>
      <c r="P1483" s="64"/>
      <c r="Q1483" s="64"/>
      <c r="R1483" s="64"/>
    </row>
    <row r="1484" spans="1:18" x14ac:dyDescent="0.25">
      <c r="A1484" s="63"/>
      <c r="B1484" s="64"/>
      <c r="C1484" s="64"/>
      <c r="D1484" s="64"/>
      <c r="E1484" s="64"/>
      <c r="F1484" s="64"/>
      <c r="G1484" s="64"/>
      <c r="H1484" s="64"/>
      <c r="I1484" s="64"/>
      <c r="J1484" s="64"/>
      <c r="K1484" s="64"/>
      <c r="L1484" s="64"/>
      <c r="M1484" s="64"/>
      <c r="N1484" s="64"/>
      <c r="O1484" s="64"/>
      <c r="P1484" s="64"/>
      <c r="Q1484" s="64"/>
      <c r="R1484" s="64"/>
    </row>
    <row r="1485" spans="1:18" x14ac:dyDescent="0.25">
      <c r="A1485" s="63"/>
      <c r="B1485" s="64"/>
      <c r="C1485" s="64"/>
      <c r="D1485" s="64"/>
      <c r="E1485" s="64"/>
      <c r="F1485" s="64"/>
      <c r="G1485" s="64"/>
      <c r="H1485" s="64"/>
      <c r="I1485" s="64"/>
      <c r="J1485" s="64"/>
      <c r="K1485" s="64"/>
      <c r="L1485" s="64"/>
      <c r="M1485" s="64"/>
      <c r="N1485" s="64"/>
      <c r="O1485" s="64"/>
      <c r="P1485" s="64"/>
      <c r="Q1485" s="64"/>
      <c r="R1485" s="64"/>
    </row>
    <row r="1486" spans="1:18" x14ac:dyDescent="0.25">
      <c r="A1486" s="63"/>
      <c r="B1486" s="64"/>
      <c r="C1486" s="64"/>
      <c r="D1486" s="64"/>
      <c r="E1486" s="64"/>
      <c r="F1486" s="64"/>
      <c r="G1486" s="64"/>
      <c r="H1486" s="64"/>
      <c r="I1486" s="64"/>
      <c r="J1486" s="64"/>
      <c r="K1486" s="64"/>
      <c r="L1486" s="64"/>
      <c r="M1486" s="64"/>
      <c r="N1486" s="64"/>
      <c r="O1486" s="64"/>
      <c r="P1486" s="64"/>
      <c r="Q1486" s="64"/>
      <c r="R1486" s="64"/>
    </row>
    <row r="1487" spans="1:18" x14ac:dyDescent="0.25">
      <c r="A1487" s="63"/>
      <c r="B1487" s="64"/>
      <c r="C1487" s="64"/>
      <c r="D1487" s="64"/>
      <c r="E1487" s="64"/>
      <c r="F1487" s="64"/>
      <c r="G1487" s="64"/>
      <c r="H1487" s="64"/>
      <c r="I1487" s="64"/>
      <c r="J1487" s="64"/>
      <c r="K1487" s="64"/>
      <c r="L1487" s="64"/>
      <c r="M1487" s="64"/>
      <c r="N1487" s="64"/>
      <c r="O1487" s="64"/>
      <c r="P1487" s="64"/>
      <c r="Q1487" s="64"/>
      <c r="R1487" s="64"/>
    </row>
    <row r="1488" spans="1:18" x14ac:dyDescent="0.25">
      <c r="A1488" s="63"/>
      <c r="B1488" s="64"/>
      <c r="C1488" s="64"/>
      <c r="D1488" s="64"/>
      <c r="E1488" s="64"/>
      <c r="F1488" s="64"/>
      <c r="G1488" s="64"/>
      <c r="H1488" s="64"/>
      <c r="I1488" s="64"/>
      <c r="J1488" s="64"/>
      <c r="K1488" s="64"/>
      <c r="L1488" s="64"/>
      <c r="M1488" s="64"/>
      <c r="N1488" s="64"/>
      <c r="O1488" s="64"/>
      <c r="P1488" s="64"/>
      <c r="Q1488" s="64"/>
      <c r="R1488" s="64"/>
    </row>
    <row r="1489" spans="1:18" x14ac:dyDescent="0.25">
      <c r="A1489" s="63"/>
      <c r="B1489" s="64"/>
      <c r="C1489" s="64"/>
      <c r="D1489" s="64"/>
      <c r="E1489" s="64"/>
      <c r="F1489" s="64"/>
      <c r="G1489" s="64"/>
      <c r="H1489" s="64"/>
      <c r="I1489" s="64"/>
      <c r="J1489" s="64"/>
      <c r="K1489" s="64"/>
      <c r="L1489" s="64"/>
      <c r="M1489" s="64"/>
      <c r="N1489" s="64"/>
      <c r="O1489" s="64"/>
      <c r="P1489" s="64"/>
      <c r="Q1489" s="64"/>
      <c r="R1489" s="64"/>
    </row>
    <row r="1490" spans="1:18" x14ac:dyDescent="0.25">
      <c r="A1490" s="63"/>
      <c r="B1490" s="64"/>
      <c r="C1490" s="64"/>
      <c r="D1490" s="64"/>
      <c r="E1490" s="64"/>
      <c r="F1490" s="64"/>
      <c r="G1490" s="64"/>
      <c r="H1490" s="64"/>
      <c r="I1490" s="64"/>
      <c r="J1490" s="64"/>
      <c r="K1490" s="64"/>
      <c r="L1490" s="64"/>
      <c r="M1490" s="64"/>
      <c r="N1490" s="64"/>
      <c r="O1490" s="64"/>
      <c r="P1490" s="64"/>
      <c r="Q1490" s="64"/>
      <c r="R1490" s="64"/>
    </row>
    <row r="1491" spans="1:18" x14ac:dyDescent="0.25">
      <c r="A1491" s="63"/>
      <c r="B1491" s="64"/>
      <c r="C1491" s="64"/>
      <c r="D1491" s="64"/>
      <c r="E1491" s="64"/>
      <c r="F1491" s="64"/>
      <c r="G1491" s="64"/>
      <c r="H1491" s="64"/>
      <c r="I1491" s="64"/>
      <c r="J1491" s="64"/>
      <c r="K1491" s="64"/>
      <c r="L1491" s="64"/>
      <c r="M1491" s="64"/>
      <c r="N1491" s="64"/>
      <c r="O1491" s="64"/>
      <c r="P1491" s="64"/>
      <c r="Q1491" s="64"/>
      <c r="R1491" s="64"/>
    </row>
    <row r="1492" spans="1:18" x14ac:dyDescent="0.25">
      <c r="A1492" s="63"/>
      <c r="B1492" s="64"/>
      <c r="C1492" s="64"/>
      <c r="D1492" s="64"/>
      <c r="E1492" s="64"/>
      <c r="F1492" s="64"/>
      <c r="G1492" s="64"/>
      <c r="H1492" s="64"/>
      <c r="I1492" s="64"/>
      <c r="J1492" s="64"/>
      <c r="K1492" s="64"/>
      <c r="L1492" s="64"/>
      <c r="M1492" s="64"/>
      <c r="N1492" s="64"/>
      <c r="O1492" s="64"/>
      <c r="P1492" s="64"/>
      <c r="Q1492" s="64"/>
      <c r="R1492" s="64"/>
    </row>
    <row r="1493" spans="1:18" x14ac:dyDescent="0.25">
      <c r="A1493" s="63"/>
      <c r="B1493" s="64"/>
      <c r="C1493" s="64"/>
      <c r="D1493" s="64"/>
      <c r="E1493" s="64"/>
      <c r="F1493" s="64"/>
      <c r="G1493" s="64"/>
      <c r="H1493" s="64"/>
      <c r="I1493" s="64"/>
      <c r="J1493" s="64"/>
      <c r="K1493" s="64"/>
      <c r="L1493" s="64"/>
      <c r="M1493" s="64"/>
      <c r="N1493" s="64"/>
      <c r="O1493" s="64"/>
      <c r="P1493" s="64"/>
      <c r="Q1493" s="64"/>
      <c r="R1493" s="64"/>
    </row>
    <row r="1494" spans="1:18" x14ac:dyDescent="0.25">
      <c r="A1494" s="63"/>
      <c r="B1494" s="64"/>
      <c r="C1494" s="64"/>
      <c r="D1494" s="64"/>
      <c r="E1494" s="64"/>
      <c r="F1494" s="64"/>
      <c r="G1494" s="64"/>
      <c r="H1494" s="64"/>
      <c r="I1494" s="64"/>
      <c r="J1494" s="64"/>
      <c r="K1494" s="64"/>
      <c r="L1494" s="64"/>
      <c r="M1494" s="64"/>
      <c r="N1494" s="64"/>
      <c r="O1494" s="64"/>
      <c r="P1494" s="64"/>
      <c r="Q1494" s="64"/>
      <c r="R1494" s="64"/>
    </row>
    <row r="1495" spans="1:18" x14ac:dyDescent="0.25">
      <c r="A1495" s="63"/>
      <c r="B1495" s="64"/>
      <c r="C1495" s="64"/>
      <c r="D1495" s="64"/>
      <c r="E1495" s="64"/>
      <c r="F1495" s="64"/>
      <c r="G1495" s="64"/>
      <c r="H1495" s="64"/>
      <c r="I1495" s="64"/>
      <c r="J1495" s="64"/>
      <c r="K1495" s="64"/>
      <c r="L1495" s="64"/>
      <c r="M1495" s="64"/>
      <c r="N1495" s="64"/>
      <c r="O1495" s="64"/>
      <c r="P1495" s="64"/>
      <c r="Q1495" s="64"/>
      <c r="R1495" s="64"/>
    </row>
    <row r="1496" spans="1:18" x14ac:dyDescent="0.25">
      <c r="A1496" s="63"/>
      <c r="B1496" s="64"/>
      <c r="C1496" s="64"/>
      <c r="D1496" s="64"/>
      <c r="E1496" s="64"/>
      <c r="F1496" s="64"/>
      <c r="G1496" s="64"/>
      <c r="H1496" s="64"/>
      <c r="I1496" s="64"/>
      <c r="J1496" s="64"/>
      <c r="K1496" s="64"/>
      <c r="L1496" s="64"/>
      <c r="M1496" s="64"/>
      <c r="N1496" s="64"/>
      <c r="O1496" s="64"/>
      <c r="P1496" s="64"/>
      <c r="Q1496" s="64"/>
      <c r="R1496" s="64"/>
    </row>
    <row r="1497" spans="1:18" x14ac:dyDescent="0.25">
      <c r="A1497" s="63"/>
      <c r="B1497" s="64"/>
      <c r="C1497" s="64"/>
      <c r="D1497" s="64"/>
      <c r="E1497" s="64"/>
      <c r="F1497" s="64"/>
      <c r="G1497" s="64"/>
      <c r="H1497" s="64"/>
      <c r="I1497" s="64"/>
      <c r="J1497" s="64"/>
      <c r="K1497" s="64"/>
      <c r="L1497" s="64"/>
      <c r="M1497" s="64"/>
      <c r="N1497" s="64"/>
      <c r="O1497" s="64"/>
      <c r="P1497" s="64"/>
      <c r="Q1497" s="64"/>
      <c r="R1497" s="64"/>
    </row>
    <row r="1498" spans="1:18" x14ac:dyDescent="0.25">
      <c r="A1498" s="63"/>
      <c r="B1498" s="64"/>
      <c r="C1498" s="64"/>
      <c r="D1498" s="64"/>
      <c r="E1498" s="64"/>
      <c r="F1498" s="64"/>
      <c r="G1498" s="64"/>
      <c r="H1498" s="64"/>
      <c r="I1498" s="64"/>
      <c r="J1498" s="64"/>
      <c r="K1498" s="64"/>
      <c r="L1498" s="64"/>
      <c r="M1498" s="64"/>
      <c r="N1498" s="64"/>
      <c r="O1498" s="64"/>
      <c r="P1498" s="64"/>
      <c r="Q1498" s="64"/>
      <c r="R1498" s="64"/>
    </row>
    <row r="1499" spans="1:18" x14ac:dyDescent="0.25">
      <c r="A1499" s="63"/>
      <c r="B1499" s="64"/>
      <c r="C1499" s="64"/>
      <c r="D1499" s="64"/>
      <c r="E1499" s="64"/>
      <c r="F1499" s="64"/>
      <c r="G1499" s="64"/>
      <c r="H1499" s="64"/>
      <c r="I1499" s="64"/>
      <c r="J1499" s="64"/>
      <c r="K1499" s="64"/>
      <c r="L1499" s="64"/>
      <c r="M1499" s="64"/>
      <c r="N1499" s="64"/>
      <c r="O1499" s="64"/>
      <c r="P1499" s="64"/>
      <c r="Q1499" s="64"/>
      <c r="R1499" s="64"/>
    </row>
    <row r="1500" spans="1:18" x14ac:dyDescent="0.25">
      <c r="A1500" s="63"/>
      <c r="B1500" s="64"/>
      <c r="C1500" s="64"/>
      <c r="D1500" s="64"/>
      <c r="E1500" s="64"/>
      <c r="F1500" s="64"/>
      <c r="G1500" s="64"/>
      <c r="H1500" s="64"/>
      <c r="I1500" s="64"/>
      <c r="J1500" s="64"/>
      <c r="K1500" s="64"/>
      <c r="L1500" s="64"/>
      <c r="M1500" s="64"/>
      <c r="N1500" s="64"/>
      <c r="O1500" s="64"/>
      <c r="P1500" s="64"/>
      <c r="Q1500" s="64"/>
      <c r="R1500" s="64"/>
    </row>
    <row r="1501" spans="1:18" x14ac:dyDescent="0.25">
      <c r="A1501" s="63"/>
      <c r="B1501" s="64"/>
      <c r="C1501" s="64"/>
      <c r="D1501" s="64"/>
      <c r="E1501" s="64"/>
      <c r="F1501" s="64"/>
      <c r="G1501" s="64"/>
      <c r="H1501" s="64"/>
      <c r="I1501" s="64"/>
      <c r="J1501" s="64"/>
      <c r="K1501" s="64"/>
      <c r="L1501" s="64"/>
      <c r="M1501" s="64"/>
      <c r="N1501" s="64"/>
      <c r="O1501" s="64"/>
      <c r="P1501" s="64"/>
      <c r="Q1501" s="64"/>
      <c r="R1501" s="64"/>
    </row>
    <row r="1502" spans="1:18" x14ac:dyDescent="0.25">
      <c r="A1502" s="63"/>
      <c r="B1502" s="64"/>
      <c r="C1502" s="64"/>
      <c r="D1502" s="64"/>
      <c r="E1502" s="64"/>
      <c r="F1502" s="64"/>
      <c r="G1502" s="64"/>
      <c r="H1502" s="64"/>
      <c r="I1502" s="64"/>
      <c r="J1502" s="64"/>
      <c r="K1502" s="64"/>
      <c r="L1502" s="64"/>
      <c r="M1502" s="64"/>
      <c r="N1502" s="64"/>
      <c r="O1502" s="64"/>
      <c r="P1502" s="64"/>
      <c r="Q1502" s="64"/>
      <c r="R1502" s="64"/>
    </row>
    <row r="1503" spans="1:18" x14ac:dyDescent="0.25">
      <c r="A1503" s="63"/>
      <c r="B1503" s="64"/>
      <c r="C1503" s="64"/>
      <c r="D1503" s="64"/>
      <c r="E1503" s="64"/>
      <c r="F1503" s="64"/>
      <c r="G1503" s="64"/>
      <c r="H1503" s="64"/>
      <c r="I1503" s="64"/>
      <c r="J1503" s="64"/>
      <c r="K1503" s="64"/>
      <c r="L1503" s="64"/>
      <c r="M1503" s="64"/>
      <c r="N1503" s="64"/>
      <c r="O1503" s="64"/>
      <c r="P1503" s="64"/>
      <c r="Q1503" s="64"/>
      <c r="R1503" s="64"/>
    </row>
    <row r="1504" spans="1:18" x14ac:dyDescent="0.25">
      <c r="A1504" s="63"/>
      <c r="B1504" s="64"/>
      <c r="C1504" s="64"/>
      <c r="D1504" s="64"/>
      <c r="E1504" s="64"/>
      <c r="F1504" s="64"/>
      <c r="G1504" s="64"/>
      <c r="H1504" s="64"/>
      <c r="I1504" s="64"/>
      <c r="J1504" s="64"/>
      <c r="K1504" s="64"/>
      <c r="L1504" s="64"/>
      <c r="M1504" s="64"/>
      <c r="N1504" s="64"/>
      <c r="O1504" s="64"/>
      <c r="P1504" s="64"/>
      <c r="Q1504" s="64"/>
      <c r="R1504" s="64"/>
    </row>
    <row r="1505" spans="1:18" x14ac:dyDescent="0.25">
      <c r="A1505" s="63"/>
      <c r="B1505" s="64"/>
      <c r="C1505" s="64"/>
      <c r="D1505" s="64"/>
      <c r="E1505" s="64"/>
      <c r="F1505" s="64"/>
      <c r="G1505" s="64"/>
      <c r="H1505" s="64"/>
      <c r="I1505" s="64"/>
      <c r="J1505" s="64"/>
      <c r="K1505" s="64"/>
      <c r="L1505" s="64"/>
      <c r="M1505" s="64"/>
      <c r="N1505" s="64"/>
      <c r="O1505" s="64"/>
      <c r="P1505" s="64"/>
      <c r="Q1505" s="64"/>
      <c r="R1505" s="64"/>
    </row>
    <row r="1506" spans="1:18" x14ac:dyDescent="0.25">
      <c r="A1506" s="63"/>
      <c r="B1506" s="64"/>
      <c r="C1506" s="64"/>
      <c r="D1506" s="64"/>
      <c r="E1506" s="64"/>
      <c r="F1506" s="64"/>
      <c r="G1506" s="64"/>
      <c r="H1506" s="64"/>
      <c r="I1506" s="64"/>
      <c r="J1506" s="64"/>
      <c r="K1506" s="64"/>
      <c r="L1506" s="64"/>
      <c r="M1506" s="64"/>
      <c r="N1506" s="64"/>
      <c r="O1506" s="64"/>
      <c r="P1506" s="64"/>
      <c r="Q1506" s="64"/>
      <c r="R1506" s="64"/>
    </row>
    <row r="1507" spans="1:18" x14ac:dyDescent="0.25">
      <c r="A1507" s="63"/>
      <c r="B1507" s="64"/>
      <c r="C1507" s="64"/>
      <c r="D1507" s="64"/>
      <c r="E1507" s="64"/>
      <c r="F1507" s="64"/>
      <c r="G1507" s="64"/>
      <c r="H1507" s="64"/>
      <c r="I1507" s="64"/>
      <c r="J1507" s="64"/>
      <c r="K1507" s="64"/>
      <c r="L1507" s="64"/>
      <c r="M1507" s="64"/>
      <c r="N1507" s="64"/>
      <c r="O1507" s="64"/>
      <c r="P1507" s="64"/>
      <c r="Q1507" s="64"/>
      <c r="R1507" s="64"/>
    </row>
    <row r="1508" spans="1:18" x14ac:dyDescent="0.25">
      <c r="A1508" s="63"/>
      <c r="B1508" s="64"/>
      <c r="C1508" s="64"/>
      <c r="D1508" s="64"/>
      <c r="E1508" s="64"/>
      <c r="F1508" s="64"/>
      <c r="G1508" s="64"/>
      <c r="H1508" s="64"/>
      <c r="I1508" s="64"/>
      <c r="J1508" s="64"/>
      <c r="K1508" s="64"/>
      <c r="L1508" s="64"/>
      <c r="M1508" s="64"/>
      <c r="N1508" s="64"/>
      <c r="O1508" s="64"/>
      <c r="P1508" s="64"/>
      <c r="Q1508" s="64"/>
      <c r="R1508" s="64"/>
    </row>
    <row r="1509" spans="1:18" x14ac:dyDescent="0.25">
      <c r="A1509" s="63"/>
      <c r="B1509" s="64"/>
      <c r="C1509" s="64"/>
      <c r="D1509" s="64"/>
      <c r="E1509" s="64"/>
      <c r="F1509" s="64"/>
      <c r="G1509" s="64"/>
      <c r="H1509" s="64"/>
      <c r="I1509" s="64"/>
      <c r="J1509" s="64"/>
      <c r="K1509" s="64"/>
      <c r="L1509" s="64"/>
      <c r="M1509" s="64"/>
      <c r="N1509" s="64"/>
      <c r="O1509" s="64"/>
      <c r="P1509" s="64"/>
      <c r="Q1509" s="64"/>
      <c r="R1509" s="64"/>
    </row>
    <row r="1510" spans="1:18" x14ac:dyDescent="0.25">
      <c r="A1510" s="63"/>
      <c r="B1510" s="64"/>
      <c r="C1510" s="64"/>
      <c r="D1510" s="64"/>
      <c r="E1510" s="64"/>
      <c r="F1510" s="64"/>
      <c r="G1510" s="64"/>
      <c r="H1510" s="64"/>
      <c r="I1510" s="64"/>
      <c r="J1510" s="64"/>
      <c r="K1510" s="64"/>
      <c r="L1510" s="64"/>
      <c r="M1510" s="64"/>
      <c r="N1510" s="64"/>
      <c r="O1510" s="64"/>
      <c r="P1510" s="64"/>
      <c r="Q1510" s="64"/>
      <c r="R1510" s="64"/>
    </row>
    <row r="1511" spans="1:18" x14ac:dyDescent="0.25">
      <c r="A1511" s="63"/>
      <c r="B1511" s="64"/>
      <c r="C1511" s="64"/>
      <c r="D1511" s="64"/>
      <c r="E1511" s="64"/>
      <c r="F1511" s="64"/>
      <c r="G1511" s="64"/>
      <c r="H1511" s="64"/>
      <c r="I1511" s="64"/>
      <c r="J1511" s="64"/>
      <c r="K1511" s="64"/>
      <c r="L1511" s="64"/>
      <c r="M1511" s="64"/>
      <c r="N1511" s="64"/>
      <c r="O1511" s="64"/>
      <c r="P1511" s="64"/>
      <c r="Q1511" s="64"/>
      <c r="R1511" s="64"/>
    </row>
    <row r="1512" spans="1:18" x14ac:dyDescent="0.25">
      <c r="A1512" s="63"/>
      <c r="B1512" s="64"/>
      <c r="C1512" s="64"/>
      <c r="D1512" s="64"/>
      <c r="E1512" s="64"/>
      <c r="F1512" s="64"/>
      <c r="G1512" s="64"/>
      <c r="H1512" s="64"/>
      <c r="I1512" s="64"/>
      <c r="J1512" s="64"/>
      <c r="K1512" s="64"/>
      <c r="L1512" s="64"/>
      <c r="M1512" s="64"/>
      <c r="N1512" s="64"/>
      <c r="O1512" s="64"/>
      <c r="P1512" s="64"/>
      <c r="Q1512" s="64"/>
      <c r="R1512" s="64"/>
    </row>
    <row r="1513" spans="1:18" x14ac:dyDescent="0.25">
      <c r="A1513" s="63"/>
      <c r="B1513" s="64"/>
      <c r="C1513" s="64"/>
      <c r="D1513" s="64"/>
      <c r="E1513" s="64"/>
      <c r="F1513" s="64"/>
      <c r="G1513" s="64"/>
      <c r="H1513" s="64"/>
      <c r="I1513" s="64"/>
      <c r="J1513" s="64"/>
      <c r="K1513" s="64"/>
      <c r="L1513" s="64"/>
      <c r="M1513" s="64"/>
      <c r="N1513" s="64"/>
      <c r="O1513" s="64"/>
      <c r="P1513" s="64"/>
      <c r="Q1513" s="64"/>
      <c r="R1513" s="64"/>
    </row>
    <row r="1514" spans="1:18" x14ac:dyDescent="0.25">
      <c r="A1514" s="63"/>
      <c r="B1514" s="64"/>
      <c r="C1514" s="64"/>
      <c r="D1514" s="64"/>
      <c r="E1514" s="64"/>
      <c r="F1514" s="64"/>
      <c r="G1514" s="64"/>
      <c r="H1514" s="64"/>
      <c r="I1514" s="64"/>
      <c r="J1514" s="64"/>
      <c r="K1514" s="64"/>
      <c r="L1514" s="64"/>
      <c r="M1514" s="64"/>
      <c r="N1514" s="64"/>
      <c r="O1514" s="64"/>
      <c r="P1514" s="64"/>
      <c r="Q1514" s="64"/>
      <c r="R1514" s="64"/>
    </row>
    <row r="1515" spans="1:18" x14ac:dyDescent="0.25">
      <c r="A1515" s="63"/>
      <c r="B1515" s="64"/>
      <c r="C1515" s="64"/>
      <c r="D1515" s="64"/>
      <c r="E1515" s="64"/>
      <c r="F1515" s="64"/>
      <c r="G1515" s="64"/>
      <c r="H1515" s="64"/>
      <c r="I1515" s="64"/>
      <c r="J1515" s="64"/>
      <c r="K1515" s="64"/>
      <c r="L1515" s="64"/>
      <c r="M1515" s="64"/>
      <c r="N1515" s="64"/>
      <c r="O1515" s="64"/>
      <c r="P1515" s="64"/>
      <c r="Q1515" s="64"/>
      <c r="R1515" s="64"/>
    </row>
    <row r="1516" spans="1:18" x14ac:dyDescent="0.25">
      <c r="A1516" s="63"/>
      <c r="B1516" s="64"/>
      <c r="C1516" s="64"/>
      <c r="D1516" s="64"/>
      <c r="E1516" s="64"/>
      <c r="F1516" s="64"/>
      <c r="G1516" s="64"/>
      <c r="H1516" s="64"/>
      <c r="I1516" s="64"/>
      <c r="J1516" s="64"/>
      <c r="K1516" s="64"/>
      <c r="L1516" s="64"/>
      <c r="M1516" s="64"/>
      <c r="N1516" s="64"/>
      <c r="O1516" s="64"/>
      <c r="P1516" s="64"/>
      <c r="Q1516" s="64"/>
      <c r="R1516" s="64"/>
    </row>
    <row r="1517" spans="1:18" x14ac:dyDescent="0.25">
      <c r="A1517" s="63"/>
      <c r="B1517" s="64"/>
      <c r="C1517" s="64"/>
      <c r="D1517" s="64"/>
      <c r="E1517" s="64"/>
      <c r="F1517" s="64"/>
      <c r="G1517" s="64"/>
      <c r="H1517" s="64"/>
      <c r="I1517" s="64"/>
      <c r="J1517" s="64"/>
      <c r="K1517" s="64"/>
      <c r="L1517" s="64"/>
      <c r="M1517" s="64"/>
      <c r="N1517" s="64"/>
      <c r="O1517" s="64"/>
      <c r="P1517" s="64"/>
      <c r="Q1517" s="64"/>
      <c r="R1517" s="64"/>
    </row>
    <row r="1518" spans="1:18" x14ac:dyDescent="0.25">
      <c r="A1518" s="63"/>
      <c r="B1518" s="64"/>
      <c r="C1518" s="64"/>
      <c r="D1518" s="64"/>
      <c r="E1518" s="64"/>
      <c r="F1518" s="64"/>
      <c r="G1518" s="64"/>
      <c r="H1518" s="64"/>
      <c r="I1518" s="64"/>
      <c r="J1518" s="64"/>
      <c r="K1518" s="64"/>
      <c r="L1518" s="64"/>
      <c r="M1518" s="64"/>
      <c r="N1518" s="64"/>
      <c r="O1518" s="64"/>
      <c r="P1518" s="64"/>
      <c r="Q1518" s="64"/>
      <c r="R1518" s="64"/>
    </row>
    <row r="1519" spans="1:18" x14ac:dyDescent="0.25">
      <c r="A1519" s="63"/>
      <c r="B1519" s="64"/>
      <c r="C1519" s="64"/>
      <c r="D1519" s="64"/>
      <c r="E1519" s="64"/>
      <c r="F1519" s="64"/>
      <c r="G1519" s="64"/>
      <c r="H1519" s="64"/>
      <c r="I1519" s="64"/>
      <c r="J1519" s="64"/>
      <c r="K1519" s="64"/>
      <c r="L1519" s="64"/>
      <c r="M1519" s="64"/>
      <c r="N1519" s="64"/>
      <c r="O1519" s="64"/>
      <c r="P1519" s="64"/>
      <c r="Q1519" s="64"/>
      <c r="R1519" s="64"/>
    </row>
    <row r="1520" spans="1:18" x14ac:dyDescent="0.25">
      <c r="A1520" s="63"/>
      <c r="B1520" s="64"/>
      <c r="C1520" s="64"/>
      <c r="D1520" s="64"/>
      <c r="E1520" s="64"/>
      <c r="F1520" s="64"/>
      <c r="G1520" s="64"/>
      <c r="H1520" s="64"/>
      <c r="I1520" s="64"/>
      <c r="J1520" s="64"/>
      <c r="K1520" s="64"/>
      <c r="L1520" s="64"/>
      <c r="M1520" s="64"/>
      <c r="N1520" s="64"/>
      <c r="O1520" s="64"/>
      <c r="P1520" s="64"/>
      <c r="Q1520" s="64"/>
      <c r="R1520" s="64"/>
    </row>
    <row r="1521" spans="1:18" x14ac:dyDescent="0.25">
      <c r="A1521" s="63"/>
      <c r="B1521" s="64"/>
      <c r="C1521" s="64"/>
      <c r="D1521" s="64"/>
      <c r="E1521" s="64"/>
      <c r="F1521" s="64"/>
      <c r="G1521" s="64"/>
      <c r="H1521" s="64"/>
      <c r="I1521" s="64"/>
      <c r="J1521" s="64"/>
      <c r="K1521" s="64"/>
      <c r="L1521" s="64"/>
      <c r="M1521" s="64"/>
      <c r="N1521" s="64"/>
      <c r="O1521" s="64"/>
      <c r="P1521" s="64"/>
      <c r="Q1521" s="64"/>
      <c r="R1521" s="64"/>
    </row>
    <row r="1522" spans="1:18" x14ac:dyDescent="0.25">
      <c r="A1522" s="63"/>
      <c r="B1522" s="64"/>
      <c r="C1522" s="64"/>
      <c r="D1522" s="64"/>
      <c r="E1522" s="64"/>
      <c r="F1522" s="64"/>
      <c r="G1522" s="64"/>
      <c r="H1522" s="64"/>
      <c r="I1522" s="64"/>
      <c r="J1522" s="64"/>
      <c r="K1522" s="64"/>
      <c r="L1522" s="64"/>
      <c r="M1522" s="64"/>
      <c r="N1522" s="64"/>
      <c r="O1522" s="64"/>
      <c r="P1522" s="64"/>
      <c r="Q1522" s="64"/>
      <c r="R1522" s="64"/>
    </row>
    <row r="1523" spans="1:18" x14ac:dyDescent="0.25">
      <c r="A1523" s="63"/>
      <c r="B1523" s="64"/>
      <c r="C1523" s="64"/>
      <c r="D1523" s="64"/>
      <c r="E1523" s="64"/>
      <c r="F1523" s="64"/>
      <c r="G1523" s="64"/>
      <c r="H1523" s="64"/>
      <c r="I1523" s="64"/>
      <c r="J1523" s="64"/>
      <c r="K1523" s="64"/>
      <c r="L1523" s="64"/>
      <c r="M1523" s="64"/>
      <c r="N1523" s="64"/>
      <c r="O1523" s="64"/>
      <c r="P1523" s="64"/>
      <c r="Q1523" s="64"/>
      <c r="R1523" s="64"/>
    </row>
    <row r="1524" spans="1:18" x14ac:dyDescent="0.25">
      <c r="A1524" s="63"/>
      <c r="B1524" s="64"/>
      <c r="C1524" s="64"/>
      <c r="D1524" s="64"/>
      <c r="E1524" s="64"/>
      <c r="F1524" s="64"/>
      <c r="G1524" s="64"/>
      <c r="H1524" s="64"/>
      <c r="I1524" s="64"/>
      <c r="J1524" s="64"/>
      <c r="K1524" s="64"/>
      <c r="L1524" s="64"/>
      <c r="M1524" s="64"/>
      <c r="N1524" s="64"/>
      <c r="O1524" s="64"/>
      <c r="P1524" s="64"/>
      <c r="Q1524" s="64"/>
      <c r="R1524" s="64"/>
    </row>
    <row r="1525" spans="1:18" x14ac:dyDescent="0.25">
      <c r="A1525" s="63"/>
      <c r="B1525" s="64"/>
      <c r="C1525" s="64"/>
      <c r="D1525" s="64"/>
      <c r="E1525" s="64"/>
      <c r="F1525" s="64"/>
      <c r="G1525" s="64"/>
      <c r="H1525" s="64"/>
      <c r="I1525" s="64"/>
      <c r="J1525" s="64"/>
      <c r="K1525" s="64"/>
      <c r="L1525" s="64"/>
      <c r="M1525" s="64"/>
      <c r="N1525" s="64"/>
      <c r="O1525" s="64"/>
      <c r="P1525" s="64"/>
      <c r="Q1525" s="64"/>
      <c r="R1525" s="64"/>
    </row>
    <row r="1526" spans="1:18" x14ac:dyDescent="0.25">
      <c r="A1526" s="63"/>
      <c r="B1526" s="64"/>
      <c r="C1526" s="64"/>
      <c r="D1526" s="64"/>
      <c r="E1526" s="64"/>
      <c r="F1526" s="64"/>
      <c r="G1526" s="64"/>
      <c r="H1526" s="64"/>
      <c r="I1526" s="64"/>
      <c r="J1526" s="64"/>
      <c r="K1526" s="64"/>
      <c r="L1526" s="64"/>
      <c r="M1526" s="64"/>
      <c r="N1526" s="64"/>
      <c r="O1526" s="64"/>
      <c r="P1526" s="64"/>
      <c r="Q1526" s="64"/>
      <c r="R1526" s="64"/>
    </row>
    <row r="1527" spans="1:18" x14ac:dyDescent="0.25">
      <c r="A1527" s="63"/>
      <c r="B1527" s="64"/>
      <c r="C1527" s="64"/>
      <c r="D1527" s="64"/>
      <c r="E1527" s="64"/>
      <c r="F1527" s="64"/>
      <c r="G1527" s="64"/>
      <c r="H1527" s="64"/>
      <c r="I1527" s="64"/>
      <c r="J1527" s="64"/>
      <c r="K1527" s="64"/>
      <c r="L1527" s="64"/>
      <c r="M1527" s="64"/>
      <c r="N1527" s="64"/>
      <c r="O1527" s="64"/>
      <c r="P1527" s="64"/>
      <c r="Q1527" s="64"/>
      <c r="R1527" s="64"/>
    </row>
    <row r="1528" spans="1:18" x14ac:dyDescent="0.25">
      <c r="A1528" s="63"/>
      <c r="B1528" s="64"/>
      <c r="C1528" s="64"/>
      <c r="D1528" s="64"/>
      <c r="E1528" s="64"/>
      <c r="F1528" s="64"/>
      <c r="G1528" s="64"/>
      <c r="H1528" s="64"/>
      <c r="I1528" s="64"/>
      <c r="J1528" s="64"/>
      <c r="K1528" s="64"/>
      <c r="L1528" s="64"/>
      <c r="M1528" s="64"/>
      <c r="N1528" s="64"/>
      <c r="O1528" s="64"/>
      <c r="P1528" s="64"/>
      <c r="Q1528" s="64"/>
      <c r="R1528" s="64"/>
    </row>
    <row r="1529" spans="1:18" x14ac:dyDescent="0.25">
      <c r="A1529" s="63"/>
      <c r="B1529" s="64"/>
      <c r="C1529" s="64"/>
      <c r="D1529" s="64"/>
      <c r="E1529" s="64"/>
      <c r="F1529" s="64"/>
      <c r="G1529" s="64"/>
      <c r="H1529" s="64"/>
      <c r="I1529" s="64"/>
      <c r="J1529" s="64"/>
      <c r="K1529" s="64"/>
      <c r="L1529" s="64"/>
      <c r="M1529" s="64"/>
      <c r="N1529" s="64"/>
      <c r="O1529" s="64"/>
      <c r="P1529" s="64"/>
      <c r="Q1529" s="64"/>
      <c r="R1529" s="64"/>
    </row>
    <row r="1530" spans="1:18" x14ac:dyDescent="0.25">
      <c r="A1530" s="63"/>
      <c r="B1530" s="64"/>
      <c r="C1530" s="64"/>
      <c r="D1530" s="64"/>
      <c r="E1530" s="64"/>
      <c r="F1530" s="64"/>
      <c r="G1530" s="64"/>
      <c r="H1530" s="64"/>
      <c r="I1530" s="64"/>
      <c r="J1530" s="64"/>
      <c r="K1530" s="64"/>
      <c r="L1530" s="64"/>
      <c r="M1530" s="64"/>
      <c r="N1530" s="64"/>
      <c r="O1530" s="64"/>
      <c r="P1530" s="64"/>
      <c r="Q1530" s="64"/>
      <c r="R1530" s="64"/>
    </row>
    <row r="1531" spans="1:18" x14ac:dyDescent="0.25">
      <c r="A1531" s="63"/>
      <c r="B1531" s="64"/>
      <c r="C1531" s="64"/>
      <c r="D1531" s="64"/>
      <c r="E1531" s="64"/>
      <c r="F1531" s="64"/>
      <c r="G1531" s="64"/>
      <c r="H1531" s="64"/>
      <c r="I1531" s="64"/>
      <c r="J1531" s="64"/>
      <c r="K1531" s="64"/>
      <c r="L1531" s="64"/>
      <c r="M1531" s="64"/>
      <c r="N1531" s="64"/>
      <c r="O1531" s="64"/>
      <c r="P1531" s="64"/>
      <c r="Q1531" s="64"/>
      <c r="R1531" s="64"/>
    </row>
    <row r="1532" spans="1:18" x14ac:dyDescent="0.25">
      <c r="A1532" s="63"/>
      <c r="B1532" s="64"/>
      <c r="C1532" s="64"/>
      <c r="D1532" s="64"/>
      <c r="E1532" s="64"/>
      <c r="F1532" s="64"/>
      <c r="G1532" s="64"/>
      <c r="H1532" s="64"/>
      <c r="I1532" s="64"/>
      <c r="J1532" s="64"/>
      <c r="K1532" s="64"/>
      <c r="L1532" s="64"/>
      <c r="M1532" s="64"/>
      <c r="N1532" s="64"/>
      <c r="O1532" s="64"/>
      <c r="P1532" s="64"/>
      <c r="Q1532" s="64"/>
      <c r="R1532" s="64"/>
    </row>
    <row r="1533" spans="1:18" x14ac:dyDescent="0.25">
      <c r="A1533" s="63"/>
      <c r="B1533" s="64"/>
      <c r="C1533" s="64"/>
      <c r="D1533" s="64"/>
      <c r="E1533" s="64"/>
      <c r="F1533" s="64"/>
      <c r="G1533" s="64"/>
      <c r="H1533" s="64"/>
      <c r="I1533" s="64"/>
      <c r="J1533" s="64"/>
      <c r="K1533" s="64"/>
      <c r="L1533" s="64"/>
      <c r="M1533" s="64"/>
      <c r="N1533" s="64"/>
      <c r="O1533" s="64"/>
      <c r="P1533" s="64"/>
      <c r="Q1533" s="64"/>
      <c r="R1533" s="64"/>
    </row>
    <row r="1534" spans="1:18" x14ac:dyDescent="0.25">
      <c r="A1534" s="63"/>
      <c r="B1534" s="64"/>
      <c r="C1534" s="64"/>
      <c r="D1534" s="64"/>
      <c r="E1534" s="64"/>
      <c r="F1534" s="64"/>
      <c r="G1534" s="64"/>
      <c r="H1534" s="64"/>
      <c r="I1534" s="64"/>
      <c r="J1534" s="64"/>
      <c r="K1534" s="64"/>
      <c r="L1534" s="64"/>
      <c r="M1534" s="64"/>
      <c r="N1534" s="64"/>
      <c r="O1534" s="64"/>
      <c r="P1534" s="64"/>
      <c r="Q1534" s="64"/>
      <c r="R1534" s="64"/>
    </row>
    <row r="1535" spans="1:18" x14ac:dyDescent="0.25">
      <c r="A1535" s="63"/>
      <c r="B1535" s="64"/>
      <c r="C1535" s="64"/>
      <c r="D1535" s="64"/>
      <c r="E1535" s="64"/>
      <c r="F1535" s="64"/>
      <c r="G1535" s="64"/>
      <c r="H1535" s="64"/>
      <c r="I1535" s="64"/>
      <c r="J1535" s="64"/>
      <c r="K1535" s="64"/>
      <c r="L1535" s="64"/>
      <c r="M1535" s="64"/>
      <c r="N1535" s="64"/>
      <c r="O1535" s="64"/>
      <c r="P1535" s="64"/>
      <c r="Q1535" s="64"/>
      <c r="R1535" s="64"/>
    </row>
    <row r="1536" spans="1:18" x14ac:dyDescent="0.25">
      <c r="A1536" s="63"/>
      <c r="B1536" s="64"/>
      <c r="C1536" s="64"/>
      <c r="D1536" s="64"/>
      <c r="E1536" s="64"/>
      <c r="F1536" s="64"/>
      <c r="G1536" s="64"/>
      <c r="H1536" s="64"/>
      <c r="I1536" s="64"/>
      <c r="J1536" s="64"/>
      <c r="K1536" s="64"/>
      <c r="L1536" s="64"/>
      <c r="M1536" s="64"/>
      <c r="N1536" s="64"/>
      <c r="O1536" s="64"/>
      <c r="P1536" s="64"/>
      <c r="Q1536" s="64"/>
      <c r="R1536" s="64"/>
    </row>
    <row r="1537" spans="1:18" x14ac:dyDescent="0.25">
      <c r="A1537" s="63"/>
      <c r="B1537" s="64"/>
      <c r="C1537" s="64"/>
      <c r="D1537" s="64"/>
      <c r="E1537" s="64"/>
      <c r="F1537" s="64"/>
      <c r="G1537" s="64"/>
      <c r="H1537" s="64"/>
      <c r="I1537" s="64"/>
      <c r="J1537" s="64"/>
      <c r="K1537" s="64"/>
      <c r="L1537" s="64"/>
      <c r="M1537" s="64"/>
      <c r="N1537" s="64"/>
      <c r="O1537" s="64"/>
      <c r="P1537" s="64"/>
      <c r="Q1537" s="64"/>
      <c r="R1537" s="64"/>
    </row>
    <row r="1538" spans="1:18" x14ac:dyDescent="0.25">
      <c r="A1538" s="63"/>
      <c r="B1538" s="64"/>
      <c r="C1538" s="64"/>
      <c r="D1538" s="64"/>
      <c r="E1538" s="64"/>
      <c r="F1538" s="64"/>
      <c r="G1538" s="64"/>
      <c r="H1538" s="64"/>
      <c r="I1538" s="64"/>
      <c r="J1538" s="64"/>
      <c r="K1538" s="64"/>
      <c r="L1538" s="64"/>
      <c r="M1538" s="64"/>
      <c r="N1538" s="64"/>
      <c r="O1538" s="64"/>
      <c r="P1538" s="64"/>
      <c r="Q1538" s="64"/>
      <c r="R1538" s="64"/>
    </row>
    <row r="1539" spans="1:18" x14ac:dyDescent="0.25">
      <c r="A1539" s="63"/>
      <c r="B1539" s="64"/>
      <c r="C1539" s="64"/>
      <c r="D1539" s="64"/>
      <c r="E1539" s="64"/>
      <c r="F1539" s="64"/>
      <c r="G1539" s="64"/>
      <c r="H1539" s="64"/>
      <c r="I1539" s="64"/>
      <c r="J1539" s="64"/>
      <c r="K1539" s="64"/>
      <c r="L1539" s="64"/>
      <c r="M1539" s="64"/>
      <c r="N1539" s="64"/>
      <c r="O1539" s="64"/>
      <c r="P1539" s="64"/>
      <c r="Q1539" s="64"/>
      <c r="R1539" s="64"/>
    </row>
    <row r="1540" spans="1:18" x14ac:dyDescent="0.25">
      <c r="A1540" s="63"/>
      <c r="B1540" s="64"/>
      <c r="C1540" s="64"/>
      <c r="D1540" s="64"/>
      <c r="E1540" s="64"/>
      <c r="F1540" s="64"/>
      <c r="G1540" s="64"/>
      <c r="H1540" s="64"/>
      <c r="I1540" s="64"/>
      <c r="J1540" s="64"/>
      <c r="K1540" s="64"/>
      <c r="L1540" s="64"/>
      <c r="M1540" s="64"/>
      <c r="N1540" s="64"/>
      <c r="O1540" s="64"/>
      <c r="P1540" s="64"/>
      <c r="Q1540" s="64"/>
      <c r="R1540" s="64"/>
    </row>
    <row r="1541" spans="1:18" x14ac:dyDescent="0.25">
      <c r="A1541" s="63"/>
      <c r="B1541" s="64"/>
      <c r="C1541" s="64"/>
      <c r="D1541" s="64"/>
      <c r="E1541" s="64"/>
      <c r="F1541" s="64"/>
      <c r="G1541" s="64"/>
      <c r="H1541" s="64"/>
      <c r="I1541" s="64"/>
      <c r="J1541" s="64"/>
      <c r="K1541" s="64"/>
      <c r="L1541" s="64"/>
      <c r="M1541" s="64"/>
      <c r="N1541" s="64"/>
      <c r="O1541" s="64"/>
      <c r="P1541" s="64"/>
      <c r="Q1541" s="64"/>
      <c r="R1541" s="64"/>
    </row>
    <row r="1542" spans="1:18" x14ac:dyDescent="0.25">
      <c r="A1542" s="63"/>
      <c r="B1542" s="64"/>
      <c r="C1542" s="64"/>
      <c r="D1542" s="64"/>
      <c r="E1542" s="64"/>
      <c r="F1542" s="64"/>
      <c r="G1542" s="64"/>
      <c r="H1542" s="64"/>
      <c r="I1542" s="64"/>
      <c r="J1542" s="64"/>
      <c r="K1542" s="64"/>
      <c r="L1542" s="64"/>
      <c r="M1542" s="64"/>
      <c r="N1542" s="64"/>
      <c r="O1542" s="64"/>
      <c r="P1542" s="64"/>
      <c r="Q1542" s="64"/>
      <c r="R1542" s="64"/>
    </row>
    <row r="1543" spans="1:18" x14ac:dyDescent="0.25">
      <c r="A1543" s="63"/>
      <c r="B1543" s="64"/>
      <c r="C1543" s="64"/>
      <c r="D1543" s="64"/>
      <c r="E1543" s="64"/>
      <c r="F1543" s="64"/>
      <c r="G1543" s="64"/>
      <c r="H1543" s="64"/>
      <c r="I1543" s="64"/>
      <c r="J1543" s="64"/>
      <c r="K1543" s="64"/>
      <c r="L1543" s="64"/>
      <c r="M1543" s="64"/>
      <c r="N1543" s="64"/>
      <c r="O1543" s="64"/>
      <c r="P1543" s="64"/>
      <c r="Q1543" s="64"/>
      <c r="R1543" s="64"/>
    </row>
    <row r="1544" spans="1:18" x14ac:dyDescent="0.25">
      <c r="A1544" s="63"/>
      <c r="B1544" s="64"/>
      <c r="C1544" s="64"/>
      <c r="D1544" s="64"/>
      <c r="E1544" s="64"/>
      <c r="F1544" s="64"/>
      <c r="G1544" s="64"/>
      <c r="H1544" s="64"/>
      <c r="I1544" s="64"/>
      <c r="J1544" s="64"/>
      <c r="K1544" s="64"/>
      <c r="L1544" s="64"/>
      <c r="M1544" s="64"/>
      <c r="N1544" s="64"/>
      <c r="O1544" s="64"/>
      <c r="P1544" s="64"/>
      <c r="Q1544" s="64"/>
      <c r="R1544" s="64"/>
    </row>
    <row r="1545" spans="1:18" x14ac:dyDescent="0.25">
      <c r="A1545" s="63"/>
      <c r="B1545" s="64"/>
      <c r="C1545" s="64"/>
      <c r="D1545" s="64"/>
      <c r="E1545" s="64"/>
      <c r="F1545" s="64"/>
      <c r="G1545" s="64"/>
      <c r="H1545" s="64"/>
      <c r="I1545" s="64"/>
      <c r="J1545" s="64"/>
      <c r="K1545" s="64"/>
      <c r="L1545" s="64"/>
      <c r="M1545" s="64"/>
      <c r="N1545" s="64"/>
      <c r="O1545" s="64"/>
      <c r="P1545" s="64"/>
      <c r="Q1545" s="64"/>
      <c r="R1545" s="64"/>
    </row>
    <row r="1546" spans="1:18" x14ac:dyDescent="0.25">
      <c r="A1546" s="63"/>
      <c r="B1546" s="64"/>
      <c r="C1546" s="64"/>
      <c r="D1546" s="64"/>
      <c r="E1546" s="64"/>
      <c r="F1546" s="64"/>
      <c r="G1546" s="64"/>
      <c r="H1546" s="64"/>
      <c r="I1546" s="64"/>
      <c r="J1546" s="64"/>
      <c r="K1546" s="64"/>
      <c r="L1546" s="64"/>
      <c r="M1546" s="64"/>
      <c r="N1546" s="64"/>
      <c r="O1546" s="64"/>
      <c r="P1546" s="64"/>
      <c r="Q1546" s="64"/>
      <c r="R1546" s="64"/>
    </row>
    <row r="1547" spans="1:18" x14ac:dyDescent="0.25">
      <c r="A1547" s="63"/>
      <c r="B1547" s="64"/>
      <c r="C1547" s="64"/>
      <c r="D1547" s="64"/>
      <c r="E1547" s="64"/>
      <c r="F1547" s="64"/>
      <c r="G1547" s="64"/>
      <c r="H1547" s="64"/>
      <c r="I1547" s="64"/>
      <c r="J1547" s="64"/>
      <c r="K1547" s="64"/>
      <c r="L1547" s="64"/>
      <c r="M1547" s="64"/>
      <c r="N1547" s="64"/>
      <c r="O1547" s="64"/>
      <c r="P1547" s="64"/>
      <c r="Q1547" s="64"/>
      <c r="R1547" s="64"/>
    </row>
    <row r="1548" spans="1:18" x14ac:dyDescent="0.25">
      <c r="A1548" s="63"/>
      <c r="B1548" s="64"/>
      <c r="C1548" s="64"/>
      <c r="D1548" s="64"/>
      <c r="E1548" s="64"/>
      <c r="F1548" s="64"/>
      <c r="G1548" s="64"/>
      <c r="H1548" s="64"/>
      <c r="I1548" s="64"/>
      <c r="J1548" s="64"/>
      <c r="K1548" s="64"/>
      <c r="L1548" s="64"/>
      <c r="M1548" s="64"/>
      <c r="N1548" s="64"/>
      <c r="O1548" s="64"/>
      <c r="P1548" s="64"/>
      <c r="Q1548" s="64"/>
      <c r="R1548" s="64"/>
    </row>
    <row r="1549" spans="1:18" x14ac:dyDescent="0.25">
      <c r="A1549" s="63"/>
      <c r="B1549" s="64"/>
      <c r="C1549" s="64"/>
      <c r="D1549" s="64"/>
      <c r="E1549" s="64"/>
      <c r="F1549" s="64"/>
      <c r="G1549" s="64"/>
      <c r="H1549" s="64"/>
      <c r="I1549" s="64"/>
      <c r="J1549" s="64"/>
      <c r="K1549" s="64"/>
      <c r="L1549" s="64"/>
      <c r="M1549" s="64"/>
      <c r="N1549" s="64"/>
      <c r="O1549" s="64"/>
      <c r="P1549" s="64"/>
      <c r="Q1549" s="64"/>
      <c r="R1549" s="64"/>
    </row>
    <row r="1550" spans="1:18" x14ac:dyDescent="0.25">
      <c r="A1550" s="63"/>
      <c r="B1550" s="64"/>
      <c r="C1550" s="64"/>
      <c r="D1550" s="64"/>
      <c r="E1550" s="64"/>
      <c r="F1550" s="64"/>
      <c r="G1550" s="64"/>
      <c r="H1550" s="64"/>
      <c r="I1550" s="64"/>
      <c r="J1550" s="64"/>
      <c r="K1550" s="64"/>
      <c r="L1550" s="64"/>
      <c r="M1550" s="64"/>
      <c r="N1550" s="64"/>
      <c r="O1550" s="64"/>
      <c r="P1550" s="64"/>
      <c r="Q1550" s="64"/>
      <c r="R1550" s="64"/>
    </row>
    <row r="1551" spans="1:18" x14ac:dyDescent="0.25">
      <c r="A1551" s="63"/>
      <c r="B1551" s="64"/>
      <c r="C1551" s="64"/>
      <c r="D1551" s="64"/>
      <c r="E1551" s="64"/>
      <c r="F1551" s="64"/>
      <c r="G1551" s="64"/>
      <c r="H1551" s="64"/>
      <c r="I1551" s="64"/>
      <c r="J1551" s="64"/>
      <c r="K1551" s="64"/>
      <c r="L1551" s="64"/>
      <c r="M1551" s="64"/>
      <c r="N1551" s="64"/>
      <c r="O1551" s="64"/>
      <c r="P1551" s="64"/>
      <c r="Q1551" s="64"/>
      <c r="R1551" s="64"/>
    </row>
    <row r="1552" spans="1:18" x14ac:dyDescent="0.25">
      <c r="A1552" s="63"/>
      <c r="B1552" s="64"/>
      <c r="C1552" s="64"/>
      <c r="D1552" s="64"/>
      <c r="E1552" s="64"/>
      <c r="F1552" s="64"/>
      <c r="G1552" s="64"/>
      <c r="H1552" s="64"/>
      <c r="I1552" s="64"/>
      <c r="J1552" s="64"/>
      <c r="K1552" s="64"/>
      <c r="L1552" s="64"/>
      <c r="M1552" s="64"/>
      <c r="N1552" s="64"/>
      <c r="O1552" s="64"/>
      <c r="P1552" s="64"/>
      <c r="Q1552" s="64"/>
      <c r="R1552" s="64"/>
    </row>
    <row r="1553" spans="1:18" x14ac:dyDescent="0.25">
      <c r="A1553" s="63"/>
      <c r="B1553" s="64"/>
      <c r="C1553" s="64"/>
      <c r="D1553" s="64"/>
      <c r="E1553" s="64"/>
      <c r="F1553" s="64"/>
      <c r="G1553" s="64"/>
      <c r="H1553" s="64"/>
      <c r="I1553" s="64"/>
      <c r="J1553" s="64"/>
      <c r="K1553" s="64"/>
      <c r="L1553" s="64"/>
      <c r="M1553" s="64"/>
      <c r="N1553" s="64"/>
      <c r="O1553" s="64"/>
      <c r="P1553" s="64"/>
      <c r="Q1553" s="64"/>
      <c r="R1553" s="64"/>
    </row>
    <row r="1554" spans="1:18" x14ac:dyDescent="0.25">
      <c r="A1554" s="63"/>
      <c r="B1554" s="64"/>
      <c r="C1554" s="64"/>
      <c r="D1554" s="64"/>
      <c r="E1554" s="64"/>
      <c r="F1554" s="64"/>
      <c r="G1554" s="64"/>
      <c r="H1554" s="64"/>
      <c r="I1554" s="64"/>
      <c r="J1554" s="64"/>
      <c r="K1554" s="64"/>
      <c r="L1554" s="64"/>
      <c r="M1554" s="64"/>
      <c r="N1554" s="64"/>
      <c r="O1554" s="64"/>
      <c r="P1554" s="64"/>
      <c r="Q1554" s="64"/>
      <c r="R1554" s="64"/>
    </row>
    <row r="1555" spans="1:18" x14ac:dyDescent="0.25">
      <c r="A1555" s="63"/>
      <c r="B1555" s="64"/>
      <c r="C1555" s="64"/>
      <c r="D1555" s="64"/>
      <c r="E1555" s="64"/>
      <c r="F1555" s="64"/>
      <c r="G1555" s="64"/>
      <c r="H1555" s="64"/>
      <c r="I1555" s="64"/>
      <c r="J1555" s="64"/>
      <c r="K1555" s="64"/>
      <c r="L1555" s="64"/>
      <c r="M1555" s="64"/>
      <c r="N1555" s="64"/>
      <c r="O1555" s="64"/>
      <c r="P1555" s="64"/>
      <c r="Q1555" s="64"/>
      <c r="R1555" s="64"/>
    </row>
    <row r="1556" spans="1:18" x14ac:dyDescent="0.25">
      <c r="A1556" s="63"/>
      <c r="B1556" s="64"/>
      <c r="C1556" s="64"/>
      <c r="D1556" s="64"/>
      <c r="E1556" s="64"/>
      <c r="F1556" s="64"/>
      <c r="G1556" s="64"/>
      <c r="H1556" s="64"/>
      <c r="I1556" s="64"/>
      <c r="J1556" s="64"/>
      <c r="K1556" s="64"/>
      <c r="L1556" s="64"/>
      <c r="M1556" s="64"/>
      <c r="N1556" s="64"/>
      <c r="O1556" s="64"/>
      <c r="P1556" s="64"/>
      <c r="Q1556" s="64"/>
      <c r="R1556" s="64"/>
    </row>
    <row r="1557" spans="1:18" x14ac:dyDescent="0.25">
      <c r="A1557" s="63"/>
      <c r="B1557" s="64"/>
      <c r="C1557" s="64"/>
      <c r="D1557" s="64"/>
      <c r="E1557" s="64"/>
      <c r="F1557" s="64"/>
      <c r="G1557" s="64"/>
      <c r="H1557" s="64"/>
      <c r="I1557" s="64"/>
      <c r="J1557" s="64"/>
      <c r="K1557" s="64"/>
      <c r="L1557" s="64"/>
      <c r="M1557" s="64"/>
      <c r="N1557" s="64"/>
      <c r="O1557" s="64"/>
      <c r="P1557" s="64"/>
      <c r="Q1557" s="64"/>
      <c r="R1557" s="64"/>
    </row>
    <row r="1558" spans="1:18" x14ac:dyDescent="0.25">
      <c r="A1558" s="63"/>
      <c r="B1558" s="64"/>
      <c r="C1558" s="64"/>
      <c r="D1558" s="64"/>
      <c r="E1558" s="64"/>
      <c r="F1558" s="64"/>
      <c r="G1558" s="64"/>
      <c r="H1558" s="64"/>
      <c r="I1558" s="64"/>
      <c r="J1558" s="64"/>
      <c r="K1558" s="64"/>
      <c r="L1558" s="64"/>
      <c r="M1558" s="64"/>
      <c r="N1558" s="64"/>
      <c r="O1558" s="64"/>
      <c r="P1558" s="64"/>
      <c r="Q1558" s="64"/>
      <c r="R1558" s="64"/>
    </row>
    <row r="1559" spans="1:18" x14ac:dyDescent="0.25">
      <c r="A1559" s="63"/>
      <c r="B1559" s="64"/>
      <c r="C1559" s="64"/>
      <c r="D1559" s="64"/>
      <c r="E1559" s="64"/>
      <c r="F1559" s="64"/>
      <c r="G1559" s="64"/>
      <c r="H1559" s="64"/>
      <c r="I1559" s="64"/>
      <c r="J1559" s="64"/>
      <c r="K1559" s="64"/>
      <c r="L1559" s="64"/>
      <c r="M1559" s="64"/>
      <c r="N1559" s="64"/>
      <c r="O1559" s="64"/>
      <c r="P1559" s="64"/>
      <c r="Q1559" s="64"/>
      <c r="R1559" s="64"/>
    </row>
    <row r="1560" spans="1:18" x14ac:dyDescent="0.25">
      <c r="A1560" s="63"/>
      <c r="B1560" s="64"/>
      <c r="C1560" s="64"/>
      <c r="D1560" s="64"/>
      <c r="E1560" s="64"/>
      <c r="F1560" s="64"/>
      <c r="G1560" s="64"/>
      <c r="H1560" s="64"/>
      <c r="I1560" s="64"/>
      <c r="J1560" s="64"/>
      <c r="K1560" s="64"/>
      <c r="L1560" s="64"/>
      <c r="M1560" s="64"/>
      <c r="N1560" s="64"/>
      <c r="O1560" s="64"/>
      <c r="P1560" s="64"/>
      <c r="Q1560" s="64"/>
      <c r="R1560" s="64"/>
    </row>
    <row r="1561" spans="1:18" x14ac:dyDescent="0.25">
      <c r="A1561" s="63"/>
      <c r="B1561" s="64"/>
      <c r="C1561" s="64"/>
      <c r="D1561" s="64"/>
      <c r="E1561" s="64"/>
      <c r="F1561" s="64"/>
      <c r="G1561" s="64"/>
      <c r="H1561" s="64"/>
      <c r="I1561" s="64"/>
      <c r="J1561" s="64"/>
      <c r="K1561" s="64"/>
      <c r="L1561" s="64"/>
      <c r="M1561" s="64"/>
      <c r="N1561" s="64"/>
      <c r="O1561" s="64"/>
      <c r="P1561" s="64"/>
      <c r="Q1561" s="64"/>
      <c r="R1561" s="64"/>
    </row>
    <row r="1562" spans="1:18" x14ac:dyDescent="0.25">
      <c r="A1562" s="63"/>
      <c r="B1562" s="64"/>
      <c r="C1562" s="64"/>
      <c r="D1562" s="64"/>
      <c r="E1562" s="64"/>
      <c r="F1562" s="64"/>
      <c r="G1562" s="64"/>
      <c r="H1562" s="64"/>
      <c r="I1562" s="64"/>
      <c r="J1562" s="64"/>
      <c r="K1562" s="64"/>
      <c r="L1562" s="64"/>
      <c r="M1562" s="64"/>
      <c r="N1562" s="64"/>
      <c r="O1562" s="64"/>
      <c r="P1562" s="64"/>
      <c r="Q1562" s="64"/>
      <c r="R1562" s="64"/>
    </row>
    <row r="1563" spans="1:18" x14ac:dyDescent="0.25">
      <c r="A1563" s="63"/>
      <c r="B1563" s="64"/>
      <c r="C1563" s="64"/>
      <c r="D1563" s="64"/>
      <c r="E1563" s="64"/>
      <c r="F1563" s="64"/>
      <c r="G1563" s="64"/>
      <c r="H1563" s="64"/>
      <c r="I1563" s="64"/>
      <c r="J1563" s="64"/>
      <c r="K1563" s="64"/>
      <c r="L1563" s="64"/>
      <c r="M1563" s="64"/>
      <c r="N1563" s="64"/>
      <c r="O1563" s="64"/>
      <c r="P1563" s="64"/>
      <c r="Q1563" s="64"/>
      <c r="R1563" s="64"/>
    </row>
    <row r="1564" spans="1:18" x14ac:dyDescent="0.25">
      <c r="A1564" s="63"/>
      <c r="B1564" s="64"/>
      <c r="C1564" s="64"/>
      <c r="D1564" s="64"/>
      <c r="E1564" s="64"/>
      <c r="F1564" s="64"/>
      <c r="G1564" s="64"/>
      <c r="H1564" s="64"/>
      <c r="I1564" s="64"/>
      <c r="J1564" s="64"/>
      <c r="K1564" s="64"/>
      <c r="L1564" s="64"/>
      <c r="M1564" s="64"/>
      <c r="N1564" s="64"/>
      <c r="O1564" s="64"/>
      <c r="P1564" s="64"/>
      <c r="Q1564" s="64"/>
      <c r="R1564" s="64"/>
    </row>
    <row r="1565" spans="1:18" x14ac:dyDescent="0.25">
      <c r="A1565" s="63"/>
      <c r="B1565" s="64"/>
      <c r="C1565" s="64"/>
      <c r="D1565" s="64"/>
      <c r="E1565" s="64"/>
      <c r="F1565" s="64"/>
      <c r="G1565" s="64"/>
      <c r="H1565" s="64"/>
      <c r="I1565" s="64"/>
      <c r="J1565" s="64"/>
      <c r="K1565" s="64"/>
      <c r="L1565" s="64"/>
      <c r="M1565" s="64"/>
      <c r="N1565" s="64"/>
      <c r="O1565" s="64"/>
      <c r="P1565" s="64"/>
      <c r="Q1565" s="64"/>
      <c r="R1565" s="64"/>
    </row>
    <row r="1566" spans="1:18" x14ac:dyDescent="0.25">
      <c r="A1566" s="63"/>
      <c r="B1566" s="64"/>
      <c r="C1566" s="64"/>
      <c r="D1566" s="64"/>
      <c r="E1566" s="64"/>
      <c r="F1566" s="64"/>
      <c r="G1566" s="64"/>
      <c r="H1566" s="64"/>
      <c r="I1566" s="64"/>
      <c r="J1566" s="64"/>
      <c r="K1566" s="64"/>
      <c r="L1566" s="64"/>
      <c r="M1566" s="64"/>
      <c r="N1566" s="64"/>
      <c r="O1566" s="64"/>
      <c r="P1566" s="64"/>
      <c r="Q1566" s="64"/>
      <c r="R1566" s="64"/>
    </row>
    <row r="1567" spans="1:18" x14ac:dyDescent="0.25">
      <c r="A1567" s="63"/>
      <c r="B1567" s="64"/>
      <c r="C1567" s="64"/>
      <c r="D1567" s="64"/>
      <c r="E1567" s="64"/>
      <c r="F1567" s="64"/>
      <c r="G1567" s="64"/>
      <c r="H1567" s="64"/>
      <c r="I1567" s="64"/>
      <c r="J1567" s="64"/>
      <c r="K1567" s="64"/>
      <c r="L1567" s="64"/>
      <c r="M1567" s="64"/>
      <c r="N1567" s="64"/>
      <c r="O1567" s="64"/>
      <c r="P1567" s="64"/>
      <c r="Q1567" s="64"/>
      <c r="R1567" s="64"/>
    </row>
    <row r="1568" spans="1:18" x14ac:dyDescent="0.25">
      <c r="A1568" s="63"/>
      <c r="B1568" s="64"/>
      <c r="C1568" s="64"/>
      <c r="D1568" s="64"/>
      <c r="E1568" s="64"/>
      <c r="F1568" s="64"/>
      <c r="G1568" s="64"/>
      <c r="H1568" s="64"/>
      <c r="I1568" s="64"/>
      <c r="J1568" s="64"/>
      <c r="K1568" s="64"/>
      <c r="L1568" s="64"/>
      <c r="M1568" s="64"/>
      <c r="N1568" s="64"/>
      <c r="O1568" s="64"/>
      <c r="P1568" s="64"/>
      <c r="Q1568" s="64"/>
      <c r="R1568" s="64"/>
    </row>
    <row r="1569" spans="1:18" x14ac:dyDescent="0.25">
      <c r="A1569" s="63"/>
      <c r="B1569" s="64"/>
      <c r="C1569" s="64"/>
      <c r="D1569" s="64"/>
      <c r="E1569" s="64"/>
      <c r="F1569" s="64"/>
      <c r="G1569" s="64"/>
      <c r="H1569" s="64"/>
      <c r="I1569" s="64"/>
      <c r="J1569" s="64"/>
      <c r="K1569" s="64"/>
      <c r="L1569" s="64"/>
      <c r="M1569" s="64"/>
      <c r="N1569" s="64"/>
      <c r="O1569" s="64"/>
      <c r="P1569" s="64"/>
      <c r="Q1569" s="64"/>
      <c r="R1569" s="64"/>
    </row>
    <row r="1570" spans="1:18" x14ac:dyDescent="0.25">
      <c r="A1570" s="63"/>
      <c r="B1570" s="64"/>
      <c r="C1570" s="64"/>
      <c r="D1570" s="64"/>
      <c r="E1570" s="64"/>
      <c r="F1570" s="64"/>
      <c r="G1570" s="64"/>
      <c r="H1570" s="64"/>
      <c r="I1570" s="64"/>
      <c r="J1570" s="64"/>
      <c r="K1570" s="64"/>
      <c r="L1570" s="64"/>
      <c r="M1570" s="64"/>
      <c r="N1570" s="64"/>
      <c r="O1570" s="64"/>
      <c r="P1570" s="64"/>
      <c r="Q1570" s="64"/>
      <c r="R1570" s="64"/>
    </row>
    <row r="1571" spans="1:18" x14ac:dyDescent="0.25">
      <c r="A1571" s="63"/>
      <c r="B1571" s="64"/>
      <c r="C1571" s="64"/>
      <c r="D1571" s="64"/>
      <c r="E1571" s="64"/>
      <c r="F1571" s="64"/>
      <c r="G1571" s="64"/>
      <c r="H1571" s="64"/>
      <c r="I1571" s="64"/>
      <c r="J1571" s="64"/>
      <c r="K1571" s="64"/>
      <c r="L1571" s="64"/>
      <c r="M1571" s="64"/>
      <c r="N1571" s="64"/>
      <c r="O1571" s="64"/>
      <c r="P1571" s="64"/>
      <c r="Q1571" s="64"/>
      <c r="R1571" s="64"/>
    </row>
    <row r="1572" spans="1:18" x14ac:dyDescent="0.25">
      <c r="A1572" s="63"/>
      <c r="B1572" s="64"/>
      <c r="C1572" s="64"/>
      <c r="D1572" s="64"/>
      <c r="E1572" s="64"/>
      <c r="F1572" s="64"/>
      <c r="G1572" s="64"/>
      <c r="H1572" s="64"/>
      <c r="I1572" s="64"/>
      <c r="J1572" s="64"/>
      <c r="K1572" s="64"/>
      <c r="L1572" s="64"/>
      <c r="M1572" s="64"/>
      <c r="N1572" s="64"/>
      <c r="O1572" s="64"/>
      <c r="P1572" s="64"/>
      <c r="Q1572" s="64"/>
      <c r="R1572" s="64"/>
    </row>
    <row r="1573" spans="1:18" x14ac:dyDescent="0.25">
      <c r="A1573" s="63"/>
      <c r="B1573" s="64"/>
      <c r="C1573" s="64"/>
      <c r="D1573" s="64"/>
      <c r="E1573" s="64"/>
      <c r="F1573" s="64"/>
      <c r="G1573" s="64"/>
      <c r="H1573" s="64"/>
      <c r="I1573" s="64"/>
      <c r="J1573" s="64"/>
      <c r="K1573" s="64"/>
      <c r="L1573" s="64"/>
      <c r="M1573" s="64"/>
      <c r="N1573" s="64"/>
      <c r="O1573" s="64"/>
      <c r="P1573" s="64"/>
      <c r="Q1573" s="64"/>
      <c r="R1573" s="64"/>
    </row>
    <row r="1574" spans="1:18" x14ac:dyDescent="0.25">
      <c r="A1574" s="63"/>
      <c r="B1574" s="64"/>
      <c r="C1574" s="64"/>
      <c r="D1574" s="64"/>
      <c r="E1574" s="64"/>
      <c r="F1574" s="64"/>
      <c r="G1574" s="64"/>
      <c r="H1574" s="64"/>
      <c r="I1574" s="64"/>
      <c r="J1574" s="64"/>
      <c r="K1574" s="64"/>
      <c r="L1574" s="64"/>
      <c r="M1574" s="64"/>
      <c r="N1574" s="64"/>
      <c r="O1574" s="64"/>
      <c r="P1574" s="64"/>
      <c r="Q1574" s="64"/>
      <c r="R1574" s="64"/>
    </row>
    <row r="1575" spans="1:18" x14ac:dyDescent="0.25">
      <c r="A1575" s="63"/>
      <c r="B1575" s="64"/>
      <c r="C1575" s="64"/>
      <c r="D1575" s="64"/>
      <c r="E1575" s="64"/>
      <c r="F1575" s="64"/>
      <c r="G1575" s="64"/>
      <c r="H1575" s="64"/>
      <c r="I1575" s="64"/>
      <c r="J1575" s="64"/>
      <c r="K1575" s="64"/>
      <c r="L1575" s="64"/>
      <c r="M1575" s="64"/>
      <c r="N1575" s="64"/>
      <c r="O1575" s="64"/>
      <c r="P1575" s="64"/>
      <c r="Q1575" s="64"/>
      <c r="R1575" s="64"/>
    </row>
    <row r="1576" spans="1:18" x14ac:dyDescent="0.25">
      <c r="A1576" s="63"/>
      <c r="B1576" s="64"/>
      <c r="C1576" s="64"/>
      <c r="D1576" s="64"/>
      <c r="E1576" s="64"/>
      <c r="F1576" s="64"/>
      <c r="G1576" s="64"/>
      <c r="H1576" s="64"/>
      <c r="I1576" s="64"/>
      <c r="J1576" s="64"/>
      <c r="K1576" s="64"/>
      <c r="L1576" s="64"/>
      <c r="M1576" s="64"/>
      <c r="N1576" s="64"/>
      <c r="O1576" s="64"/>
      <c r="P1576" s="64"/>
      <c r="Q1576" s="64"/>
      <c r="R1576" s="64"/>
    </row>
    <row r="1577" spans="1:18" x14ac:dyDescent="0.25">
      <c r="A1577" s="63"/>
      <c r="B1577" s="64"/>
      <c r="C1577" s="64"/>
      <c r="D1577" s="64"/>
      <c r="E1577" s="64"/>
      <c r="F1577" s="64"/>
      <c r="G1577" s="64"/>
      <c r="H1577" s="64"/>
      <c r="I1577" s="64"/>
      <c r="J1577" s="64"/>
      <c r="K1577" s="64"/>
      <c r="L1577" s="64"/>
      <c r="M1577" s="64"/>
      <c r="N1577" s="64"/>
      <c r="O1577" s="64"/>
      <c r="P1577" s="64"/>
      <c r="Q1577" s="64"/>
      <c r="R1577" s="64"/>
    </row>
    <row r="1578" spans="1:18" x14ac:dyDescent="0.25">
      <c r="A1578" s="63"/>
      <c r="B1578" s="64"/>
      <c r="C1578" s="64"/>
      <c r="D1578" s="64"/>
      <c r="E1578" s="64"/>
      <c r="F1578" s="64"/>
      <c r="G1578" s="64"/>
      <c r="H1578" s="64"/>
      <c r="I1578" s="64"/>
      <c r="J1578" s="64"/>
      <c r="K1578" s="64"/>
      <c r="L1578" s="64"/>
      <c r="M1578" s="64"/>
      <c r="N1578" s="64"/>
      <c r="O1578" s="64"/>
      <c r="P1578" s="64"/>
      <c r="Q1578" s="64"/>
      <c r="R1578" s="64"/>
    </row>
    <row r="1579" spans="1:18" x14ac:dyDescent="0.25">
      <c r="A1579" s="63"/>
      <c r="B1579" s="64"/>
      <c r="C1579" s="64"/>
      <c r="D1579" s="64"/>
      <c r="E1579" s="64"/>
      <c r="F1579" s="64"/>
      <c r="G1579" s="64"/>
      <c r="H1579" s="64"/>
      <c r="I1579" s="64"/>
      <c r="J1579" s="64"/>
      <c r="K1579" s="64"/>
      <c r="L1579" s="64"/>
      <c r="M1579" s="64"/>
      <c r="N1579" s="64"/>
      <c r="O1579" s="64"/>
      <c r="P1579" s="64"/>
      <c r="Q1579" s="64"/>
      <c r="R1579" s="64"/>
    </row>
    <row r="1580" spans="1:18" x14ac:dyDescent="0.25">
      <c r="A1580" s="63"/>
      <c r="B1580" s="64"/>
      <c r="C1580" s="64"/>
      <c r="D1580" s="64"/>
      <c r="E1580" s="64"/>
      <c r="F1580" s="64"/>
      <c r="G1580" s="64"/>
      <c r="H1580" s="64"/>
      <c r="I1580" s="64"/>
      <c r="J1580" s="64"/>
      <c r="K1580" s="64"/>
      <c r="L1580" s="64"/>
      <c r="M1580" s="64"/>
      <c r="N1580" s="64"/>
      <c r="O1580" s="64"/>
      <c r="P1580" s="64"/>
      <c r="Q1580" s="64"/>
      <c r="R1580" s="64"/>
    </row>
    <row r="1581" spans="1:18" x14ac:dyDescent="0.25">
      <c r="A1581" s="63"/>
      <c r="B1581" s="64"/>
      <c r="C1581" s="64"/>
      <c r="D1581" s="64"/>
      <c r="E1581" s="64"/>
      <c r="F1581" s="64"/>
      <c r="G1581" s="64"/>
      <c r="H1581" s="64"/>
      <c r="I1581" s="64"/>
      <c r="J1581" s="64"/>
      <c r="K1581" s="64"/>
      <c r="L1581" s="64"/>
      <c r="M1581" s="64"/>
      <c r="N1581" s="64"/>
      <c r="O1581" s="64"/>
      <c r="P1581" s="64"/>
      <c r="Q1581" s="64"/>
      <c r="R1581" s="64"/>
    </row>
    <row r="1582" spans="1:18" x14ac:dyDescent="0.25">
      <c r="A1582" s="63"/>
      <c r="B1582" s="64"/>
      <c r="C1582" s="64"/>
      <c r="D1582" s="64"/>
      <c r="E1582" s="64"/>
      <c r="F1582" s="64"/>
      <c r="G1582" s="64"/>
      <c r="H1582" s="64"/>
      <c r="I1582" s="64"/>
      <c r="J1582" s="64"/>
      <c r="K1582" s="64"/>
      <c r="L1582" s="64"/>
      <c r="M1582" s="64"/>
      <c r="N1582" s="64"/>
      <c r="O1582" s="64"/>
      <c r="P1582" s="64"/>
      <c r="Q1582" s="64"/>
      <c r="R1582" s="64"/>
    </row>
    <row r="1583" spans="1:18" x14ac:dyDescent="0.25">
      <c r="A1583" s="63"/>
      <c r="B1583" s="64"/>
      <c r="C1583" s="64"/>
      <c r="D1583" s="64"/>
      <c r="E1583" s="64"/>
      <c r="F1583" s="64"/>
      <c r="G1583" s="64"/>
      <c r="H1583" s="64"/>
      <c r="I1583" s="64"/>
      <c r="J1583" s="64"/>
      <c r="K1583" s="64"/>
      <c r="L1583" s="64"/>
      <c r="M1583" s="64"/>
      <c r="N1583" s="64"/>
      <c r="O1583" s="64"/>
      <c r="P1583" s="64"/>
      <c r="Q1583" s="64"/>
      <c r="R1583" s="64"/>
    </row>
    <row r="1584" spans="1:18" x14ac:dyDescent="0.25">
      <c r="A1584" s="63"/>
      <c r="B1584" s="64"/>
      <c r="C1584" s="64"/>
      <c r="D1584" s="64"/>
      <c r="E1584" s="64"/>
      <c r="F1584" s="64"/>
      <c r="G1584" s="64"/>
      <c r="H1584" s="64"/>
      <c r="I1584" s="64"/>
      <c r="J1584" s="64"/>
      <c r="K1584" s="64"/>
      <c r="L1584" s="64"/>
      <c r="M1584" s="64"/>
      <c r="N1584" s="64"/>
      <c r="O1584" s="64"/>
      <c r="P1584" s="64"/>
      <c r="Q1584" s="64"/>
      <c r="R1584" s="64"/>
    </row>
    <row r="1585" spans="1:18" x14ac:dyDescent="0.25">
      <c r="A1585" s="63"/>
      <c r="B1585" s="64"/>
      <c r="C1585" s="64"/>
      <c r="D1585" s="64"/>
      <c r="E1585" s="64"/>
      <c r="F1585" s="64"/>
      <c r="G1585" s="64"/>
      <c r="H1585" s="64"/>
      <c r="I1585" s="64"/>
      <c r="J1585" s="64"/>
      <c r="K1585" s="64"/>
      <c r="L1585" s="64"/>
      <c r="M1585" s="64"/>
      <c r="N1585" s="64"/>
      <c r="O1585" s="64"/>
      <c r="P1585" s="64"/>
      <c r="Q1585" s="64"/>
      <c r="R1585" s="64"/>
    </row>
    <row r="1586" spans="1:18" x14ac:dyDescent="0.25">
      <c r="A1586" s="63"/>
      <c r="B1586" s="64"/>
      <c r="C1586" s="64"/>
      <c r="D1586" s="64"/>
      <c r="E1586" s="64"/>
      <c r="F1586" s="64"/>
      <c r="G1586" s="64"/>
      <c r="H1586" s="64"/>
      <c r="I1586" s="64"/>
      <c r="J1586" s="64"/>
      <c r="K1586" s="64"/>
      <c r="L1586" s="64"/>
      <c r="M1586" s="64"/>
      <c r="N1586" s="64"/>
      <c r="O1586" s="64"/>
      <c r="P1586" s="64"/>
      <c r="Q1586" s="64"/>
      <c r="R1586" s="64"/>
    </row>
    <row r="1587" spans="1:18" x14ac:dyDescent="0.25">
      <c r="A1587" s="63"/>
      <c r="B1587" s="64"/>
      <c r="C1587" s="64"/>
      <c r="D1587" s="64"/>
      <c r="E1587" s="64"/>
      <c r="F1587" s="64"/>
      <c r="G1587" s="64"/>
      <c r="H1587" s="64"/>
      <c r="I1587" s="64"/>
      <c r="J1587" s="64"/>
      <c r="K1587" s="64"/>
      <c r="L1587" s="64"/>
      <c r="M1587" s="64"/>
      <c r="N1587" s="64"/>
      <c r="O1587" s="64"/>
      <c r="P1587" s="64"/>
      <c r="Q1587" s="64"/>
      <c r="R1587" s="64"/>
    </row>
    <row r="1588" spans="1:18" x14ac:dyDescent="0.25">
      <c r="A1588" s="63"/>
      <c r="B1588" s="64"/>
      <c r="C1588" s="64"/>
      <c r="D1588" s="64"/>
      <c r="E1588" s="64"/>
      <c r="F1588" s="64"/>
      <c r="G1588" s="64"/>
      <c r="H1588" s="64"/>
      <c r="I1588" s="64"/>
      <c r="J1588" s="64"/>
      <c r="K1588" s="64"/>
      <c r="L1588" s="64"/>
      <c r="M1588" s="64"/>
      <c r="N1588" s="64"/>
      <c r="O1588" s="64"/>
      <c r="P1588" s="64"/>
      <c r="Q1588" s="64"/>
      <c r="R1588" s="64"/>
    </row>
    <row r="1589" spans="1:18" x14ac:dyDescent="0.25">
      <c r="A1589" s="63"/>
      <c r="B1589" s="64"/>
      <c r="C1589" s="64"/>
      <c r="D1589" s="64"/>
      <c r="E1589" s="64"/>
      <c r="F1589" s="64"/>
      <c r="G1589" s="64"/>
      <c r="H1589" s="64"/>
      <c r="I1589" s="64"/>
      <c r="J1589" s="64"/>
      <c r="K1589" s="64"/>
      <c r="L1589" s="64"/>
      <c r="M1589" s="64"/>
      <c r="N1589" s="64"/>
      <c r="O1589" s="64"/>
      <c r="P1589" s="64"/>
      <c r="Q1589" s="64"/>
      <c r="R1589" s="64"/>
    </row>
    <row r="1590" spans="1:18" x14ac:dyDescent="0.25">
      <c r="A1590" s="63"/>
      <c r="B1590" s="64"/>
      <c r="C1590" s="64"/>
      <c r="D1590" s="64"/>
      <c r="E1590" s="64"/>
      <c r="F1590" s="64"/>
      <c r="G1590" s="64"/>
      <c r="H1590" s="64"/>
      <c r="I1590" s="64"/>
      <c r="J1590" s="64"/>
      <c r="K1590" s="64"/>
      <c r="L1590" s="64"/>
      <c r="M1590" s="64"/>
      <c r="N1590" s="64"/>
      <c r="O1590" s="64"/>
      <c r="P1590" s="64"/>
      <c r="Q1590" s="64"/>
      <c r="R1590" s="64"/>
    </row>
    <row r="1591" spans="1:18" x14ac:dyDescent="0.25">
      <c r="A1591" s="63"/>
      <c r="B1591" s="64"/>
      <c r="C1591" s="64"/>
      <c r="D1591" s="64"/>
      <c r="E1591" s="64"/>
      <c r="F1591" s="64"/>
      <c r="G1591" s="64"/>
      <c r="H1591" s="64"/>
      <c r="I1591" s="64"/>
      <c r="J1591" s="64"/>
      <c r="K1591" s="64"/>
      <c r="L1591" s="64"/>
      <c r="M1591" s="64"/>
      <c r="N1591" s="64"/>
      <c r="O1591" s="64"/>
      <c r="P1591" s="64"/>
      <c r="Q1591" s="64"/>
      <c r="R1591" s="64"/>
    </row>
    <row r="1592" spans="1:18" x14ac:dyDescent="0.25">
      <c r="A1592" s="63"/>
      <c r="B1592" s="64"/>
      <c r="C1592" s="64"/>
      <c r="D1592" s="64"/>
      <c r="E1592" s="64"/>
      <c r="F1592" s="64"/>
      <c r="G1592" s="64"/>
      <c r="H1592" s="64"/>
      <c r="I1592" s="64"/>
      <c r="J1592" s="64"/>
      <c r="K1592" s="64"/>
      <c r="L1592" s="64"/>
      <c r="M1592" s="64"/>
      <c r="N1592" s="64"/>
      <c r="O1592" s="64"/>
      <c r="P1592" s="64"/>
      <c r="Q1592" s="64"/>
      <c r="R1592" s="64"/>
    </row>
    <row r="1593" spans="1:18" x14ac:dyDescent="0.25">
      <c r="A1593" s="63"/>
      <c r="B1593" s="64"/>
      <c r="C1593" s="64"/>
      <c r="D1593" s="64"/>
      <c r="E1593" s="64"/>
      <c r="F1593" s="64"/>
      <c r="G1593" s="64"/>
      <c r="H1593" s="64"/>
      <c r="I1593" s="64"/>
      <c r="J1593" s="64"/>
      <c r="K1593" s="64"/>
      <c r="L1593" s="64"/>
      <c r="M1593" s="64"/>
      <c r="N1593" s="64"/>
      <c r="O1593" s="64"/>
      <c r="P1593" s="64"/>
      <c r="Q1593" s="64"/>
      <c r="R1593" s="64"/>
    </row>
    <row r="1594" spans="1:18" x14ac:dyDescent="0.25">
      <c r="A1594" s="63"/>
      <c r="B1594" s="64"/>
      <c r="C1594" s="64"/>
      <c r="D1594" s="64"/>
      <c r="E1594" s="64"/>
      <c r="F1594" s="64"/>
      <c r="G1594" s="64"/>
      <c r="H1594" s="64"/>
      <c r="I1594" s="64"/>
      <c r="J1594" s="64"/>
      <c r="K1594" s="64"/>
      <c r="L1594" s="64"/>
      <c r="M1594" s="64"/>
      <c r="N1594" s="64"/>
      <c r="O1594" s="64"/>
      <c r="P1594" s="64"/>
      <c r="Q1594" s="64"/>
      <c r="R1594" s="64"/>
    </row>
    <row r="1595" spans="1:18" x14ac:dyDescent="0.25">
      <c r="A1595" s="63"/>
      <c r="B1595" s="64"/>
      <c r="C1595" s="64"/>
      <c r="D1595" s="64"/>
      <c r="E1595" s="64"/>
      <c r="F1595" s="64"/>
      <c r="G1595" s="64"/>
      <c r="H1595" s="64"/>
      <c r="I1595" s="64"/>
      <c r="J1595" s="64"/>
      <c r="K1595" s="64"/>
      <c r="L1595" s="64"/>
      <c r="M1595" s="64"/>
      <c r="N1595" s="64"/>
      <c r="O1595" s="64"/>
      <c r="P1595" s="64"/>
      <c r="Q1595" s="64"/>
      <c r="R1595" s="64"/>
    </row>
    <row r="1596" spans="1:18" x14ac:dyDescent="0.25">
      <c r="A1596" s="63"/>
      <c r="B1596" s="64"/>
      <c r="C1596" s="64"/>
      <c r="D1596" s="64"/>
      <c r="E1596" s="64"/>
      <c r="F1596" s="64"/>
      <c r="G1596" s="64"/>
      <c r="H1596" s="64"/>
      <c r="I1596" s="64"/>
      <c r="J1596" s="64"/>
      <c r="K1596" s="64"/>
      <c r="L1596" s="64"/>
      <c r="M1596" s="64"/>
      <c r="N1596" s="64"/>
      <c r="O1596" s="64"/>
      <c r="P1596" s="64"/>
      <c r="Q1596" s="64"/>
      <c r="R1596" s="64"/>
    </row>
    <row r="1597" spans="1:18" x14ac:dyDescent="0.25">
      <c r="A1597" s="63"/>
      <c r="B1597" s="64"/>
      <c r="C1597" s="64"/>
      <c r="D1597" s="64"/>
      <c r="E1597" s="64"/>
      <c r="F1597" s="64"/>
      <c r="G1597" s="64"/>
      <c r="H1597" s="64"/>
      <c r="I1597" s="64"/>
      <c r="J1597" s="64"/>
      <c r="K1597" s="64"/>
      <c r="L1597" s="64"/>
      <c r="M1597" s="64"/>
      <c r="N1597" s="64"/>
      <c r="O1597" s="64"/>
      <c r="P1597" s="64"/>
      <c r="Q1597" s="64"/>
      <c r="R1597" s="64"/>
    </row>
    <row r="1598" spans="1:18" x14ac:dyDescent="0.25">
      <c r="A1598" s="63"/>
      <c r="B1598" s="64"/>
      <c r="C1598" s="64"/>
      <c r="D1598" s="64"/>
      <c r="E1598" s="64"/>
      <c r="F1598" s="64"/>
      <c r="G1598" s="64"/>
      <c r="H1598" s="64"/>
      <c r="I1598" s="64"/>
      <c r="J1598" s="64"/>
      <c r="K1598" s="64"/>
      <c r="L1598" s="64"/>
      <c r="M1598" s="64"/>
      <c r="N1598" s="64"/>
      <c r="O1598" s="64"/>
      <c r="P1598" s="64"/>
      <c r="Q1598" s="64"/>
      <c r="R1598" s="64"/>
    </row>
    <row r="1599" spans="1:18" x14ac:dyDescent="0.25">
      <c r="A1599" s="63"/>
      <c r="B1599" s="64"/>
      <c r="C1599" s="64"/>
      <c r="D1599" s="64"/>
      <c r="E1599" s="64"/>
      <c r="F1599" s="64"/>
      <c r="G1599" s="64"/>
      <c r="H1599" s="64"/>
      <c r="I1599" s="64"/>
      <c r="J1599" s="64"/>
      <c r="K1599" s="64"/>
      <c r="L1599" s="64"/>
      <c r="M1599" s="64"/>
      <c r="N1599" s="64"/>
      <c r="O1599" s="64"/>
      <c r="P1599" s="64"/>
      <c r="Q1599" s="64"/>
      <c r="R1599" s="64"/>
    </row>
    <row r="1600" spans="1:18" x14ac:dyDescent="0.25">
      <c r="A1600" s="63"/>
      <c r="B1600" s="64"/>
      <c r="C1600" s="64"/>
      <c r="D1600" s="64"/>
      <c r="E1600" s="64"/>
      <c r="F1600" s="64"/>
      <c r="G1600" s="64"/>
      <c r="H1600" s="64"/>
      <c r="I1600" s="64"/>
      <c r="J1600" s="64"/>
      <c r="K1600" s="64"/>
      <c r="L1600" s="64"/>
      <c r="M1600" s="64"/>
      <c r="N1600" s="64"/>
      <c r="O1600" s="64"/>
      <c r="P1600" s="64"/>
      <c r="Q1600" s="64"/>
      <c r="R1600" s="64"/>
    </row>
    <row r="1601" spans="1:18" x14ac:dyDescent="0.25">
      <c r="A1601" s="63"/>
      <c r="B1601" s="64"/>
      <c r="C1601" s="64"/>
      <c r="D1601" s="64"/>
      <c r="E1601" s="64"/>
      <c r="F1601" s="64"/>
      <c r="G1601" s="64"/>
      <c r="H1601" s="64"/>
      <c r="I1601" s="64"/>
      <c r="J1601" s="64"/>
      <c r="K1601" s="64"/>
      <c r="L1601" s="64"/>
      <c r="M1601" s="64"/>
      <c r="N1601" s="64"/>
      <c r="O1601" s="64"/>
      <c r="P1601" s="64"/>
      <c r="Q1601" s="64"/>
      <c r="R1601" s="64"/>
    </row>
    <row r="1602" spans="1:18" x14ac:dyDescent="0.25">
      <c r="A1602" s="63"/>
      <c r="B1602" s="64"/>
      <c r="C1602" s="64"/>
      <c r="D1602" s="64"/>
      <c r="E1602" s="64"/>
      <c r="F1602" s="64"/>
      <c r="G1602" s="64"/>
      <c r="H1602" s="64"/>
      <c r="I1602" s="64"/>
      <c r="J1602" s="64"/>
      <c r="K1602" s="64"/>
      <c r="L1602" s="64"/>
      <c r="M1602" s="64"/>
      <c r="N1602" s="64"/>
      <c r="O1602" s="64"/>
      <c r="P1602" s="64"/>
      <c r="Q1602" s="64"/>
      <c r="R1602" s="64"/>
    </row>
    <row r="1603" spans="1:18" x14ac:dyDescent="0.25">
      <c r="A1603" s="63"/>
      <c r="B1603" s="64"/>
      <c r="C1603" s="64"/>
      <c r="D1603" s="64"/>
      <c r="E1603" s="64"/>
      <c r="F1603" s="64"/>
      <c r="G1603" s="64"/>
      <c r="H1603" s="64"/>
      <c r="I1603" s="64"/>
      <c r="J1603" s="64"/>
      <c r="K1603" s="64"/>
      <c r="L1603" s="64"/>
      <c r="M1603" s="64"/>
      <c r="N1603" s="64"/>
      <c r="O1603" s="64"/>
      <c r="P1603" s="64"/>
      <c r="Q1603" s="64"/>
      <c r="R1603" s="64"/>
    </row>
    <row r="1604" spans="1:18" x14ac:dyDescent="0.25">
      <c r="A1604" s="63"/>
      <c r="B1604" s="64"/>
      <c r="C1604" s="64"/>
      <c r="D1604" s="64"/>
      <c r="E1604" s="64"/>
      <c r="F1604" s="64"/>
      <c r="G1604" s="64"/>
      <c r="H1604" s="64"/>
      <c r="I1604" s="64"/>
      <c r="J1604" s="64"/>
      <c r="K1604" s="64"/>
      <c r="L1604" s="64"/>
      <c r="M1604" s="64"/>
      <c r="N1604" s="64"/>
      <c r="O1604" s="64"/>
      <c r="P1604" s="64"/>
      <c r="Q1604" s="64"/>
      <c r="R1604" s="64"/>
    </row>
    <row r="1605" spans="1:18" x14ac:dyDescent="0.25">
      <c r="A1605" s="63"/>
      <c r="B1605" s="64"/>
      <c r="C1605" s="64"/>
      <c r="D1605" s="64"/>
      <c r="E1605" s="64"/>
      <c r="F1605" s="64"/>
      <c r="G1605" s="64"/>
      <c r="H1605" s="64"/>
      <c r="I1605" s="64"/>
      <c r="J1605" s="64"/>
      <c r="K1605" s="64"/>
      <c r="L1605" s="64"/>
      <c r="M1605" s="64"/>
      <c r="N1605" s="64"/>
      <c r="O1605" s="64"/>
      <c r="P1605" s="64"/>
      <c r="Q1605" s="64"/>
      <c r="R1605" s="64"/>
    </row>
    <row r="1606" spans="1:18" x14ac:dyDescent="0.25">
      <c r="A1606" s="63"/>
      <c r="B1606" s="64"/>
      <c r="C1606" s="64"/>
      <c r="D1606" s="64"/>
      <c r="E1606" s="64"/>
      <c r="F1606" s="64"/>
      <c r="G1606" s="64"/>
      <c r="H1606" s="64"/>
      <c r="I1606" s="64"/>
      <c r="J1606" s="64"/>
      <c r="K1606" s="64"/>
      <c r="L1606" s="64"/>
      <c r="M1606" s="64"/>
      <c r="N1606" s="64"/>
      <c r="O1606" s="64"/>
      <c r="P1606" s="64"/>
      <c r="Q1606" s="64"/>
      <c r="R1606" s="64"/>
    </row>
    <row r="1607" spans="1:18" x14ac:dyDescent="0.25">
      <c r="A1607" s="63"/>
      <c r="B1607" s="64"/>
      <c r="C1607" s="64"/>
      <c r="D1607" s="64"/>
      <c r="E1607" s="64"/>
      <c r="F1607" s="64"/>
      <c r="G1607" s="64"/>
      <c r="H1607" s="64"/>
      <c r="I1607" s="64"/>
      <c r="J1607" s="64"/>
      <c r="K1607" s="64"/>
      <c r="L1607" s="64"/>
      <c r="M1607" s="64"/>
      <c r="N1607" s="64"/>
      <c r="O1607" s="64"/>
      <c r="P1607" s="64"/>
      <c r="Q1607" s="64"/>
      <c r="R1607" s="64"/>
    </row>
    <row r="1608" spans="1:18" x14ac:dyDescent="0.25">
      <c r="A1608" s="63"/>
      <c r="B1608" s="64"/>
      <c r="C1608" s="64"/>
      <c r="D1608" s="64"/>
      <c r="E1608" s="64"/>
      <c r="F1608" s="64"/>
      <c r="G1608" s="64"/>
      <c r="H1608" s="64"/>
      <c r="I1608" s="64"/>
      <c r="J1608" s="64"/>
      <c r="K1608" s="64"/>
      <c r="L1608" s="64"/>
      <c r="M1608" s="64"/>
      <c r="N1608" s="64"/>
      <c r="O1608" s="64"/>
      <c r="P1608" s="64"/>
      <c r="Q1608" s="64"/>
      <c r="R1608" s="64"/>
    </row>
    <row r="1609" spans="1:18" x14ac:dyDescent="0.25">
      <c r="A1609" s="63"/>
      <c r="B1609" s="64"/>
      <c r="C1609" s="64"/>
      <c r="D1609" s="64"/>
      <c r="E1609" s="64"/>
      <c r="F1609" s="64"/>
      <c r="G1609" s="64"/>
      <c r="H1609" s="64"/>
      <c r="I1609" s="64"/>
      <c r="J1609" s="64"/>
      <c r="K1609" s="64"/>
      <c r="L1609" s="64"/>
      <c r="M1609" s="64"/>
      <c r="N1609" s="64"/>
      <c r="O1609" s="64"/>
      <c r="P1609" s="64"/>
      <c r="Q1609" s="64"/>
      <c r="R1609" s="64"/>
    </row>
    <row r="1610" spans="1:18" x14ac:dyDescent="0.25">
      <c r="A1610" s="63"/>
      <c r="B1610" s="64"/>
      <c r="C1610" s="64"/>
      <c r="D1610" s="64"/>
      <c r="E1610" s="64"/>
      <c r="F1610" s="64"/>
      <c r="G1610" s="64"/>
      <c r="H1610" s="64"/>
      <c r="I1610" s="64"/>
      <c r="J1610" s="64"/>
      <c r="K1610" s="64"/>
      <c r="L1610" s="64"/>
      <c r="M1610" s="64"/>
      <c r="N1610" s="64"/>
      <c r="O1610" s="64"/>
      <c r="P1610" s="64"/>
      <c r="Q1610" s="64"/>
      <c r="R1610" s="64"/>
    </row>
    <row r="1611" spans="1:18" x14ac:dyDescent="0.25">
      <c r="A1611" s="63"/>
      <c r="B1611" s="64"/>
      <c r="C1611" s="64"/>
      <c r="D1611" s="64"/>
      <c r="E1611" s="64"/>
      <c r="F1611" s="64"/>
      <c r="G1611" s="64"/>
      <c r="H1611" s="64"/>
      <c r="I1611" s="64"/>
      <c r="J1611" s="64"/>
      <c r="K1611" s="64"/>
      <c r="L1611" s="64"/>
      <c r="M1611" s="64"/>
      <c r="N1611" s="64"/>
      <c r="O1611" s="64"/>
      <c r="P1611" s="64"/>
      <c r="Q1611" s="64"/>
      <c r="R1611" s="64"/>
    </row>
    <row r="1612" spans="1:18" x14ac:dyDescent="0.25">
      <c r="A1612" s="63"/>
      <c r="B1612" s="64"/>
      <c r="C1612" s="64"/>
      <c r="D1612" s="64"/>
      <c r="E1612" s="64"/>
      <c r="F1612" s="64"/>
      <c r="G1612" s="64"/>
      <c r="H1612" s="64"/>
      <c r="I1612" s="64"/>
      <c r="J1612" s="64"/>
      <c r="K1612" s="64"/>
      <c r="L1612" s="64"/>
      <c r="M1612" s="64"/>
      <c r="N1612" s="64"/>
      <c r="O1612" s="64"/>
      <c r="P1612" s="64"/>
      <c r="Q1612" s="64"/>
      <c r="R1612" s="64"/>
    </row>
    <row r="1613" spans="1:18" x14ac:dyDescent="0.25">
      <c r="A1613" s="63"/>
      <c r="B1613" s="64"/>
      <c r="C1613" s="64"/>
      <c r="D1613" s="64"/>
      <c r="E1613" s="64"/>
      <c r="F1613" s="64"/>
      <c r="G1613" s="64"/>
      <c r="H1613" s="64"/>
      <c r="I1613" s="64"/>
      <c r="J1613" s="64"/>
      <c r="K1613" s="64"/>
      <c r="L1613" s="64"/>
      <c r="M1613" s="64"/>
      <c r="N1613" s="64"/>
      <c r="O1613" s="64"/>
      <c r="P1613" s="64"/>
      <c r="Q1613" s="64"/>
      <c r="R1613" s="64"/>
    </row>
    <row r="1614" spans="1:18" x14ac:dyDescent="0.25">
      <c r="A1614" s="63"/>
      <c r="B1614" s="64"/>
      <c r="C1614" s="64"/>
      <c r="D1614" s="64"/>
      <c r="E1614" s="64"/>
      <c r="F1614" s="64"/>
      <c r="G1614" s="64"/>
      <c r="H1614" s="64"/>
      <c r="I1614" s="64"/>
      <c r="J1614" s="64"/>
      <c r="K1614" s="64"/>
      <c r="L1614" s="64"/>
      <c r="M1614" s="64"/>
      <c r="N1614" s="64"/>
      <c r="O1614" s="64"/>
      <c r="P1614" s="64"/>
      <c r="Q1614" s="64"/>
      <c r="R1614" s="64"/>
    </row>
    <row r="1615" spans="1:18" x14ac:dyDescent="0.25">
      <c r="A1615" s="63"/>
      <c r="B1615" s="64"/>
      <c r="C1615" s="64"/>
      <c r="D1615" s="64"/>
      <c r="E1615" s="64"/>
      <c r="F1615" s="64"/>
      <c r="G1615" s="64"/>
      <c r="H1615" s="64"/>
      <c r="I1615" s="64"/>
      <c r="J1615" s="64"/>
      <c r="K1615" s="64"/>
      <c r="L1615" s="64"/>
      <c r="M1615" s="64"/>
      <c r="N1615" s="64"/>
      <c r="O1615" s="64"/>
      <c r="P1615" s="64"/>
      <c r="Q1615" s="64"/>
      <c r="R1615" s="64"/>
    </row>
    <row r="1616" spans="1:18" x14ac:dyDescent="0.25">
      <c r="A1616" s="63"/>
      <c r="B1616" s="64"/>
      <c r="C1616" s="64"/>
      <c r="D1616" s="64"/>
      <c r="E1616" s="64"/>
      <c r="F1616" s="64"/>
      <c r="G1616" s="64"/>
      <c r="H1616" s="64"/>
      <c r="I1616" s="64"/>
      <c r="J1616" s="64"/>
      <c r="K1616" s="64"/>
      <c r="L1616" s="64"/>
      <c r="M1616" s="64"/>
      <c r="N1616" s="64"/>
      <c r="O1616" s="64"/>
      <c r="P1616" s="64"/>
      <c r="Q1616" s="64"/>
      <c r="R1616" s="64"/>
    </row>
    <row r="1617" spans="1:18" x14ac:dyDescent="0.25">
      <c r="A1617" s="63"/>
      <c r="B1617" s="64"/>
      <c r="C1617" s="64"/>
      <c r="D1617" s="64"/>
      <c r="E1617" s="64"/>
      <c r="F1617" s="64"/>
      <c r="G1617" s="64"/>
      <c r="H1617" s="64"/>
      <c r="I1617" s="64"/>
      <c r="J1617" s="64"/>
      <c r="K1617" s="64"/>
      <c r="L1617" s="64"/>
      <c r="M1617" s="64"/>
      <c r="N1617" s="64"/>
      <c r="O1617" s="64"/>
      <c r="P1617" s="64"/>
      <c r="Q1617" s="64"/>
      <c r="R1617" s="64"/>
    </row>
    <row r="1618" spans="1:18" x14ac:dyDescent="0.25">
      <c r="A1618" s="63"/>
      <c r="B1618" s="64"/>
      <c r="C1618" s="64"/>
      <c r="D1618" s="64"/>
      <c r="E1618" s="64"/>
      <c r="F1618" s="64"/>
      <c r="G1618" s="64"/>
      <c r="H1618" s="64"/>
      <c r="I1618" s="64"/>
      <c r="J1618" s="64"/>
      <c r="K1618" s="64"/>
      <c r="L1618" s="64"/>
      <c r="M1618" s="64"/>
      <c r="N1618" s="64"/>
      <c r="O1618" s="64"/>
      <c r="P1618" s="64"/>
      <c r="Q1618" s="64"/>
      <c r="R1618" s="64"/>
    </row>
    <row r="1619" spans="1:18" x14ac:dyDescent="0.25">
      <c r="A1619" s="63"/>
      <c r="B1619" s="64"/>
      <c r="C1619" s="64"/>
      <c r="D1619" s="64"/>
      <c r="E1619" s="64"/>
      <c r="F1619" s="64"/>
      <c r="G1619" s="64"/>
      <c r="H1619" s="64"/>
      <c r="I1619" s="64"/>
      <c r="J1619" s="64"/>
      <c r="K1619" s="64"/>
      <c r="L1619" s="64"/>
      <c r="M1619" s="64"/>
      <c r="N1619" s="64"/>
      <c r="O1619" s="64"/>
      <c r="P1619" s="64"/>
      <c r="Q1619" s="64"/>
      <c r="R1619" s="64"/>
    </row>
    <row r="1620" spans="1:18" x14ac:dyDescent="0.25">
      <c r="A1620" s="63"/>
      <c r="B1620" s="64"/>
      <c r="C1620" s="64"/>
      <c r="D1620" s="64"/>
      <c r="E1620" s="64"/>
      <c r="F1620" s="64"/>
      <c r="G1620" s="64"/>
      <c r="H1620" s="64"/>
      <c r="I1620" s="64"/>
      <c r="J1620" s="64"/>
      <c r="K1620" s="64"/>
      <c r="L1620" s="64"/>
      <c r="M1620" s="64"/>
      <c r="N1620" s="64"/>
      <c r="O1620" s="64"/>
      <c r="P1620" s="64"/>
      <c r="Q1620" s="64"/>
      <c r="R1620" s="64"/>
    </row>
    <row r="1621" spans="1:18" x14ac:dyDescent="0.25">
      <c r="A1621" s="63"/>
      <c r="B1621" s="64"/>
      <c r="C1621" s="64"/>
      <c r="D1621" s="64"/>
      <c r="E1621" s="64"/>
      <c r="F1621" s="64"/>
      <c r="G1621" s="64"/>
      <c r="H1621" s="64"/>
      <c r="I1621" s="64"/>
      <c r="J1621" s="64"/>
      <c r="K1621" s="64"/>
      <c r="L1621" s="64"/>
      <c r="M1621" s="64"/>
      <c r="N1621" s="64"/>
      <c r="O1621" s="64"/>
      <c r="P1621" s="64"/>
      <c r="Q1621" s="64"/>
      <c r="R1621" s="64"/>
    </row>
    <row r="1622" spans="1:18" x14ac:dyDescent="0.25">
      <c r="A1622" s="63"/>
      <c r="B1622" s="64"/>
      <c r="C1622" s="64"/>
      <c r="D1622" s="64"/>
      <c r="E1622" s="64"/>
      <c r="F1622" s="64"/>
      <c r="G1622" s="64"/>
      <c r="H1622" s="64"/>
      <c r="I1622" s="64"/>
      <c r="J1622" s="64"/>
      <c r="K1622" s="64"/>
      <c r="L1622" s="64"/>
      <c r="M1622" s="64"/>
      <c r="N1622" s="64"/>
      <c r="O1622" s="64"/>
      <c r="P1622" s="64"/>
      <c r="Q1622" s="64"/>
      <c r="R1622" s="64"/>
    </row>
    <row r="1623" spans="1:18" x14ac:dyDescent="0.25">
      <c r="A1623" s="63"/>
      <c r="B1623" s="64"/>
      <c r="C1623" s="64"/>
      <c r="D1623" s="64"/>
      <c r="E1623" s="64"/>
      <c r="F1623" s="64"/>
      <c r="G1623" s="64"/>
      <c r="H1623" s="64"/>
      <c r="I1623" s="64"/>
      <c r="J1623" s="64"/>
      <c r="K1623" s="64"/>
      <c r="L1623" s="64"/>
      <c r="M1623" s="64"/>
      <c r="N1623" s="64"/>
      <c r="O1623" s="64"/>
      <c r="P1623" s="64"/>
      <c r="Q1623" s="64"/>
      <c r="R1623" s="64"/>
    </row>
    <row r="1624" spans="1:18" x14ac:dyDescent="0.25">
      <c r="A1624" s="63"/>
      <c r="B1624" s="64"/>
      <c r="C1624" s="64"/>
      <c r="D1624" s="64"/>
      <c r="E1624" s="64"/>
      <c r="F1624" s="64"/>
      <c r="G1624" s="64"/>
      <c r="H1624" s="64"/>
      <c r="I1624" s="64"/>
      <c r="J1624" s="64"/>
      <c r="K1624" s="64"/>
      <c r="L1624" s="64"/>
      <c r="M1624" s="64"/>
      <c r="N1624" s="64"/>
      <c r="O1624" s="64"/>
      <c r="P1624" s="64"/>
      <c r="Q1624" s="64"/>
      <c r="R1624" s="64"/>
    </row>
    <row r="1625" spans="1:18" x14ac:dyDescent="0.25">
      <c r="A1625" s="63"/>
      <c r="B1625" s="64"/>
      <c r="C1625" s="64"/>
      <c r="D1625" s="64"/>
      <c r="E1625" s="64"/>
      <c r="F1625" s="64"/>
      <c r="G1625" s="64"/>
      <c r="H1625" s="64"/>
      <c r="I1625" s="64"/>
      <c r="J1625" s="64"/>
      <c r="K1625" s="64"/>
      <c r="L1625" s="64"/>
      <c r="M1625" s="64"/>
      <c r="N1625" s="64"/>
      <c r="O1625" s="64"/>
      <c r="P1625" s="64"/>
      <c r="Q1625" s="64"/>
      <c r="R1625" s="64"/>
    </row>
    <row r="1626" spans="1:18" x14ac:dyDescent="0.25">
      <c r="A1626" s="63"/>
      <c r="B1626" s="64"/>
      <c r="C1626" s="64"/>
      <c r="D1626" s="64"/>
      <c r="E1626" s="64"/>
      <c r="F1626" s="64"/>
      <c r="G1626" s="64"/>
      <c r="H1626" s="64"/>
      <c r="I1626" s="64"/>
      <c r="J1626" s="64"/>
      <c r="K1626" s="64"/>
      <c r="L1626" s="64"/>
      <c r="M1626" s="64"/>
      <c r="N1626" s="64"/>
      <c r="O1626" s="64"/>
      <c r="P1626" s="64"/>
      <c r="Q1626" s="64"/>
      <c r="R1626" s="64"/>
    </row>
    <row r="1627" spans="1:18" x14ac:dyDescent="0.25">
      <c r="A1627" s="63"/>
      <c r="B1627" s="64"/>
      <c r="C1627" s="64"/>
      <c r="D1627" s="64"/>
      <c r="E1627" s="64"/>
      <c r="F1627" s="64"/>
      <c r="G1627" s="64"/>
      <c r="H1627" s="64"/>
      <c r="I1627" s="64"/>
      <c r="J1627" s="64"/>
      <c r="K1627" s="64"/>
      <c r="L1627" s="64"/>
      <c r="M1627" s="64"/>
      <c r="N1627" s="64"/>
      <c r="O1627" s="64"/>
      <c r="P1627" s="64"/>
      <c r="Q1627" s="64"/>
      <c r="R1627" s="64"/>
    </row>
    <row r="1628" spans="1:18" x14ac:dyDescent="0.25">
      <c r="A1628" s="63"/>
      <c r="B1628" s="64"/>
      <c r="C1628" s="64"/>
      <c r="D1628" s="64"/>
      <c r="E1628" s="64"/>
      <c r="F1628" s="64"/>
      <c r="G1628" s="64"/>
      <c r="H1628" s="64"/>
      <c r="I1628" s="64"/>
      <c r="J1628" s="64"/>
      <c r="K1628" s="64"/>
      <c r="L1628" s="64"/>
      <c r="M1628" s="64"/>
      <c r="N1628" s="64"/>
      <c r="O1628" s="64"/>
      <c r="P1628" s="64"/>
      <c r="Q1628" s="64"/>
      <c r="R1628" s="64"/>
    </row>
    <row r="1629" spans="1:18" x14ac:dyDescent="0.25">
      <c r="A1629" s="63"/>
      <c r="B1629" s="64"/>
      <c r="C1629" s="64"/>
      <c r="D1629" s="64"/>
      <c r="E1629" s="64"/>
      <c r="F1629" s="64"/>
      <c r="G1629" s="64"/>
      <c r="H1629" s="64"/>
      <c r="I1629" s="64"/>
      <c r="J1629" s="64"/>
      <c r="K1629" s="64"/>
      <c r="L1629" s="64"/>
      <c r="M1629" s="64"/>
      <c r="N1629" s="64"/>
      <c r="O1629" s="64"/>
      <c r="P1629" s="64"/>
      <c r="Q1629" s="64"/>
      <c r="R1629" s="64"/>
    </row>
    <row r="1630" spans="1:18" x14ac:dyDescent="0.25">
      <c r="A1630" s="63"/>
      <c r="B1630" s="64"/>
      <c r="C1630" s="64"/>
      <c r="D1630" s="64"/>
      <c r="E1630" s="64"/>
      <c r="F1630" s="64"/>
      <c r="G1630" s="64"/>
      <c r="H1630" s="64"/>
      <c r="I1630" s="64"/>
      <c r="J1630" s="64"/>
      <c r="K1630" s="64"/>
      <c r="L1630" s="64"/>
      <c r="M1630" s="64"/>
      <c r="N1630" s="64"/>
      <c r="O1630" s="64"/>
      <c r="P1630" s="64"/>
      <c r="Q1630" s="64"/>
      <c r="R1630" s="64"/>
    </row>
    <row r="1631" spans="1:18" x14ac:dyDescent="0.25">
      <c r="A1631" s="63"/>
      <c r="B1631" s="64"/>
      <c r="C1631" s="64"/>
      <c r="D1631" s="64"/>
      <c r="E1631" s="64"/>
      <c r="F1631" s="64"/>
      <c r="G1631" s="64"/>
      <c r="H1631" s="64"/>
      <c r="I1631" s="64"/>
      <c r="J1631" s="64"/>
      <c r="K1631" s="64"/>
      <c r="L1631" s="64"/>
      <c r="M1631" s="64"/>
      <c r="N1631" s="64"/>
      <c r="O1631" s="64"/>
      <c r="P1631" s="64"/>
      <c r="Q1631" s="64"/>
      <c r="R1631" s="64"/>
    </row>
    <row r="1632" spans="1:18" x14ac:dyDescent="0.25">
      <c r="A1632" s="63"/>
      <c r="B1632" s="64"/>
      <c r="C1632" s="64"/>
      <c r="D1632" s="64"/>
      <c r="E1632" s="64"/>
      <c r="F1632" s="64"/>
      <c r="G1632" s="64"/>
      <c r="H1632" s="64"/>
      <c r="I1632" s="64"/>
      <c r="J1632" s="64"/>
      <c r="K1632" s="64"/>
      <c r="L1632" s="64"/>
      <c r="M1632" s="64"/>
      <c r="N1632" s="64"/>
      <c r="O1632" s="64"/>
      <c r="P1632" s="64"/>
      <c r="Q1632" s="64"/>
      <c r="R1632" s="64"/>
    </row>
    <row r="1633" spans="1:18" x14ac:dyDescent="0.25">
      <c r="A1633" s="63"/>
      <c r="B1633" s="64"/>
      <c r="C1633" s="64"/>
      <c r="D1633" s="64"/>
      <c r="E1633" s="64"/>
      <c r="F1633" s="64"/>
      <c r="G1633" s="64"/>
      <c r="H1633" s="64"/>
      <c r="I1633" s="64"/>
      <c r="J1633" s="64"/>
      <c r="K1633" s="64"/>
      <c r="L1633" s="64"/>
      <c r="M1633" s="64"/>
      <c r="N1633" s="64"/>
      <c r="O1633" s="64"/>
      <c r="P1633" s="64"/>
      <c r="Q1633" s="64"/>
      <c r="R1633" s="64"/>
    </row>
    <row r="1634" spans="1:18" x14ac:dyDescent="0.25">
      <c r="A1634" s="63"/>
      <c r="B1634" s="64"/>
      <c r="C1634" s="64"/>
      <c r="D1634" s="64"/>
      <c r="E1634" s="64"/>
      <c r="F1634" s="64"/>
      <c r="G1634" s="64"/>
      <c r="H1634" s="64"/>
      <c r="I1634" s="64"/>
      <c r="J1634" s="64"/>
      <c r="K1634" s="64"/>
      <c r="L1634" s="64"/>
      <c r="M1634" s="64"/>
      <c r="N1634" s="64"/>
      <c r="O1634" s="64"/>
      <c r="P1634" s="64"/>
      <c r="Q1634" s="64"/>
      <c r="R1634" s="64"/>
    </row>
    <row r="1635" spans="1:18" x14ac:dyDescent="0.25">
      <c r="A1635" s="63"/>
      <c r="B1635" s="64"/>
      <c r="C1635" s="64"/>
      <c r="D1635" s="64"/>
      <c r="E1635" s="64"/>
      <c r="F1635" s="64"/>
      <c r="G1635" s="64"/>
      <c r="H1635" s="64"/>
      <c r="I1635" s="64"/>
      <c r="J1635" s="64"/>
      <c r="K1635" s="64"/>
      <c r="L1635" s="64"/>
      <c r="M1635" s="64"/>
      <c r="N1635" s="64"/>
      <c r="O1635" s="64"/>
      <c r="P1635" s="64"/>
      <c r="Q1635" s="64"/>
      <c r="R1635" s="64"/>
    </row>
    <row r="1636" spans="1:18" x14ac:dyDescent="0.25">
      <c r="A1636" s="63"/>
      <c r="B1636" s="64"/>
      <c r="C1636" s="64"/>
      <c r="D1636" s="64"/>
      <c r="E1636" s="64"/>
      <c r="F1636" s="64"/>
      <c r="G1636" s="64"/>
      <c r="H1636" s="64"/>
      <c r="I1636" s="64"/>
      <c r="J1636" s="64"/>
      <c r="K1636" s="64"/>
      <c r="L1636" s="64"/>
      <c r="M1636" s="64"/>
      <c r="N1636" s="64"/>
      <c r="O1636" s="64"/>
      <c r="P1636" s="64"/>
      <c r="Q1636" s="64"/>
      <c r="R1636" s="64"/>
    </row>
    <row r="1637" spans="1:18" x14ac:dyDescent="0.25">
      <c r="A1637" s="63"/>
      <c r="B1637" s="64"/>
      <c r="C1637" s="64"/>
      <c r="D1637" s="64"/>
      <c r="E1637" s="64"/>
      <c r="F1637" s="64"/>
      <c r="G1637" s="64"/>
      <c r="H1637" s="64"/>
      <c r="I1637" s="64"/>
      <c r="J1637" s="64"/>
      <c r="K1637" s="64"/>
      <c r="L1637" s="64"/>
      <c r="M1637" s="64"/>
      <c r="N1637" s="64"/>
      <c r="O1637" s="64"/>
      <c r="P1637" s="64"/>
      <c r="Q1637" s="64"/>
      <c r="R1637" s="64"/>
    </row>
    <row r="1638" spans="1:18" x14ac:dyDescent="0.25">
      <c r="A1638" s="63"/>
      <c r="B1638" s="64"/>
      <c r="C1638" s="64"/>
      <c r="D1638" s="64"/>
      <c r="E1638" s="64"/>
      <c r="F1638" s="64"/>
      <c r="G1638" s="64"/>
      <c r="H1638" s="64"/>
      <c r="I1638" s="64"/>
      <c r="J1638" s="64"/>
      <c r="K1638" s="64"/>
      <c r="L1638" s="64"/>
      <c r="M1638" s="64"/>
      <c r="N1638" s="64"/>
      <c r="O1638" s="64"/>
      <c r="P1638" s="64"/>
      <c r="Q1638" s="64"/>
      <c r="R1638" s="64"/>
    </row>
    <row r="1639" spans="1:18" x14ac:dyDescent="0.25">
      <c r="A1639" s="63"/>
      <c r="B1639" s="64"/>
      <c r="C1639" s="64"/>
      <c r="D1639" s="64"/>
      <c r="E1639" s="64"/>
      <c r="F1639" s="64"/>
      <c r="G1639" s="64"/>
      <c r="H1639" s="64"/>
      <c r="I1639" s="64"/>
      <c r="J1639" s="64"/>
      <c r="K1639" s="64"/>
      <c r="L1639" s="64"/>
      <c r="M1639" s="64"/>
      <c r="N1639" s="64"/>
      <c r="O1639" s="64"/>
      <c r="P1639" s="64"/>
      <c r="Q1639" s="64"/>
      <c r="R1639" s="64"/>
    </row>
    <row r="1640" spans="1:18" x14ac:dyDescent="0.25">
      <c r="A1640" s="63"/>
      <c r="B1640" s="64"/>
      <c r="C1640" s="64"/>
      <c r="D1640" s="64"/>
      <c r="E1640" s="64"/>
      <c r="F1640" s="64"/>
      <c r="G1640" s="64"/>
      <c r="H1640" s="64"/>
      <c r="I1640" s="64"/>
      <c r="J1640" s="64"/>
      <c r="K1640" s="64"/>
      <c r="L1640" s="64"/>
      <c r="M1640" s="64"/>
      <c r="N1640" s="64"/>
      <c r="O1640" s="64"/>
      <c r="P1640" s="64"/>
      <c r="Q1640" s="64"/>
      <c r="R1640" s="64"/>
    </row>
    <row r="1641" spans="1:18" x14ac:dyDescent="0.25">
      <c r="A1641" s="63"/>
      <c r="B1641" s="64"/>
      <c r="C1641" s="64"/>
      <c r="D1641" s="64"/>
      <c r="E1641" s="64"/>
      <c r="F1641" s="64"/>
      <c r="G1641" s="64"/>
      <c r="H1641" s="64"/>
      <c r="I1641" s="64"/>
      <c r="J1641" s="64"/>
      <c r="K1641" s="64"/>
      <c r="L1641" s="64"/>
      <c r="M1641" s="64"/>
      <c r="N1641" s="64"/>
      <c r="O1641" s="64"/>
      <c r="P1641" s="64"/>
      <c r="Q1641" s="64"/>
      <c r="R1641" s="64"/>
    </row>
    <row r="1642" spans="1:18" x14ac:dyDescent="0.25">
      <c r="A1642" s="63"/>
      <c r="B1642" s="64"/>
      <c r="C1642" s="64"/>
      <c r="D1642" s="64"/>
      <c r="E1642" s="64"/>
      <c r="F1642" s="64"/>
      <c r="G1642" s="64"/>
      <c r="H1642" s="64"/>
      <c r="I1642" s="64"/>
      <c r="J1642" s="64"/>
      <c r="K1642" s="64"/>
      <c r="L1642" s="64"/>
      <c r="M1642" s="64"/>
      <c r="N1642" s="64"/>
      <c r="O1642" s="64"/>
      <c r="P1642" s="64"/>
      <c r="Q1642" s="64"/>
      <c r="R1642" s="64"/>
    </row>
    <row r="1643" spans="1:18" x14ac:dyDescent="0.25">
      <c r="A1643" s="63"/>
      <c r="B1643" s="64"/>
      <c r="C1643" s="64"/>
      <c r="D1643" s="64"/>
      <c r="E1643" s="64"/>
      <c r="F1643" s="64"/>
      <c r="G1643" s="64"/>
      <c r="H1643" s="64"/>
      <c r="I1643" s="64"/>
      <c r="J1643" s="64"/>
      <c r="K1643" s="64"/>
      <c r="L1643" s="64"/>
      <c r="M1643" s="64"/>
      <c r="N1643" s="64"/>
      <c r="O1643" s="64"/>
      <c r="P1643" s="64"/>
      <c r="Q1643" s="64"/>
      <c r="R1643" s="64"/>
    </row>
    <row r="1644" spans="1:18" x14ac:dyDescent="0.25">
      <c r="A1644" s="63"/>
      <c r="B1644" s="64"/>
      <c r="C1644" s="64"/>
      <c r="D1644" s="64"/>
      <c r="E1644" s="64"/>
      <c r="F1644" s="64"/>
      <c r="G1644" s="64"/>
      <c r="H1644" s="64"/>
      <c r="I1644" s="64"/>
      <c r="J1644" s="64"/>
      <c r="K1644" s="64"/>
      <c r="L1644" s="64"/>
      <c r="M1644" s="64"/>
      <c r="N1644" s="64"/>
      <c r="O1644" s="64"/>
      <c r="P1644" s="64"/>
      <c r="Q1644" s="64"/>
      <c r="R1644" s="64"/>
    </row>
    <row r="1645" spans="1:18" x14ac:dyDescent="0.25">
      <c r="A1645" s="63"/>
      <c r="B1645" s="64"/>
      <c r="C1645" s="64"/>
      <c r="D1645" s="64"/>
      <c r="E1645" s="64"/>
      <c r="F1645" s="64"/>
      <c r="G1645" s="64"/>
      <c r="H1645" s="64"/>
      <c r="I1645" s="64"/>
      <c r="J1645" s="64"/>
      <c r="K1645" s="64"/>
      <c r="L1645" s="64"/>
      <c r="M1645" s="64"/>
      <c r="N1645" s="64"/>
      <c r="O1645" s="64"/>
      <c r="P1645" s="64"/>
      <c r="Q1645" s="64"/>
      <c r="R1645" s="64"/>
    </row>
    <row r="1646" spans="1:18" x14ac:dyDescent="0.25">
      <c r="A1646" s="63"/>
      <c r="B1646" s="64"/>
      <c r="C1646" s="64"/>
      <c r="D1646" s="64"/>
      <c r="E1646" s="64"/>
      <c r="F1646" s="64"/>
      <c r="G1646" s="64"/>
      <c r="H1646" s="64"/>
      <c r="I1646" s="64"/>
      <c r="J1646" s="64"/>
      <c r="K1646" s="64"/>
      <c r="L1646" s="64"/>
      <c r="M1646" s="64"/>
      <c r="N1646" s="64"/>
      <c r="O1646" s="64"/>
      <c r="P1646" s="64"/>
      <c r="Q1646" s="64"/>
      <c r="R1646" s="64"/>
    </row>
    <row r="1647" spans="1:18" x14ac:dyDescent="0.25">
      <c r="A1647" s="63"/>
      <c r="B1647" s="64"/>
      <c r="C1647" s="64"/>
      <c r="D1647" s="64"/>
      <c r="E1647" s="64"/>
      <c r="F1647" s="64"/>
      <c r="G1647" s="64"/>
      <c r="H1647" s="64"/>
      <c r="I1647" s="64"/>
      <c r="J1647" s="64"/>
      <c r="K1647" s="64"/>
      <c r="L1647" s="64"/>
      <c r="M1647" s="64"/>
      <c r="N1647" s="64"/>
      <c r="O1647" s="64"/>
      <c r="P1647" s="64"/>
      <c r="Q1647" s="64"/>
      <c r="R1647" s="64"/>
    </row>
    <row r="1648" spans="1:18" x14ac:dyDescent="0.25">
      <c r="A1648" s="63"/>
      <c r="B1648" s="64"/>
      <c r="C1648" s="64"/>
      <c r="D1648" s="64"/>
      <c r="E1648" s="64"/>
      <c r="F1648" s="64"/>
      <c r="G1648" s="64"/>
      <c r="H1648" s="64"/>
      <c r="I1648" s="64"/>
      <c r="J1648" s="64"/>
      <c r="K1648" s="64"/>
      <c r="L1648" s="64"/>
      <c r="M1648" s="64"/>
      <c r="N1648" s="64"/>
      <c r="O1648" s="64"/>
      <c r="P1648" s="64"/>
      <c r="Q1648" s="64"/>
      <c r="R1648" s="64"/>
    </row>
    <row r="1649" spans="1:18" x14ac:dyDescent="0.25">
      <c r="A1649" s="63"/>
      <c r="B1649" s="64"/>
      <c r="C1649" s="64"/>
      <c r="D1649" s="64"/>
      <c r="E1649" s="64"/>
      <c r="F1649" s="64"/>
      <c r="G1649" s="64"/>
      <c r="H1649" s="64"/>
      <c r="I1649" s="64"/>
      <c r="J1649" s="64"/>
      <c r="K1649" s="64"/>
      <c r="L1649" s="64"/>
      <c r="M1649" s="64"/>
      <c r="N1649" s="64"/>
      <c r="O1649" s="64"/>
      <c r="P1649" s="64"/>
      <c r="Q1649" s="64"/>
      <c r="R1649" s="64"/>
    </row>
    <row r="1650" spans="1:18" x14ac:dyDescent="0.25">
      <c r="A1650" s="63"/>
      <c r="B1650" s="64"/>
      <c r="C1650" s="64"/>
      <c r="D1650" s="64"/>
      <c r="E1650" s="64"/>
      <c r="F1650" s="64"/>
      <c r="G1650" s="64"/>
      <c r="H1650" s="64"/>
      <c r="I1650" s="64"/>
      <c r="J1650" s="64"/>
      <c r="K1650" s="64"/>
      <c r="L1650" s="64"/>
      <c r="M1650" s="64"/>
      <c r="N1650" s="64"/>
      <c r="O1650" s="64"/>
      <c r="P1650" s="64"/>
      <c r="Q1650" s="64"/>
      <c r="R1650" s="64"/>
    </row>
    <row r="1651" spans="1:18" x14ac:dyDescent="0.25">
      <c r="A1651" s="63"/>
      <c r="B1651" s="64"/>
      <c r="C1651" s="64"/>
      <c r="D1651" s="64"/>
      <c r="E1651" s="64"/>
      <c r="F1651" s="64"/>
      <c r="G1651" s="64"/>
      <c r="H1651" s="64"/>
      <c r="I1651" s="64"/>
      <c r="J1651" s="64"/>
      <c r="K1651" s="64"/>
      <c r="L1651" s="64"/>
      <c r="M1651" s="64"/>
      <c r="N1651" s="64"/>
      <c r="O1651" s="64"/>
      <c r="P1651" s="64"/>
      <c r="Q1651" s="64"/>
      <c r="R1651" s="64"/>
    </row>
    <row r="1652" spans="1:18" x14ac:dyDescent="0.25">
      <c r="A1652" s="63"/>
      <c r="B1652" s="64"/>
      <c r="C1652" s="64"/>
      <c r="D1652" s="64"/>
      <c r="E1652" s="64"/>
      <c r="F1652" s="64"/>
      <c r="G1652" s="64"/>
      <c r="H1652" s="64"/>
      <c r="I1652" s="64"/>
      <c r="J1652" s="64"/>
      <c r="K1652" s="64"/>
      <c r="L1652" s="64"/>
      <c r="M1652" s="64"/>
      <c r="N1652" s="64"/>
      <c r="O1652" s="64"/>
      <c r="P1652" s="64"/>
      <c r="Q1652" s="64"/>
      <c r="R1652" s="64"/>
    </row>
    <row r="1653" spans="1:18" x14ac:dyDescent="0.25">
      <c r="A1653" s="63"/>
      <c r="B1653" s="64"/>
      <c r="C1653" s="64"/>
      <c r="D1653" s="64"/>
      <c r="E1653" s="64"/>
      <c r="F1653" s="64"/>
      <c r="G1653" s="64"/>
      <c r="H1653" s="64"/>
      <c r="I1653" s="64"/>
      <c r="J1653" s="64"/>
      <c r="K1653" s="64"/>
      <c r="L1653" s="64"/>
      <c r="M1653" s="64"/>
      <c r="N1653" s="64"/>
      <c r="O1653" s="64"/>
      <c r="P1653" s="64"/>
      <c r="Q1653" s="64"/>
      <c r="R1653" s="64"/>
    </row>
    <row r="1654" spans="1:18" x14ac:dyDescent="0.25">
      <c r="A1654" s="63"/>
      <c r="B1654" s="64"/>
      <c r="C1654" s="64"/>
      <c r="D1654" s="64"/>
      <c r="E1654" s="64"/>
      <c r="F1654" s="64"/>
      <c r="G1654" s="64"/>
      <c r="H1654" s="64"/>
      <c r="I1654" s="64"/>
      <c r="J1654" s="64"/>
      <c r="K1654" s="64"/>
      <c r="L1654" s="64"/>
      <c r="M1654" s="64"/>
      <c r="N1654" s="64"/>
      <c r="O1654" s="64"/>
      <c r="P1654" s="64"/>
      <c r="Q1654" s="64"/>
      <c r="R1654" s="64"/>
    </row>
    <row r="1655" spans="1:18" x14ac:dyDescent="0.25">
      <c r="A1655" s="63"/>
      <c r="B1655" s="64"/>
      <c r="C1655" s="64"/>
      <c r="D1655" s="64"/>
      <c r="E1655" s="64"/>
      <c r="F1655" s="64"/>
      <c r="G1655" s="64"/>
      <c r="H1655" s="64"/>
      <c r="I1655" s="64"/>
      <c r="J1655" s="64"/>
      <c r="K1655" s="64"/>
      <c r="L1655" s="64"/>
      <c r="M1655" s="64"/>
      <c r="N1655" s="64"/>
      <c r="O1655" s="64"/>
      <c r="P1655" s="64"/>
      <c r="Q1655" s="64"/>
      <c r="R1655" s="64"/>
    </row>
    <row r="1656" spans="1:18" x14ac:dyDescent="0.25">
      <c r="A1656" s="63"/>
      <c r="B1656" s="64"/>
      <c r="C1656" s="64"/>
      <c r="D1656" s="64"/>
      <c r="E1656" s="64"/>
      <c r="F1656" s="64"/>
      <c r="G1656" s="64"/>
      <c r="H1656" s="64"/>
      <c r="I1656" s="64"/>
      <c r="J1656" s="64"/>
      <c r="K1656" s="64"/>
      <c r="L1656" s="64"/>
      <c r="M1656" s="64"/>
      <c r="N1656" s="64"/>
      <c r="O1656" s="64"/>
      <c r="P1656" s="64"/>
      <c r="Q1656" s="64"/>
      <c r="R1656" s="64"/>
    </row>
    <row r="1657" spans="1:18" x14ac:dyDescent="0.25">
      <c r="A1657" s="63"/>
      <c r="B1657" s="64"/>
      <c r="C1657" s="64"/>
      <c r="D1657" s="64"/>
      <c r="E1657" s="64"/>
      <c r="F1657" s="64"/>
      <c r="G1657" s="64"/>
      <c r="H1657" s="64"/>
      <c r="I1657" s="64"/>
      <c r="J1657" s="64"/>
      <c r="K1657" s="64"/>
      <c r="L1657" s="64"/>
      <c r="M1657" s="64"/>
      <c r="N1657" s="64"/>
      <c r="O1657" s="64"/>
      <c r="P1657" s="64"/>
      <c r="Q1657" s="64"/>
      <c r="R1657" s="64"/>
    </row>
    <row r="1658" spans="1:18" x14ac:dyDescent="0.25">
      <c r="A1658" s="63"/>
      <c r="B1658" s="64"/>
      <c r="C1658" s="64"/>
      <c r="D1658" s="64"/>
      <c r="E1658" s="64"/>
      <c r="F1658" s="64"/>
      <c r="G1658" s="64"/>
      <c r="H1658" s="64"/>
      <c r="I1658" s="64"/>
      <c r="J1658" s="64"/>
      <c r="K1658" s="64"/>
      <c r="L1658" s="64"/>
      <c r="M1658" s="64"/>
      <c r="N1658" s="64"/>
      <c r="O1658" s="64"/>
      <c r="P1658" s="64"/>
      <c r="Q1658" s="64"/>
      <c r="R1658" s="64"/>
    </row>
    <row r="1659" spans="1:18" x14ac:dyDescent="0.25">
      <c r="A1659" s="63"/>
      <c r="B1659" s="64"/>
      <c r="C1659" s="64"/>
      <c r="D1659" s="64"/>
      <c r="E1659" s="64"/>
      <c r="F1659" s="64"/>
      <c r="G1659" s="64"/>
      <c r="H1659" s="64"/>
      <c r="I1659" s="64"/>
      <c r="J1659" s="64"/>
      <c r="K1659" s="64"/>
      <c r="L1659" s="64"/>
      <c r="M1659" s="64"/>
      <c r="N1659" s="64"/>
      <c r="O1659" s="64"/>
      <c r="P1659" s="64"/>
      <c r="Q1659" s="64"/>
      <c r="R1659" s="64"/>
    </row>
    <row r="1660" spans="1:18" x14ac:dyDescent="0.25">
      <c r="A1660" s="63"/>
      <c r="B1660" s="64"/>
      <c r="C1660" s="64"/>
      <c r="D1660" s="64"/>
      <c r="E1660" s="64"/>
      <c r="F1660" s="64"/>
      <c r="G1660" s="64"/>
      <c r="H1660" s="64"/>
      <c r="I1660" s="64"/>
      <c r="J1660" s="64"/>
      <c r="K1660" s="64"/>
      <c r="L1660" s="64"/>
      <c r="M1660" s="64"/>
      <c r="N1660" s="64"/>
      <c r="O1660" s="64"/>
      <c r="P1660" s="64"/>
      <c r="Q1660" s="64"/>
      <c r="R1660" s="64"/>
    </row>
    <row r="1661" spans="1:18" x14ac:dyDescent="0.25">
      <c r="A1661" s="63"/>
      <c r="B1661" s="64"/>
      <c r="C1661" s="64"/>
      <c r="D1661" s="64"/>
      <c r="E1661" s="64"/>
      <c r="F1661" s="64"/>
      <c r="G1661" s="64"/>
      <c r="H1661" s="64"/>
      <c r="I1661" s="64"/>
      <c r="J1661" s="64"/>
      <c r="K1661" s="64"/>
      <c r="L1661" s="64"/>
      <c r="M1661" s="64"/>
      <c r="N1661" s="64"/>
      <c r="O1661" s="64"/>
      <c r="P1661" s="64"/>
      <c r="Q1661" s="64"/>
      <c r="R1661" s="64"/>
    </row>
    <row r="1662" spans="1:18" x14ac:dyDescent="0.25">
      <c r="A1662" s="63"/>
      <c r="B1662" s="64"/>
      <c r="C1662" s="64"/>
      <c r="D1662" s="64"/>
      <c r="E1662" s="64"/>
      <c r="F1662" s="64"/>
      <c r="G1662" s="64"/>
      <c r="H1662" s="64"/>
      <c r="I1662" s="64"/>
      <c r="J1662" s="64"/>
      <c r="K1662" s="64"/>
      <c r="L1662" s="64"/>
      <c r="M1662" s="64"/>
      <c r="N1662" s="64"/>
      <c r="O1662" s="64"/>
      <c r="P1662" s="64"/>
      <c r="Q1662" s="64"/>
      <c r="R1662" s="64"/>
    </row>
    <row r="1663" spans="1:18" x14ac:dyDescent="0.25">
      <c r="R1663" s="64"/>
    </row>
  </sheetData>
  <conditionalFormatting sqref="A118:R125 S127:T646 A21:R116 R126:S126 A126:Q1654 R127:R1655 U21:W645 T21:T126 S21:S125 X21:X70 Y51:XFD645 AV21:XFD50">
    <cfRule type="expression" dxfId="218" priority="26">
      <formula>MOD(ROW(),2)=0</formula>
    </cfRule>
  </conditionalFormatting>
  <conditionalFormatting sqref="X72:X100 X102:X645">
    <cfRule type="expression" dxfId="217" priority="25">
      <formula>MOD(ROW(),2)=0</formula>
    </cfRule>
  </conditionalFormatting>
  <conditionalFormatting sqref="X20 T21:T600 AU51:AU600">
    <cfRule type="containsText" dxfId="216" priority="24" operator="containsText" text="Exclude">
      <formula>NOT(ISERROR(SEARCH("Exclude",T20)))</formula>
    </cfRule>
  </conditionalFormatting>
  <conditionalFormatting sqref="AU20">
    <cfRule type="containsText" dxfId="215" priority="20" operator="containsText" text="Exclude">
      <formula>NOT(ISERROR(SEARCH("Exclude",AU20)))</formula>
    </cfRule>
  </conditionalFormatting>
  <conditionalFormatting sqref="AS1:AS2 AS18:AS20 AS51:AS1048576 AM3:AM16">
    <cfRule type="containsText" dxfId="214" priority="19" operator="containsText" text="Pant">
      <formula>NOT(ISERROR(SEARCH("Pant",AM1)))</formula>
    </cfRule>
  </conditionalFormatting>
  <conditionalFormatting sqref="T20">
    <cfRule type="containsText" dxfId="213" priority="18" operator="containsText" text="Exclude">
      <formula>NOT(ISERROR(SEARCH("Exclude",T20)))</formula>
    </cfRule>
  </conditionalFormatting>
  <conditionalFormatting sqref="X71">
    <cfRule type="expression" dxfId="212" priority="17">
      <formula>MOD(ROW(),2)=0</formula>
    </cfRule>
  </conditionalFormatting>
  <conditionalFormatting sqref="X71">
    <cfRule type="containsText" dxfId="211" priority="16" operator="containsText" text="Exclude">
      <formula>NOT(ISERROR(SEARCH("Exclude",X71)))</formula>
    </cfRule>
  </conditionalFormatting>
  <conditionalFormatting sqref="X101">
    <cfRule type="expression" dxfId="210" priority="15">
      <formula>MOD(ROW(),2)=0</formula>
    </cfRule>
  </conditionalFormatting>
  <conditionalFormatting sqref="X101">
    <cfRule type="containsText" dxfId="209" priority="14" operator="containsText" text="Exclude">
      <formula>NOT(ISERROR(SEARCH("Exclude",X101)))</formula>
    </cfRule>
  </conditionalFormatting>
  <conditionalFormatting sqref="T1:T2 T17:T1048576 N3:N4 N8:N16 O5:O7">
    <cfRule type="containsText" dxfId="208" priority="13" operator="containsText" text="False">
      <formula>NOT(ISERROR(SEARCH("False",N1)))</formula>
    </cfRule>
  </conditionalFormatting>
  <conditionalFormatting sqref="U1:W2 U17:W1048576 O3:Q4 O8:Q16 P5:R7">
    <cfRule type="containsText" dxfId="207" priority="12" operator="containsText" text="FALSE">
      <formula>NOT(ISERROR(SEARCH("FALSE",O1)))</formula>
    </cfRule>
  </conditionalFormatting>
  <conditionalFormatting sqref="U6">
    <cfRule type="containsErrors" dxfId="206" priority="11">
      <formula>ISERROR(U6)</formula>
    </cfRule>
  </conditionalFormatting>
  <conditionalFormatting sqref="B6">
    <cfRule type="containsErrors" dxfId="205" priority="8">
      <formula>ISERROR(B6)</formula>
    </cfRule>
  </conditionalFormatting>
  <conditionalFormatting sqref="Z6">
    <cfRule type="containsErrors" dxfId="204" priority="7">
      <formula>ISERROR(Z6)</formula>
    </cfRule>
  </conditionalFormatting>
  <conditionalFormatting sqref="Y21:AU50">
    <cfRule type="expression" dxfId="203" priority="6">
      <formula>MOD(ROW(),2)=0</formula>
    </cfRule>
  </conditionalFormatting>
  <conditionalFormatting sqref="AR21:AR50">
    <cfRule type="containsText" dxfId="202" priority="5" operator="containsText" text="Exclude">
      <formula>NOT(ISERROR(SEARCH("Exclude",AR21)))</formula>
    </cfRule>
  </conditionalFormatting>
  <conditionalFormatting sqref="AR21:AR50">
    <cfRule type="containsText" dxfId="201" priority="4" operator="containsText" text="False">
      <formula>NOT(ISERROR(SEARCH("False",AR21)))</formula>
    </cfRule>
  </conditionalFormatting>
  <conditionalFormatting sqref="AS21:AU50">
    <cfRule type="containsText" dxfId="200" priority="3" operator="containsText" text="FALSE">
      <formula>NOT(ISERROR(SEARCH("FALSE",AS21)))</formula>
    </cfRule>
  </conditionalFormatting>
  <conditionalFormatting sqref="AR17">
    <cfRule type="containsText" dxfId="199" priority="2" operator="containsText" text="False">
      <formula>NOT(ISERROR(SEARCH("False",AR17)))</formula>
    </cfRule>
  </conditionalFormatting>
  <conditionalFormatting sqref="AS17:AU17">
    <cfRule type="containsText" dxfId="198" priority="1" operator="containsText" text="FALSE">
      <formula>NOT(ISERROR(SEARCH("FALSE",AS17)))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TextToColumns">
                <anchor moveWithCells="1" sizeWithCells="1">
                  <from>
                    <xdr:col>7</xdr:col>
                    <xdr:colOff>857250</xdr:colOff>
                    <xdr:row>0</xdr:row>
                    <xdr:rowOff>19050</xdr:rowOff>
                  </from>
                  <to>
                    <xdr:col>12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AV1663"/>
  <sheetViews>
    <sheetView zoomScale="90" zoomScaleNormal="90" workbookViewId="0">
      <pane ySplit="17" topLeftCell="A18" activePane="bottomLeft" state="frozen"/>
      <selection pane="bottomLeft" activeCell="B6" sqref="B6"/>
    </sheetView>
  </sheetViews>
  <sheetFormatPr defaultColWidth="9.140625" defaultRowHeight="15" x14ac:dyDescent="0.25"/>
  <cols>
    <col min="1" max="1" width="20" style="65" customWidth="1"/>
    <col min="2" max="2" width="17.42578125" style="65" customWidth="1"/>
    <col min="3" max="3" width="17.140625" style="65" customWidth="1"/>
    <col min="4" max="4" width="16.85546875" style="65" customWidth="1"/>
    <col min="5" max="6" width="17" style="65" customWidth="1"/>
    <col min="7" max="7" width="20.7109375" style="65" customWidth="1"/>
    <col min="8" max="8" width="19.28515625" style="65" bestFit="1" customWidth="1"/>
    <col min="9" max="9" width="16.7109375" style="65" customWidth="1"/>
    <col min="10" max="11" width="14.85546875" style="65" bestFit="1" customWidth="1"/>
    <col min="12" max="12" width="15" style="65" bestFit="1" customWidth="1"/>
    <col min="13" max="13" width="15.28515625" style="65" bestFit="1" customWidth="1"/>
    <col min="14" max="14" width="13.85546875" style="65" bestFit="1" customWidth="1"/>
    <col min="15" max="15" width="18.7109375" style="65" bestFit="1" customWidth="1"/>
    <col min="16" max="16" width="15.42578125" style="65" customWidth="1"/>
    <col min="17" max="17" width="12" style="65" customWidth="1"/>
    <col min="18" max="18" width="18.7109375" style="65" customWidth="1"/>
    <col min="19" max="19" width="20.28515625" style="65" customWidth="1"/>
    <col min="20" max="20" width="14.5703125" style="65" customWidth="1"/>
    <col min="21" max="21" width="15.28515625" style="65" bestFit="1" customWidth="1"/>
    <col min="22" max="22" width="13.85546875" style="65" bestFit="1" customWidth="1"/>
    <col min="23" max="23" width="18.7109375" style="65" bestFit="1" customWidth="1"/>
    <col min="24" max="24" width="11.140625" style="65" bestFit="1" customWidth="1"/>
    <col min="25" max="25" width="9.42578125" style="65" customWidth="1"/>
    <col min="26" max="26" width="14.85546875" style="63" bestFit="1" customWidth="1"/>
    <col min="27" max="27" width="14.85546875" style="65" bestFit="1" customWidth="1"/>
    <col min="28" max="28" width="16.5703125" style="65" bestFit="1" customWidth="1"/>
    <col min="29" max="29" width="10.7109375" style="65" bestFit="1" customWidth="1"/>
    <col min="30" max="30" width="15" style="65" bestFit="1" customWidth="1"/>
    <col min="31" max="31" width="17" style="65" customWidth="1"/>
    <col min="32" max="32" width="19.28515625" style="65" bestFit="1" customWidth="1"/>
    <col min="33" max="34" width="14.85546875" style="65" bestFit="1" customWidth="1"/>
    <col min="35" max="35" width="18.42578125" style="65" bestFit="1" customWidth="1"/>
    <col min="36" max="36" width="16.5703125" style="65" bestFit="1" customWidth="1"/>
    <col min="37" max="37" width="10.7109375" style="65" bestFit="1" customWidth="1"/>
    <col min="38" max="38" width="15.28515625" style="65" bestFit="1" customWidth="1"/>
    <col min="39" max="39" width="13.85546875" style="65" bestFit="1" customWidth="1"/>
    <col min="40" max="40" width="18.7109375" style="65" bestFit="1" customWidth="1"/>
    <col min="41" max="41" width="10.5703125" style="65" customWidth="1"/>
    <col min="42" max="42" width="13.5703125" style="65" bestFit="1" customWidth="1"/>
    <col min="43" max="43" width="20.140625" style="65" bestFit="1" customWidth="1"/>
    <col min="44" max="44" width="19.28515625" style="65" bestFit="1" customWidth="1"/>
    <col min="45" max="45" width="20.28515625" style="65" bestFit="1" customWidth="1"/>
    <col min="46" max="46" width="15.28515625" style="65" bestFit="1" customWidth="1"/>
    <col min="47" max="47" width="14.85546875" style="65" bestFit="1" customWidth="1"/>
    <col min="48" max="48" width="18.7109375" style="65" bestFit="1" customWidth="1"/>
    <col min="49" max="16384" width="9.140625" style="65"/>
  </cols>
  <sheetData>
    <row r="1" spans="1:48" s="28" customFormat="1" ht="22.5" x14ac:dyDescent="0.3">
      <c r="C1" s="1" t="s">
        <v>136</v>
      </c>
      <c r="K1" s="30"/>
      <c r="L1" s="30"/>
      <c r="M1" s="30"/>
      <c r="N1" s="30"/>
      <c r="O1" s="33"/>
      <c r="P1" s="33"/>
      <c r="Q1" s="33"/>
      <c r="R1" s="33"/>
      <c r="S1" s="33"/>
      <c r="T1" s="33"/>
      <c r="U1" s="33"/>
      <c r="Z1" s="95"/>
      <c r="AA1" s="23"/>
    </row>
    <row r="2" spans="1:48" s="28" customFormat="1" x14ac:dyDescent="0.25">
      <c r="D2" s="29"/>
      <c r="K2" s="30"/>
      <c r="L2" s="30"/>
      <c r="M2" s="30"/>
      <c r="N2" s="30"/>
      <c r="O2" s="33"/>
      <c r="P2" s="33"/>
      <c r="Q2" s="33"/>
      <c r="R2" s="33"/>
      <c r="S2" s="33"/>
      <c r="T2" s="33"/>
      <c r="U2" s="33"/>
      <c r="Z2" s="24"/>
      <c r="AA2" s="23"/>
    </row>
    <row r="3" spans="1:48" s="28" customFormat="1" ht="18.75" x14ac:dyDescent="0.3">
      <c r="A3" s="69" t="s">
        <v>88</v>
      </c>
      <c r="D3" s="29"/>
      <c r="I3" s="69" t="s">
        <v>89</v>
      </c>
      <c r="L3" s="29"/>
      <c r="N3" s="33"/>
      <c r="O3" s="33"/>
      <c r="P3" s="33"/>
      <c r="Q3" s="69" t="s">
        <v>90</v>
      </c>
      <c r="T3" s="29"/>
      <c r="Z3" s="79" t="s">
        <v>88</v>
      </c>
      <c r="AC3" s="29"/>
      <c r="AH3" s="69" t="s">
        <v>89</v>
      </c>
      <c r="AK3" s="29"/>
      <c r="AM3" s="33"/>
      <c r="AN3" s="33"/>
      <c r="AO3" s="33"/>
      <c r="AP3" s="69" t="s">
        <v>90</v>
      </c>
      <c r="AS3" s="29"/>
    </row>
    <row r="4" spans="1:48" s="28" customFormat="1" x14ac:dyDescent="0.25">
      <c r="D4" s="29"/>
      <c r="L4" s="29"/>
      <c r="N4" s="33"/>
      <c r="O4" s="33"/>
      <c r="P4" s="33"/>
      <c r="T4" s="29"/>
      <c r="Z4" s="24"/>
      <c r="AC4" s="29"/>
      <c r="AK4" s="29"/>
      <c r="AM4" s="33"/>
      <c r="AN4" s="33"/>
      <c r="AO4" s="33"/>
      <c r="AS4" s="29"/>
    </row>
    <row r="5" spans="1:48" s="28" customFormat="1" x14ac:dyDescent="0.25">
      <c r="A5" s="40" t="s">
        <v>3</v>
      </c>
      <c r="B5" s="40" t="s">
        <v>84</v>
      </c>
      <c r="C5" s="40" t="s">
        <v>140</v>
      </c>
      <c r="D5" s="40" t="s">
        <v>141</v>
      </c>
      <c r="E5" s="40" t="s">
        <v>52</v>
      </c>
      <c r="F5" s="40" t="s">
        <v>139</v>
      </c>
      <c r="G5" s="40" t="s">
        <v>142</v>
      </c>
      <c r="H5" s="33"/>
      <c r="I5" s="40" t="s">
        <v>3</v>
      </c>
      <c r="J5" s="40" t="s">
        <v>84</v>
      </c>
      <c r="K5" s="40" t="s">
        <v>140</v>
      </c>
      <c r="L5" s="40" t="s">
        <v>141</v>
      </c>
      <c r="M5" s="40" t="s">
        <v>52</v>
      </c>
      <c r="N5" s="40" t="s">
        <v>139</v>
      </c>
      <c r="O5" s="40" t="s">
        <v>142</v>
      </c>
      <c r="P5" s="33"/>
      <c r="Q5" s="40" t="s">
        <v>3</v>
      </c>
      <c r="R5" s="40" t="s">
        <v>84</v>
      </c>
      <c r="S5" s="40" t="s">
        <v>140</v>
      </c>
      <c r="T5" s="40" t="s">
        <v>141</v>
      </c>
      <c r="U5" s="40" t="s">
        <v>52</v>
      </c>
      <c r="V5" s="40" t="s">
        <v>139</v>
      </c>
      <c r="W5" s="40" t="s">
        <v>142</v>
      </c>
      <c r="Z5" s="41" t="s">
        <v>3</v>
      </c>
      <c r="AA5" s="40" t="s">
        <v>84</v>
      </c>
      <c r="AB5" s="40" t="s">
        <v>140</v>
      </c>
      <c r="AC5" s="40" t="s">
        <v>141</v>
      </c>
      <c r="AD5" s="40" t="s">
        <v>52</v>
      </c>
      <c r="AE5" s="40" t="s">
        <v>139</v>
      </c>
      <c r="AF5" s="40" t="s">
        <v>142</v>
      </c>
      <c r="AG5" s="33"/>
      <c r="AH5" s="40" t="s">
        <v>3</v>
      </c>
      <c r="AI5" s="40" t="s">
        <v>84</v>
      </c>
      <c r="AJ5" s="40" t="s">
        <v>140</v>
      </c>
      <c r="AK5" s="40" t="s">
        <v>141</v>
      </c>
      <c r="AL5" s="40" t="s">
        <v>52</v>
      </c>
      <c r="AM5" s="40" t="s">
        <v>139</v>
      </c>
      <c r="AN5" s="40" t="s">
        <v>142</v>
      </c>
      <c r="AO5" s="33"/>
      <c r="AP5" s="40" t="s">
        <v>3</v>
      </c>
      <c r="AQ5" s="40" t="s">
        <v>84</v>
      </c>
      <c r="AR5" s="40" t="s">
        <v>140</v>
      </c>
      <c r="AS5" s="40" t="s">
        <v>141</v>
      </c>
      <c r="AT5" s="40" t="s">
        <v>52</v>
      </c>
      <c r="AU5" s="40" t="s">
        <v>139</v>
      </c>
      <c r="AV5" s="40" t="s">
        <v>142</v>
      </c>
    </row>
    <row r="6" spans="1:48" s="28" customFormat="1" x14ac:dyDescent="0.25">
      <c r="A6" s="33">
        <f>COUNTIFS($B$21:$B$600,1,$R$21:$R$600,"TruePositive")-1</f>
        <v>-1</v>
      </c>
      <c r="B6" s="33">
        <f>SUMIF($B$21:$B$600,1,$U$21:$U$600)</f>
        <v>0</v>
      </c>
      <c r="C6" s="33" t="e">
        <f>SUM(A6/B6)*1000</f>
        <v>#DIV/0!</v>
      </c>
      <c r="D6" s="33">
        <f>COUNTIFS($B$21:$B$600,1,$R$21:$R$600,"Exploratory")</f>
        <v>0</v>
      </c>
      <c r="E6" s="33">
        <f>COUNTIFS($B$21:$B$600,1,$R$21:$R$600,"Diagonal")+COUNTIFS($B$21:$B$600,1,$R$21:$R$600,"FailureReturnToHead")+COUNTIFS($B$21:$B$600,1,$R$21:$R$600,"Jump")+COUNTIFS($B$21:$B$600,1,$R$21:$R$600,"Backwards")+COUNTIFS($B$21:$B$600,1,$R$21:$R$600,"OutsideGrid")+COUNTIFS($B$21:$B$600,1,$R$21:$R$600,"BetweenBox")</f>
        <v>0</v>
      </c>
      <c r="F6" s="28">
        <f>COUNTIFS($B$21:$B$600,1,$R$21:$R$600,"ReturnToHead")</f>
        <v>0</v>
      </c>
      <c r="G6" s="33">
        <f>COUNTIFS($B$21:$B$600,1,$R$21:$R$600,"Perseverative")</f>
        <v>0</v>
      </c>
      <c r="H6" s="33"/>
      <c r="I6" s="33">
        <f>COUNTIFS($B$21:$B$600,2,$R$21:$R$600,"TruePositive")-1</f>
        <v>-1</v>
      </c>
      <c r="J6" s="33">
        <f>SUMIF($B$21:$B$600,2,$U$21:$U$600)</f>
        <v>0</v>
      </c>
      <c r="K6" s="33" t="e">
        <f>SUM(I6/J6)*1000</f>
        <v>#DIV/0!</v>
      </c>
      <c r="L6" s="33">
        <f>COUNTIFS($B$21:$B$600,2,$R$21:$R$600,"Exploratory")</f>
        <v>0</v>
      </c>
      <c r="M6" s="33">
        <f>COUNTIFS($B$21:$B$600,2,$R$21:$R$600,"Diagonal")+COUNTIFS($B$21:$B$600,2,$R$21:$R$600,"FailureReturnToHead")+COUNTIFS($B$21:$B$600,2,$R$21:$R$600,"Jump")+COUNTIFS($B$21:$B$600,2,$R$21:$R$600,"Backwards")+COUNTIFS($B$21:$B$600,2,$R$21:$R$600,"OutsideGrid")+COUNTIFS($B$21:$B$600,2,$R$21:$R$600,"BetweenBox")</f>
        <v>0</v>
      </c>
      <c r="N6" s="28">
        <f>COUNTIFS($B$21:$B$600,2,$R$21:$R$600,"ReturnToHead")</f>
        <v>0</v>
      </c>
      <c r="O6" s="33">
        <f>COUNTIFS($B$21:$B$600,2,$R$21:$R$600,"Perseverative")</f>
        <v>0</v>
      </c>
      <c r="P6" s="33"/>
      <c r="Q6" s="33">
        <f>COUNTIFS($B$21:$B$600,3,$R$21:$R$600,"TruePositive")-1</f>
        <v>-1</v>
      </c>
      <c r="R6" s="33">
        <f>SUMIF($B$21:$B$600,3,$U$21:$U$600)</f>
        <v>0</v>
      </c>
      <c r="S6" s="33" t="e">
        <f>SUM(Q6/R6)*1000</f>
        <v>#DIV/0!</v>
      </c>
      <c r="T6" s="33">
        <f>COUNTIFS($B$21:$B$600,3,$R$21:$R$600,"Exploratory")</f>
        <v>0</v>
      </c>
      <c r="U6" s="33">
        <f>COUNTIFS($B$21:$B$600,3,$R$21:$R$600,"Diagonal")+COUNTIFS($B$21:$B$600,3,$R$21:$R$600,"FailureReturnToHead")+COUNTIFS($B$21:$B$600,3,$R$21:$R$600,"Jump")+COUNTIFS($B$21:$B$600,3,$R$21:$R$600,"Backwards")+COUNTIFS($B$21:$B$600,3,$R$21:$R$600,"OutsideGrid")+COUNTIFS($B$21:$B$600,3,$R$21:$R$600,"BetweenBox")</f>
        <v>0</v>
      </c>
      <c r="V6" s="28">
        <f>COUNTIFS($B$21:$B$600,3,$R$21:$R$600,"ReturnToHead")</f>
        <v>0</v>
      </c>
      <c r="W6" s="33">
        <f>COUNTIFS($B$21:$B$600,3,$R$21:$R$600,"Perseverative")</f>
        <v>0</v>
      </c>
      <c r="Z6" s="44">
        <f>COUNTIFS($AA$21:AA$600,1,$AQ$21:$AQ$600,"TruePositive")-1</f>
        <v>-1</v>
      </c>
      <c r="AA6" s="33">
        <f>SUMIF($AA$21:$AA$600,1,$AU$21:$AU$600)</f>
        <v>0</v>
      </c>
      <c r="AB6" s="33" t="e">
        <f>SUM(Z6/AA6)*1000</f>
        <v>#DIV/0!</v>
      </c>
      <c r="AC6" s="33">
        <f>COUNTIFS($AA$21:$AA$600,1,$AQ$21:$AQ$600,"Exploratory")</f>
        <v>0</v>
      </c>
      <c r="AD6" s="33">
        <f>COUNTIFS($AA$21:$AA$600,1,$AQ$21:$AQ$600,"Diagonal")+COUNTIFS($AA$21:$AA$600,1,$AQ$21:$AQ$600,"FailureReturnToHead")+COUNTIFS($AA$21:$AA$600,1,$AQ$21:$AQ$600,"Jump")+COUNTIFS($AA$21:$AA$600,1,$AQ$21:$AQ$600,"Backwards")+COUNTIFS($AA$21:$AA$600,1,$AQ$21:$AQ$600,"OutsideGrid")+COUNTIFS($AA$21:$AA$600,1,$AQ$21:$AQ$600,"BetweenBox")</f>
        <v>0</v>
      </c>
      <c r="AE6" s="28">
        <f>COUNTIFS($AA$21:$AA$600,1,$AQ$21:$AQ$600,"ReturnToHead")</f>
        <v>0</v>
      </c>
      <c r="AF6" s="33">
        <f>COUNTIFS($AA$21:$AA$600,1,$AQ$21:$AQ$600,"Perseverative")</f>
        <v>0</v>
      </c>
      <c r="AG6" s="33"/>
      <c r="AH6" s="33">
        <f>COUNTIFS($AA$21:$AA$600,2,$AQ$21:$AQ$600,"TruePositive")-1</f>
        <v>-1</v>
      </c>
      <c r="AI6" s="33">
        <f>SUMIF($AA$21:$AA$600,2,$AU$21:$AU$600)</f>
        <v>0</v>
      </c>
      <c r="AJ6" s="33" t="e">
        <f>SUM(AH6/AI6)*1000</f>
        <v>#DIV/0!</v>
      </c>
      <c r="AK6" s="33">
        <f>COUNTIFS($AA$21:$AA$600,2,$AQ$21:$AQ$600,"Exploratory")</f>
        <v>0</v>
      </c>
      <c r="AL6" s="33">
        <f>COUNTIFS($AA$21:$AA$600,2,$AQ$21:$AQ$600,"Diagonal")+COUNTIFS($AA$21:$AA$600,2,$AQ$21:$AQ$600,"FailureReturnToHead")+COUNTIFS($AA$21:$AA$600,2,$AQ$21:$AQ$600,"Jump")+COUNTIFS($AA$21:$AA$600,2,$AQ$21:$AQ$600,"Backwards")+COUNTIFS($AA$21:$AA$600,2,$AQ$21:$AQ$600,"OutsideGrid")+COUNTIFS($AA$21:$AA$600,2,$AQ$21:$AQ$600,"BetweenBox")</f>
        <v>0</v>
      </c>
      <c r="AM6" s="28">
        <f>COUNTIFS($AA$21:$AA$600,2,$AQ$21:$AQ$600,"ReturnToHead")</f>
        <v>0</v>
      </c>
      <c r="AN6" s="33">
        <f>COUNTIFS($AA$21:$AA$600,2,$AQ$21:$AQ$600,"Perseverative")</f>
        <v>0</v>
      </c>
      <c r="AO6" s="33"/>
      <c r="AP6" s="33">
        <f>COUNTIFS($AA$21:$AA$600,3,$AQ$21:$AQ$600,"TruePositive")-1</f>
        <v>-1</v>
      </c>
      <c r="AQ6" s="33">
        <f>SUMIF($AA$21:$AA$600,3,$AU$21:$AU$600)</f>
        <v>0</v>
      </c>
      <c r="AR6" s="33" t="e">
        <f>SUM(AP6/AQ6)*1000</f>
        <v>#DIV/0!</v>
      </c>
      <c r="AS6" s="33">
        <f>COUNTIFS($AA$21:$AA$600,3,$AQ$21:$AQ$600,"Exploratory")</f>
        <v>0</v>
      </c>
      <c r="AT6" s="33">
        <f>COUNTIFS($AA$21:$AA$600,3,$AQ$21:$AQ$600,"Diagonal")+COUNTIFS($AA$21:$AA$600,3,$AQ$21:$AQ$600,"FailureReturnToHead")+COUNTIFS($AA$21:$AA$600,3,$AQ$21:$AQ$600,"Jump")+COUNTIFS($AA$21:$AA$600,3,$AQ$21:$AQ$600,"Backwards")+COUNTIFS($AA$21:$AA$600,3,$AQ$21:$AQ$600,"OutsideGrid")+COUNTIFS($AA$21:$AA$600,3,$AQ$21:$AQ$600,"BetweenBox")</f>
        <v>0</v>
      </c>
      <c r="AU6" s="28">
        <f>COUNTIFS($AA$21:$AA$600,3,$AQ$21:$AQ$600,"ReturnToHead")</f>
        <v>0</v>
      </c>
      <c r="AV6" s="33">
        <f>COUNTIFS($AA$21:$AA$600,3,$AQ$21:$AQ$600,"Perseverative")</f>
        <v>0</v>
      </c>
    </row>
    <row r="7" spans="1:48" s="28" customFormat="1" x14ac:dyDescent="0.25">
      <c r="A7" s="40" t="s">
        <v>4</v>
      </c>
      <c r="B7" s="40" t="s">
        <v>144</v>
      </c>
      <c r="C7" s="33"/>
      <c r="D7" s="33"/>
      <c r="E7" s="33"/>
      <c r="F7" s="33"/>
      <c r="G7" s="33"/>
      <c r="H7" s="33"/>
      <c r="I7" s="40" t="s">
        <v>4</v>
      </c>
      <c r="J7" s="40" t="s">
        <v>144</v>
      </c>
      <c r="K7" s="33"/>
      <c r="L7" s="33"/>
      <c r="M7" s="33"/>
      <c r="N7" s="33"/>
      <c r="O7" s="33"/>
      <c r="P7" s="33"/>
      <c r="Q7" s="40" t="s">
        <v>4</v>
      </c>
      <c r="R7" s="40" t="s">
        <v>144</v>
      </c>
      <c r="S7" s="33"/>
      <c r="T7" s="33"/>
      <c r="U7" s="33"/>
      <c r="Z7" s="41" t="s">
        <v>4</v>
      </c>
      <c r="AA7" s="40" t="s">
        <v>144</v>
      </c>
      <c r="AB7" s="33"/>
      <c r="AC7" s="33"/>
      <c r="AD7" s="33"/>
      <c r="AE7" s="33"/>
      <c r="AF7" s="33"/>
      <c r="AG7" s="33"/>
      <c r="AH7" s="40" t="s">
        <v>4</v>
      </c>
      <c r="AI7" s="40" t="s">
        <v>144</v>
      </c>
      <c r="AJ7" s="33"/>
      <c r="AK7" s="33"/>
      <c r="AL7" s="33"/>
      <c r="AM7" s="33"/>
      <c r="AN7" s="33"/>
      <c r="AO7" s="33"/>
      <c r="AP7" s="40" t="s">
        <v>4</v>
      </c>
      <c r="AQ7" s="40" t="s">
        <v>144</v>
      </c>
      <c r="AR7" s="33"/>
      <c r="AS7" s="33"/>
      <c r="AT7" s="33"/>
    </row>
    <row r="8" spans="1:48" s="28" customFormat="1" x14ac:dyDescent="0.25">
      <c r="A8" s="101">
        <f>SUM(B8+D6+E6+G6)</f>
        <v>0</v>
      </c>
      <c r="B8" s="101">
        <f>COUNTIFS($B$21:$B$600,1,$R$21:$R$600,"WithinSearch")</f>
        <v>0</v>
      </c>
      <c r="C8" s="33"/>
      <c r="D8" s="33"/>
      <c r="E8" s="40"/>
      <c r="F8" s="40"/>
      <c r="G8" s="40"/>
      <c r="H8" s="40"/>
      <c r="I8" s="101">
        <f>SUM(J8+L6+M6+O6)</f>
        <v>0</v>
      </c>
      <c r="J8" s="101">
        <f>COUNTIFS($B$21:$B$600,2,$R$21:$R$600,"WithinSearch")</f>
        <v>0</v>
      </c>
      <c r="K8" s="33"/>
      <c r="L8" s="33"/>
      <c r="M8" s="40"/>
      <c r="N8" s="33"/>
      <c r="O8" s="33"/>
      <c r="P8" s="33"/>
      <c r="Q8" s="101">
        <f>SUM(R8+T6+U6+W6)</f>
        <v>0</v>
      </c>
      <c r="R8" s="101">
        <f>COUNTIFS($B$21:$B$600,3,$R$21:$R$600,"WithinSearch")</f>
        <v>0</v>
      </c>
      <c r="S8" s="33"/>
      <c r="T8" s="33"/>
      <c r="U8" s="33"/>
      <c r="Z8" s="45">
        <f>SUM(AA8+AC6+AD6+AF6)</f>
        <v>0</v>
      </c>
      <c r="AA8" s="101">
        <f>COUNTIFS($AA$21:$AA$600,1,$AQ$21:$AQ$600,"WithinSearch")</f>
        <v>0</v>
      </c>
      <c r="AB8" s="33"/>
      <c r="AC8" s="33"/>
      <c r="AD8" s="40"/>
      <c r="AE8" s="40"/>
      <c r="AF8" s="40"/>
      <c r="AG8" s="40"/>
      <c r="AH8" s="101">
        <f>SUM(AI8+AK6+AL6+AN6)</f>
        <v>0</v>
      </c>
      <c r="AI8" s="101">
        <f>COUNTIFS($AA$21:$AA$600,2,$AQ$21:$AQ$600,"WithinSearch")</f>
        <v>0</v>
      </c>
      <c r="AJ8" s="33"/>
      <c r="AK8" s="33"/>
      <c r="AL8" s="40"/>
      <c r="AM8" s="33"/>
      <c r="AN8" s="33"/>
      <c r="AO8" s="33"/>
      <c r="AP8" s="101">
        <f>SUM(AQ8+AS6+AT6+AV6)</f>
        <v>0</v>
      </c>
      <c r="AQ8" s="101">
        <f>COUNTIFS($AA$21:$AA$600,3,$AQ$21:$AQ$600,"WithinSearch")</f>
        <v>0</v>
      </c>
      <c r="AR8" s="33"/>
      <c r="AS8" s="33"/>
      <c r="AT8" s="33"/>
    </row>
    <row r="9" spans="1:48" s="28" customForma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Z9" s="44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</row>
    <row r="10" spans="1:48" s="28" customFormat="1" ht="18.75" x14ac:dyDescent="0.3">
      <c r="A10" s="81" t="s">
        <v>137</v>
      </c>
      <c r="B10" s="33"/>
      <c r="C10" s="33"/>
      <c r="D10" s="40"/>
      <c r="E10" s="33"/>
      <c r="F10" s="33"/>
      <c r="G10" s="33"/>
      <c r="H10" s="33"/>
      <c r="I10" s="69" t="s">
        <v>138</v>
      </c>
      <c r="L10" s="29"/>
      <c r="P10" s="33"/>
      <c r="Q10" s="81" t="s">
        <v>91</v>
      </c>
      <c r="R10" s="33"/>
      <c r="S10" s="33"/>
      <c r="T10" s="40"/>
      <c r="U10" s="33"/>
      <c r="V10" s="33"/>
      <c r="W10" s="33"/>
      <c r="Z10" s="82" t="s">
        <v>137</v>
      </c>
      <c r="AA10" s="33"/>
      <c r="AB10" s="33"/>
      <c r="AC10" s="40"/>
      <c r="AD10" s="33"/>
      <c r="AE10" s="33"/>
      <c r="AF10" s="33"/>
      <c r="AG10" s="33"/>
      <c r="AH10" s="69" t="s">
        <v>138</v>
      </c>
      <c r="AK10" s="29"/>
      <c r="AO10" s="33"/>
      <c r="AP10" s="81" t="s">
        <v>91</v>
      </c>
      <c r="AQ10" s="33"/>
      <c r="AR10" s="33"/>
      <c r="AS10" s="40"/>
      <c r="AT10" s="33"/>
      <c r="AU10" s="33"/>
      <c r="AV10" s="33"/>
    </row>
    <row r="11" spans="1:48" s="28" customFormat="1" x14ac:dyDescent="0.25">
      <c r="A11" s="33"/>
      <c r="B11" s="33"/>
      <c r="C11" s="33"/>
      <c r="D11" s="40"/>
      <c r="E11" s="33"/>
      <c r="F11" s="33"/>
      <c r="G11" s="33"/>
      <c r="H11" s="33"/>
      <c r="L11" s="29"/>
      <c r="P11" s="33"/>
      <c r="Q11" s="33"/>
      <c r="R11" s="33"/>
      <c r="S11" s="33"/>
      <c r="T11" s="40"/>
      <c r="U11" s="33"/>
      <c r="V11" s="33"/>
      <c r="W11" s="33"/>
      <c r="Z11" s="44"/>
      <c r="AA11" s="33"/>
      <c r="AB11" s="33"/>
      <c r="AC11" s="40"/>
      <c r="AD11" s="33"/>
      <c r="AE11" s="33"/>
      <c r="AF11" s="33"/>
      <c r="AG11" s="33"/>
      <c r="AK11" s="29"/>
      <c r="AO11" s="33"/>
      <c r="AP11" s="33"/>
      <c r="AQ11" s="33"/>
      <c r="AR11" s="33"/>
      <c r="AS11" s="40"/>
      <c r="AT11" s="33"/>
      <c r="AU11" s="33"/>
      <c r="AV11" s="33"/>
    </row>
    <row r="12" spans="1:48" s="28" customFormat="1" x14ac:dyDescent="0.25">
      <c r="A12" s="40" t="s">
        <v>3</v>
      </c>
      <c r="B12" s="40" t="s">
        <v>84</v>
      </c>
      <c r="C12" s="40" t="s">
        <v>140</v>
      </c>
      <c r="D12" s="40" t="s">
        <v>141</v>
      </c>
      <c r="E12" s="40" t="s">
        <v>52</v>
      </c>
      <c r="F12" s="40" t="s">
        <v>139</v>
      </c>
      <c r="G12" s="40" t="s">
        <v>142</v>
      </c>
      <c r="H12" s="33"/>
      <c r="I12" s="40" t="s">
        <v>3</v>
      </c>
      <c r="J12" s="40" t="s">
        <v>84</v>
      </c>
      <c r="K12" s="40" t="s">
        <v>140</v>
      </c>
      <c r="L12" s="40" t="s">
        <v>141</v>
      </c>
      <c r="M12" s="40" t="s">
        <v>52</v>
      </c>
      <c r="N12" s="40" t="s">
        <v>139</v>
      </c>
      <c r="O12" s="40" t="s">
        <v>142</v>
      </c>
      <c r="P12" s="33"/>
      <c r="Q12" s="40" t="s">
        <v>3</v>
      </c>
      <c r="R12" s="40" t="s">
        <v>84</v>
      </c>
      <c r="S12" s="40" t="s">
        <v>140</v>
      </c>
      <c r="T12" s="40" t="s">
        <v>141</v>
      </c>
      <c r="U12" s="40" t="s">
        <v>52</v>
      </c>
      <c r="V12" s="40" t="s">
        <v>139</v>
      </c>
      <c r="W12" s="40" t="s">
        <v>142</v>
      </c>
      <c r="Z12" s="41" t="s">
        <v>3</v>
      </c>
      <c r="AA12" s="40" t="s">
        <v>84</v>
      </c>
      <c r="AB12" s="40" t="s">
        <v>140</v>
      </c>
      <c r="AC12" s="40" t="s">
        <v>141</v>
      </c>
      <c r="AD12" s="40" t="s">
        <v>52</v>
      </c>
      <c r="AE12" s="40" t="s">
        <v>139</v>
      </c>
      <c r="AF12" s="40" t="s">
        <v>142</v>
      </c>
      <c r="AG12" s="33"/>
      <c r="AH12" s="40" t="s">
        <v>3</v>
      </c>
      <c r="AI12" s="40" t="s">
        <v>84</v>
      </c>
      <c r="AJ12" s="40" t="s">
        <v>140</v>
      </c>
      <c r="AK12" s="40" t="s">
        <v>141</v>
      </c>
      <c r="AL12" s="40" t="s">
        <v>52</v>
      </c>
      <c r="AM12" s="40" t="s">
        <v>139</v>
      </c>
      <c r="AN12" s="40" t="s">
        <v>142</v>
      </c>
      <c r="AO12" s="33"/>
      <c r="AP12" s="40" t="s">
        <v>3</v>
      </c>
      <c r="AQ12" s="40" t="s">
        <v>84</v>
      </c>
      <c r="AR12" s="40" t="s">
        <v>140</v>
      </c>
      <c r="AS12" s="40" t="s">
        <v>141</v>
      </c>
      <c r="AT12" s="40" t="s">
        <v>52</v>
      </c>
      <c r="AU12" s="40" t="s">
        <v>139</v>
      </c>
      <c r="AV12" s="40" t="s">
        <v>142</v>
      </c>
    </row>
    <row r="13" spans="1:48" s="28" customFormat="1" x14ac:dyDescent="0.25">
      <c r="A13" s="33">
        <f>COUNTIFS($B$21:$B$600,4,$R$21:$R$600,"TruePositive")-1</f>
        <v>-1</v>
      </c>
      <c r="B13" s="33">
        <f>SUMIF($B$21:$B$600,4,$U$21:$U$600)</f>
        <v>0</v>
      </c>
      <c r="C13" s="33" t="e">
        <f>SUM(A13/B13)*1000</f>
        <v>#DIV/0!</v>
      </c>
      <c r="D13" s="33">
        <f>COUNTIFS($B$21:$B$600,4,$R$21:$R$600,"Exploratory")</f>
        <v>0</v>
      </c>
      <c r="E13" s="33">
        <f>COUNTIFS($B$21:$B$600,4,$R$21:$R$600,"Diagonal")+COUNTIFS($B$21:$B$600,4,$R$21:$R$600,"FailureReturnToHead")+COUNTIFS($B$21:$B$600,4,$R$21:$R$600,"Jump")+COUNTIFS($B$21:$B$600,4,$R$21:$R$600,"Backwards")+COUNTIFS($B$21:$B$600,4,$R$21:$R$600,"OutsideGrid")+COUNTIFS($B$21:$B$600,4,$R$21:$R$600,"BetweenBox")</f>
        <v>0</v>
      </c>
      <c r="F13" s="28">
        <f>COUNTIFS($B$21:$B$600,4,$R$21:$R$600,"ReturnToHead")</f>
        <v>0</v>
      </c>
      <c r="G13" s="33">
        <f>COUNTIFS($B$21:$B$600,4,$R$21:$R$600,"Perseverative")</f>
        <v>0</v>
      </c>
      <c r="H13" s="33"/>
      <c r="I13" s="33">
        <f>COUNTIFS($B$21:$B$600,5,$R$21:$R$600,"TruePositive")-1</f>
        <v>-1</v>
      </c>
      <c r="J13" s="33">
        <f>SUMIF($B$21:$B$600,5,$U$21:$U$600)</f>
        <v>0</v>
      </c>
      <c r="K13" s="33" t="e">
        <f>SUM(I13/J13)*1000</f>
        <v>#DIV/0!</v>
      </c>
      <c r="L13" s="33">
        <f>COUNTIFS($B$21:$B$600,5,$R$21:$R$600,"Exploratory")</f>
        <v>0</v>
      </c>
      <c r="M13" s="33">
        <f>COUNTIFS($B$21:$B$600,5,$R$21:$R$600,"Diagonal")+COUNTIFS($B$21:$B$600,5,$R$21:$R$600,"FailureReturnToHead")+COUNTIFS($B$21:$B$600,5,$R$21:$R$600,"Jump")+COUNTIFS($B$21:$B$600,5,$R$21:$R$600,"Backwards")+COUNTIFS($B$21:$B$600,5,$R$21:$R$600,"OutsideGrid")+COUNTIFS($B$21:$B$600,5,$R$21:$R$600,"BetweenBox")</f>
        <v>0</v>
      </c>
      <c r="N13" s="28">
        <f>COUNTIFS($B$21:$B$600,5,$R$21:$R$600,"ReturnToHead")</f>
        <v>0</v>
      </c>
      <c r="O13" s="33">
        <f>COUNTIFS($B$21:$B$600,5,$R$21:$R$600,"Perseverative")</f>
        <v>0</v>
      </c>
      <c r="P13" s="33"/>
      <c r="Q13" s="33">
        <f>SUM(A6+I6+A13+Q6+I13)</f>
        <v>-5</v>
      </c>
      <c r="R13" s="33">
        <f>SUM(B6,J6,R6,B13,J13)</f>
        <v>0</v>
      </c>
      <c r="S13" s="33" t="e">
        <f>SUM(Q13/R13)*1000</f>
        <v>#DIV/0!</v>
      </c>
      <c r="T13" s="33">
        <f>SUM(D6+L6+D13,T6,L13)</f>
        <v>0</v>
      </c>
      <c r="U13" s="33">
        <f>SUM(E6,M6,U6,E13,M13)</f>
        <v>0</v>
      </c>
      <c r="V13" s="28">
        <f>SUM(F6,N6,V6,F13,N13)</f>
        <v>0</v>
      </c>
      <c r="W13" s="33">
        <f>SUM(G6,O6,W6,G13,O13)</f>
        <v>0</v>
      </c>
      <c r="Z13" s="44">
        <f>COUNTIFS($AA$21:$AA$600,4,$AQ$21:$AQ$600,"TruePositive")-1</f>
        <v>-1</v>
      </c>
      <c r="AA13" s="33">
        <f>SUMIF($AA$21:$AA$600,4,$AU$21:$AU$600)</f>
        <v>0</v>
      </c>
      <c r="AB13" s="33" t="e">
        <f>SUM(Z13/AA13)*1000</f>
        <v>#DIV/0!</v>
      </c>
      <c r="AC13" s="33">
        <f>COUNTIFS($AA$21:$AA$600,4,$AQ$21:$AQ$600,"Exploratory")</f>
        <v>0</v>
      </c>
      <c r="AD13" s="33">
        <f>COUNTIFS($AA$21:$AA$600,4,$AQ$21:$AQ$600,"Diagonal")+COUNTIFS($AA$21:$AA$600,4,$AQ$21:$AQ$600,"FailureReturnToHead")+COUNTIFS($AA$21:$AA$600,4,$AQ$21:$AQ$600,"Jump")+COUNTIFS($AA$21:$AA$600,4,$AQ$21:$AQ$600,"Backwards")+COUNTIFS($AA$21:$AA$600,4,$AQ$21:$AQ$600,"OutsideGrid")+COUNTIFS($AA$21:$AA$600,4,$AQ$21:$AQ$600,"BetweenBox")</f>
        <v>0</v>
      </c>
      <c r="AE13" s="28">
        <f>COUNTIFS($AA$21:$AA$600,4,$AQ$21:$AQ$600,"ReturnToHead")</f>
        <v>0</v>
      </c>
      <c r="AF13" s="33">
        <f>COUNTIFS($AA$21:$AA$600,4,$AQ$21:$AQ$600,"Perseverative")</f>
        <v>0</v>
      </c>
      <c r="AG13" s="33"/>
      <c r="AH13" s="33">
        <f>COUNTIFS($AA$21:$AA$600,5,$AQ$21:$AQ$600,"TruePositive")-1</f>
        <v>-1</v>
      </c>
      <c r="AI13" s="33">
        <f>SUMIF($AA$21:$AA$600,5,$AU$21:$AU$600)</f>
        <v>0</v>
      </c>
      <c r="AJ13" s="33" t="e">
        <f>SUM(AH13/AI13)*1000</f>
        <v>#DIV/0!</v>
      </c>
      <c r="AK13" s="33">
        <f>COUNTIFS($AA$21:$AA$600,5,$AQ$21:$AQ$600,"Exploratory")</f>
        <v>0</v>
      </c>
      <c r="AL13" s="33">
        <f>COUNTIFS($AA$21:$AA$600,5,$AQ$21:$AQ$600,"Diagonal")+COUNTIFS($AA$21:$AA$600,5,$AQ$21:$AQ$600,"FailureReturnToHead")+COUNTIFS($AA$21:$AA$600,5,$AQ$21:$AQ$600,"Jump")+COUNTIFS($AA$21:$AA$600,5,$AQ$21:$AQ$600,"Backwards")+COUNTIFS($AA$21:$AA$600,5,$AQ$21:$AQ$600,"OutsideGrid")+COUNTIFS($AA$21:$AA$600,5,$AQ$21:$AQ$600,"BetweenBox")</f>
        <v>0</v>
      </c>
      <c r="AM13" s="28">
        <f>COUNTIFS($AA$21:$AA$600,5,$AQ$21:$AQ$600,"ReturnToHead")</f>
        <v>0</v>
      </c>
      <c r="AN13" s="33">
        <f>COUNTIFS($AA$21:$AA$600,5,$AQ$21:$AQ$600,"Perseverative")</f>
        <v>0</v>
      </c>
      <c r="AO13" s="33"/>
      <c r="AP13" s="33">
        <f>SUM(Z6+AH6+Z13+AP6+AH13)</f>
        <v>-5</v>
      </c>
      <c r="AQ13" s="33">
        <f>SUM(AA6,AI6,AQ6,AA13,AI13)</f>
        <v>0</v>
      </c>
      <c r="AR13" s="33" t="e">
        <f>SUM(AP13/AQ13)*1000</f>
        <v>#DIV/0!</v>
      </c>
      <c r="AS13" s="33">
        <f>SUM(AC6+AK6+AC13,AS6,AK13)</f>
        <v>0</v>
      </c>
      <c r="AT13" s="33">
        <f>SUM(AD6,AL6,AT6,AD13,AL13)</f>
        <v>0</v>
      </c>
      <c r="AU13" s="28">
        <f>SUM(AE6,AM6,AU6,AE13,AM13)</f>
        <v>0</v>
      </c>
      <c r="AV13" s="33">
        <f>SUM(AF6,AN6,AV6,AF13,AN13)</f>
        <v>0</v>
      </c>
    </row>
    <row r="14" spans="1:48" s="28" customFormat="1" x14ac:dyDescent="0.25">
      <c r="A14" s="40" t="s">
        <v>4</v>
      </c>
      <c r="B14" s="40" t="s">
        <v>144</v>
      </c>
      <c r="C14" s="33"/>
      <c r="D14" s="33"/>
      <c r="E14" s="33"/>
      <c r="F14" s="33"/>
      <c r="G14" s="68"/>
      <c r="H14" s="68"/>
      <c r="I14" s="40" t="s">
        <v>4</v>
      </c>
      <c r="J14" s="40" t="s">
        <v>144</v>
      </c>
      <c r="P14" s="33"/>
      <c r="Q14" s="33"/>
      <c r="R14" s="33"/>
      <c r="S14" s="33"/>
      <c r="T14" s="33"/>
      <c r="U14" s="33"/>
      <c r="V14" s="33"/>
      <c r="W14" s="33"/>
      <c r="Z14" s="41" t="s">
        <v>4</v>
      </c>
      <c r="AA14" s="40" t="s">
        <v>144</v>
      </c>
      <c r="AB14" s="33"/>
      <c r="AC14" s="33"/>
      <c r="AD14" s="33"/>
      <c r="AE14" s="33"/>
      <c r="AF14" s="68"/>
      <c r="AG14" s="68"/>
      <c r="AH14" s="40" t="s">
        <v>4</v>
      </c>
      <c r="AI14" s="40" t="s">
        <v>144</v>
      </c>
      <c r="AO14" s="33"/>
      <c r="AP14" s="33"/>
      <c r="AQ14" s="33"/>
      <c r="AR14" s="33"/>
      <c r="AS14" s="33"/>
      <c r="AT14" s="33"/>
      <c r="AU14" s="33"/>
      <c r="AV14" s="33"/>
    </row>
    <row r="15" spans="1:48" s="28" customFormat="1" x14ac:dyDescent="0.25">
      <c r="A15" s="101">
        <f>SUM(B15+D13+E13+G13)</f>
        <v>0</v>
      </c>
      <c r="B15" s="101">
        <f>COUNTIFS($B$21:$B$600,4,$R$21:$R$600,"WithinSearch")</f>
        <v>0</v>
      </c>
      <c r="C15" s="40"/>
      <c r="D15" s="40"/>
      <c r="E15" s="40"/>
      <c r="F15" s="40"/>
      <c r="G15" s="33"/>
      <c r="H15" s="33"/>
      <c r="I15" s="101">
        <f>SUM(J15+L13+M13+O13)</f>
        <v>0</v>
      </c>
      <c r="J15" s="101">
        <f>COUNTIFS($B$21:$B$600,5,$R$21:$R$600,"WithinSearch")</f>
        <v>0</v>
      </c>
      <c r="P15" s="33"/>
      <c r="Q15" s="40" t="s">
        <v>4</v>
      </c>
      <c r="R15" s="40" t="s">
        <v>144</v>
      </c>
      <c r="S15" s="40" t="s">
        <v>63</v>
      </c>
      <c r="T15" s="29" t="s">
        <v>64</v>
      </c>
      <c r="U15" s="40" t="s">
        <v>65</v>
      </c>
      <c r="V15" s="40" t="s">
        <v>68</v>
      </c>
      <c r="W15" s="33"/>
      <c r="Z15" s="45">
        <f>SUM(AA15+AC13+AD13+AF13)</f>
        <v>0</v>
      </c>
      <c r="AA15" s="101">
        <f>COUNTIFS($AA$21:$AA$600,4,$AQ$21:$AQ$600,"WithinSearch")</f>
        <v>0</v>
      </c>
      <c r="AB15" s="40"/>
      <c r="AC15" s="40"/>
      <c r="AD15" s="40"/>
      <c r="AE15" s="40"/>
      <c r="AF15" s="33"/>
      <c r="AG15" s="33"/>
      <c r="AH15" s="101">
        <f>SUM(AI15+AK13+AL13+AN13)</f>
        <v>0</v>
      </c>
      <c r="AI15" s="101">
        <f>COUNTIFS($AA$21:$AA$600,5,$AQ$21:$AQ$600,"WithinSearch")</f>
        <v>0</v>
      </c>
      <c r="AO15" s="33"/>
      <c r="AP15" s="40" t="s">
        <v>4</v>
      </c>
      <c r="AQ15" s="40" t="s">
        <v>144</v>
      </c>
      <c r="AR15" s="40" t="s">
        <v>63</v>
      </c>
      <c r="AS15" s="29" t="s">
        <v>64</v>
      </c>
      <c r="AT15" s="40" t="s">
        <v>65</v>
      </c>
      <c r="AU15" s="40" t="s">
        <v>68</v>
      </c>
      <c r="AV15" s="40" t="s">
        <v>62</v>
      </c>
    </row>
    <row r="16" spans="1:48" s="28" customFormat="1" x14ac:dyDescent="0.25">
      <c r="A16" s="33"/>
      <c r="B16" s="33"/>
      <c r="C16" s="33"/>
      <c r="D16" s="33"/>
      <c r="E16" s="33"/>
      <c r="F16" s="33"/>
      <c r="G16" s="33"/>
      <c r="H16" s="33"/>
      <c r="P16" s="33"/>
      <c r="Q16" s="101">
        <f>SUM(A8,I8,Q8,A15,I15)</f>
        <v>0</v>
      </c>
      <c r="R16" s="101">
        <f>SUM(R8,J15,J8,B15,B8)</f>
        <v>0</v>
      </c>
      <c r="S16" s="33" t="str">
        <f>IF((Q13/140)*100=100,"Yes","No")</f>
        <v>No</v>
      </c>
      <c r="T16" s="28" t="str">
        <f>IF(S16="Yes",IF(Q16&lt;=0.86*140,"Yes","No"),"No")</f>
        <v>No</v>
      </c>
      <c r="U16" s="33" t="str">
        <f>IF($S$16="No","",(Q16-VLOOKUP(Detection!$E$2,Norms!A116:D122,2,TRUE))*-1/VLOOKUP(Detection!$E$2,Norms!A116:D122,3,TRUE))</f>
        <v/>
      </c>
      <c r="V16" s="33" t="str">
        <f>IF($S$16="No","",SUM(U16*10)+100)</f>
        <v/>
      </c>
      <c r="W16" s="33"/>
      <c r="Z16" s="44"/>
      <c r="AA16" s="33"/>
      <c r="AB16" s="33"/>
      <c r="AC16" s="33"/>
      <c r="AD16" s="33"/>
      <c r="AE16" s="33"/>
      <c r="AF16" s="33"/>
      <c r="AG16" s="33"/>
      <c r="AO16" s="33"/>
      <c r="AP16" s="101">
        <f>SUM(Z8,AH8,AP8,Z15,AH15)</f>
        <v>0</v>
      </c>
      <c r="AQ16" s="101">
        <f>COUNTIFS($B$21:$B$600,1,$R$21:$R$600,"WithinSearch")</f>
        <v>0</v>
      </c>
      <c r="AR16" s="33" t="str">
        <f>IF((AP13/140)*100=100,"Yes","No")</f>
        <v>No</v>
      </c>
      <c r="AS16" s="28" t="str">
        <f>IF(AR16="Yes",IF(AP16&lt;=0.86*140,"Yes","No"),"No")</f>
        <v>No</v>
      </c>
      <c r="AT16" s="33" t="str">
        <f>IF($S$16="No","",(AP16-VLOOKUP(Detection!$E$2,Norms!A116:D122,2,TRUE)*-1)/VLOOKUP(Detection!$E$2,Norms!A116:D122,3,TRUE))</f>
        <v/>
      </c>
      <c r="AU16" s="33" t="str">
        <f>IF($S$16="No","",SUM(AT16*10)+100)</f>
        <v/>
      </c>
      <c r="AV16" s="33" t="b">
        <f>IF(AR16="Yes",IF(S16="Yes",SUM((AP16-Q16)*-1/(VLOOKUP(Detection!E2,Norms!A116:D122,4)*SQRT(2)))))</f>
        <v>0</v>
      </c>
    </row>
    <row r="17" spans="1:48" s="28" customFormat="1" x14ac:dyDescent="0.25">
      <c r="M17" s="33"/>
      <c r="N17" s="33"/>
      <c r="O17" s="33"/>
      <c r="P17" s="33"/>
      <c r="Q17" s="33"/>
      <c r="R17" s="33"/>
      <c r="S17" s="33"/>
      <c r="T17" s="33"/>
      <c r="U17" s="78"/>
      <c r="V17" s="29"/>
      <c r="W17" s="29"/>
      <c r="X17" s="29"/>
      <c r="Y17" s="29"/>
      <c r="Z17" s="80"/>
      <c r="AA17" s="2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S17" s="78"/>
      <c r="AT17" s="29"/>
      <c r="AU17" s="29"/>
      <c r="AV17" s="29"/>
    </row>
    <row r="18" spans="1:48" s="76" customFormat="1" x14ac:dyDescent="0.25">
      <c r="Z18" s="77"/>
      <c r="AA18" s="75"/>
    </row>
    <row r="19" spans="1:48" s="75" customFormat="1" x14ac:dyDescent="0.25">
      <c r="Z19" s="36"/>
    </row>
    <row r="20" spans="1:48" s="74" customFormat="1" ht="18.75" x14ac:dyDescent="0.3">
      <c r="A20" s="73" t="s">
        <v>60</v>
      </c>
      <c r="U20" s="19"/>
      <c r="V20" s="19"/>
      <c r="W20" s="19"/>
      <c r="X20" s="19"/>
      <c r="Y20" s="19"/>
      <c r="Z20" s="73" t="s">
        <v>61</v>
      </c>
      <c r="AU20" s="19"/>
    </row>
    <row r="21" spans="1:48" s="28" customFormat="1" x14ac:dyDescent="0.25">
      <c r="U21" s="102"/>
      <c r="V21" s="87"/>
      <c r="W21" s="87"/>
      <c r="X21" s="87"/>
      <c r="Y21" s="97"/>
      <c r="AU21" s="102"/>
    </row>
    <row r="22" spans="1:48" s="28" customFormat="1" x14ac:dyDescent="0.25">
      <c r="U22" s="103"/>
      <c r="Y22" s="98"/>
      <c r="AU22" s="103"/>
    </row>
    <row r="23" spans="1:48" s="28" customFormat="1" x14ac:dyDescent="0.25">
      <c r="U23" s="103"/>
      <c r="Y23" s="98"/>
      <c r="AU23" s="103"/>
    </row>
    <row r="24" spans="1:48" s="28" customFormat="1" x14ac:dyDescent="0.25">
      <c r="U24" s="103"/>
      <c r="Y24" s="98"/>
      <c r="AU24" s="103"/>
    </row>
    <row r="25" spans="1:48" s="28" customFormat="1" x14ac:dyDescent="0.25">
      <c r="U25" s="103"/>
      <c r="Y25" s="98"/>
      <c r="AU25" s="103"/>
    </row>
    <row r="26" spans="1:48" s="28" customFormat="1" x14ac:dyDescent="0.25">
      <c r="U26" s="103"/>
      <c r="Y26" s="98"/>
      <c r="AU26" s="103"/>
    </row>
    <row r="27" spans="1:48" s="28" customFormat="1" x14ac:dyDescent="0.25">
      <c r="U27" s="103"/>
      <c r="Y27" s="98"/>
      <c r="AU27" s="103"/>
    </row>
    <row r="28" spans="1:48" s="28" customFormat="1" x14ac:dyDescent="0.25">
      <c r="U28" s="103"/>
      <c r="Y28" s="98"/>
      <c r="AU28" s="103"/>
    </row>
    <row r="29" spans="1:48" s="28" customFormat="1" x14ac:dyDescent="0.25">
      <c r="U29" s="103"/>
      <c r="Y29" s="98"/>
      <c r="AU29" s="103"/>
    </row>
    <row r="30" spans="1:48" s="28" customFormat="1" x14ac:dyDescent="0.25">
      <c r="U30" s="103"/>
      <c r="Y30" s="98"/>
      <c r="AU30" s="103"/>
    </row>
    <row r="31" spans="1:48" s="28" customFormat="1" x14ac:dyDescent="0.25">
      <c r="U31" s="103"/>
      <c r="Y31" s="98"/>
      <c r="AU31" s="103"/>
    </row>
    <row r="32" spans="1:48" s="28" customFormat="1" ht="15.75" customHeight="1" x14ac:dyDescent="0.25">
      <c r="U32" s="103">
        <f t="shared" ref="U32:U85" si="0">IF(R32="TruePositive",IF(D32&lt;&gt;1,N32,0),0)</f>
        <v>0</v>
      </c>
      <c r="Y32" s="98"/>
      <c r="AU32" s="103">
        <f t="shared" ref="AU32:AU85" si="1">IF(AQ32="TruePositive",IF(AC32&lt;&gt;1,AM32,0),0)</f>
        <v>0</v>
      </c>
    </row>
    <row r="33" spans="21:47" s="28" customFormat="1" x14ac:dyDescent="0.25">
      <c r="U33" s="103">
        <f t="shared" si="0"/>
        <v>0</v>
      </c>
      <c r="Y33" s="98"/>
      <c r="AU33" s="103">
        <f t="shared" si="1"/>
        <v>0</v>
      </c>
    </row>
    <row r="34" spans="21:47" s="28" customFormat="1" x14ac:dyDescent="0.25">
      <c r="U34" s="103">
        <f t="shared" si="0"/>
        <v>0</v>
      </c>
      <c r="Y34" s="98"/>
      <c r="AU34" s="103">
        <f t="shared" si="1"/>
        <v>0</v>
      </c>
    </row>
    <row r="35" spans="21:47" s="28" customFormat="1" x14ac:dyDescent="0.25">
      <c r="U35" s="103">
        <f t="shared" si="0"/>
        <v>0</v>
      </c>
      <c r="Y35" s="98"/>
      <c r="AU35" s="103">
        <f t="shared" si="1"/>
        <v>0</v>
      </c>
    </row>
    <row r="36" spans="21:47" s="28" customFormat="1" x14ac:dyDescent="0.25">
      <c r="U36" s="103">
        <f t="shared" si="0"/>
        <v>0</v>
      </c>
      <c r="Y36" s="98"/>
      <c r="AU36" s="103">
        <f t="shared" si="1"/>
        <v>0</v>
      </c>
    </row>
    <row r="37" spans="21:47" s="28" customFormat="1" x14ac:dyDescent="0.25">
      <c r="U37" s="103">
        <f t="shared" si="0"/>
        <v>0</v>
      </c>
      <c r="Y37" s="98"/>
      <c r="AU37" s="103">
        <f t="shared" si="1"/>
        <v>0</v>
      </c>
    </row>
    <row r="38" spans="21:47" s="28" customFormat="1" x14ac:dyDescent="0.25">
      <c r="U38" s="103">
        <f t="shared" si="0"/>
        <v>0</v>
      </c>
      <c r="Y38" s="98"/>
      <c r="AU38" s="103">
        <f t="shared" si="1"/>
        <v>0</v>
      </c>
    </row>
    <row r="39" spans="21:47" s="28" customFormat="1" x14ac:dyDescent="0.25">
      <c r="U39" s="103">
        <f t="shared" si="0"/>
        <v>0</v>
      </c>
      <c r="Y39" s="98"/>
      <c r="AU39" s="103">
        <f t="shared" si="1"/>
        <v>0</v>
      </c>
    </row>
    <row r="40" spans="21:47" s="28" customFormat="1" x14ac:dyDescent="0.25">
      <c r="U40" s="103">
        <f t="shared" si="0"/>
        <v>0</v>
      </c>
      <c r="Y40" s="98"/>
      <c r="AU40" s="103">
        <f t="shared" si="1"/>
        <v>0</v>
      </c>
    </row>
    <row r="41" spans="21:47" s="28" customFormat="1" x14ac:dyDescent="0.25">
      <c r="U41" s="103">
        <f t="shared" si="0"/>
        <v>0</v>
      </c>
      <c r="Y41" s="98"/>
      <c r="AU41" s="103">
        <f t="shared" si="1"/>
        <v>0</v>
      </c>
    </row>
    <row r="42" spans="21:47" s="28" customFormat="1" x14ac:dyDescent="0.25">
      <c r="U42" s="103">
        <f t="shared" si="0"/>
        <v>0</v>
      </c>
      <c r="Y42" s="98"/>
      <c r="AU42" s="103">
        <f t="shared" si="1"/>
        <v>0</v>
      </c>
    </row>
    <row r="43" spans="21:47" s="28" customFormat="1" x14ac:dyDescent="0.25">
      <c r="U43" s="103">
        <f t="shared" si="0"/>
        <v>0</v>
      </c>
      <c r="Y43" s="98"/>
      <c r="AU43" s="103">
        <f t="shared" si="1"/>
        <v>0</v>
      </c>
    </row>
    <row r="44" spans="21:47" s="28" customFormat="1" x14ac:dyDescent="0.25">
      <c r="U44" s="103">
        <f t="shared" si="0"/>
        <v>0</v>
      </c>
      <c r="Y44" s="98"/>
      <c r="AU44" s="103">
        <f t="shared" si="1"/>
        <v>0</v>
      </c>
    </row>
    <row r="45" spans="21:47" s="28" customFormat="1" x14ac:dyDescent="0.25">
      <c r="U45" s="103">
        <f t="shared" si="0"/>
        <v>0</v>
      </c>
      <c r="Y45" s="98"/>
      <c r="AU45" s="103">
        <f t="shared" si="1"/>
        <v>0</v>
      </c>
    </row>
    <row r="46" spans="21:47" s="28" customFormat="1" x14ac:dyDescent="0.25">
      <c r="U46" s="103">
        <f t="shared" si="0"/>
        <v>0</v>
      </c>
      <c r="Y46" s="98"/>
      <c r="AU46" s="103">
        <f t="shared" si="1"/>
        <v>0</v>
      </c>
    </row>
    <row r="47" spans="21:47" s="28" customFormat="1" x14ac:dyDescent="0.25">
      <c r="U47" s="103">
        <f t="shared" si="0"/>
        <v>0</v>
      </c>
      <c r="Y47" s="98"/>
      <c r="AU47" s="103">
        <f t="shared" si="1"/>
        <v>0</v>
      </c>
    </row>
    <row r="48" spans="21:47" s="28" customFormat="1" x14ac:dyDescent="0.25">
      <c r="U48" s="103">
        <f t="shared" si="0"/>
        <v>0</v>
      </c>
      <c r="Y48" s="98"/>
      <c r="AU48" s="103">
        <f t="shared" si="1"/>
        <v>0</v>
      </c>
    </row>
    <row r="49" spans="21:47" s="28" customFormat="1" x14ac:dyDescent="0.25">
      <c r="U49" s="103">
        <f t="shared" si="0"/>
        <v>0</v>
      </c>
      <c r="Y49" s="98"/>
      <c r="AU49" s="103">
        <f t="shared" si="1"/>
        <v>0</v>
      </c>
    </row>
    <row r="50" spans="21:47" s="28" customFormat="1" x14ac:dyDescent="0.25">
      <c r="U50" s="103">
        <f t="shared" si="0"/>
        <v>0</v>
      </c>
      <c r="Y50" s="98"/>
      <c r="AU50" s="103">
        <f t="shared" si="1"/>
        <v>0</v>
      </c>
    </row>
    <row r="51" spans="21:47" s="28" customFormat="1" x14ac:dyDescent="0.25">
      <c r="U51" s="103">
        <f t="shared" si="0"/>
        <v>0</v>
      </c>
      <c r="Y51" s="98"/>
      <c r="AU51" s="103">
        <f t="shared" si="1"/>
        <v>0</v>
      </c>
    </row>
    <row r="52" spans="21:47" s="28" customFormat="1" x14ac:dyDescent="0.25">
      <c r="U52" s="103">
        <f t="shared" si="0"/>
        <v>0</v>
      </c>
      <c r="Y52" s="98"/>
      <c r="AU52" s="103">
        <f t="shared" si="1"/>
        <v>0</v>
      </c>
    </row>
    <row r="53" spans="21:47" s="28" customFormat="1" x14ac:dyDescent="0.25">
      <c r="U53" s="103">
        <f t="shared" si="0"/>
        <v>0</v>
      </c>
      <c r="Y53" s="98"/>
      <c r="AU53" s="103">
        <f t="shared" si="1"/>
        <v>0</v>
      </c>
    </row>
    <row r="54" spans="21:47" s="28" customFormat="1" x14ac:dyDescent="0.25">
      <c r="U54" s="103">
        <f t="shared" si="0"/>
        <v>0</v>
      </c>
      <c r="Y54" s="98"/>
      <c r="AU54" s="103">
        <f t="shared" si="1"/>
        <v>0</v>
      </c>
    </row>
    <row r="55" spans="21:47" s="28" customFormat="1" x14ac:dyDescent="0.25">
      <c r="U55" s="103">
        <f t="shared" si="0"/>
        <v>0</v>
      </c>
      <c r="Y55" s="98"/>
      <c r="AU55" s="103">
        <f t="shared" si="1"/>
        <v>0</v>
      </c>
    </row>
    <row r="56" spans="21:47" s="28" customFormat="1" x14ac:dyDescent="0.25">
      <c r="U56" s="103">
        <f t="shared" si="0"/>
        <v>0</v>
      </c>
      <c r="Y56" s="98"/>
      <c r="AU56" s="103">
        <f t="shared" si="1"/>
        <v>0</v>
      </c>
    </row>
    <row r="57" spans="21:47" s="28" customFormat="1" x14ac:dyDescent="0.25">
      <c r="U57" s="103">
        <f t="shared" si="0"/>
        <v>0</v>
      </c>
      <c r="Y57" s="98"/>
      <c r="AU57" s="103">
        <f t="shared" si="1"/>
        <v>0</v>
      </c>
    </row>
    <row r="58" spans="21:47" s="28" customFormat="1" x14ac:dyDescent="0.25">
      <c r="U58" s="103">
        <f t="shared" si="0"/>
        <v>0</v>
      </c>
      <c r="Y58" s="98"/>
      <c r="AU58" s="103">
        <f t="shared" si="1"/>
        <v>0</v>
      </c>
    </row>
    <row r="59" spans="21:47" s="28" customFormat="1" x14ac:dyDescent="0.25">
      <c r="U59" s="103">
        <f t="shared" si="0"/>
        <v>0</v>
      </c>
      <c r="Y59" s="98"/>
      <c r="AU59" s="103">
        <f t="shared" si="1"/>
        <v>0</v>
      </c>
    </row>
    <row r="60" spans="21:47" s="28" customFormat="1" x14ac:dyDescent="0.25">
      <c r="U60" s="103">
        <f t="shared" si="0"/>
        <v>0</v>
      </c>
      <c r="Y60" s="98"/>
      <c r="AU60" s="103">
        <f t="shared" si="1"/>
        <v>0</v>
      </c>
    </row>
    <row r="61" spans="21:47" s="28" customFormat="1" x14ac:dyDescent="0.25">
      <c r="U61" s="103">
        <f t="shared" si="0"/>
        <v>0</v>
      </c>
      <c r="Y61" s="98"/>
      <c r="AU61" s="103">
        <f t="shared" si="1"/>
        <v>0</v>
      </c>
    </row>
    <row r="62" spans="21:47" s="28" customFormat="1" x14ac:dyDescent="0.25">
      <c r="U62" s="103">
        <f t="shared" si="0"/>
        <v>0</v>
      </c>
      <c r="Y62" s="98"/>
      <c r="AU62" s="103">
        <f t="shared" si="1"/>
        <v>0</v>
      </c>
    </row>
    <row r="63" spans="21:47" s="28" customFormat="1" x14ac:dyDescent="0.25">
      <c r="U63" s="103">
        <f t="shared" si="0"/>
        <v>0</v>
      </c>
      <c r="Y63" s="98"/>
      <c r="AU63" s="103">
        <f t="shared" si="1"/>
        <v>0</v>
      </c>
    </row>
    <row r="64" spans="21:47" s="28" customFormat="1" x14ac:dyDescent="0.25">
      <c r="U64" s="103">
        <f t="shared" si="0"/>
        <v>0</v>
      </c>
      <c r="Y64" s="98"/>
      <c r="AU64" s="103">
        <f t="shared" si="1"/>
        <v>0</v>
      </c>
    </row>
    <row r="65" spans="21:47" s="28" customFormat="1" x14ac:dyDescent="0.25">
      <c r="U65" s="103">
        <f t="shared" si="0"/>
        <v>0</v>
      </c>
      <c r="Y65" s="98"/>
      <c r="AU65" s="103">
        <f t="shared" si="1"/>
        <v>0</v>
      </c>
    </row>
    <row r="66" spans="21:47" s="28" customFormat="1" x14ac:dyDescent="0.25">
      <c r="U66" s="103">
        <f t="shared" si="0"/>
        <v>0</v>
      </c>
      <c r="Y66" s="98"/>
      <c r="AU66" s="103">
        <f t="shared" si="1"/>
        <v>0</v>
      </c>
    </row>
    <row r="67" spans="21:47" s="28" customFormat="1" x14ac:dyDescent="0.25">
      <c r="U67" s="103">
        <f t="shared" si="0"/>
        <v>0</v>
      </c>
      <c r="Y67" s="98"/>
      <c r="AU67" s="103">
        <f t="shared" si="1"/>
        <v>0</v>
      </c>
    </row>
    <row r="68" spans="21:47" s="28" customFormat="1" x14ac:dyDescent="0.25">
      <c r="U68" s="103">
        <f t="shared" si="0"/>
        <v>0</v>
      </c>
      <c r="Y68" s="98"/>
      <c r="AU68" s="103">
        <f t="shared" si="1"/>
        <v>0</v>
      </c>
    </row>
    <row r="69" spans="21:47" s="28" customFormat="1" x14ac:dyDescent="0.25">
      <c r="U69" s="103">
        <f t="shared" si="0"/>
        <v>0</v>
      </c>
      <c r="Y69" s="98"/>
      <c r="AU69" s="103">
        <f t="shared" si="1"/>
        <v>0</v>
      </c>
    </row>
    <row r="70" spans="21:47" s="28" customFormat="1" x14ac:dyDescent="0.25">
      <c r="U70" s="103">
        <f t="shared" si="0"/>
        <v>0</v>
      </c>
      <c r="Y70" s="98"/>
      <c r="AU70" s="103">
        <f t="shared" si="1"/>
        <v>0</v>
      </c>
    </row>
    <row r="71" spans="21:47" s="28" customFormat="1" x14ac:dyDescent="0.25">
      <c r="U71" s="103">
        <f t="shared" si="0"/>
        <v>0</v>
      </c>
      <c r="Y71" s="98"/>
      <c r="AU71" s="103">
        <f t="shared" si="1"/>
        <v>0</v>
      </c>
    </row>
    <row r="72" spans="21:47" s="28" customFormat="1" x14ac:dyDescent="0.25">
      <c r="U72" s="103">
        <f t="shared" si="0"/>
        <v>0</v>
      </c>
      <c r="Y72" s="98"/>
      <c r="AU72" s="103">
        <f t="shared" si="1"/>
        <v>0</v>
      </c>
    </row>
    <row r="73" spans="21:47" s="28" customFormat="1" x14ac:dyDescent="0.25">
      <c r="U73" s="103">
        <f t="shared" si="0"/>
        <v>0</v>
      </c>
      <c r="Y73" s="98"/>
      <c r="AU73" s="103">
        <f t="shared" si="1"/>
        <v>0</v>
      </c>
    </row>
    <row r="74" spans="21:47" s="28" customFormat="1" x14ac:dyDescent="0.25">
      <c r="U74" s="103">
        <f t="shared" si="0"/>
        <v>0</v>
      </c>
      <c r="Y74" s="98"/>
      <c r="AU74" s="103">
        <f t="shared" si="1"/>
        <v>0</v>
      </c>
    </row>
    <row r="75" spans="21:47" s="28" customFormat="1" x14ac:dyDescent="0.25">
      <c r="U75" s="103">
        <f t="shared" si="0"/>
        <v>0</v>
      </c>
      <c r="Y75" s="98"/>
      <c r="AU75" s="103">
        <f t="shared" si="1"/>
        <v>0</v>
      </c>
    </row>
    <row r="76" spans="21:47" s="28" customFormat="1" x14ac:dyDescent="0.25">
      <c r="U76" s="103">
        <f t="shared" si="0"/>
        <v>0</v>
      </c>
      <c r="Y76" s="98"/>
      <c r="AU76" s="103">
        <f t="shared" si="1"/>
        <v>0</v>
      </c>
    </row>
    <row r="77" spans="21:47" s="28" customFormat="1" x14ac:dyDescent="0.25">
      <c r="U77" s="103">
        <f t="shared" si="0"/>
        <v>0</v>
      </c>
      <c r="Y77" s="98"/>
      <c r="AU77" s="103">
        <f t="shared" si="1"/>
        <v>0</v>
      </c>
    </row>
    <row r="78" spans="21:47" s="28" customFormat="1" x14ac:dyDescent="0.25">
      <c r="U78" s="103">
        <f t="shared" si="0"/>
        <v>0</v>
      </c>
      <c r="Y78" s="98"/>
      <c r="AU78" s="103">
        <f t="shared" si="1"/>
        <v>0</v>
      </c>
    </row>
    <row r="79" spans="21:47" s="28" customFormat="1" x14ac:dyDescent="0.25">
      <c r="U79" s="103">
        <f t="shared" si="0"/>
        <v>0</v>
      </c>
      <c r="Y79" s="98"/>
      <c r="AU79" s="103">
        <f t="shared" si="1"/>
        <v>0</v>
      </c>
    </row>
    <row r="80" spans="21:47" s="28" customFormat="1" x14ac:dyDescent="0.25">
      <c r="U80" s="103">
        <f t="shared" si="0"/>
        <v>0</v>
      </c>
      <c r="Y80" s="98"/>
      <c r="AU80" s="103">
        <f t="shared" si="1"/>
        <v>0</v>
      </c>
    </row>
    <row r="81" spans="21:47" s="28" customFormat="1" x14ac:dyDescent="0.25">
      <c r="U81" s="103">
        <f t="shared" si="0"/>
        <v>0</v>
      </c>
      <c r="Y81" s="98"/>
      <c r="AU81" s="103">
        <f t="shared" si="1"/>
        <v>0</v>
      </c>
    </row>
    <row r="82" spans="21:47" s="28" customFormat="1" x14ac:dyDescent="0.25">
      <c r="U82" s="103">
        <f t="shared" si="0"/>
        <v>0</v>
      </c>
      <c r="Y82" s="98"/>
      <c r="AU82" s="103">
        <f t="shared" si="1"/>
        <v>0</v>
      </c>
    </row>
    <row r="83" spans="21:47" s="28" customFormat="1" x14ac:dyDescent="0.25">
      <c r="U83" s="103">
        <f t="shared" si="0"/>
        <v>0</v>
      </c>
      <c r="Y83" s="98"/>
      <c r="AU83" s="103">
        <f t="shared" si="1"/>
        <v>0</v>
      </c>
    </row>
    <row r="84" spans="21:47" s="28" customFormat="1" x14ac:dyDescent="0.25">
      <c r="U84" s="103">
        <f t="shared" si="0"/>
        <v>0</v>
      </c>
      <c r="Y84" s="98"/>
      <c r="AU84" s="103">
        <f t="shared" si="1"/>
        <v>0</v>
      </c>
    </row>
    <row r="85" spans="21:47" s="28" customFormat="1" x14ac:dyDescent="0.25">
      <c r="U85" s="103">
        <f t="shared" si="0"/>
        <v>0</v>
      </c>
      <c r="Y85" s="98"/>
      <c r="AU85" s="103">
        <f t="shared" si="1"/>
        <v>0</v>
      </c>
    </row>
    <row r="86" spans="21:47" s="28" customFormat="1" x14ac:dyDescent="0.25">
      <c r="U86" s="103">
        <f t="shared" ref="U86:U149" si="2">IF(R86="TruePositive",IF(D86&lt;&gt;1,N86,0),0)</f>
        <v>0</v>
      </c>
      <c r="Y86" s="98"/>
      <c r="AU86" s="103">
        <f t="shared" ref="AU86:AU149" si="3">IF(AQ86="TruePositive",IF(AC86&lt;&gt;1,AM86,0),0)</f>
        <v>0</v>
      </c>
    </row>
    <row r="87" spans="21:47" s="28" customFormat="1" x14ac:dyDescent="0.25">
      <c r="U87" s="103">
        <f t="shared" si="2"/>
        <v>0</v>
      </c>
      <c r="Y87" s="98"/>
      <c r="AU87" s="103">
        <f t="shared" si="3"/>
        <v>0</v>
      </c>
    </row>
    <row r="88" spans="21:47" s="28" customFormat="1" x14ac:dyDescent="0.25">
      <c r="U88" s="103">
        <f t="shared" si="2"/>
        <v>0</v>
      </c>
      <c r="Y88" s="98"/>
      <c r="AU88" s="103">
        <f t="shared" si="3"/>
        <v>0</v>
      </c>
    </row>
    <row r="89" spans="21:47" s="28" customFormat="1" x14ac:dyDescent="0.25">
      <c r="U89" s="103">
        <f t="shared" si="2"/>
        <v>0</v>
      </c>
      <c r="Y89" s="98"/>
      <c r="AU89" s="103">
        <f t="shared" si="3"/>
        <v>0</v>
      </c>
    </row>
    <row r="90" spans="21:47" s="28" customFormat="1" x14ac:dyDescent="0.25">
      <c r="U90" s="103">
        <f t="shared" si="2"/>
        <v>0</v>
      </c>
      <c r="Y90" s="98"/>
      <c r="AU90" s="103">
        <f t="shared" si="3"/>
        <v>0</v>
      </c>
    </row>
    <row r="91" spans="21:47" s="28" customFormat="1" x14ac:dyDescent="0.25">
      <c r="U91" s="103">
        <f t="shared" si="2"/>
        <v>0</v>
      </c>
      <c r="Y91" s="98"/>
      <c r="AU91" s="103">
        <f t="shared" si="3"/>
        <v>0</v>
      </c>
    </row>
    <row r="92" spans="21:47" s="28" customFormat="1" x14ac:dyDescent="0.25">
      <c r="U92" s="103">
        <f t="shared" si="2"/>
        <v>0</v>
      </c>
      <c r="Y92" s="98"/>
      <c r="AU92" s="103">
        <f t="shared" si="3"/>
        <v>0</v>
      </c>
    </row>
    <row r="93" spans="21:47" s="28" customFormat="1" x14ac:dyDescent="0.25">
      <c r="U93" s="103">
        <f t="shared" si="2"/>
        <v>0</v>
      </c>
      <c r="Y93" s="98"/>
      <c r="AU93" s="103">
        <f t="shared" si="3"/>
        <v>0</v>
      </c>
    </row>
    <row r="94" spans="21:47" s="28" customFormat="1" x14ac:dyDescent="0.25">
      <c r="U94" s="103">
        <f t="shared" si="2"/>
        <v>0</v>
      </c>
      <c r="Y94" s="98"/>
      <c r="AU94" s="103">
        <f t="shared" si="3"/>
        <v>0</v>
      </c>
    </row>
    <row r="95" spans="21:47" s="28" customFormat="1" x14ac:dyDescent="0.25">
      <c r="U95" s="103">
        <f t="shared" si="2"/>
        <v>0</v>
      </c>
      <c r="Y95" s="98"/>
      <c r="AU95" s="103">
        <f t="shared" si="3"/>
        <v>0</v>
      </c>
    </row>
    <row r="96" spans="21:47" s="28" customFormat="1" x14ac:dyDescent="0.25">
      <c r="U96" s="103">
        <f t="shared" si="2"/>
        <v>0</v>
      </c>
      <c r="Y96" s="98"/>
      <c r="AU96" s="103">
        <f t="shared" si="3"/>
        <v>0</v>
      </c>
    </row>
    <row r="97" spans="21:47" s="28" customFormat="1" x14ac:dyDescent="0.25">
      <c r="U97" s="103">
        <f t="shared" si="2"/>
        <v>0</v>
      </c>
      <c r="Y97" s="98"/>
      <c r="AU97" s="103">
        <f t="shared" si="3"/>
        <v>0</v>
      </c>
    </row>
    <row r="98" spans="21:47" s="28" customFormat="1" x14ac:dyDescent="0.25">
      <c r="U98" s="103">
        <f t="shared" si="2"/>
        <v>0</v>
      </c>
      <c r="Y98" s="98"/>
      <c r="AU98" s="103">
        <f t="shared" si="3"/>
        <v>0</v>
      </c>
    </row>
    <row r="99" spans="21:47" s="28" customFormat="1" x14ac:dyDescent="0.25">
      <c r="U99" s="103">
        <f t="shared" si="2"/>
        <v>0</v>
      </c>
      <c r="Y99" s="98"/>
      <c r="AU99" s="103">
        <f t="shared" si="3"/>
        <v>0</v>
      </c>
    </row>
    <row r="100" spans="21:47" s="28" customFormat="1" x14ac:dyDescent="0.25">
      <c r="U100" s="103">
        <f t="shared" si="2"/>
        <v>0</v>
      </c>
      <c r="Y100" s="98"/>
      <c r="AU100" s="103">
        <f t="shared" si="3"/>
        <v>0</v>
      </c>
    </row>
    <row r="101" spans="21:47" s="28" customFormat="1" x14ac:dyDescent="0.25">
      <c r="U101" s="103">
        <f t="shared" si="2"/>
        <v>0</v>
      </c>
      <c r="Y101" s="98"/>
      <c r="AU101" s="103">
        <f t="shared" si="3"/>
        <v>0</v>
      </c>
    </row>
    <row r="102" spans="21:47" s="28" customFormat="1" x14ac:dyDescent="0.25">
      <c r="U102" s="103">
        <f t="shared" si="2"/>
        <v>0</v>
      </c>
      <c r="Y102" s="98"/>
      <c r="AU102" s="103">
        <f t="shared" si="3"/>
        <v>0</v>
      </c>
    </row>
    <row r="103" spans="21:47" s="28" customFormat="1" x14ac:dyDescent="0.25">
      <c r="U103" s="103">
        <f t="shared" si="2"/>
        <v>0</v>
      </c>
      <c r="Y103" s="98"/>
      <c r="AU103" s="103">
        <f t="shared" si="3"/>
        <v>0</v>
      </c>
    </row>
    <row r="104" spans="21:47" s="28" customFormat="1" x14ac:dyDescent="0.25">
      <c r="U104" s="103">
        <f t="shared" si="2"/>
        <v>0</v>
      </c>
      <c r="Y104" s="98"/>
      <c r="AU104" s="103">
        <f t="shared" si="3"/>
        <v>0</v>
      </c>
    </row>
    <row r="105" spans="21:47" s="28" customFormat="1" x14ac:dyDescent="0.25">
      <c r="U105" s="103">
        <f t="shared" si="2"/>
        <v>0</v>
      </c>
      <c r="Y105" s="98"/>
      <c r="AU105" s="103">
        <f t="shared" si="3"/>
        <v>0</v>
      </c>
    </row>
    <row r="106" spans="21:47" s="28" customFormat="1" x14ac:dyDescent="0.25">
      <c r="U106" s="103">
        <f t="shared" si="2"/>
        <v>0</v>
      </c>
      <c r="Y106" s="98"/>
      <c r="AU106" s="103">
        <f t="shared" si="3"/>
        <v>0</v>
      </c>
    </row>
    <row r="107" spans="21:47" s="28" customFormat="1" x14ac:dyDescent="0.25">
      <c r="U107" s="103">
        <f t="shared" si="2"/>
        <v>0</v>
      </c>
      <c r="Y107" s="98"/>
      <c r="AU107" s="103">
        <f t="shared" si="3"/>
        <v>0</v>
      </c>
    </row>
    <row r="108" spans="21:47" s="28" customFormat="1" x14ac:dyDescent="0.25">
      <c r="U108" s="103">
        <f t="shared" si="2"/>
        <v>0</v>
      </c>
      <c r="Y108" s="98"/>
      <c r="AU108" s="103">
        <f t="shared" si="3"/>
        <v>0</v>
      </c>
    </row>
    <row r="109" spans="21:47" s="28" customFormat="1" x14ac:dyDescent="0.25">
      <c r="U109" s="103">
        <f t="shared" si="2"/>
        <v>0</v>
      </c>
      <c r="Y109" s="98"/>
      <c r="AU109" s="103">
        <f t="shared" si="3"/>
        <v>0</v>
      </c>
    </row>
    <row r="110" spans="21:47" s="28" customFormat="1" x14ac:dyDescent="0.25">
      <c r="U110" s="103">
        <f t="shared" si="2"/>
        <v>0</v>
      </c>
      <c r="Y110" s="98"/>
      <c r="AU110" s="103">
        <f t="shared" si="3"/>
        <v>0</v>
      </c>
    </row>
    <row r="111" spans="21:47" s="28" customFormat="1" x14ac:dyDescent="0.25">
      <c r="U111" s="103">
        <f t="shared" si="2"/>
        <v>0</v>
      </c>
      <c r="Y111" s="98"/>
      <c r="AU111" s="103">
        <f t="shared" si="3"/>
        <v>0</v>
      </c>
    </row>
    <row r="112" spans="21:47" s="28" customFormat="1" x14ac:dyDescent="0.25">
      <c r="U112" s="103">
        <f t="shared" si="2"/>
        <v>0</v>
      </c>
      <c r="Y112" s="98"/>
      <c r="AU112" s="103">
        <f t="shared" si="3"/>
        <v>0</v>
      </c>
    </row>
    <row r="113" spans="21:47" s="28" customFormat="1" x14ac:dyDescent="0.25">
      <c r="U113" s="103">
        <f t="shared" si="2"/>
        <v>0</v>
      </c>
      <c r="Y113" s="98"/>
      <c r="AU113" s="103">
        <f t="shared" si="3"/>
        <v>0</v>
      </c>
    </row>
    <row r="114" spans="21:47" s="28" customFormat="1" x14ac:dyDescent="0.25">
      <c r="U114" s="103">
        <f t="shared" si="2"/>
        <v>0</v>
      </c>
      <c r="Y114" s="98"/>
      <c r="AU114" s="103">
        <f t="shared" si="3"/>
        <v>0</v>
      </c>
    </row>
    <row r="115" spans="21:47" s="28" customFormat="1" x14ac:dyDescent="0.25">
      <c r="U115" s="103">
        <f t="shared" si="2"/>
        <v>0</v>
      </c>
      <c r="Y115" s="98"/>
      <c r="AU115" s="103">
        <f t="shared" si="3"/>
        <v>0</v>
      </c>
    </row>
    <row r="116" spans="21:47" s="28" customFormat="1" x14ac:dyDescent="0.25">
      <c r="U116" s="103">
        <f t="shared" si="2"/>
        <v>0</v>
      </c>
      <c r="Y116" s="98"/>
      <c r="AU116" s="103">
        <f t="shared" si="3"/>
        <v>0</v>
      </c>
    </row>
    <row r="117" spans="21:47" s="28" customFormat="1" x14ac:dyDescent="0.25">
      <c r="U117" s="103">
        <f t="shared" si="2"/>
        <v>0</v>
      </c>
      <c r="Y117" s="98"/>
      <c r="AU117" s="103">
        <f t="shared" si="3"/>
        <v>0</v>
      </c>
    </row>
    <row r="118" spans="21:47" s="28" customFormat="1" x14ac:dyDescent="0.25">
      <c r="U118" s="103">
        <f t="shared" si="2"/>
        <v>0</v>
      </c>
      <c r="Y118" s="98"/>
      <c r="AU118" s="103">
        <f t="shared" si="3"/>
        <v>0</v>
      </c>
    </row>
    <row r="119" spans="21:47" s="28" customFormat="1" x14ac:dyDescent="0.25">
      <c r="U119" s="103">
        <f t="shared" si="2"/>
        <v>0</v>
      </c>
      <c r="Y119" s="98"/>
      <c r="AU119" s="103">
        <f t="shared" si="3"/>
        <v>0</v>
      </c>
    </row>
    <row r="120" spans="21:47" s="28" customFormat="1" x14ac:dyDescent="0.25">
      <c r="U120" s="103">
        <f t="shared" si="2"/>
        <v>0</v>
      </c>
      <c r="Y120" s="98"/>
      <c r="AU120" s="103">
        <f t="shared" si="3"/>
        <v>0</v>
      </c>
    </row>
    <row r="121" spans="21:47" s="28" customFormat="1" x14ac:dyDescent="0.25">
      <c r="U121" s="103">
        <f t="shared" si="2"/>
        <v>0</v>
      </c>
      <c r="Y121" s="98"/>
      <c r="AU121" s="103">
        <f t="shared" si="3"/>
        <v>0</v>
      </c>
    </row>
    <row r="122" spans="21:47" s="28" customFormat="1" x14ac:dyDescent="0.25">
      <c r="U122" s="103">
        <f t="shared" si="2"/>
        <v>0</v>
      </c>
      <c r="Y122" s="98"/>
      <c r="AU122" s="103">
        <f t="shared" si="3"/>
        <v>0</v>
      </c>
    </row>
    <row r="123" spans="21:47" s="28" customFormat="1" x14ac:dyDescent="0.25">
      <c r="U123" s="103">
        <f t="shared" si="2"/>
        <v>0</v>
      </c>
      <c r="Y123" s="98"/>
      <c r="AU123" s="103">
        <f t="shared" si="3"/>
        <v>0</v>
      </c>
    </row>
    <row r="124" spans="21:47" s="28" customFormat="1" x14ac:dyDescent="0.25">
      <c r="U124" s="103">
        <f t="shared" si="2"/>
        <v>0</v>
      </c>
      <c r="Y124" s="98"/>
      <c r="AU124" s="103">
        <f t="shared" si="3"/>
        <v>0</v>
      </c>
    </row>
    <row r="125" spans="21:47" s="28" customFormat="1" x14ac:dyDescent="0.25">
      <c r="U125" s="103">
        <f t="shared" si="2"/>
        <v>0</v>
      </c>
      <c r="Y125" s="98"/>
      <c r="AU125" s="103">
        <f t="shared" si="3"/>
        <v>0</v>
      </c>
    </row>
    <row r="126" spans="21:47" s="28" customFormat="1" x14ac:dyDescent="0.25">
      <c r="U126" s="103">
        <f t="shared" si="2"/>
        <v>0</v>
      </c>
      <c r="Y126" s="98"/>
      <c r="AU126" s="103">
        <f t="shared" si="3"/>
        <v>0</v>
      </c>
    </row>
    <row r="127" spans="21:47" s="28" customFormat="1" x14ac:dyDescent="0.25">
      <c r="U127" s="103">
        <f t="shared" si="2"/>
        <v>0</v>
      </c>
      <c r="Y127" s="98"/>
      <c r="AU127" s="103">
        <f t="shared" si="3"/>
        <v>0</v>
      </c>
    </row>
    <row r="128" spans="21:47" s="28" customFormat="1" x14ac:dyDescent="0.25">
      <c r="U128" s="103">
        <f t="shared" si="2"/>
        <v>0</v>
      </c>
      <c r="Y128" s="98"/>
      <c r="AU128" s="103">
        <f t="shared" si="3"/>
        <v>0</v>
      </c>
    </row>
    <row r="129" spans="21:47" s="28" customFormat="1" x14ac:dyDescent="0.25">
      <c r="U129" s="103">
        <f t="shared" si="2"/>
        <v>0</v>
      </c>
      <c r="Y129" s="98"/>
      <c r="AU129" s="103">
        <f t="shared" si="3"/>
        <v>0</v>
      </c>
    </row>
    <row r="130" spans="21:47" s="28" customFormat="1" x14ac:dyDescent="0.25">
      <c r="U130" s="103">
        <f t="shared" si="2"/>
        <v>0</v>
      </c>
      <c r="Y130" s="98"/>
      <c r="AU130" s="103">
        <f t="shared" si="3"/>
        <v>0</v>
      </c>
    </row>
    <row r="131" spans="21:47" s="28" customFormat="1" x14ac:dyDescent="0.25">
      <c r="U131" s="103">
        <f t="shared" si="2"/>
        <v>0</v>
      </c>
      <c r="Y131" s="98"/>
      <c r="AU131" s="103">
        <f t="shared" si="3"/>
        <v>0</v>
      </c>
    </row>
    <row r="132" spans="21:47" s="28" customFormat="1" x14ac:dyDescent="0.25">
      <c r="U132" s="103">
        <f t="shared" si="2"/>
        <v>0</v>
      </c>
      <c r="Y132" s="98"/>
      <c r="AU132" s="103">
        <f t="shared" si="3"/>
        <v>0</v>
      </c>
    </row>
    <row r="133" spans="21:47" s="28" customFormat="1" x14ac:dyDescent="0.25">
      <c r="U133" s="103">
        <f t="shared" si="2"/>
        <v>0</v>
      </c>
      <c r="Y133" s="98"/>
      <c r="AU133" s="103">
        <f t="shared" si="3"/>
        <v>0</v>
      </c>
    </row>
    <row r="134" spans="21:47" s="28" customFormat="1" x14ac:dyDescent="0.25">
      <c r="U134" s="103">
        <f t="shared" si="2"/>
        <v>0</v>
      </c>
      <c r="Y134" s="98"/>
      <c r="AU134" s="103">
        <f t="shared" si="3"/>
        <v>0</v>
      </c>
    </row>
    <row r="135" spans="21:47" s="28" customFormat="1" x14ac:dyDescent="0.25">
      <c r="U135" s="103">
        <f t="shared" si="2"/>
        <v>0</v>
      </c>
      <c r="Y135" s="98"/>
      <c r="AU135" s="103">
        <f t="shared" si="3"/>
        <v>0</v>
      </c>
    </row>
    <row r="136" spans="21:47" s="28" customFormat="1" x14ac:dyDescent="0.25">
      <c r="U136" s="103">
        <f t="shared" si="2"/>
        <v>0</v>
      </c>
      <c r="Y136" s="98"/>
      <c r="AU136" s="103">
        <f t="shared" si="3"/>
        <v>0</v>
      </c>
    </row>
    <row r="137" spans="21:47" s="28" customFormat="1" x14ac:dyDescent="0.25">
      <c r="U137" s="103">
        <f t="shared" si="2"/>
        <v>0</v>
      </c>
      <c r="Y137" s="98"/>
      <c r="AU137" s="103">
        <f t="shared" si="3"/>
        <v>0</v>
      </c>
    </row>
    <row r="138" spans="21:47" s="28" customFormat="1" x14ac:dyDescent="0.25">
      <c r="U138" s="103">
        <f t="shared" si="2"/>
        <v>0</v>
      </c>
      <c r="Y138" s="98"/>
      <c r="AU138" s="103">
        <f t="shared" si="3"/>
        <v>0</v>
      </c>
    </row>
    <row r="139" spans="21:47" s="28" customFormat="1" x14ac:dyDescent="0.25">
      <c r="U139" s="103">
        <f t="shared" si="2"/>
        <v>0</v>
      </c>
      <c r="Y139" s="98"/>
      <c r="AU139" s="103">
        <f t="shared" si="3"/>
        <v>0</v>
      </c>
    </row>
    <row r="140" spans="21:47" s="28" customFormat="1" x14ac:dyDescent="0.25">
      <c r="U140" s="103">
        <f t="shared" si="2"/>
        <v>0</v>
      </c>
      <c r="Y140" s="98"/>
      <c r="AU140" s="103">
        <f t="shared" si="3"/>
        <v>0</v>
      </c>
    </row>
    <row r="141" spans="21:47" s="28" customFormat="1" x14ac:dyDescent="0.25">
      <c r="U141" s="103">
        <f t="shared" si="2"/>
        <v>0</v>
      </c>
      <c r="Y141" s="98"/>
      <c r="AU141" s="103">
        <f t="shared" si="3"/>
        <v>0</v>
      </c>
    </row>
    <row r="142" spans="21:47" s="28" customFormat="1" x14ac:dyDescent="0.25">
      <c r="U142" s="103">
        <f t="shared" si="2"/>
        <v>0</v>
      </c>
      <c r="Y142" s="98"/>
      <c r="AU142" s="103">
        <f t="shared" si="3"/>
        <v>0</v>
      </c>
    </row>
    <row r="143" spans="21:47" s="28" customFormat="1" x14ac:dyDescent="0.25">
      <c r="U143" s="103">
        <f t="shared" si="2"/>
        <v>0</v>
      </c>
      <c r="Y143" s="98"/>
      <c r="AU143" s="103">
        <f t="shared" si="3"/>
        <v>0</v>
      </c>
    </row>
    <row r="144" spans="21:47" s="28" customFormat="1" x14ac:dyDescent="0.25">
      <c r="U144" s="103">
        <f t="shared" si="2"/>
        <v>0</v>
      </c>
      <c r="Y144" s="98"/>
      <c r="AU144" s="103">
        <f t="shared" si="3"/>
        <v>0</v>
      </c>
    </row>
    <row r="145" spans="21:47" s="28" customFormat="1" x14ac:dyDescent="0.25">
      <c r="U145" s="103">
        <f t="shared" si="2"/>
        <v>0</v>
      </c>
      <c r="Y145" s="98"/>
      <c r="AU145" s="103">
        <f t="shared" si="3"/>
        <v>0</v>
      </c>
    </row>
    <row r="146" spans="21:47" s="28" customFormat="1" x14ac:dyDescent="0.25">
      <c r="U146" s="103">
        <f t="shared" si="2"/>
        <v>0</v>
      </c>
      <c r="Y146" s="98"/>
      <c r="AU146" s="103">
        <f t="shared" si="3"/>
        <v>0</v>
      </c>
    </row>
    <row r="147" spans="21:47" s="28" customFormat="1" x14ac:dyDescent="0.25">
      <c r="U147" s="103">
        <f t="shared" si="2"/>
        <v>0</v>
      </c>
      <c r="Y147" s="98"/>
      <c r="AU147" s="103">
        <f t="shared" si="3"/>
        <v>0</v>
      </c>
    </row>
    <row r="148" spans="21:47" s="28" customFormat="1" x14ac:dyDescent="0.25">
      <c r="U148" s="103">
        <f t="shared" si="2"/>
        <v>0</v>
      </c>
      <c r="Y148" s="98"/>
      <c r="AU148" s="103">
        <f t="shared" si="3"/>
        <v>0</v>
      </c>
    </row>
    <row r="149" spans="21:47" s="28" customFormat="1" x14ac:dyDescent="0.25">
      <c r="U149" s="103">
        <f t="shared" si="2"/>
        <v>0</v>
      </c>
      <c r="Y149" s="98"/>
      <c r="AU149" s="103">
        <f t="shared" si="3"/>
        <v>0</v>
      </c>
    </row>
    <row r="150" spans="21:47" s="28" customFormat="1" x14ac:dyDescent="0.25">
      <c r="U150" s="103">
        <f t="shared" ref="U150:U213" si="4">IF(R150="TruePositive",IF(D150&lt;&gt;1,N150,0),0)</f>
        <v>0</v>
      </c>
      <c r="Y150" s="98"/>
      <c r="AU150" s="103">
        <f t="shared" ref="AU150:AU213" si="5">IF(AQ150="TruePositive",IF(AC150&lt;&gt;1,AM150,0),0)</f>
        <v>0</v>
      </c>
    </row>
    <row r="151" spans="21:47" s="28" customFormat="1" x14ac:dyDescent="0.25">
      <c r="U151" s="103">
        <f t="shared" si="4"/>
        <v>0</v>
      </c>
      <c r="Y151" s="98"/>
      <c r="AU151" s="103">
        <f t="shared" si="5"/>
        <v>0</v>
      </c>
    </row>
    <row r="152" spans="21:47" s="28" customFormat="1" x14ac:dyDescent="0.25">
      <c r="U152" s="103">
        <f t="shared" si="4"/>
        <v>0</v>
      </c>
      <c r="Y152" s="98"/>
      <c r="AU152" s="103">
        <f t="shared" si="5"/>
        <v>0</v>
      </c>
    </row>
    <row r="153" spans="21:47" s="28" customFormat="1" x14ac:dyDescent="0.25">
      <c r="U153" s="103">
        <f t="shared" si="4"/>
        <v>0</v>
      </c>
      <c r="Y153" s="98"/>
      <c r="AU153" s="103">
        <f t="shared" si="5"/>
        <v>0</v>
      </c>
    </row>
    <row r="154" spans="21:47" s="28" customFormat="1" x14ac:dyDescent="0.25">
      <c r="U154" s="103">
        <f t="shared" si="4"/>
        <v>0</v>
      </c>
      <c r="Y154" s="98"/>
      <c r="AU154" s="103">
        <f t="shared" si="5"/>
        <v>0</v>
      </c>
    </row>
    <row r="155" spans="21:47" s="28" customFormat="1" x14ac:dyDescent="0.25">
      <c r="U155" s="103">
        <f t="shared" si="4"/>
        <v>0</v>
      </c>
      <c r="Y155" s="98"/>
      <c r="AU155" s="103">
        <f t="shared" si="5"/>
        <v>0</v>
      </c>
    </row>
    <row r="156" spans="21:47" s="28" customFormat="1" x14ac:dyDescent="0.25">
      <c r="U156" s="103">
        <f t="shared" si="4"/>
        <v>0</v>
      </c>
      <c r="Y156" s="98"/>
      <c r="AU156" s="103">
        <f t="shared" si="5"/>
        <v>0</v>
      </c>
    </row>
    <row r="157" spans="21:47" s="28" customFormat="1" x14ac:dyDescent="0.25">
      <c r="U157" s="103">
        <f t="shared" si="4"/>
        <v>0</v>
      </c>
      <c r="Y157" s="98"/>
      <c r="AU157" s="103">
        <f t="shared" si="5"/>
        <v>0</v>
      </c>
    </row>
    <row r="158" spans="21:47" s="28" customFormat="1" x14ac:dyDescent="0.25">
      <c r="U158" s="103">
        <f t="shared" si="4"/>
        <v>0</v>
      </c>
      <c r="Y158" s="98"/>
      <c r="AU158" s="103">
        <f t="shared" si="5"/>
        <v>0</v>
      </c>
    </row>
    <row r="159" spans="21:47" s="28" customFormat="1" x14ac:dyDescent="0.25">
      <c r="U159" s="103">
        <f t="shared" si="4"/>
        <v>0</v>
      </c>
      <c r="Y159" s="98"/>
      <c r="AU159" s="103">
        <f t="shared" si="5"/>
        <v>0</v>
      </c>
    </row>
    <row r="160" spans="21:47" s="28" customFormat="1" x14ac:dyDescent="0.25">
      <c r="U160" s="103">
        <f t="shared" si="4"/>
        <v>0</v>
      </c>
      <c r="Y160" s="98"/>
      <c r="AU160" s="103">
        <f t="shared" si="5"/>
        <v>0</v>
      </c>
    </row>
    <row r="161" spans="21:47" s="28" customFormat="1" x14ac:dyDescent="0.25">
      <c r="U161" s="103">
        <f t="shared" si="4"/>
        <v>0</v>
      </c>
      <c r="Y161" s="98"/>
      <c r="AU161" s="103">
        <f t="shared" si="5"/>
        <v>0</v>
      </c>
    </row>
    <row r="162" spans="21:47" s="28" customFormat="1" x14ac:dyDescent="0.25">
      <c r="U162" s="103">
        <f t="shared" si="4"/>
        <v>0</v>
      </c>
      <c r="Y162" s="98"/>
      <c r="AU162" s="103">
        <f t="shared" si="5"/>
        <v>0</v>
      </c>
    </row>
    <row r="163" spans="21:47" s="28" customFormat="1" x14ac:dyDescent="0.25">
      <c r="U163" s="103">
        <f t="shared" si="4"/>
        <v>0</v>
      </c>
      <c r="Y163" s="98"/>
      <c r="AU163" s="103">
        <f t="shared" si="5"/>
        <v>0</v>
      </c>
    </row>
    <row r="164" spans="21:47" s="28" customFormat="1" x14ac:dyDescent="0.25">
      <c r="U164" s="103">
        <f t="shared" si="4"/>
        <v>0</v>
      </c>
      <c r="Y164" s="98"/>
      <c r="AU164" s="103">
        <f t="shared" si="5"/>
        <v>0</v>
      </c>
    </row>
    <row r="165" spans="21:47" s="28" customFormat="1" x14ac:dyDescent="0.25">
      <c r="U165" s="103">
        <f t="shared" si="4"/>
        <v>0</v>
      </c>
      <c r="Y165" s="98"/>
      <c r="AU165" s="103">
        <f t="shared" si="5"/>
        <v>0</v>
      </c>
    </row>
    <row r="166" spans="21:47" s="28" customFormat="1" x14ac:dyDescent="0.25">
      <c r="U166" s="103">
        <f t="shared" si="4"/>
        <v>0</v>
      </c>
      <c r="Y166" s="98"/>
      <c r="AU166" s="103">
        <f t="shared" si="5"/>
        <v>0</v>
      </c>
    </row>
    <row r="167" spans="21:47" s="28" customFormat="1" x14ac:dyDescent="0.25">
      <c r="U167" s="103">
        <f t="shared" si="4"/>
        <v>0</v>
      </c>
      <c r="Y167" s="98"/>
      <c r="AU167" s="103">
        <f t="shared" si="5"/>
        <v>0</v>
      </c>
    </row>
    <row r="168" spans="21:47" s="28" customFormat="1" x14ac:dyDescent="0.25">
      <c r="U168" s="103">
        <f t="shared" si="4"/>
        <v>0</v>
      </c>
      <c r="Y168" s="98"/>
      <c r="AU168" s="103">
        <f t="shared" si="5"/>
        <v>0</v>
      </c>
    </row>
    <row r="169" spans="21:47" s="28" customFormat="1" x14ac:dyDescent="0.25">
      <c r="U169" s="103">
        <f t="shared" si="4"/>
        <v>0</v>
      </c>
      <c r="Y169" s="98"/>
      <c r="AU169" s="103">
        <f t="shared" si="5"/>
        <v>0</v>
      </c>
    </row>
    <row r="170" spans="21:47" s="28" customFormat="1" x14ac:dyDescent="0.25">
      <c r="U170" s="103">
        <f t="shared" si="4"/>
        <v>0</v>
      </c>
      <c r="Y170" s="98"/>
      <c r="AU170" s="103">
        <f t="shared" si="5"/>
        <v>0</v>
      </c>
    </row>
    <row r="171" spans="21:47" s="28" customFormat="1" x14ac:dyDescent="0.25">
      <c r="U171" s="103">
        <f t="shared" si="4"/>
        <v>0</v>
      </c>
      <c r="Y171" s="98"/>
      <c r="AU171" s="103">
        <f t="shared" si="5"/>
        <v>0</v>
      </c>
    </row>
    <row r="172" spans="21:47" s="28" customFormat="1" x14ac:dyDescent="0.25">
      <c r="U172" s="103">
        <f t="shared" si="4"/>
        <v>0</v>
      </c>
      <c r="Y172" s="98"/>
      <c r="AU172" s="103">
        <f t="shared" si="5"/>
        <v>0</v>
      </c>
    </row>
    <row r="173" spans="21:47" s="28" customFormat="1" x14ac:dyDescent="0.25">
      <c r="U173" s="103">
        <f t="shared" si="4"/>
        <v>0</v>
      </c>
      <c r="Y173" s="98"/>
      <c r="AU173" s="103">
        <f t="shared" si="5"/>
        <v>0</v>
      </c>
    </row>
    <row r="174" spans="21:47" s="28" customFormat="1" x14ac:dyDescent="0.25">
      <c r="U174" s="103">
        <f t="shared" si="4"/>
        <v>0</v>
      </c>
      <c r="Y174" s="98"/>
      <c r="AU174" s="103">
        <f t="shared" si="5"/>
        <v>0</v>
      </c>
    </row>
    <row r="175" spans="21:47" s="28" customFormat="1" x14ac:dyDescent="0.25">
      <c r="U175" s="103">
        <f t="shared" si="4"/>
        <v>0</v>
      </c>
      <c r="Y175" s="98"/>
      <c r="AU175" s="103">
        <f t="shared" si="5"/>
        <v>0</v>
      </c>
    </row>
    <row r="176" spans="21:47" s="28" customFormat="1" x14ac:dyDescent="0.25">
      <c r="U176" s="103">
        <f t="shared" si="4"/>
        <v>0</v>
      </c>
      <c r="Y176" s="98"/>
      <c r="AU176" s="103">
        <f t="shared" si="5"/>
        <v>0</v>
      </c>
    </row>
    <row r="177" spans="21:47" s="28" customFormat="1" x14ac:dyDescent="0.25">
      <c r="U177" s="103">
        <f t="shared" si="4"/>
        <v>0</v>
      </c>
      <c r="Y177" s="98"/>
      <c r="AU177" s="103">
        <f t="shared" si="5"/>
        <v>0</v>
      </c>
    </row>
    <row r="178" spans="21:47" s="28" customFormat="1" x14ac:dyDescent="0.25">
      <c r="U178" s="103">
        <f t="shared" si="4"/>
        <v>0</v>
      </c>
      <c r="Y178" s="98"/>
      <c r="AU178" s="103">
        <f t="shared" si="5"/>
        <v>0</v>
      </c>
    </row>
    <row r="179" spans="21:47" s="28" customFormat="1" x14ac:dyDescent="0.25">
      <c r="U179" s="103">
        <f t="shared" si="4"/>
        <v>0</v>
      </c>
      <c r="Y179" s="98"/>
      <c r="AU179" s="103">
        <f t="shared" si="5"/>
        <v>0</v>
      </c>
    </row>
    <row r="180" spans="21:47" s="28" customFormat="1" x14ac:dyDescent="0.25">
      <c r="U180" s="103">
        <f t="shared" si="4"/>
        <v>0</v>
      </c>
      <c r="Y180" s="98"/>
      <c r="AU180" s="103">
        <f t="shared" si="5"/>
        <v>0</v>
      </c>
    </row>
    <row r="181" spans="21:47" s="28" customFormat="1" x14ac:dyDescent="0.25">
      <c r="U181" s="103">
        <f t="shared" si="4"/>
        <v>0</v>
      </c>
      <c r="Y181" s="98"/>
      <c r="AU181" s="103">
        <f t="shared" si="5"/>
        <v>0</v>
      </c>
    </row>
    <row r="182" spans="21:47" s="28" customFormat="1" x14ac:dyDescent="0.25">
      <c r="U182" s="103">
        <f t="shared" si="4"/>
        <v>0</v>
      </c>
      <c r="Y182" s="98"/>
      <c r="AU182" s="103">
        <f t="shared" si="5"/>
        <v>0</v>
      </c>
    </row>
    <row r="183" spans="21:47" s="28" customFormat="1" x14ac:dyDescent="0.25">
      <c r="U183" s="103">
        <f t="shared" si="4"/>
        <v>0</v>
      </c>
      <c r="Y183" s="98"/>
      <c r="AU183" s="103">
        <f t="shared" si="5"/>
        <v>0</v>
      </c>
    </row>
    <row r="184" spans="21:47" s="28" customFormat="1" x14ac:dyDescent="0.25">
      <c r="U184" s="103">
        <f t="shared" si="4"/>
        <v>0</v>
      </c>
      <c r="Y184" s="98"/>
      <c r="AU184" s="103">
        <f t="shared" si="5"/>
        <v>0</v>
      </c>
    </row>
    <row r="185" spans="21:47" s="28" customFormat="1" x14ac:dyDescent="0.25">
      <c r="U185" s="103">
        <f t="shared" si="4"/>
        <v>0</v>
      </c>
      <c r="Y185" s="98"/>
      <c r="AU185" s="103">
        <f t="shared" si="5"/>
        <v>0</v>
      </c>
    </row>
    <row r="186" spans="21:47" s="28" customFormat="1" x14ac:dyDescent="0.25">
      <c r="U186" s="103">
        <f t="shared" si="4"/>
        <v>0</v>
      </c>
      <c r="Y186" s="98"/>
      <c r="AU186" s="103">
        <f t="shared" si="5"/>
        <v>0</v>
      </c>
    </row>
    <row r="187" spans="21:47" s="28" customFormat="1" x14ac:dyDescent="0.25">
      <c r="U187" s="103">
        <f t="shared" si="4"/>
        <v>0</v>
      </c>
      <c r="Y187" s="98"/>
      <c r="AU187" s="103">
        <f t="shared" si="5"/>
        <v>0</v>
      </c>
    </row>
    <row r="188" spans="21:47" s="28" customFormat="1" x14ac:dyDescent="0.25">
      <c r="U188" s="103">
        <f t="shared" si="4"/>
        <v>0</v>
      </c>
      <c r="Y188" s="98"/>
      <c r="AU188" s="103">
        <f t="shared" si="5"/>
        <v>0</v>
      </c>
    </row>
    <row r="189" spans="21:47" s="28" customFormat="1" x14ac:dyDescent="0.25">
      <c r="U189" s="103">
        <f t="shared" si="4"/>
        <v>0</v>
      </c>
      <c r="Y189" s="98"/>
      <c r="AU189" s="103">
        <f t="shared" si="5"/>
        <v>0</v>
      </c>
    </row>
    <row r="190" spans="21:47" s="28" customFormat="1" x14ac:dyDescent="0.25">
      <c r="U190" s="103">
        <f t="shared" si="4"/>
        <v>0</v>
      </c>
      <c r="Y190" s="98"/>
      <c r="AU190" s="103">
        <f t="shared" si="5"/>
        <v>0</v>
      </c>
    </row>
    <row r="191" spans="21:47" s="28" customFormat="1" x14ac:dyDescent="0.25">
      <c r="U191" s="103">
        <f t="shared" si="4"/>
        <v>0</v>
      </c>
      <c r="Y191" s="98"/>
      <c r="AU191" s="103">
        <f t="shared" si="5"/>
        <v>0</v>
      </c>
    </row>
    <row r="192" spans="21:47" s="28" customFormat="1" x14ac:dyDescent="0.25">
      <c r="U192" s="103">
        <f t="shared" si="4"/>
        <v>0</v>
      </c>
      <c r="Y192" s="98"/>
      <c r="AU192" s="103">
        <f t="shared" si="5"/>
        <v>0</v>
      </c>
    </row>
    <row r="193" spans="21:47" s="28" customFormat="1" x14ac:dyDescent="0.25">
      <c r="U193" s="103">
        <f t="shared" si="4"/>
        <v>0</v>
      </c>
      <c r="Y193" s="98"/>
      <c r="AU193" s="103">
        <f t="shared" si="5"/>
        <v>0</v>
      </c>
    </row>
    <row r="194" spans="21:47" s="28" customFormat="1" x14ac:dyDescent="0.25">
      <c r="U194" s="103">
        <f t="shared" si="4"/>
        <v>0</v>
      </c>
      <c r="Y194" s="98"/>
      <c r="AU194" s="103">
        <f t="shared" si="5"/>
        <v>0</v>
      </c>
    </row>
    <row r="195" spans="21:47" s="28" customFormat="1" x14ac:dyDescent="0.25">
      <c r="U195" s="103">
        <f t="shared" si="4"/>
        <v>0</v>
      </c>
      <c r="Y195" s="98"/>
      <c r="AU195" s="103">
        <f t="shared" si="5"/>
        <v>0</v>
      </c>
    </row>
    <row r="196" spans="21:47" s="28" customFormat="1" x14ac:dyDescent="0.25">
      <c r="U196" s="103">
        <f t="shared" si="4"/>
        <v>0</v>
      </c>
      <c r="Y196" s="98"/>
      <c r="AU196" s="103">
        <f t="shared" si="5"/>
        <v>0</v>
      </c>
    </row>
    <row r="197" spans="21:47" s="28" customFormat="1" x14ac:dyDescent="0.25">
      <c r="U197" s="103">
        <f t="shared" si="4"/>
        <v>0</v>
      </c>
      <c r="Y197" s="98"/>
      <c r="AU197" s="103">
        <f t="shared" si="5"/>
        <v>0</v>
      </c>
    </row>
    <row r="198" spans="21:47" s="28" customFormat="1" x14ac:dyDescent="0.25">
      <c r="U198" s="103">
        <f t="shared" si="4"/>
        <v>0</v>
      </c>
      <c r="Y198" s="98"/>
      <c r="AU198" s="103">
        <f t="shared" si="5"/>
        <v>0</v>
      </c>
    </row>
    <row r="199" spans="21:47" s="28" customFormat="1" x14ac:dyDescent="0.25">
      <c r="U199" s="103">
        <f t="shared" si="4"/>
        <v>0</v>
      </c>
      <c r="Y199" s="98"/>
      <c r="AU199" s="103">
        <f t="shared" si="5"/>
        <v>0</v>
      </c>
    </row>
    <row r="200" spans="21:47" s="28" customFormat="1" x14ac:dyDescent="0.25">
      <c r="U200" s="103">
        <f t="shared" si="4"/>
        <v>0</v>
      </c>
      <c r="Y200" s="98"/>
      <c r="AU200" s="103">
        <f t="shared" si="5"/>
        <v>0</v>
      </c>
    </row>
    <row r="201" spans="21:47" s="28" customFormat="1" x14ac:dyDescent="0.25">
      <c r="U201" s="103">
        <f t="shared" si="4"/>
        <v>0</v>
      </c>
      <c r="Y201" s="98"/>
      <c r="AU201" s="103">
        <f t="shared" si="5"/>
        <v>0</v>
      </c>
    </row>
    <row r="202" spans="21:47" s="28" customFormat="1" x14ac:dyDescent="0.25">
      <c r="U202" s="103">
        <f t="shared" si="4"/>
        <v>0</v>
      </c>
      <c r="Y202" s="98"/>
      <c r="AU202" s="103">
        <f t="shared" si="5"/>
        <v>0</v>
      </c>
    </row>
    <row r="203" spans="21:47" s="28" customFormat="1" x14ac:dyDescent="0.25">
      <c r="U203" s="103">
        <f t="shared" si="4"/>
        <v>0</v>
      </c>
      <c r="Y203" s="98"/>
      <c r="AU203" s="103">
        <f t="shared" si="5"/>
        <v>0</v>
      </c>
    </row>
    <row r="204" spans="21:47" s="28" customFormat="1" x14ac:dyDescent="0.25">
      <c r="U204" s="103">
        <f t="shared" si="4"/>
        <v>0</v>
      </c>
      <c r="Y204" s="98"/>
      <c r="AU204" s="103">
        <f t="shared" si="5"/>
        <v>0</v>
      </c>
    </row>
    <row r="205" spans="21:47" s="28" customFormat="1" x14ac:dyDescent="0.25">
      <c r="U205" s="103">
        <f t="shared" si="4"/>
        <v>0</v>
      </c>
      <c r="Y205" s="98"/>
      <c r="AU205" s="103">
        <f t="shared" si="5"/>
        <v>0</v>
      </c>
    </row>
    <row r="206" spans="21:47" s="28" customFormat="1" x14ac:dyDescent="0.25">
      <c r="U206" s="103">
        <f t="shared" si="4"/>
        <v>0</v>
      </c>
      <c r="Y206" s="98"/>
      <c r="AU206" s="103">
        <f t="shared" si="5"/>
        <v>0</v>
      </c>
    </row>
    <row r="207" spans="21:47" s="28" customFormat="1" x14ac:dyDescent="0.25">
      <c r="U207" s="103">
        <f t="shared" si="4"/>
        <v>0</v>
      </c>
      <c r="Y207" s="98"/>
      <c r="AU207" s="103">
        <f t="shared" si="5"/>
        <v>0</v>
      </c>
    </row>
    <row r="208" spans="21:47" s="28" customFormat="1" x14ac:dyDescent="0.25">
      <c r="U208" s="103">
        <f t="shared" si="4"/>
        <v>0</v>
      </c>
      <c r="Y208" s="98"/>
      <c r="AU208" s="103">
        <f t="shared" si="5"/>
        <v>0</v>
      </c>
    </row>
    <row r="209" spans="21:47" s="28" customFormat="1" x14ac:dyDescent="0.25">
      <c r="U209" s="103">
        <f t="shared" si="4"/>
        <v>0</v>
      </c>
      <c r="Y209" s="98"/>
      <c r="AU209" s="103">
        <f t="shared" si="5"/>
        <v>0</v>
      </c>
    </row>
    <row r="210" spans="21:47" s="28" customFormat="1" x14ac:dyDescent="0.25">
      <c r="U210" s="103">
        <f t="shared" si="4"/>
        <v>0</v>
      </c>
      <c r="Y210" s="98"/>
      <c r="AU210" s="103">
        <f t="shared" si="5"/>
        <v>0</v>
      </c>
    </row>
    <row r="211" spans="21:47" s="28" customFormat="1" x14ac:dyDescent="0.25">
      <c r="U211" s="103">
        <f t="shared" si="4"/>
        <v>0</v>
      </c>
      <c r="Y211" s="98"/>
      <c r="AU211" s="103">
        <f t="shared" si="5"/>
        <v>0</v>
      </c>
    </row>
    <row r="212" spans="21:47" s="28" customFormat="1" x14ac:dyDescent="0.25">
      <c r="U212" s="103">
        <f t="shared" si="4"/>
        <v>0</v>
      </c>
      <c r="Y212" s="98"/>
      <c r="AU212" s="103">
        <f t="shared" si="5"/>
        <v>0</v>
      </c>
    </row>
    <row r="213" spans="21:47" s="28" customFormat="1" x14ac:dyDescent="0.25">
      <c r="U213" s="103">
        <f t="shared" si="4"/>
        <v>0</v>
      </c>
      <c r="Y213" s="98"/>
      <c r="AU213" s="103">
        <f t="shared" si="5"/>
        <v>0</v>
      </c>
    </row>
    <row r="214" spans="21:47" s="28" customFormat="1" x14ac:dyDescent="0.25">
      <c r="U214" s="103">
        <f t="shared" ref="U214:U277" si="6">IF(R214="TruePositive",IF(D214&lt;&gt;1,N214,0),0)</f>
        <v>0</v>
      </c>
      <c r="Y214" s="98"/>
      <c r="AU214" s="103">
        <f t="shared" ref="AU214:AU277" si="7">IF(AQ214="TruePositive",IF(AC214&lt;&gt;1,AM214,0),0)</f>
        <v>0</v>
      </c>
    </row>
    <row r="215" spans="21:47" s="28" customFormat="1" x14ac:dyDescent="0.25">
      <c r="U215" s="103">
        <f t="shared" si="6"/>
        <v>0</v>
      </c>
      <c r="Y215" s="98"/>
      <c r="AU215" s="103">
        <f t="shared" si="7"/>
        <v>0</v>
      </c>
    </row>
    <row r="216" spans="21:47" s="28" customFormat="1" x14ac:dyDescent="0.25">
      <c r="U216" s="103">
        <f t="shared" si="6"/>
        <v>0</v>
      </c>
      <c r="Y216" s="98"/>
      <c r="AU216" s="103">
        <f t="shared" si="7"/>
        <v>0</v>
      </c>
    </row>
    <row r="217" spans="21:47" s="28" customFormat="1" x14ac:dyDescent="0.25">
      <c r="U217" s="103">
        <f t="shared" si="6"/>
        <v>0</v>
      </c>
      <c r="Y217" s="98"/>
      <c r="AU217" s="103">
        <f t="shared" si="7"/>
        <v>0</v>
      </c>
    </row>
    <row r="218" spans="21:47" s="28" customFormat="1" x14ac:dyDescent="0.25">
      <c r="U218" s="103">
        <f t="shared" si="6"/>
        <v>0</v>
      </c>
      <c r="Y218" s="98"/>
      <c r="AU218" s="103">
        <f t="shared" si="7"/>
        <v>0</v>
      </c>
    </row>
    <row r="219" spans="21:47" s="28" customFormat="1" x14ac:dyDescent="0.25">
      <c r="U219" s="103">
        <f t="shared" si="6"/>
        <v>0</v>
      </c>
      <c r="Y219" s="98"/>
      <c r="AU219" s="103">
        <f t="shared" si="7"/>
        <v>0</v>
      </c>
    </row>
    <row r="220" spans="21:47" s="28" customFormat="1" x14ac:dyDescent="0.25">
      <c r="U220" s="103">
        <f t="shared" si="6"/>
        <v>0</v>
      </c>
      <c r="Y220" s="98"/>
      <c r="AU220" s="103">
        <f t="shared" si="7"/>
        <v>0</v>
      </c>
    </row>
    <row r="221" spans="21:47" s="28" customFormat="1" x14ac:dyDescent="0.25">
      <c r="U221" s="103">
        <f t="shared" si="6"/>
        <v>0</v>
      </c>
      <c r="Y221" s="98"/>
      <c r="AU221" s="103">
        <f t="shared" si="7"/>
        <v>0</v>
      </c>
    </row>
    <row r="222" spans="21:47" s="28" customFormat="1" x14ac:dyDescent="0.25">
      <c r="U222" s="103">
        <f t="shared" si="6"/>
        <v>0</v>
      </c>
      <c r="Y222" s="98"/>
      <c r="AU222" s="103">
        <f t="shared" si="7"/>
        <v>0</v>
      </c>
    </row>
    <row r="223" spans="21:47" s="28" customFormat="1" x14ac:dyDescent="0.25">
      <c r="U223" s="103">
        <f t="shared" si="6"/>
        <v>0</v>
      </c>
      <c r="Y223" s="98"/>
      <c r="AU223" s="103">
        <f t="shared" si="7"/>
        <v>0</v>
      </c>
    </row>
    <row r="224" spans="21:47" s="28" customFormat="1" x14ac:dyDescent="0.25">
      <c r="U224" s="103">
        <f t="shared" si="6"/>
        <v>0</v>
      </c>
      <c r="Y224" s="98"/>
      <c r="AU224" s="103">
        <f t="shared" si="7"/>
        <v>0</v>
      </c>
    </row>
    <row r="225" spans="21:47" s="28" customFormat="1" x14ac:dyDescent="0.25">
      <c r="U225" s="103">
        <f t="shared" si="6"/>
        <v>0</v>
      </c>
      <c r="Y225" s="98"/>
      <c r="AU225" s="103">
        <f t="shared" si="7"/>
        <v>0</v>
      </c>
    </row>
    <row r="226" spans="21:47" s="28" customFormat="1" x14ac:dyDescent="0.25">
      <c r="U226" s="103">
        <f t="shared" si="6"/>
        <v>0</v>
      </c>
      <c r="Y226" s="98"/>
      <c r="AU226" s="103">
        <f t="shared" si="7"/>
        <v>0</v>
      </c>
    </row>
    <row r="227" spans="21:47" s="28" customFormat="1" x14ac:dyDescent="0.25">
      <c r="U227" s="103">
        <f t="shared" si="6"/>
        <v>0</v>
      </c>
      <c r="Y227" s="98"/>
      <c r="AU227" s="103">
        <f t="shared" si="7"/>
        <v>0</v>
      </c>
    </row>
    <row r="228" spans="21:47" s="28" customFormat="1" x14ac:dyDescent="0.25">
      <c r="U228" s="103">
        <f t="shared" si="6"/>
        <v>0</v>
      </c>
      <c r="Y228" s="98"/>
      <c r="AU228" s="103">
        <f t="shared" si="7"/>
        <v>0</v>
      </c>
    </row>
    <row r="229" spans="21:47" s="28" customFormat="1" x14ac:dyDescent="0.25">
      <c r="U229" s="103">
        <f t="shared" si="6"/>
        <v>0</v>
      </c>
      <c r="Y229" s="98"/>
      <c r="AU229" s="103">
        <f t="shared" si="7"/>
        <v>0</v>
      </c>
    </row>
    <row r="230" spans="21:47" s="28" customFormat="1" x14ac:dyDescent="0.25">
      <c r="U230" s="103">
        <f t="shared" si="6"/>
        <v>0</v>
      </c>
      <c r="Y230" s="98"/>
      <c r="AU230" s="103">
        <f t="shared" si="7"/>
        <v>0</v>
      </c>
    </row>
    <row r="231" spans="21:47" s="28" customFormat="1" x14ac:dyDescent="0.25">
      <c r="U231" s="103">
        <f t="shared" si="6"/>
        <v>0</v>
      </c>
      <c r="Y231" s="98"/>
      <c r="AU231" s="103">
        <f t="shared" si="7"/>
        <v>0</v>
      </c>
    </row>
    <row r="232" spans="21:47" s="28" customFormat="1" x14ac:dyDescent="0.25">
      <c r="U232" s="103">
        <f t="shared" si="6"/>
        <v>0</v>
      </c>
      <c r="Y232" s="98"/>
      <c r="AU232" s="103">
        <f t="shared" si="7"/>
        <v>0</v>
      </c>
    </row>
    <row r="233" spans="21:47" s="28" customFormat="1" x14ac:dyDescent="0.25">
      <c r="U233" s="103">
        <f t="shared" si="6"/>
        <v>0</v>
      </c>
      <c r="Y233" s="98"/>
      <c r="AU233" s="103">
        <f t="shared" si="7"/>
        <v>0</v>
      </c>
    </row>
    <row r="234" spans="21:47" s="28" customFormat="1" x14ac:dyDescent="0.25">
      <c r="U234" s="103">
        <f t="shared" si="6"/>
        <v>0</v>
      </c>
      <c r="Y234" s="98"/>
      <c r="AU234" s="103">
        <f t="shared" si="7"/>
        <v>0</v>
      </c>
    </row>
    <row r="235" spans="21:47" s="28" customFormat="1" x14ac:dyDescent="0.25">
      <c r="U235" s="103">
        <f t="shared" si="6"/>
        <v>0</v>
      </c>
      <c r="Y235" s="98"/>
      <c r="AU235" s="103">
        <f t="shared" si="7"/>
        <v>0</v>
      </c>
    </row>
    <row r="236" spans="21:47" s="28" customFormat="1" x14ac:dyDescent="0.25">
      <c r="U236" s="103">
        <f t="shared" si="6"/>
        <v>0</v>
      </c>
      <c r="Y236" s="98"/>
      <c r="AU236" s="103">
        <f t="shared" si="7"/>
        <v>0</v>
      </c>
    </row>
    <row r="237" spans="21:47" s="28" customFormat="1" x14ac:dyDescent="0.25">
      <c r="U237" s="103">
        <f t="shared" si="6"/>
        <v>0</v>
      </c>
      <c r="Y237" s="98"/>
      <c r="AU237" s="103">
        <f t="shared" si="7"/>
        <v>0</v>
      </c>
    </row>
    <row r="238" spans="21:47" s="28" customFormat="1" x14ac:dyDescent="0.25">
      <c r="U238" s="103">
        <f t="shared" si="6"/>
        <v>0</v>
      </c>
      <c r="Y238" s="98"/>
      <c r="AU238" s="103">
        <f t="shared" si="7"/>
        <v>0</v>
      </c>
    </row>
    <row r="239" spans="21:47" s="28" customFormat="1" x14ac:dyDescent="0.25">
      <c r="U239" s="103">
        <f t="shared" si="6"/>
        <v>0</v>
      </c>
      <c r="Y239" s="98"/>
      <c r="AU239" s="103">
        <f t="shared" si="7"/>
        <v>0</v>
      </c>
    </row>
    <row r="240" spans="21:47" s="28" customFormat="1" x14ac:dyDescent="0.25">
      <c r="U240" s="103">
        <f t="shared" si="6"/>
        <v>0</v>
      </c>
      <c r="Y240" s="98"/>
      <c r="AU240" s="103">
        <f t="shared" si="7"/>
        <v>0</v>
      </c>
    </row>
    <row r="241" spans="21:47" s="28" customFormat="1" x14ac:dyDescent="0.25">
      <c r="U241" s="103">
        <f t="shared" si="6"/>
        <v>0</v>
      </c>
      <c r="Y241" s="98"/>
      <c r="AU241" s="103">
        <f t="shared" si="7"/>
        <v>0</v>
      </c>
    </row>
    <row r="242" spans="21:47" s="28" customFormat="1" x14ac:dyDescent="0.25">
      <c r="U242" s="103">
        <f t="shared" si="6"/>
        <v>0</v>
      </c>
      <c r="Y242" s="98"/>
      <c r="AU242" s="103">
        <f t="shared" si="7"/>
        <v>0</v>
      </c>
    </row>
    <row r="243" spans="21:47" s="28" customFormat="1" x14ac:dyDescent="0.25">
      <c r="U243" s="103">
        <f t="shared" si="6"/>
        <v>0</v>
      </c>
      <c r="Y243" s="98"/>
      <c r="AU243" s="103">
        <f t="shared" si="7"/>
        <v>0</v>
      </c>
    </row>
    <row r="244" spans="21:47" s="28" customFormat="1" x14ac:dyDescent="0.25">
      <c r="U244" s="103">
        <f t="shared" si="6"/>
        <v>0</v>
      </c>
      <c r="Y244" s="98"/>
      <c r="AU244" s="103">
        <f t="shared" si="7"/>
        <v>0</v>
      </c>
    </row>
    <row r="245" spans="21:47" s="28" customFormat="1" x14ac:dyDescent="0.25">
      <c r="U245" s="103">
        <f t="shared" si="6"/>
        <v>0</v>
      </c>
      <c r="Y245" s="98"/>
      <c r="AU245" s="103">
        <f t="shared" si="7"/>
        <v>0</v>
      </c>
    </row>
    <row r="246" spans="21:47" s="28" customFormat="1" x14ac:dyDescent="0.25">
      <c r="U246" s="103">
        <f t="shared" si="6"/>
        <v>0</v>
      </c>
      <c r="Y246" s="98"/>
      <c r="AU246" s="103">
        <f t="shared" si="7"/>
        <v>0</v>
      </c>
    </row>
    <row r="247" spans="21:47" s="28" customFormat="1" x14ac:dyDescent="0.25">
      <c r="U247" s="103">
        <f t="shared" si="6"/>
        <v>0</v>
      </c>
      <c r="Y247" s="98"/>
      <c r="AU247" s="103">
        <f t="shared" si="7"/>
        <v>0</v>
      </c>
    </row>
    <row r="248" spans="21:47" s="28" customFormat="1" x14ac:dyDescent="0.25">
      <c r="U248" s="103">
        <f t="shared" si="6"/>
        <v>0</v>
      </c>
      <c r="Y248" s="98"/>
      <c r="AU248" s="103">
        <f t="shared" si="7"/>
        <v>0</v>
      </c>
    </row>
    <row r="249" spans="21:47" s="28" customFormat="1" x14ac:dyDescent="0.25">
      <c r="U249" s="103">
        <f t="shared" si="6"/>
        <v>0</v>
      </c>
      <c r="Y249" s="98"/>
      <c r="AU249" s="103">
        <f t="shared" si="7"/>
        <v>0</v>
      </c>
    </row>
    <row r="250" spans="21:47" s="28" customFormat="1" x14ac:dyDescent="0.25">
      <c r="U250" s="103">
        <f t="shared" si="6"/>
        <v>0</v>
      </c>
      <c r="Y250" s="98"/>
      <c r="AU250" s="103">
        <f t="shared" si="7"/>
        <v>0</v>
      </c>
    </row>
    <row r="251" spans="21:47" s="28" customFormat="1" x14ac:dyDescent="0.25">
      <c r="U251" s="103">
        <f t="shared" si="6"/>
        <v>0</v>
      </c>
      <c r="Y251" s="98"/>
      <c r="AU251" s="103">
        <f t="shared" si="7"/>
        <v>0</v>
      </c>
    </row>
    <row r="252" spans="21:47" s="28" customFormat="1" x14ac:dyDescent="0.25">
      <c r="U252" s="103">
        <f t="shared" si="6"/>
        <v>0</v>
      </c>
      <c r="Y252" s="98"/>
      <c r="AU252" s="103">
        <f t="shared" si="7"/>
        <v>0</v>
      </c>
    </row>
    <row r="253" spans="21:47" s="28" customFormat="1" x14ac:dyDescent="0.25">
      <c r="U253" s="103">
        <f t="shared" si="6"/>
        <v>0</v>
      </c>
      <c r="Y253" s="98"/>
      <c r="AU253" s="103">
        <f t="shared" si="7"/>
        <v>0</v>
      </c>
    </row>
    <row r="254" spans="21:47" s="28" customFormat="1" x14ac:dyDescent="0.25">
      <c r="U254" s="103">
        <f t="shared" si="6"/>
        <v>0</v>
      </c>
      <c r="Y254" s="98"/>
      <c r="AU254" s="103">
        <f t="shared" si="7"/>
        <v>0</v>
      </c>
    </row>
    <row r="255" spans="21:47" s="28" customFormat="1" x14ac:dyDescent="0.25">
      <c r="U255" s="103">
        <f t="shared" si="6"/>
        <v>0</v>
      </c>
      <c r="Y255" s="98"/>
      <c r="AU255" s="103">
        <f t="shared" si="7"/>
        <v>0</v>
      </c>
    </row>
    <row r="256" spans="21:47" s="28" customFormat="1" x14ac:dyDescent="0.25">
      <c r="U256" s="103">
        <f t="shared" si="6"/>
        <v>0</v>
      </c>
      <c r="Y256" s="98"/>
      <c r="AU256" s="103">
        <f t="shared" si="7"/>
        <v>0</v>
      </c>
    </row>
    <row r="257" spans="21:47" s="28" customFormat="1" x14ac:dyDescent="0.25">
      <c r="U257" s="103">
        <f t="shared" si="6"/>
        <v>0</v>
      </c>
      <c r="Y257" s="98"/>
      <c r="AU257" s="103">
        <f t="shared" si="7"/>
        <v>0</v>
      </c>
    </row>
    <row r="258" spans="21:47" s="28" customFormat="1" x14ac:dyDescent="0.25">
      <c r="U258" s="103">
        <f t="shared" si="6"/>
        <v>0</v>
      </c>
      <c r="Y258" s="98"/>
      <c r="AU258" s="103">
        <f t="shared" si="7"/>
        <v>0</v>
      </c>
    </row>
    <row r="259" spans="21:47" s="28" customFormat="1" x14ac:dyDescent="0.25">
      <c r="U259" s="103">
        <f t="shared" si="6"/>
        <v>0</v>
      </c>
      <c r="Y259" s="98"/>
      <c r="AU259" s="103">
        <f t="shared" si="7"/>
        <v>0</v>
      </c>
    </row>
    <row r="260" spans="21:47" s="28" customFormat="1" x14ac:dyDescent="0.25">
      <c r="U260" s="103">
        <f t="shared" si="6"/>
        <v>0</v>
      </c>
      <c r="Y260" s="98"/>
      <c r="AU260" s="103">
        <f t="shared" si="7"/>
        <v>0</v>
      </c>
    </row>
    <row r="261" spans="21:47" s="28" customFormat="1" x14ac:dyDescent="0.25">
      <c r="U261" s="103">
        <f t="shared" si="6"/>
        <v>0</v>
      </c>
      <c r="Y261" s="98"/>
      <c r="AU261" s="103">
        <f t="shared" si="7"/>
        <v>0</v>
      </c>
    </row>
    <row r="262" spans="21:47" s="28" customFormat="1" x14ac:dyDescent="0.25">
      <c r="U262" s="103">
        <f t="shared" si="6"/>
        <v>0</v>
      </c>
      <c r="Y262" s="98"/>
      <c r="AU262" s="103">
        <f t="shared" si="7"/>
        <v>0</v>
      </c>
    </row>
    <row r="263" spans="21:47" s="28" customFormat="1" x14ac:dyDescent="0.25">
      <c r="U263" s="103">
        <f t="shared" si="6"/>
        <v>0</v>
      </c>
      <c r="Y263" s="98"/>
      <c r="AU263" s="103">
        <f t="shared" si="7"/>
        <v>0</v>
      </c>
    </row>
    <row r="264" spans="21:47" s="28" customFormat="1" x14ac:dyDescent="0.25">
      <c r="U264" s="103">
        <f t="shared" si="6"/>
        <v>0</v>
      </c>
      <c r="Y264" s="98"/>
      <c r="AU264" s="103">
        <f t="shared" si="7"/>
        <v>0</v>
      </c>
    </row>
    <row r="265" spans="21:47" s="28" customFormat="1" x14ac:dyDescent="0.25">
      <c r="U265" s="103">
        <f t="shared" si="6"/>
        <v>0</v>
      </c>
      <c r="Y265" s="98"/>
      <c r="AU265" s="103">
        <f t="shared" si="7"/>
        <v>0</v>
      </c>
    </row>
    <row r="266" spans="21:47" s="28" customFormat="1" x14ac:dyDescent="0.25">
      <c r="U266" s="103">
        <f t="shared" si="6"/>
        <v>0</v>
      </c>
      <c r="Y266" s="98"/>
      <c r="AU266" s="103">
        <f t="shared" si="7"/>
        <v>0</v>
      </c>
    </row>
    <row r="267" spans="21:47" s="28" customFormat="1" x14ac:dyDescent="0.25">
      <c r="U267" s="103">
        <f t="shared" si="6"/>
        <v>0</v>
      </c>
      <c r="Y267" s="98"/>
      <c r="AU267" s="103">
        <f t="shared" si="7"/>
        <v>0</v>
      </c>
    </row>
    <row r="268" spans="21:47" s="28" customFormat="1" x14ac:dyDescent="0.25">
      <c r="U268" s="103">
        <f t="shared" si="6"/>
        <v>0</v>
      </c>
      <c r="Y268" s="98"/>
      <c r="AU268" s="103">
        <f t="shared" si="7"/>
        <v>0</v>
      </c>
    </row>
    <row r="269" spans="21:47" s="28" customFormat="1" x14ac:dyDescent="0.25">
      <c r="U269" s="103">
        <f t="shared" si="6"/>
        <v>0</v>
      </c>
      <c r="Y269" s="98"/>
      <c r="AU269" s="103">
        <f t="shared" si="7"/>
        <v>0</v>
      </c>
    </row>
    <row r="270" spans="21:47" s="28" customFormat="1" x14ac:dyDescent="0.25">
      <c r="U270" s="103">
        <f t="shared" si="6"/>
        <v>0</v>
      </c>
      <c r="Y270" s="98"/>
      <c r="AU270" s="103">
        <f t="shared" si="7"/>
        <v>0</v>
      </c>
    </row>
    <row r="271" spans="21:47" s="28" customFormat="1" x14ac:dyDescent="0.25">
      <c r="U271" s="103">
        <f t="shared" si="6"/>
        <v>0</v>
      </c>
      <c r="Y271" s="98"/>
      <c r="AU271" s="103">
        <f t="shared" si="7"/>
        <v>0</v>
      </c>
    </row>
    <row r="272" spans="21:47" s="28" customFormat="1" x14ac:dyDescent="0.25">
      <c r="U272" s="103">
        <f t="shared" si="6"/>
        <v>0</v>
      </c>
      <c r="Y272" s="98"/>
      <c r="AU272" s="103">
        <f t="shared" si="7"/>
        <v>0</v>
      </c>
    </row>
    <row r="273" spans="21:47" s="28" customFormat="1" x14ac:dyDescent="0.25">
      <c r="U273" s="103">
        <f t="shared" si="6"/>
        <v>0</v>
      </c>
      <c r="Y273" s="98"/>
      <c r="AU273" s="103">
        <f t="shared" si="7"/>
        <v>0</v>
      </c>
    </row>
    <row r="274" spans="21:47" s="28" customFormat="1" x14ac:dyDescent="0.25">
      <c r="U274" s="103">
        <f t="shared" si="6"/>
        <v>0</v>
      </c>
      <c r="Y274" s="98"/>
      <c r="AU274" s="103">
        <f t="shared" si="7"/>
        <v>0</v>
      </c>
    </row>
    <row r="275" spans="21:47" s="28" customFormat="1" x14ac:dyDescent="0.25">
      <c r="U275" s="103">
        <f t="shared" si="6"/>
        <v>0</v>
      </c>
      <c r="Y275" s="98"/>
      <c r="AU275" s="103">
        <f t="shared" si="7"/>
        <v>0</v>
      </c>
    </row>
    <row r="276" spans="21:47" s="28" customFormat="1" x14ac:dyDescent="0.25">
      <c r="U276" s="103">
        <f t="shared" si="6"/>
        <v>0</v>
      </c>
      <c r="Y276" s="98"/>
      <c r="AU276" s="103">
        <f t="shared" si="7"/>
        <v>0</v>
      </c>
    </row>
    <row r="277" spans="21:47" s="28" customFormat="1" x14ac:dyDescent="0.25">
      <c r="U277" s="103">
        <f t="shared" si="6"/>
        <v>0</v>
      </c>
      <c r="Y277" s="98"/>
      <c r="AU277" s="103">
        <f t="shared" si="7"/>
        <v>0</v>
      </c>
    </row>
    <row r="278" spans="21:47" s="28" customFormat="1" x14ac:dyDescent="0.25">
      <c r="U278" s="103">
        <f t="shared" ref="U278:U341" si="8">IF(R278="TruePositive",IF(D278&lt;&gt;1,N278,0),0)</f>
        <v>0</v>
      </c>
      <c r="Y278" s="98"/>
      <c r="AU278" s="103">
        <f t="shared" ref="AU278:AU341" si="9">IF(AQ278="TruePositive",IF(AC278&lt;&gt;1,AM278,0),0)</f>
        <v>0</v>
      </c>
    </row>
    <row r="279" spans="21:47" s="28" customFormat="1" x14ac:dyDescent="0.25">
      <c r="U279" s="103">
        <f t="shared" si="8"/>
        <v>0</v>
      </c>
      <c r="Y279" s="98"/>
      <c r="AU279" s="103">
        <f t="shared" si="9"/>
        <v>0</v>
      </c>
    </row>
    <row r="280" spans="21:47" s="28" customFormat="1" x14ac:dyDescent="0.25">
      <c r="U280" s="103">
        <f t="shared" si="8"/>
        <v>0</v>
      </c>
      <c r="Y280" s="98"/>
      <c r="AU280" s="103">
        <f t="shared" si="9"/>
        <v>0</v>
      </c>
    </row>
    <row r="281" spans="21:47" s="28" customFormat="1" x14ac:dyDescent="0.25">
      <c r="U281" s="103">
        <f t="shared" si="8"/>
        <v>0</v>
      </c>
      <c r="Y281" s="98"/>
      <c r="AU281" s="103">
        <f t="shared" si="9"/>
        <v>0</v>
      </c>
    </row>
    <row r="282" spans="21:47" s="28" customFormat="1" x14ac:dyDescent="0.25">
      <c r="U282" s="103">
        <f t="shared" si="8"/>
        <v>0</v>
      </c>
      <c r="Y282" s="98"/>
      <c r="AU282" s="103">
        <f t="shared" si="9"/>
        <v>0</v>
      </c>
    </row>
    <row r="283" spans="21:47" s="28" customFormat="1" x14ac:dyDescent="0.25">
      <c r="U283" s="103">
        <f t="shared" si="8"/>
        <v>0</v>
      </c>
      <c r="Y283" s="98"/>
      <c r="AU283" s="103">
        <f t="shared" si="9"/>
        <v>0</v>
      </c>
    </row>
    <row r="284" spans="21:47" s="28" customFormat="1" x14ac:dyDescent="0.25">
      <c r="U284" s="103">
        <f t="shared" si="8"/>
        <v>0</v>
      </c>
      <c r="Y284" s="98"/>
      <c r="AU284" s="103">
        <f t="shared" si="9"/>
        <v>0</v>
      </c>
    </row>
    <row r="285" spans="21:47" s="28" customFormat="1" x14ac:dyDescent="0.25">
      <c r="U285" s="103">
        <f t="shared" si="8"/>
        <v>0</v>
      </c>
      <c r="Y285" s="98"/>
      <c r="AU285" s="103">
        <f t="shared" si="9"/>
        <v>0</v>
      </c>
    </row>
    <row r="286" spans="21:47" s="28" customFormat="1" x14ac:dyDescent="0.25">
      <c r="U286" s="103">
        <f t="shared" si="8"/>
        <v>0</v>
      </c>
      <c r="Y286" s="98"/>
      <c r="AU286" s="103">
        <f t="shared" si="9"/>
        <v>0</v>
      </c>
    </row>
    <row r="287" spans="21:47" s="28" customFormat="1" x14ac:dyDescent="0.25">
      <c r="U287" s="103">
        <f t="shared" si="8"/>
        <v>0</v>
      </c>
      <c r="Y287" s="98"/>
      <c r="AU287" s="103">
        <f t="shared" si="9"/>
        <v>0</v>
      </c>
    </row>
    <row r="288" spans="21:47" s="28" customFormat="1" x14ac:dyDescent="0.25">
      <c r="U288" s="103">
        <f t="shared" si="8"/>
        <v>0</v>
      </c>
      <c r="Y288" s="98"/>
      <c r="AU288" s="103">
        <f t="shared" si="9"/>
        <v>0</v>
      </c>
    </row>
    <row r="289" spans="21:47" s="28" customFormat="1" x14ac:dyDescent="0.25">
      <c r="U289" s="103">
        <f t="shared" si="8"/>
        <v>0</v>
      </c>
      <c r="Y289" s="98"/>
      <c r="AU289" s="103">
        <f t="shared" si="9"/>
        <v>0</v>
      </c>
    </row>
    <row r="290" spans="21:47" s="28" customFormat="1" x14ac:dyDescent="0.25">
      <c r="U290" s="103">
        <f t="shared" si="8"/>
        <v>0</v>
      </c>
      <c r="Y290" s="98"/>
      <c r="AU290" s="103">
        <f t="shared" si="9"/>
        <v>0</v>
      </c>
    </row>
    <row r="291" spans="21:47" s="28" customFormat="1" x14ac:dyDescent="0.25">
      <c r="U291" s="103">
        <f t="shared" si="8"/>
        <v>0</v>
      </c>
      <c r="Y291" s="98"/>
      <c r="AU291" s="103">
        <f t="shared" si="9"/>
        <v>0</v>
      </c>
    </row>
    <row r="292" spans="21:47" s="28" customFormat="1" x14ac:dyDescent="0.25">
      <c r="U292" s="103">
        <f t="shared" si="8"/>
        <v>0</v>
      </c>
      <c r="Y292" s="98"/>
      <c r="AU292" s="103">
        <f t="shared" si="9"/>
        <v>0</v>
      </c>
    </row>
    <row r="293" spans="21:47" s="28" customFormat="1" x14ac:dyDescent="0.25">
      <c r="U293" s="103">
        <f t="shared" si="8"/>
        <v>0</v>
      </c>
      <c r="Y293" s="98"/>
      <c r="AU293" s="103">
        <f t="shared" si="9"/>
        <v>0</v>
      </c>
    </row>
    <row r="294" spans="21:47" s="28" customFormat="1" x14ac:dyDescent="0.25">
      <c r="U294" s="103">
        <f t="shared" si="8"/>
        <v>0</v>
      </c>
      <c r="Y294" s="98"/>
      <c r="AU294" s="103">
        <f t="shared" si="9"/>
        <v>0</v>
      </c>
    </row>
    <row r="295" spans="21:47" s="28" customFormat="1" x14ac:dyDescent="0.25">
      <c r="U295" s="103">
        <f t="shared" si="8"/>
        <v>0</v>
      </c>
      <c r="Y295" s="98"/>
      <c r="AU295" s="103">
        <f t="shared" si="9"/>
        <v>0</v>
      </c>
    </row>
    <row r="296" spans="21:47" s="28" customFormat="1" x14ac:dyDescent="0.25">
      <c r="U296" s="103">
        <f t="shared" si="8"/>
        <v>0</v>
      </c>
      <c r="Y296" s="98"/>
      <c r="AU296" s="103">
        <f t="shared" si="9"/>
        <v>0</v>
      </c>
    </row>
    <row r="297" spans="21:47" s="28" customFormat="1" x14ac:dyDescent="0.25">
      <c r="U297" s="103">
        <f t="shared" si="8"/>
        <v>0</v>
      </c>
      <c r="Y297" s="98"/>
      <c r="AU297" s="103">
        <f t="shared" si="9"/>
        <v>0</v>
      </c>
    </row>
    <row r="298" spans="21:47" s="28" customFormat="1" x14ac:dyDescent="0.25">
      <c r="U298" s="103">
        <f t="shared" si="8"/>
        <v>0</v>
      </c>
      <c r="Y298" s="98"/>
      <c r="AU298" s="103">
        <f t="shared" si="9"/>
        <v>0</v>
      </c>
    </row>
    <row r="299" spans="21:47" s="28" customFormat="1" x14ac:dyDescent="0.25">
      <c r="U299" s="103">
        <f t="shared" si="8"/>
        <v>0</v>
      </c>
      <c r="Y299" s="98"/>
      <c r="AU299" s="103">
        <f t="shared" si="9"/>
        <v>0</v>
      </c>
    </row>
    <row r="300" spans="21:47" s="28" customFormat="1" x14ac:dyDescent="0.25">
      <c r="U300" s="103">
        <f t="shared" si="8"/>
        <v>0</v>
      </c>
      <c r="Y300" s="98"/>
      <c r="AU300" s="103">
        <f t="shared" si="9"/>
        <v>0</v>
      </c>
    </row>
    <row r="301" spans="21:47" s="28" customFormat="1" x14ac:dyDescent="0.25">
      <c r="U301" s="103">
        <f t="shared" si="8"/>
        <v>0</v>
      </c>
      <c r="Y301" s="98"/>
      <c r="AU301" s="103">
        <f t="shared" si="9"/>
        <v>0</v>
      </c>
    </row>
    <row r="302" spans="21:47" s="28" customFormat="1" x14ac:dyDescent="0.25">
      <c r="U302" s="103">
        <f t="shared" si="8"/>
        <v>0</v>
      </c>
      <c r="Y302" s="98"/>
      <c r="AU302" s="103">
        <f t="shared" si="9"/>
        <v>0</v>
      </c>
    </row>
    <row r="303" spans="21:47" s="28" customFormat="1" x14ac:dyDescent="0.25">
      <c r="U303" s="103">
        <f t="shared" si="8"/>
        <v>0</v>
      </c>
      <c r="Y303" s="98"/>
      <c r="AU303" s="103">
        <f t="shared" si="9"/>
        <v>0</v>
      </c>
    </row>
    <row r="304" spans="21:47" s="28" customFormat="1" x14ac:dyDescent="0.25">
      <c r="U304" s="103">
        <f t="shared" si="8"/>
        <v>0</v>
      </c>
      <c r="Y304" s="98"/>
      <c r="AU304" s="103">
        <f t="shared" si="9"/>
        <v>0</v>
      </c>
    </row>
    <row r="305" spans="21:47" s="28" customFormat="1" x14ac:dyDescent="0.25">
      <c r="U305" s="103">
        <f t="shared" si="8"/>
        <v>0</v>
      </c>
      <c r="Y305" s="98"/>
      <c r="AU305" s="103">
        <f t="shared" si="9"/>
        <v>0</v>
      </c>
    </row>
    <row r="306" spans="21:47" s="28" customFormat="1" x14ac:dyDescent="0.25">
      <c r="U306" s="103">
        <f t="shared" si="8"/>
        <v>0</v>
      </c>
      <c r="Y306" s="98"/>
      <c r="AU306" s="103">
        <f t="shared" si="9"/>
        <v>0</v>
      </c>
    </row>
    <row r="307" spans="21:47" s="28" customFormat="1" x14ac:dyDescent="0.25">
      <c r="U307" s="103">
        <f t="shared" si="8"/>
        <v>0</v>
      </c>
      <c r="Y307" s="98"/>
      <c r="AU307" s="103">
        <f t="shared" si="9"/>
        <v>0</v>
      </c>
    </row>
    <row r="308" spans="21:47" s="28" customFormat="1" x14ac:dyDescent="0.25">
      <c r="U308" s="103">
        <f t="shared" si="8"/>
        <v>0</v>
      </c>
      <c r="Y308" s="98"/>
      <c r="AU308" s="103">
        <f t="shared" si="9"/>
        <v>0</v>
      </c>
    </row>
    <row r="309" spans="21:47" s="28" customFormat="1" x14ac:dyDescent="0.25">
      <c r="U309" s="103">
        <f t="shared" si="8"/>
        <v>0</v>
      </c>
      <c r="Y309" s="98"/>
      <c r="AU309" s="103">
        <f t="shared" si="9"/>
        <v>0</v>
      </c>
    </row>
    <row r="310" spans="21:47" s="28" customFormat="1" x14ac:dyDescent="0.25">
      <c r="U310" s="103">
        <f t="shared" si="8"/>
        <v>0</v>
      </c>
      <c r="Y310" s="98"/>
      <c r="AU310" s="103">
        <f t="shared" si="9"/>
        <v>0</v>
      </c>
    </row>
    <row r="311" spans="21:47" s="28" customFormat="1" x14ac:dyDescent="0.25">
      <c r="U311" s="103">
        <f t="shared" si="8"/>
        <v>0</v>
      </c>
      <c r="Y311" s="98"/>
      <c r="AU311" s="103">
        <f t="shared" si="9"/>
        <v>0</v>
      </c>
    </row>
    <row r="312" spans="21:47" s="28" customFormat="1" x14ac:dyDescent="0.25">
      <c r="U312" s="103">
        <f t="shared" si="8"/>
        <v>0</v>
      </c>
      <c r="Y312" s="98"/>
      <c r="AU312" s="103">
        <f t="shared" si="9"/>
        <v>0</v>
      </c>
    </row>
    <row r="313" spans="21:47" s="28" customFormat="1" x14ac:dyDescent="0.25">
      <c r="U313" s="103">
        <f t="shared" si="8"/>
        <v>0</v>
      </c>
      <c r="Y313" s="98"/>
      <c r="AU313" s="103">
        <f t="shared" si="9"/>
        <v>0</v>
      </c>
    </row>
    <row r="314" spans="21:47" s="28" customFormat="1" x14ac:dyDescent="0.25">
      <c r="U314" s="103">
        <f t="shared" si="8"/>
        <v>0</v>
      </c>
      <c r="Y314" s="98"/>
      <c r="AU314" s="103">
        <f t="shared" si="9"/>
        <v>0</v>
      </c>
    </row>
    <row r="315" spans="21:47" s="28" customFormat="1" x14ac:dyDescent="0.25">
      <c r="U315" s="103">
        <f t="shared" si="8"/>
        <v>0</v>
      </c>
      <c r="Y315" s="98"/>
      <c r="AU315" s="103">
        <f t="shared" si="9"/>
        <v>0</v>
      </c>
    </row>
    <row r="316" spans="21:47" s="28" customFormat="1" x14ac:dyDescent="0.25">
      <c r="U316" s="103">
        <f t="shared" si="8"/>
        <v>0</v>
      </c>
      <c r="Y316" s="98"/>
      <c r="AU316" s="103">
        <f t="shared" si="9"/>
        <v>0</v>
      </c>
    </row>
    <row r="317" spans="21:47" s="28" customFormat="1" x14ac:dyDescent="0.25">
      <c r="U317" s="103">
        <f t="shared" si="8"/>
        <v>0</v>
      </c>
      <c r="Y317" s="98"/>
      <c r="AU317" s="103">
        <f t="shared" si="9"/>
        <v>0</v>
      </c>
    </row>
    <row r="318" spans="21:47" s="28" customFormat="1" x14ac:dyDescent="0.25">
      <c r="U318" s="103">
        <f t="shared" si="8"/>
        <v>0</v>
      </c>
      <c r="Y318" s="98"/>
      <c r="AU318" s="103">
        <f t="shared" si="9"/>
        <v>0</v>
      </c>
    </row>
    <row r="319" spans="21:47" s="28" customFormat="1" x14ac:dyDescent="0.25">
      <c r="U319" s="103">
        <f t="shared" si="8"/>
        <v>0</v>
      </c>
      <c r="Y319" s="98"/>
      <c r="AU319" s="103">
        <f t="shared" si="9"/>
        <v>0</v>
      </c>
    </row>
    <row r="320" spans="21:47" s="28" customFormat="1" x14ac:dyDescent="0.25">
      <c r="U320" s="103">
        <f t="shared" si="8"/>
        <v>0</v>
      </c>
      <c r="Y320" s="98"/>
      <c r="AU320" s="103">
        <f t="shared" si="9"/>
        <v>0</v>
      </c>
    </row>
    <row r="321" spans="21:47" s="28" customFormat="1" x14ac:dyDescent="0.25">
      <c r="U321" s="103">
        <f t="shared" si="8"/>
        <v>0</v>
      </c>
      <c r="Y321" s="98"/>
      <c r="AU321" s="103">
        <f t="shared" si="9"/>
        <v>0</v>
      </c>
    </row>
    <row r="322" spans="21:47" s="28" customFormat="1" x14ac:dyDescent="0.25">
      <c r="U322" s="103">
        <f t="shared" si="8"/>
        <v>0</v>
      </c>
      <c r="Y322" s="98"/>
      <c r="AU322" s="103">
        <f t="shared" si="9"/>
        <v>0</v>
      </c>
    </row>
    <row r="323" spans="21:47" s="28" customFormat="1" x14ac:dyDescent="0.25">
      <c r="U323" s="103">
        <f t="shared" si="8"/>
        <v>0</v>
      </c>
      <c r="Y323" s="98"/>
      <c r="AU323" s="103">
        <f t="shared" si="9"/>
        <v>0</v>
      </c>
    </row>
    <row r="324" spans="21:47" s="28" customFormat="1" x14ac:dyDescent="0.25">
      <c r="U324" s="103">
        <f t="shared" si="8"/>
        <v>0</v>
      </c>
      <c r="Y324" s="98"/>
      <c r="AU324" s="103">
        <f t="shared" si="9"/>
        <v>0</v>
      </c>
    </row>
    <row r="325" spans="21:47" s="28" customFormat="1" x14ac:dyDescent="0.25">
      <c r="U325" s="103">
        <f t="shared" si="8"/>
        <v>0</v>
      </c>
      <c r="Y325" s="98"/>
      <c r="AU325" s="103">
        <f t="shared" si="9"/>
        <v>0</v>
      </c>
    </row>
    <row r="326" spans="21:47" s="28" customFormat="1" x14ac:dyDescent="0.25">
      <c r="U326" s="103">
        <f t="shared" si="8"/>
        <v>0</v>
      </c>
      <c r="Y326" s="98"/>
      <c r="AU326" s="103">
        <f t="shared" si="9"/>
        <v>0</v>
      </c>
    </row>
    <row r="327" spans="21:47" s="28" customFormat="1" x14ac:dyDescent="0.25">
      <c r="U327" s="103">
        <f t="shared" si="8"/>
        <v>0</v>
      </c>
      <c r="Y327" s="98"/>
      <c r="AU327" s="103">
        <f t="shared" si="9"/>
        <v>0</v>
      </c>
    </row>
    <row r="328" spans="21:47" s="28" customFormat="1" x14ac:dyDescent="0.25">
      <c r="U328" s="103">
        <f t="shared" si="8"/>
        <v>0</v>
      </c>
      <c r="Y328" s="98"/>
      <c r="AU328" s="103">
        <f t="shared" si="9"/>
        <v>0</v>
      </c>
    </row>
    <row r="329" spans="21:47" s="28" customFormat="1" x14ac:dyDescent="0.25">
      <c r="U329" s="103">
        <f t="shared" si="8"/>
        <v>0</v>
      </c>
      <c r="Y329" s="98"/>
      <c r="AU329" s="103">
        <f t="shared" si="9"/>
        <v>0</v>
      </c>
    </row>
    <row r="330" spans="21:47" s="28" customFormat="1" x14ac:dyDescent="0.25">
      <c r="U330" s="103">
        <f t="shared" si="8"/>
        <v>0</v>
      </c>
      <c r="Y330" s="98"/>
      <c r="AU330" s="103">
        <f t="shared" si="9"/>
        <v>0</v>
      </c>
    </row>
    <row r="331" spans="21:47" s="28" customFormat="1" x14ac:dyDescent="0.25">
      <c r="U331" s="103">
        <f t="shared" si="8"/>
        <v>0</v>
      </c>
      <c r="Y331" s="98"/>
      <c r="AU331" s="103">
        <f t="shared" si="9"/>
        <v>0</v>
      </c>
    </row>
    <row r="332" spans="21:47" s="28" customFormat="1" x14ac:dyDescent="0.25">
      <c r="U332" s="103">
        <f t="shared" si="8"/>
        <v>0</v>
      </c>
      <c r="Y332" s="98"/>
      <c r="AU332" s="103">
        <f t="shared" si="9"/>
        <v>0</v>
      </c>
    </row>
    <row r="333" spans="21:47" s="28" customFormat="1" x14ac:dyDescent="0.25">
      <c r="U333" s="103">
        <f t="shared" si="8"/>
        <v>0</v>
      </c>
      <c r="Y333" s="98"/>
      <c r="AU333" s="103">
        <f t="shared" si="9"/>
        <v>0</v>
      </c>
    </row>
    <row r="334" spans="21:47" s="28" customFormat="1" x14ac:dyDescent="0.25">
      <c r="U334" s="103">
        <f t="shared" si="8"/>
        <v>0</v>
      </c>
      <c r="Y334" s="98"/>
      <c r="AU334" s="103">
        <f t="shared" si="9"/>
        <v>0</v>
      </c>
    </row>
    <row r="335" spans="21:47" s="28" customFormat="1" x14ac:dyDescent="0.25">
      <c r="U335" s="103">
        <f t="shared" si="8"/>
        <v>0</v>
      </c>
      <c r="Y335" s="98"/>
      <c r="AU335" s="103">
        <f t="shared" si="9"/>
        <v>0</v>
      </c>
    </row>
    <row r="336" spans="21:47" s="28" customFormat="1" x14ac:dyDescent="0.25">
      <c r="U336" s="103">
        <f t="shared" si="8"/>
        <v>0</v>
      </c>
      <c r="Y336" s="98"/>
      <c r="AU336" s="103">
        <f t="shared" si="9"/>
        <v>0</v>
      </c>
    </row>
    <row r="337" spans="21:47" s="28" customFormat="1" x14ac:dyDescent="0.25">
      <c r="U337" s="103">
        <f t="shared" si="8"/>
        <v>0</v>
      </c>
      <c r="Y337" s="98"/>
      <c r="AU337" s="103">
        <f t="shared" si="9"/>
        <v>0</v>
      </c>
    </row>
    <row r="338" spans="21:47" s="28" customFormat="1" x14ac:dyDescent="0.25">
      <c r="U338" s="103">
        <f t="shared" si="8"/>
        <v>0</v>
      </c>
      <c r="Y338" s="98"/>
      <c r="AU338" s="103">
        <f t="shared" si="9"/>
        <v>0</v>
      </c>
    </row>
    <row r="339" spans="21:47" s="28" customFormat="1" x14ac:dyDescent="0.25">
      <c r="U339" s="103">
        <f t="shared" si="8"/>
        <v>0</v>
      </c>
      <c r="Y339" s="98"/>
      <c r="AU339" s="103">
        <f t="shared" si="9"/>
        <v>0</v>
      </c>
    </row>
    <row r="340" spans="21:47" s="28" customFormat="1" x14ac:dyDescent="0.25">
      <c r="U340" s="103">
        <f t="shared" si="8"/>
        <v>0</v>
      </c>
      <c r="Y340" s="98"/>
      <c r="AU340" s="103">
        <f t="shared" si="9"/>
        <v>0</v>
      </c>
    </row>
    <row r="341" spans="21:47" s="28" customFormat="1" x14ac:dyDescent="0.25">
      <c r="U341" s="103">
        <f t="shared" si="8"/>
        <v>0</v>
      </c>
      <c r="Y341" s="98"/>
      <c r="AU341" s="103">
        <f t="shared" si="9"/>
        <v>0</v>
      </c>
    </row>
    <row r="342" spans="21:47" s="28" customFormat="1" x14ac:dyDescent="0.25">
      <c r="U342" s="103">
        <f t="shared" ref="U342:U405" si="10">IF(R342="TruePositive",IF(D342&lt;&gt;1,N342,0),0)</f>
        <v>0</v>
      </c>
      <c r="Y342" s="98"/>
      <c r="AU342" s="103">
        <f t="shared" ref="AU342:AU405" si="11">IF(AQ342="TruePositive",IF(AC342&lt;&gt;1,AM342,0),0)</f>
        <v>0</v>
      </c>
    </row>
    <row r="343" spans="21:47" s="28" customFormat="1" x14ac:dyDescent="0.25">
      <c r="U343" s="103">
        <f t="shared" si="10"/>
        <v>0</v>
      </c>
      <c r="Y343" s="98"/>
      <c r="AU343" s="103">
        <f t="shared" si="11"/>
        <v>0</v>
      </c>
    </row>
    <row r="344" spans="21:47" s="28" customFormat="1" x14ac:dyDescent="0.25">
      <c r="U344" s="103">
        <f t="shared" si="10"/>
        <v>0</v>
      </c>
      <c r="Y344" s="98"/>
      <c r="AU344" s="103">
        <f t="shared" si="11"/>
        <v>0</v>
      </c>
    </row>
    <row r="345" spans="21:47" s="28" customFormat="1" x14ac:dyDescent="0.25">
      <c r="U345" s="103">
        <f t="shared" si="10"/>
        <v>0</v>
      </c>
      <c r="Y345" s="98"/>
      <c r="AU345" s="103">
        <f t="shared" si="11"/>
        <v>0</v>
      </c>
    </row>
    <row r="346" spans="21:47" s="28" customFormat="1" x14ac:dyDescent="0.25">
      <c r="U346" s="103">
        <f t="shared" si="10"/>
        <v>0</v>
      </c>
      <c r="Y346" s="98"/>
      <c r="AU346" s="103">
        <f t="shared" si="11"/>
        <v>0</v>
      </c>
    </row>
    <row r="347" spans="21:47" s="28" customFormat="1" x14ac:dyDescent="0.25">
      <c r="U347" s="103">
        <f t="shared" si="10"/>
        <v>0</v>
      </c>
      <c r="Y347" s="98"/>
      <c r="AU347" s="103">
        <f t="shared" si="11"/>
        <v>0</v>
      </c>
    </row>
    <row r="348" spans="21:47" s="28" customFormat="1" x14ac:dyDescent="0.25">
      <c r="U348" s="103">
        <f t="shared" si="10"/>
        <v>0</v>
      </c>
      <c r="Y348" s="98"/>
      <c r="AU348" s="103">
        <f t="shared" si="11"/>
        <v>0</v>
      </c>
    </row>
    <row r="349" spans="21:47" s="28" customFormat="1" x14ac:dyDescent="0.25">
      <c r="U349" s="103">
        <f t="shared" si="10"/>
        <v>0</v>
      </c>
      <c r="Y349" s="98"/>
      <c r="AU349" s="103">
        <f t="shared" si="11"/>
        <v>0</v>
      </c>
    </row>
    <row r="350" spans="21:47" s="28" customFormat="1" x14ac:dyDescent="0.25">
      <c r="U350" s="103">
        <f t="shared" si="10"/>
        <v>0</v>
      </c>
      <c r="Y350" s="98"/>
      <c r="AU350" s="103">
        <f t="shared" si="11"/>
        <v>0</v>
      </c>
    </row>
    <row r="351" spans="21:47" s="28" customFormat="1" x14ac:dyDescent="0.25">
      <c r="U351" s="103">
        <f t="shared" si="10"/>
        <v>0</v>
      </c>
      <c r="Y351" s="98"/>
      <c r="AU351" s="103">
        <f t="shared" si="11"/>
        <v>0</v>
      </c>
    </row>
    <row r="352" spans="21:47" s="28" customFormat="1" x14ac:dyDescent="0.25">
      <c r="U352" s="103">
        <f t="shared" si="10"/>
        <v>0</v>
      </c>
      <c r="Y352" s="98"/>
      <c r="AU352" s="103">
        <f t="shared" si="11"/>
        <v>0</v>
      </c>
    </row>
    <row r="353" spans="21:47" s="28" customFormat="1" x14ac:dyDescent="0.25">
      <c r="U353" s="103">
        <f t="shared" si="10"/>
        <v>0</v>
      </c>
      <c r="Y353" s="98"/>
      <c r="AU353" s="103">
        <f t="shared" si="11"/>
        <v>0</v>
      </c>
    </row>
    <row r="354" spans="21:47" s="28" customFormat="1" x14ac:dyDescent="0.25">
      <c r="U354" s="103">
        <f t="shared" si="10"/>
        <v>0</v>
      </c>
      <c r="Y354" s="98"/>
      <c r="AU354" s="103">
        <f t="shared" si="11"/>
        <v>0</v>
      </c>
    </row>
    <row r="355" spans="21:47" s="28" customFormat="1" x14ac:dyDescent="0.25">
      <c r="U355" s="103">
        <f t="shared" si="10"/>
        <v>0</v>
      </c>
      <c r="Y355" s="98"/>
      <c r="AU355" s="103">
        <f t="shared" si="11"/>
        <v>0</v>
      </c>
    </row>
    <row r="356" spans="21:47" s="28" customFormat="1" x14ac:dyDescent="0.25">
      <c r="U356" s="103">
        <f t="shared" si="10"/>
        <v>0</v>
      </c>
      <c r="Y356" s="98"/>
      <c r="AU356" s="103">
        <f t="shared" si="11"/>
        <v>0</v>
      </c>
    </row>
    <row r="357" spans="21:47" s="28" customFormat="1" x14ac:dyDescent="0.25">
      <c r="U357" s="103">
        <f t="shared" si="10"/>
        <v>0</v>
      </c>
      <c r="Y357" s="98"/>
      <c r="AU357" s="103">
        <f t="shared" si="11"/>
        <v>0</v>
      </c>
    </row>
    <row r="358" spans="21:47" s="28" customFormat="1" x14ac:dyDescent="0.25">
      <c r="U358" s="103">
        <f t="shared" si="10"/>
        <v>0</v>
      </c>
      <c r="Y358" s="98"/>
      <c r="AU358" s="103">
        <f t="shared" si="11"/>
        <v>0</v>
      </c>
    </row>
    <row r="359" spans="21:47" s="28" customFormat="1" x14ac:dyDescent="0.25">
      <c r="U359" s="103">
        <f t="shared" si="10"/>
        <v>0</v>
      </c>
      <c r="Y359" s="98"/>
      <c r="AU359" s="103">
        <f t="shared" si="11"/>
        <v>0</v>
      </c>
    </row>
    <row r="360" spans="21:47" s="28" customFormat="1" x14ac:dyDescent="0.25">
      <c r="U360" s="103">
        <f t="shared" si="10"/>
        <v>0</v>
      </c>
      <c r="Y360" s="98"/>
      <c r="AU360" s="103">
        <f t="shared" si="11"/>
        <v>0</v>
      </c>
    </row>
    <row r="361" spans="21:47" s="28" customFormat="1" x14ac:dyDescent="0.25">
      <c r="U361" s="103">
        <f t="shared" si="10"/>
        <v>0</v>
      </c>
      <c r="Y361" s="98"/>
      <c r="AU361" s="103">
        <f t="shared" si="11"/>
        <v>0</v>
      </c>
    </row>
    <row r="362" spans="21:47" s="28" customFormat="1" x14ac:dyDescent="0.25">
      <c r="U362" s="103">
        <f t="shared" si="10"/>
        <v>0</v>
      </c>
      <c r="Y362" s="98"/>
      <c r="AU362" s="103">
        <f t="shared" si="11"/>
        <v>0</v>
      </c>
    </row>
    <row r="363" spans="21:47" s="28" customFormat="1" x14ac:dyDescent="0.25">
      <c r="U363" s="103">
        <f t="shared" si="10"/>
        <v>0</v>
      </c>
      <c r="Y363" s="98"/>
      <c r="AU363" s="103">
        <f t="shared" si="11"/>
        <v>0</v>
      </c>
    </row>
    <row r="364" spans="21:47" s="28" customFormat="1" x14ac:dyDescent="0.25">
      <c r="U364" s="103">
        <f t="shared" si="10"/>
        <v>0</v>
      </c>
      <c r="Y364" s="98"/>
      <c r="AU364" s="103">
        <f t="shared" si="11"/>
        <v>0</v>
      </c>
    </row>
    <row r="365" spans="21:47" s="28" customFormat="1" x14ac:dyDescent="0.25">
      <c r="U365" s="103">
        <f t="shared" si="10"/>
        <v>0</v>
      </c>
      <c r="Y365" s="98"/>
      <c r="AU365" s="103">
        <f t="shared" si="11"/>
        <v>0</v>
      </c>
    </row>
    <row r="366" spans="21:47" s="28" customFormat="1" x14ac:dyDescent="0.25">
      <c r="U366" s="103">
        <f t="shared" si="10"/>
        <v>0</v>
      </c>
      <c r="Y366" s="98"/>
      <c r="AU366" s="103">
        <f t="shared" si="11"/>
        <v>0</v>
      </c>
    </row>
    <row r="367" spans="21:47" s="28" customFormat="1" x14ac:dyDescent="0.25">
      <c r="U367" s="103">
        <f t="shared" si="10"/>
        <v>0</v>
      </c>
      <c r="Y367" s="98"/>
      <c r="AU367" s="103">
        <f t="shared" si="11"/>
        <v>0</v>
      </c>
    </row>
    <row r="368" spans="21:47" s="28" customFormat="1" x14ac:dyDescent="0.25">
      <c r="U368" s="103">
        <f t="shared" si="10"/>
        <v>0</v>
      </c>
      <c r="Y368" s="98"/>
      <c r="AU368" s="103">
        <f t="shared" si="11"/>
        <v>0</v>
      </c>
    </row>
    <row r="369" spans="21:47" s="28" customFormat="1" x14ac:dyDescent="0.25">
      <c r="U369" s="103">
        <f t="shared" si="10"/>
        <v>0</v>
      </c>
      <c r="Y369" s="98"/>
      <c r="AU369" s="103">
        <f t="shared" si="11"/>
        <v>0</v>
      </c>
    </row>
    <row r="370" spans="21:47" s="28" customFormat="1" x14ac:dyDescent="0.25">
      <c r="U370" s="103">
        <f t="shared" si="10"/>
        <v>0</v>
      </c>
      <c r="Y370" s="98"/>
      <c r="AU370" s="103">
        <f t="shared" si="11"/>
        <v>0</v>
      </c>
    </row>
    <row r="371" spans="21:47" s="28" customFormat="1" x14ac:dyDescent="0.25">
      <c r="U371" s="103">
        <f t="shared" si="10"/>
        <v>0</v>
      </c>
      <c r="Y371" s="98"/>
      <c r="AU371" s="103">
        <f t="shared" si="11"/>
        <v>0</v>
      </c>
    </row>
    <row r="372" spans="21:47" s="28" customFormat="1" x14ac:dyDescent="0.25">
      <c r="U372" s="103">
        <f t="shared" si="10"/>
        <v>0</v>
      </c>
      <c r="Y372" s="98"/>
      <c r="AU372" s="103">
        <f t="shared" si="11"/>
        <v>0</v>
      </c>
    </row>
    <row r="373" spans="21:47" s="28" customFormat="1" x14ac:dyDescent="0.25">
      <c r="U373" s="103">
        <f t="shared" si="10"/>
        <v>0</v>
      </c>
      <c r="Y373" s="98"/>
      <c r="AU373" s="103">
        <f t="shared" si="11"/>
        <v>0</v>
      </c>
    </row>
    <row r="374" spans="21:47" s="28" customFormat="1" x14ac:dyDescent="0.25">
      <c r="U374" s="103">
        <f t="shared" si="10"/>
        <v>0</v>
      </c>
      <c r="Y374" s="98"/>
      <c r="AU374" s="103">
        <f t="shared" si="11"/>
        <v>0</v>
      </c>
    </row>
    <row r="375" spans="21:47" s="28" customFormat="1" x14ac:dyDescent="0.25">
      <c r="U375" s="103">
        <f t="shared" si="10"/>
        <v>0</v>
      </c>
      <c r="Y375" s="98"/>
      <c r="AU375" s="103">
        <f t="shared" si="11"/>
        <v>0</v>
      </c>
    </row>
    <row r="376" spans="21:47" s="28" customFormat="1" x14ac:dyDescent="0.25">
      <c r="U376" s="103">
        <f t="shared" si="10"/>
        <v>0</v>
      </c>
      <c r="Y376" s="98"/>
      <c r="AU376" s="103">
        <f t="shared" si="11"/>
        <v>0</v>
      </c>
    </row>
    <row r="377" spans="21:47" s="28" customFormat="1" x14ac:dyDescent="0.25">
      <c r="U377" s="103">
        <f t="shared" si="10"/>
        <v>0</v>
      </c>
      <c r="Y377" s="98"/>
      <c r="AU377" s="103">
        <f t="shared" si="11"/>
        <v>0</v>
      </c>
    </row>
    <row r="378" spans="21:47" s="28" customFormat="1" x14ac:dyDescent="0.25">
      <c r="U378" s="103">
        <f t="shared" si="10"/>
        <v>0</v>
      </c>
      <c r="Y378" s="98"/>
      <c r="AU378" s="103">
        <f t="shared" si="11"/>
        <v>0</v>
      </c>
    </row>
    <row r="379" spans="21:47" s="28" customFormat="1" x14ac:dyDescent="0.25">
      <c r="U379" s="103">
        <f t="shared" si="10"/>
        <v>0</v>
      </c>
      <c r="Y379" s="98"/>
      <c r="AU379" s="103">
        <f t="shared" si="11"/>
        <v>0</v>
      </c>
    </row>
    <row r="380" spans="21:47" s="28" customFormat="1" x14ac:dyDescent="0.25">
      <c r="U380" s="103">
        <f t="shared" si="10"/>
        <v>0</v>
      </c>
      <c r="Y380" s="98"/>
      <c r="AU380" s="103">
        <f t="shared" si="11"/>
        <v>0</v>
      </c>
    </row>
    <row r="381" spans="21:47" s="28" customFormat="1" x14ac:dyDescent="0.25">
      <c r="U381" s="103">
        <f t="shared" si="10"/>
        <v>0</v>
      </c>
      <c r="Y381" s="98"/>
      <c r="AU381" s="103">
        <f t="shared" si="11"/>
        <v>0</v>
      </c>
    </row>
    <row r="382" spans="21:47" s="28" customFormat="1" x14ac:dyDescent="0.25">
      <c r="U382" s="103">
        <f t="shared" si="10"/>
        <v>0</v>
      </c>
      <c r="Y382" s="98"/>
      <c r="AU382" s="103">
        <f t="shared" si="11"/>
        <v>0</v>
      </c>
    </row>
    <row r="383" spans="21:47" s="28" customFormat="1" x14ac:dyDescent="0.25">
      <c r="U383" s="103">
        <f t="shared" si="10"/>
        <v>0</v>
      </c>
      <c r="Y383" s="98"/>
      <c r="AU383" s="103">
        <f t="shared" si="11"/>
        <v>0</v>
      </c>
    </row>
    <row r="384" spans="21:47" s="28" customFormat="1" x14ac:dyDescent="0.25">
      <c r="U384" s="103">
        <f t="shared" si="10"/>
        <v>0</v>
      </c>
      <c r="Y384" s="98"/>
      <c r="AU384" s="103">
        <f t="shared" si="11"/>
        <v>0</v>
      </c>
    </row>
    <row r="385" spans="21:47" s="28" customFormat="1" x14ac:dyDescent="0.25">
      <c r="U385" s="103">
        <f t="shared" si="10"/>
        <v>0</v>
      </c>
      <c r="Y385" s="98"/>
      <c r="AU385" s="103">
        <f t="shared" si="11"/>
        <v>0</v>
      </c>
    </row>
    <row r="386" spans="21:47" s="28" customFormat="1" x14ac:dyDescent="0.25">
      <c r="U386" s="103">
        <f t="shared" si="10"/>
        <v>0</v>
      </c>
      <c r="Y386" s="98"/>
      <c r="AU386" s="103">
        <f t="shared" si="11"/>
        <v>0</v>
      </c>
    </row>
    <row r="387" spans="21:47" s="28" customFormat="1" x14ac:dyDescent="0.25">
      <c r="U387" s="103">
        <f t="shared" si="10"/>
        <v>0</v>
      </c>
      <c r="Y387" s="98"/>
      <c r="AU387" s="103">
        <f t="shared" si="11"/>
        <v>0</v>
      </c>
    </row>
    <row r="388" spans="21:47" s="28" customFormat="1" x14ac:dyDescent="0.25">
      <c r="U388" s="103">
        <f t="shared" si="10"/>
        <v>0</v>
      </c>
      <c r="Y388" s="98"/>
      <c r="AU388" s="103">
        <f t="shared" si="11"/>
        <v>0</v>
      </c>
    </row>
    <row r="389" spans="21:47" s="28" customFormat="1" x14ac:dyDescent="0.25">
      <c r="U389" s="103">
        <f t="shared" si="10"/>
        <v>0</v>
      </c>
      <c r="Y389" s="98"/>
      <c r="AU389" s="103">
        <f t="shared" si="11"/>
        <v>0</v>
      </c>
    </row>
    <row r="390" spans="21:47" s="28" customFormat="1" x14ac:dyDescent="0.25">
      <c r="U390" s="103">
        <f t="shared" si="10"/>
        <v>0</v>
      </c>
      <c r="Y390" s="98"/>
      <c r="AU390" s="103">
        <f t="shared" si="11"/>
        <v>0</v>
      </c>
    </row>
    <row r="391" spans="21:47" s="28" customFormat="1" x14ac:dyDescent="0.25">
      <c r="U391" s="103">
        <f t="shared" si="10"/>
        <v>0</v>
      </c>
      <c r="Y391" s="98"/>
      <c r="AU391" s="103">
        <f t="shared" si="11"/>
        <v>0</v>
      </c>
    </row>
    <row r="392" spans="21:47" s="28" customFormat="1" x14ac:dyDescent="0.25">
      <c r="U392" s="103">
        <f t="shared" si="10"/>
        <v>0</v>
      </c>
      <c r="Y392" s="98"/>
      <c r="AU392" s="103">
        <f t="shared" si="11"/>
        <v>0</v>
      </c>
    </row>
    <row r="393" spans="21:47" s="28" customFormat="1" x14ac:dyDescent="0.25">
      <c r="U393" s="103">
        <f t="shared" si="10"/>
        <v>0</v>
      </c>
      <c r="Y393" s="98"/>
      <c r="AU393" s="103">
        <f t="shared" si="11"/>
        <v>0</v>
      </c>
    </row>
    <row r="394" spans="21:47" s="28" customFormat="1" x14ac:dyDescent="0.25">
      <c r="U394" s="103">
        <f t="shared" si="10"/>
        <v>0</v>
      </c>
      <c r="Y394" s="98"/>
      <c r="AU394" s="103">
        <f t="shared" si="11"/>
        <v>0</v>
      </c>
    </row>
    <row r="395" spans="21:47" s="28" customFormat="1" x14ac:dyDescent="0.25">
      <c r="U395" s="103">
        <f t="shared" si="10"/>
        <v>0</v>
      </c>
      <c r="Y395" s="98"/>
      <c r="AU395" s="103">
        <f t="shared" si="11"/>
        <v>0</v>
      </c>
    </row>
    <row r="396" spans="21:47" s="28" customFormat="1" x14ac:dyDescent="0.25">
      <c r="U396" s="103">
        <f t="shared" si="10"/>
        <v>0</v>
      </c>
      <c r="Y396" s="98"/>
      <c r="AU396" s="103">
        <f t="shared" si="11"/>
        <v>0</v>
      </c>
    </row>
    <row r="397" spans="21:47" s="28" customFormat="1" x14ac:dyDescent="0.25">
      <c r="U397" s="103">
        <f t="shared" si="10"/>
        <v>0</v>
      </c>
      <c r="Y397" s="98"/>
      <c r="AU397" s="103">
        <f t="shared" si="11"/>
        <v>0</v>
      </c>
    </row>
    <row r="398" spans="21:47" s="28" customFormat="1" x14ac:dyDescent="0.25">
      <c r="U398" s="103">
        <f t="shared" si="10"/>
        <v>0</v>
      </c>
      <c r="Y398" s="98"/>
      <c r="AU398" s="103">
        <f t="shared" si="11"/>
        <v>0</v>
      </c>
    </row>
    <row r="399" spans="21:47" s="28" customFormat="1" x14ac:dyDescent="0.25">
      <c r="U399" s="103">
        <f t="shared" si="10"/>
        <v>0</v>
      </c>
      <c r="Y399" s="98"/>
      <c r="AU399" s="103">
        <f t="shared" si="11"/>
        <v>0</v>
      </c>
    </row>
    <row r="400" spans="21:47" s="28" customFormat="1" x14ac:dyDescent="0.25">
      <c r="U400" s="103">
        <f t="shared" si="10"/>
        <v>0</v>
      </c>
      <c r="Y400" s="98"/>
      <c r="AU400" s="103">
        <f t="shared" si="11"/>
        <v>0</v>
      </c>
    </row>
    <row r="401" spans="21:47" s="28" customFormat="1" x14ac:dyDescent="0.25">
      <c r="U401" s="103">
        <f t="shared" si="10"/>
        <v>0</v>
      </c>
      <c r="Y401" s="98"/>
      <c r="AU401" s="103">
        <f t="shared" si="11"/>
        <v>0</v>
      </c>
    </row>
    <row r="402" spans="21:47" s="28" customFormat="1" x14ac:dyDescent="0.25">
      <c r="U402" s="103">
        <f t="shared" si="10"/>
        <v>0</v>
      </c>
      <c r="Y402" s="98"/>
      <c r="AU402" s="103">
        <f t="shared" si="11"/>
        <v>0</v>
      </c>
    </row>
    <row r="403" spans="21:47" s="28" customFormat="1" x14ac:dyDescent="0.25">
      <c r="U403" s="103">
        <f t="shared" si="10"/>
        <v>0</v>
      </c>
      <c r="Y403" s="98"/>
      <c r="AU403" s="103">
        <f t="shared" si="11"/>
        <v>0</v>
      </c>
    </row>
    <row r="404" spans="21:47" s="28" customFormat="1" x14ac:dyDescent="0.25">
      <c r="U404" s="103">
        <f t="shared" si="10"/>
        <v>0</v>
      </c>
      <c r="Y404" s="98"/>
      <c r="AU404" s="103">
        <f t="shared" si="11"/>
        <v>0</v>
      </c>
    </row>
    <row r="405" spans="21:47" s="28" customFormat="1" x14ac:dyDescent="0.25">
      <c r="U405" s="103">
        <f t="shared" si="10"/>
        <v>0</v>
      </c>
      <c r="Y405" s="98"/>
      <c r="AU405" s="103">
        <f t="shared" si="11"/>
        <v>0</v>
      </c>
    </row>
    <row r="406" spans="21:47" s="28" customFormat="1" x14ac:dyDescent="0.25">
      <c r="U406" s="103">
        <f t="shared" ref="U406:U469" si="12">IF(R406="TruePositive",IF(D406&lt;&gt;1,N406,0),0)</f>
        <v>0</v>
      </c>
      <c r="Y406" s="98"/>
      <c r="AU406" s="103">
        <f t="shared" ref="AU406:AU469" si="13">IF(AQ406="TruePositive",IF(AC406&lt;&gt;1,AM406,0),0)</f>
        <v>0</v>
      </c>
    </row>
    <row r="407" spans="21:47" s="28" customFormat="1" x14ac:dyDescent="0.25">
      <c r="U407" s="103">
        <f t="shared" si="12"/>
        <v>0</v>
      </c>
      <c r="Y407" s="98"/>
      <c r="AU407" s="103">
        <f t="shared" si="13"/>
        <v>0</v>
      </c>
    </row>
    <row r="408" spans="21:47" s="28" customFormat="1" x14ac:dyDescent="0.25">
      <c r="U408" s="103">
        <f t="shared" si="12"/>
        <v>0</v>
      </c>
      <c r="Y408" s="98"/>
      <c r="AU408" s="103">
        <f t="shared" si="13"/>
        <v>0</v>
      </c>
    </row>
    <row r="409" spans="21:47" s="28" customFormat="1" x14ac:dyDescent="0.25">
      <c r="U409" s="103">
        <f t="shared" si="12"/>
        <v>0</v>
      </c>
      <c r="Y409" s="98"/>
      <c r="AU409" s="103">
        <f t="shared" si="13"/>
        <v>0</v>
      </c>
    </row>
    <row r="410" spans="21:47" s="28" customFormat="1" x14ac:dyDescent="0.25">
      <c r="U410" s="103">
        <f t="shared" si="12"/>
        <v>0</v>
      </c>
      <c r="Y410" s="98"/>
      <c r="AU410" s="103">
        <f t="shared" si="13"/>
        <v>0</v>
      </c>
    </row>
    <row r="411" spans="21:47" s="28" customFormat="1" x14ac:dyDescent="0.25">
      <c r="U411" s="103">
        <f t="shared" si="12"/>
        <v>0</v>
      </c>
      <c r="Y411" s="98"/>
      <c r="AU411" s="103">
        <f t="shared" si="13"/>
        <v>0</v>
      </c>
    </row>
    <row r="412" spans="21:47" s="28" customFormat="1" x14ac:dyDescent="0.25">
      <c r="U412" s="103">
        <f t="shared" si="12"/>
        <v>0</v>
      </c>
      <c r="Y412" s="98"/>
      <c r="AU412" s="103">
        <f t="shared" si="13"/>
        <v>0</v>
      </c>
    </row>
    <row r="413" spans="21:47" s="28" customFormat="1" x14ac:dyDescent="0.25">
      <c r="U413" s="103">
        <f t="shared" si="12"/>
        <v>0</v>
      </c>
      <c r="Y413" s="98"/>
      <c r="AU413" s="103">
        <f t="shared" si="13"/>
        <v>0</v>
      </c>
    </row>
    <row r="414" spans="21:47" s="28" customFormat="1" x14ac:dyDescent="0.25">
      <c r="U414" s="103">
        <f t="shared" si="12"/>
        <v>0</v>
      </c>
      <c r="Y414" s="98"/>
      <c r="AU414" s="103">
        <f t="shared" si="13"/>
        <v>0</v>
      </c>
    </row>
    <row r="415" spans="21:47" s="28" customFormat="1" x14ac:dyDescent="0.25">
      <c r="U415" s="103">
        <f t="shared" si="12"/>
        <v>0</v>
      </c>
      <c r="Y415" s="98"/>
      <c r="AU415" s="103">
        <f t="shared" si="13"/>
        <v>0</v>
      </c>
    </row>
    <row r="416" spans="21:47" s="28" customFormat="1" x14ac:dyDescent="0.25">
      <c r="U416" s="103">
        <f t="shared" si="12"/>
        <v>0</v>
      </c>
      <c r="Y416" s="98"/>
      <c r="AU416" s="103">
        <f t="shared" si="13"/>
        <v>0</v>
      </c>
    </row>
    <row r="417" spans="21:47" s="28" customFormat="1" x14ac:dyDescent="0.25">
      <c r="U417" s="103">
        <f t="shared" si="12"/>
        <v>0</v>
      </c>
      <c r="Y417" s="98"/>
      <c r="AU417" s="103">
        <f t="shared" si="13"/>
        <v>0</v>
      </c>
    </row>
    <row r="418" spans="21:47" s="28" customFormat="1" x14ac:dyDescent="0.25">
      <c r="U418" s="103">
        <f t="shared" si="12"/>
        <v>0</v>
      </c>
      <c r="Y418" s="98"/>
      <c r="AU418" s="103">
        <f t="shared" si="13"/>
        <v>0</v>
      </c>
    </row>
    <row r="419" spans="21:47" s="28" customFormat="1" x14ac:dyDescent="0.25">
      <c r="U419" s="103">
        <f t="shared" si="12"/>
        <v>0</v>
      </c>
      <c r="Y419" s="98"/>
      <c r="AU419" s="103">
        <f t="shared" si="13"/>
        <v>0</v>
      </c>
    </row>
    <row r="420" spans="21:47" s="28" customFormat="1" x14ac:dyDescent="0.25">
      <c r="U420" s="103">
        <f t="shared" si="12"/>
        <v>0</v>
      </c>
      <c r="Y420" s="98"/>
      <c r="AU420" s="103">
        <f t="shared" si="13"/>
        <v>0</v>
      </c>
    </row>
    <row r="421" spans="21:47" s="28" customFormat="1" x14ac:dyDescent="0.25">
      <c r="U421" s="103">
        <f t="shared" si="12"/>
        <v>0</v>
      </c>
      <c r="Y421" s="98"/>
      <c r="AU421" s="103">
        <f t="shared" si="13"/>
        <v>0</v>
      </c>
    </row>
    <row r="422" spans="21:47" s="28" customFormat="1" x14ac:dyDescent="0.25">
      <c r="U422" s="103">
        <f t="shared" si="12"/>
        <v>0</v>
      </c>
      <c r="Y422" s="98"/>
      <c r="AU422" s="103">
        <f t="shared" si="13"/>
        <v>0</v>
      </c>
    </row>
    <row r="423" spans="21:47" s="28" customFormat="1" x14ac:dyDescent="0.25">
      <c r="U423" s="103">
        <f t="shared" si="12"/>
        <v>0</v>
      </c>
      <c r="Y423" s="98"/>
      <c r="AU423" s="103">
        <f t="shared" si="13"/>
        <v>0</v>
      </c>
    </row>
    <row r="424" spans="21:47" s="28" customFormat="1" x14ac:dyDescent="0.25">
      <c r="U424" s="103">
        <f t="shared" si="12"/>
        <v>0</v>
      </c>
      <c r="Y424" s="98"/>
      <c r="AU424" s="103">
        <f t="shared" si="13"/>
        <v>0</v>
      </c>
    </row>
    <row r="425" spans="21:47" s="28" customFormat="1" x14ac:dyDescent="0.25">
      <c r="U425" s="103">
        <f t="shared" si="12"/>
        <v>0</v>
      </c>
      <c r="Y425" s="98"/>
      <c r="AU425" s="103">
        <f t="shared" si="13"/>
        <v>0</v>
      </c>
    </row>
    <row r="426" spans="21:47" s="28" customFormat="1" x14ac:dyDescent="0.25">
      <c r="U426" s="103">
        <f t="shared" si="12"/>
        <v>0</v>
      </c>
      <c r="Y426" s="98"/>
      <c r="AU426" s="103">
        <f t="shared" si="13"/>
        <v>0</v>
      </c>
    </row>
    <row r="427" spans="21:47" s="28" customFormat="1" x14ac:dyDescent="0.25">
      <c r="U427" s="103">
        <f t="shared" si="12"/>
        <v>0</v>
      </c>
      <c r="Y427" s="98"/>
      <c r="AU427" s="103">
        <f t="shared" si="13"/>
        <v>0</v>
      </c>
    </row>
    <row r="428" spans="21:47" s="28" customFormat="1" x14ac:dyDescent="0.25">
      <c r="U428" s="103">
        <f t="shared" si="12"/>
        <v>0</v>
      </c>
      <c r="Y428" s="98"/>
      <c r="AU428" s="103">
        <f t="shared" si="13"/>
        <v>0</v>
      </c>
    </row>
    <row r="429" spans="21:47" s="28" customFormat="1" x14ac:dyDescent="0.25">
      <c r="U429" s="103">
        <f t="shared" si="12"/>
        <v>0</v>
      </c>
      <c r="Y429" s="98"/>
      <c r="AU429" s="103">
        <f t="shared" si="13"/>
        <v>0</v>
      </c>
    </row>
    <row r="430" spans="21:47" s="28" customFormat="1" x14ac:dyDescent="0.25">
      <c r="U430" s="103">
        <f t="shared" si="12"/>
        <v>0</v>
      </c>
      <c r="Y430" s="98"/>
      <c r="AU430" s="103">
        <f t="shared" si="13"/>
        <v>0</v>
      </c>
    </row>
    <row r="431" spans="21:47" s="28" customFormat="1" x14ac:dyDescent="0.25">
      <c r="U431" s="103">
        <f t="shared" si="12"/>
        <v>0</v>
      </c>
      <c r="Y431" s="98"/>
      <c r="AU431" s="103">
        <f t="shared" si="13"/>
        <v>0</v>
      </c>
    </row>
    <row r="432" spans="21:47" s="28" customFormat="1" x14ac:dyDescent="0.25">
      <c r="U432" s="103">
        <f t="shared" si="12"/>
        <v>0</v>
      </c>
      <c r="Y432" s="98"/>
      <c r="AU432" s="103">
        <f t="shared" si="13"/>
        <v>0</v>
      </c>
    </row>
    <row r="433" spans="21:47" s="28" customFormat="1" x14ac:dyDescent="0.25">
      <c r="U433" s="103">
        <f t="shared" si="12"/>
        <v>0</v>
      </c>
      <c r="Y433" s="98"/>
      <c r="AU433" s="103">
        <f t="shared" si="13"/>
        <v>0</v>
      </c>
    </row>
    <row r="434" spans="21:47" s="28" customFormat="1" x14ac:dyDescent="0.25">
      <c r="U434" s="103">
        <f t="shared" si="12"/>
        <v>0</v>
      </c>
      <c r="Y434" s="98"/>
      <c r="AU434" s="103">
        <f t="shared" si="13"/>
        <v>0</v>
      </c>
    </row>
    <row r="435" spans="21:47" s="28" customFormat="1" x14ac:dyDescent="0.25">
      <c r="U435" s="103">
        <f t="shared" si="12"/>
        <v>0</v>
      </c>
      <c r="Y435" s="98"/>
      <c r="AU435" s="103">
        <f t="shared" si="13"/>
        <v>0</v>
      </c>
    </row>
    <row r="436" spans="21:47" s="28" customFormat="1" x14ac:dyDescent="0.25">
      <c r="U436" s="103">
        <f t="shared" si="12"/>
        <v>0</v>
      </c>
      <c r="Y436" s="98"/>
      <c r="AU436" s="103">
        <f t="shared" si="13"/>
        <v>0</v>
      </c>
    </row>
    <row r="437" spans="21:47" s="28" customFormat="1" x14ac:dyDescent="0.25">
      <c r="U437" s="103">
        <f t="shared" si="12"/>
        <v>0</v>
      </c>
      <c r="Y437" s="98"/>
      <c r="AU437" s="103">
        <f t="shared" si="13"/>
        <v>0</v>
      </c>
    </row>
    <row r="438" spans="21:47" s="28" customFormat="1" x14ac:dyDescent="0.25">
      <c r="U438" s="103">
        <f t="shared" si="12"/>
        <v>0</v>
      </c>
      <c r="Y438" s="98"/>
      <c r="AU438" s="103">
        <f t="shared" si="13"/>
        <v>0</v>
      </c>
    </row>
    <row r="439" spans="21:47" s="28" customFormat="1" x14ac:dyDescent="0.25">
      <c r="U439" s="103">
        <f t="shared" si="12"/>
        <v>0</v>
      </c>
      <c r="Y439" s="98"/>
      <c r="AU439" s="103">
        <f t="shared" si="13"/>
        <v>0</v>
      </c>
    </row>
    <row r="440" spans="21:47" s="28" customFormat="1" x14ac:dyDescent="0.25">
      <c r="U440" s="103">
        <f t="shared" si="12"/>
        <v>0</v>
      </c>
      <c r="Y440" s="98"/>
      <c r="AU440" s="103">
        <f t="shared" si="13"/>
        <v>0</v>
      </c>
    </row>
    <row r="441" spans="21:47" s="28" customFormat="1" x14ac:dyDescent="0.25">
      <c r="U441" s="103">
        <f t="shared" si="12"/>
        <v>0</v>
      </c>
      <c r="Y441" s="98"/>
      <c r="AU441" s="103">
        <f t="shared" si="13"/>
        <v>0</v>
      </c>
    </row>
    <row r="442" spans="21:47" s="28" customFormat="1" x14ac:dyDescent="0.25">
      <c r="U442" s="103">
        <f t="shared" si="12"/>
        <v>0</v>
      </c>
      <c r="Y442" s="98"/>
      <c r="AU442" s="103">
        <f t="shared" si="13"/>
        <v>0</v>
      </c>
    </row>
    <row r="443" spans="21:47" s="28" customFormat="1" x14ac:dyDescent="0.25">
      <c r="U443" s="103">
        <f t="shared" si="12"/>
        <v>0</v>
      </c>
      <c r="Y443" s="98"/>
      <c r="AU443" s="103">
        <f t="shared" si="13"/>
        <v>0</v>
      </c>
    </row>
    <row r="444" spans="21:47" s="28" customFormat="1" x14ac:dyDescent="0.25">
      <c r="U444" s="103">
        <f t="shared" si="12"/>
        <v>0</v>
      </c>
      <c r="Y444" s="98"/>
      <c r="AU444" s="103">
        <f t="shared" si="13"/>
        <v>0</v>
      </c>
    </row>
    <row r="445" spans="21:47" s="28" customFormat="1" x14ac:dyDescent="0.25">
      <c r="U445" s="103">
        <f t="shared" si="12"/>
        <v>0</v>
      </c>
      <c r="Y445" s="98"/>
      <c r="AU445" s="103">
        <f t="shared" si="13"/>
        <v>0</v>
      </c>
    </row>
    <row r="446" spans="21:47" s="28" customFormat="1" x14ac:dyDescent="0.25">
      <c r="U446" s="103">
        <f t="shared" si="12"/>
        <v>0</v>
      </c>
      <c r="Y446" s="98"/>
      <c r="AU446" s="103">
        <f t="shared" si="13"/>
        <v>0</v>
      </c>
    </row>
    <row r="447" spans="21:47" s="28" customFormat="1" x14ac:dyDescent="0.25">
      <c r="U447" s="103">
        <f t="shared" si="12"/>
        <v>0</v>
      </c>
      <c r="Y447" s="98"/>
      <c r="AU447" s="103">
        <f t="shared" si="13"/>
        <v>0</v>
      </c>
    </row>
    <row r="448" spans="21:47" s="28" customFormat="1" x14ac:dyDescent="0.25">
      <c r="U448" s="103">
        <f t="shared" si="12"/>
        <v>0</v>
      </c>
      <c r="Y448" s="98"/>
      <c r="AU448" s="103">
        <f t="shared" si="13"/>
        <v>0</v>
      </c>
    </row>
    <row r="449" spans="21:47" s="28" customFormat="1" x14ac:dyDescent="0.25">
      <c r="U449" s="103">
        <f t="shared" si="12"/>
        <v>0</v>
      </c>
      <c r="Y449" s="98"/>
      <c r="AU449" s="103">
        <f t="shared" si="13"/>
        <v>0</v>
      </c>
    </row>
    <row r="450" spans="21:47" s="28" customFormat="1" x14ac:dyDescent="0.25">
      <c r="U450" s="103">
        <f t="shared" si="12"/>
        <v>0</v>
      </c>
      <c r="Y450" s="98"/>
      <c r="AU450" s="103">
        <f t="shared" si="13"/>
        <v>0</v>
      </c>
    </row>
    <row r="451" spans="21:47" s="28" customFormat="1" x14ac:dyDescent="0.25">
      <c r="U451" s="103">
        <f t="shared" si="12"/>
        <v>0</v>
      </c>
      <c r="Y451" s="98"/>
      <c r="AU451" s="103">
        <f t="shared" si="13"/>
        <v>0</v>
      </c>
    </row>
    <row r="452" spans="21:47" s="28" customFormat="1" x14ac:dyDescent="0.25">
      <c r="U452" s="103">
        <f t="shared" si="12"/>
        <v>0</v>
      </c>
      <c r="Y452" s="98"/>
      <c r="AU452" s="103">
        <f t="shared" si="13"/>
        <v>0</v>
      </c>
    </row>
    <row r="453" spans="21:47" s="28" customFormat="1" x14ac:dyDescent="0.25">
      <c r="U453" s="103">
        <f t="shared" si="12"/>
        <v>0</v>
      </c>
      <c r="Y453" s="98"/>
      <c r="AU453" s="103">
        <f t="shared" si="13"/>
        <v>0</v>
      </c>
    </row>
    <row r="454" spans="21:47" s="28" customFormat="1" x14ac:dyDescent="0.25">
      <c r="U454" s="103">
        <f t="shared" si="12"/>
        <v>0</v>
      </c>
      <c r="Y454" s="98"/>
      <c r="AU454" s="103">
        <f t="shared" si="13"/>
        <v>0</v>
      </c>
    </row>
    <row r="455" spans="21:47" s="28" customFormat="1" x14ac:dyDescent="0.25">
      <c r="U455" s="103">
        <f t="shared" si="12"/>
        <v>0</v>
      </c>
      <c r="Y455" s="98"/>
      <c r="AU455" s="103">
        <f t="shared" si="13"/>
        <v>0</v>
      </c>
    </row>
    <row r="456" spans="21:47" s="28" customFormat="1" x14ac:dyDescent="0.25">
      <c r="U456" s="103">
        <f t="shared" si="12"/>
        <v>0</v>
      </c>
      <c r="Y456" s="98"/>
      <c r="AU456" s="103">
        <f t="shared" si="13"/>
        <v>0</v>
      </c>
    </row>
    <row r="457" spans="21:47" s="28" customFormat="1" x14ac:dyDescent="0.25">
      <c r="U457" s="103">
        <f t="shared" si="12"/>
        <v>0</v>
      </c>
      <c r="Y457" s="98"/>
      <c r="AU457" s="103">
        <f t="shared" si="13"/>
        <v>0</v>
      </c>
    </row>
    <row r="458" spans="21:47" s="28" customFormat="1" x14ac:dyDescent="0.25">
      <c r="U458" s="103">
        <f t="shared" si="12"/>
        <v>0</v>
      </c>
      <c r="Y458" s="98"/>
      <c r="AU458" s="103">
        <f t="shared" si="13"/>
        <v>0</v>
      </c>
    </row>
    <row r="459" spans="21:47" s="28" customFormat="1" x14ac:dyDescent="0.25">
      <c r="U459" s="103">
        <f t="shared" si="12"/>
        <v>0</v>
      </c>
      <c r="Y459" s="98"/>
      <c r="AU459" s="103">
        <f t="shared" si="13"/>
        <v>0</v>
      </c>
    </row>
    <row r="460" spans="21:47" s="28" customFormat="1" x14ac:dyDescent="0.25">
      <c r="U460" s="103">
        <f t="shared" si="12"/>
        <v>0</v>
      </c>
      <c r="Y460" s="98"/>
      <c r="AU460" s="103">
        <f t="shared" si="13"/>
        <v>0</v>
      </c>
    </row>
    <row r="461" spans="21:47" s="28" customFormat="1" x14ac:dyDescent="0.25">
      <c r="U461" s="103">
        <f t="shared" si="12"/>
        <v>0</v>
      </c>
      <c r="Y461" s="98"/>
      <c r="AU461" s="103">
        <f t="shared" si="13"/>
        <v>0</v>
      </c>
    </row>
    <row r="462" spans="21:47" s="28" customFormat="1" x14ac:dyDescent="0.25">
      <c r="U462" s="103">
        <f t="shared" si="12"/>
        <v>0</v>
      </c>
      <c r="Y462" s="98"/>
      <c r="AU462" s="103">
        <f t="shared" si="13"/>
        <v>0</v>
      </c>
    </row>
    <row r="463" spans="21:47" s="28" customFormat="1" x14ac:dyDescent="0.25">
      <c r="U463" s="103">
        <f t="shared" si="12"/>
        <v>0</v>
      </c>
      <c r="Y463" s="98"/>
      <c r="AU463" s="103">
        <f t="shared" si="13"/>
        <v>0</v>
      </c>
    </row>
    <row r="464" spans="21:47" s="28" customFormat="1" x14ac:dyDescent="0.25">
      <c r="U464" s="103">
        <f t="shared" si="12"/>
        <v>0</v>
      </c>
      <c r="Y464" s="98"/>
      <c r="AU464" s="103">
        <f t="shared" si="13"/>
        <v>0</v>
      </c>
    </row>
    <row r="465" spans="21:47" s="28" customFormat="1" x14ac:dyDescent="0.25">
      <c r="U465" s="103">
        <f t="shared" si="12"/>
        <v>0</v>
      </c>
      <c r="Y465" s="98"/>
      <c r="AU465" s="103">
        <f t="shared" si="13"/>
        <v>0</v>
      </c>
    </row>
    <row r="466" spans="21:47" s="28" customFormat="1" x14ac:dyDescent="0.25">
      <c r="U466" s="103">
        <f t="shared" si="12"/>
        <v>0</v>
      </c>
      <c r="Y466" s="98"/>
      <c r="AU466" s="103">
        <f t="shared" si="13"/>
        <v>0</v>
      </c>
    </row>
    <row r="467" spans="21:47" s="28" customFormat="1" x14ac:dyDescent="0.25">
      <c r="U467" s="103">
        <f t="shared" si="12"/>
        <v>0</v>
      </c>
      <c r="Y467" s="98"/>
      <c r="AU467" s="103">
        <f t="shared" si="13"/>
        <v>0</v>
      </c>
    </row>
    <row r="468" spans="21:47" s="28" customFormat="1" x14ac:dyDescent="0.25">
      <c r="U468" s="103">
        <f t="shared" si="12"/>
        <v>0</v>
      </c>
      <c r="Y468" s="98"/>
      <c r="AU468" s="103">
        <f t="shared" si="13"/>
        <v>0</v>
      </c>
    </row>
    <row r="469" spans="21:47" s="28" customFormat="1" x14ac:dyDescent="0.25">
      <c r="U469" s="103">
        <f t="shared" si="12"/>
        <v>0</v>
      </c>
      <c r="Y469" s="98"/>
      <c r="AU469" s="103">
        <f t="shared" si="13"/>
        <v>0</v>
      </c>
    </row>
    <row r="470" spans="21:47" s="28" customFormat="1" x14ac:dyDescent="0.25">
      <c r="U470" s="103">
        <f t="shared" ref="U470:U533" si="14">IF(R470="TruePositive",IF(D470&lt;&gt;1,N470,0),0)</f>
        <v>0</v>
      </c>
      <c r="Y470" s="98"/>
      <c r="AU470" s="103">
        <f t="shared" ref="AU470:AU533" si="15">IF(AQ470="TruePositive",IF(AC470&lt;&gt;1,AM470,0),0)</f>
        <v>0</v>
      </c>
    </row>
    <row r="471" spans="21:47" s="28" customFormat="1" x14ac:dyDescent="0.25">
      <c r="U471" s="103">
        <f t="shared" si="14"/>
        <v>0</v>
      </c>
      <c r="Y471" s="98"/>
      <c r="AU471" s="103">
        <f t="shared" si="15"/>
        <v>0</v>
      </c>
    </row>
    <row r="472" spans="21:47" s="28" customFormat="1" x14ac:dyDescent="0.25">
      <c r="U472" s="103">
        <f t="shared" si="14"/>
        <v>0</v>
      </c>
      <c r="Y472" s="98"/>
      <c r="AU472" s="103">
        <f t="shared" si="15"/>
        <v>0</v>
      </c>
    </row>
    <row r="473" spans="21:47" s="28" customFormat="1" x14ac:dyDescent="0.25">
      <c r="U473" s="103">
        <f t="shared" si="14"/>
        <v>0</v>
      </c>
      <c r="Y473" s="98"/>
      <c r="AU473" s="103">
        <f t="shared" si="15"/>
        <v>0</v>
      </c>
    </row>
    <row r="474" spans="21:47" s="28" customFormat="1" x14ac:dyDescent="0.25">
      <c r="U474" s="103">
        <f t="shared" si="14"/>
        <v>0</v>
      </c>
      <c r="Y474" s="98"/>
      <c r="AU474" s="103">
        <f t="shared" si="15"/>
        <v>0</v>
      </c>
    </row>
    <row r="475" spans="21:47" s="28" customFormat="1" x14ac:dyDescent="0.25">
      <c r="U475" s="103">
        <f t="shared" si="14"/>
        <v>0</v>
      </c>
      <c r="Y475" s="98"/>
      <c r="AU475" s="103">
        <f t="shared" si="15"/>
        <v>0</v>
      </c>
    </row>
    <row r="476" spans="21:47" s="28" customFormat="1" x14ac:dyDescent="0.25">
      <c r="U476" s="103">
        <f t="shared" si="14"/>
        <v>0</v>
      </c>
      <c r="Y476" s="98"/>
      <c r="AU476" s="103">
        <f t="shared" si="15"/>
        <v>0</v>
      </c>
    </row>
    <row r="477" spans="21:47" s="28" customFormat="1" x14ac:dyDescent="0.25">
      <c r="U477" s="103">
        <f t="shared" si="14"/>
        <v>0</v>
      </c>
      <c r="Y477" s="98"/>
      <c r="AU477" s="103">
        <f t="shared" si="15"/>
        <v>0</v>
      </c>
    </row>
    <row r="478" spans="21:47" s="28" customFormat="1" x14ac:dyDescent="0.25">
      <c r="U478" s="103">
        <f t="shared" si="14"/>
        <v>0</v>
      </c>
      <c r="Y478" s="98"/>
      <c r="AU478" s="103">
        <f t="shared" si="15"/>
        <v>0</v>
      </c>
    </row>
    <row r="479" spans="21:47" s="28" customFormat="1" x14ac:dyDescent="0.25">
      <c r="U479" s="103">
        <f t="shared" si="14"/>
        <v>0</v>
      </c>
      <c r="Y479" s="98"/>
      <c r="AU479" s="103">
        <f t="shared" si="15"/>
        <v>0</v>
      </c>
    </row>
    <row r="480" spans="21:47" s="28" customFormat="1" x14ac:dyDescent="0.25">
      <c r="U480" s="103">
        <f t="shared" si="14"/>
        <v>0</v>
      </c>
      <c r="Y480" s="98"/>
      <c r="AU480" s="103">
        <f t="shared" si="15"/>
        <v>0</v>
      </c>
    </row>
    <row r="481" spans="21:47" s="28" customFormat="1" x14ac:dyDescent="0.25">
      <c r="U481" s="103">
        <f t="shared" si="14"/>
        <v>0</v>
      </c>
      <c r="Y481" s="98"/>
      <c r="AU481" s="103">
        <f t="shared" si="15"/>
        <v>0</v>
      </c>
    </row>
    <row r="482" spans="21:47" s="28" customFormat="1" x14ac:dyDescent="0.25">
      <c r="U482" s="103">
        <f t="shared" si="14"/>
        <v>0</v>
      </c>
      <c r="Y482" s="98"/>
      <c r="AU482" s="103">
        <f t="shared" si="15"/>
        <v>0</v>
      </c>
    </row>
    <row r="483" spans="21:47" s="28" customFormat="1" x14ac:dyDescent="0.25">
      <c r="U483" s="103">
        <f t="shared" si="14"/>
        <v>0</v>
      </c>
      <c r="Y483" s="98"/>
      <c r="AU483" s="103">
        <f t="shared" si="15"/>
        <v>0</v>
      </c>
    </row>
    <row r="484" spans="21:47" s="28" customFormat="1" x14ac:dyDescent="0.25">
      <c r="U484" s="103">
        <f t="shared" si="14"/>
        <v>0</v>
      </c>
      <c r="Y484" s="98"/>
      <c r="AU484" s="103">
        <f t="shared" si="15"/>
        <v>0</v>
      </c>
    </row>
    <row r="485" spans="21:47" s="28" customFormat="1" x14ac:dyDescent="0.25">
      <c r="U485" s="103">
        <f t="shared" si="14"/>
        <v>0</v>
      </c>
      <c r="Y485" s="98"/>
      <c r="AU485" s="103">
        <f t="shared" si="15"/>
        <v>0</v>
      </c>
    </row>
    <row r="486" spans="21:47" s="28" customFormat="1" x14ac:dyDescent="0.25">
      <c r="U486" s="103">
        <f t="shared" si="14"/>
        <v>0</v>
      </c>
      <c r="Y486" s="98"/>
      <c r="AU486" s="103">
        <f t="shared" si="15"/>
        <v>0</v>
      </c>
    </row>
    <row r="487" spans="21:47" s="28" customFormat="1" x14ac:dyDescent="0.25">
      <c r="U487" s="103">
        <f t="shared" si="14"/>
        <v>0</v>
      </c>
      <c r="Y487" s="98"/>
      <c r="AU487" s="103">
        <f t="shared" si="15"/>
        <v>0</v>
      </c>
    </row>
    <row r="488" spans="21:47" s="28" customFormat="1" x14ac:dyDescent="0.25">
      <c r="U488" s="103">
        <f t="shared" si="14"/>
        <v>0</v>
      </c>
      <c r="Y488" s="98"/>
      <c r="AU488" s="103">
        <f t="shared" si="15"/>
        <v>0</v>
      </c>
    </row>
    <row r="489" spans="21:47" s="28" customFormat="1" x14ac:dyDescent="0.25">
      <c r="U489" s="103">
        <f t="shared" si="14"/>
        <v>0</v>
      </c>
      <c r="Y489" s="98"/>
      <c r="AU489" s="103">
        <f t="shared" si="15"/>
        <v>0</v>
      </c>
    </row>
    <row r="490" spans="21:47" s="28" customFormat="1" x14ac:dyDescent="0.25">
      <c r="U490" s="103">
        <f t="shared" si="14"/>
        <v>0</v>
      </c>
      <c r="Y490" s="98"/>
      <c r="AU490" s="103">
        <f t="shared" si="15"/>
        <v>0</v>
      </c>
    </row>
    <row r="491" spans="21:47" s="28" customFormat="1" x14ac:dyDescent="0.25">
      <c r="U491" s="103">
        <f t="shared" si="14"/>
        <v>0</v>
      </c>
      <c r="Y491" s="98"/>
      <c r="AU491" s="103">
        <f t="shared" si="15"/>
        <v>0</v>
      </c>
    </row>
    <row r="492" spans="21:47" s="28" customFormat="1" x14ac:dyDescent="0.25">
      <c r="U492" s="103">
        <f t="shared" si="14"/>
        <v>0</v>
      </c>
      <c r="Y492" s="98"/>
      <c r="AU492" s="103">
        <f t="shared" si="15"/>
        <v>0</v>
      </c>
    </row>
    <row r="493" spans="21:47" s="28" customFormat="1" x14ac:dyDescent="0.25">
      <c r="U493" s="103">
        <f t="shared" si="14"/>
        <v>0</v>
      </c>
      <c r="Y493" s="98"/>
      <c r="AU493" s="103">
        <f t="shared" si="15"/>
        <v>0</v>
      </c>
    </row>
    <row r="494" spans="21:47" s="28" customFormat="1" x14ac:dyDescent="0.25">
      <c r="U494" s="103">
        <f t="shared" si="14"/>
        <v>0</v>
      </c>
      <c r="Y494" s="98"/>
      <c r="AU494" s="103">
        <f t="shared" si="15"/>
        <v>0</v>
      </c>
    </row>
    <row r="495" spans="21:47" s="28" customFormat="1" x14ac:dyDescent="0.25">
      <c r="U495" s="103">
        <f t="shared" si="14"/>
        <v>0</v>
      </c>
      <c r="Y495" s="98"/>
      <c r="AU495" s="103">
        <f t="shared" si="15"/>
        <v>0</v>
      </c>
    </row>
    <row r="496" spans="21:47" s="28" customFormat="1" x14ac:dyDescent="0.25">
      <c r="U496" s="103">
        <f t="shared" si="14"/>
        <v>0</v>
      </c>
      <c r="Y496" s="98"/>
      <c r="AU496" s="103">
        <f t="shared" si="15"/>
        <v>0</v>
      </c>
    </row>
    <row r="497" spans="21:47" s="28" customFormat="1" x14ac:dyDescent="0.25">
      <c r="U497" s="103">
        <f t="shared" si="14"/>
        <v>0</v>
      </c>
      <c r="Y497" s="98"/>
      <c r="AU497" s="103">
        <f t="shared" si="15"/>
        <v>0</v>
      </c>
    </row>
    <row r="498" spans="21:47" s="28" customFormat="1" x14ac:dyDescent="0.25">
      <c r="U498" s="103">
        <f t="shared" si="14"/>
        <v>0</v>
      </c>
      <c r="Y498" s="98"/>
      <c r="AU498" s="103">
        <f t="shared" si="15"/>
        <v>0</v>
      </c>
    </row>
    <row r="499" spans="21:47" s="28" customFormat="1" x14ac:dyDescent="0.25">
      <c r="U499" s="103">
        <f t="shared" si="14"/>
        <v>0</v>
      </c>
      <c r="Y499" s="98"/>
      <c r="AU499" s="103">
        <f t="shared" si="15"/>
        <v>0</v>
      </c>
    </row>
    <row r="500" spans="21:47" s="28" customFormat="1" x14ac:dyDescent="0.25">
      <c r="U500" s="103">
        <f t="shared" si="14"/>
        <v>0</v>
      </c>
      <c r="Y500" s="98"/>
      <c r="AU500" s="103">
        <f t="shared" si="15"/>
        <v>0</v>
      </c>
    </row>
    <row r="501" spans="21:47" s="28" customFormat="1" x14ac:dyDescent="0.25">
      <c r="U501" s="103">
        <f t="shared" si="14"/>
        <v>0</v>
      </c>
      <c r="Y501" s="98"/>
      <c r="AU501" s="103">
        <f t="shared" si="15"/>
        <v>0</v>
      </c>
    </row>
    <row r="502" spans="21:47" s="28" customFormat="1" x14ac:dyDescent="0.25">
      <c r="U502" s="103">
        <f t="shared" si="14"/>
        <v>0</v>
      </c>
      <c r="Y502" s="98"/>
      <c r="AU502" s="103">
        <f t="shared" si="15"/>
        <v>0</v>
      </c>
    </row>
    <row r="503" spans="21:47" s="28" customFormat="1" x14ac:dyDescent="0.25">
      <c r="U503" s="103">
        <f t="shared" si="14"/>
        <v>0</v>
      </c>
      <c r="Y503" s="98"/>
      <c r="AU503" s="103">
        <f t="shared" si="15"/>
        <v>0</v>
      </c>
    </row>
    <row r="504" spans="21:47" s="28" customFormat="1" x14ac:dyDescent="0.25">
      <c r="U504" s="103">
        <f t="shared" si="14"/>
        <v>0</v>
      </c>
      <c r="Y504" s="98"/>
      <c r="AU504" s="103">
        <f t="shared" si="15"/>
        <v>0</v>
      </c>
    </row>
    <row r="505" spans="21:47" s="28" customFormat="1" x14ac:dyDescent="0.25">
      <c r="U505" s="103">
        <f t="shared" si="14"/>
        <v>0</v>
      </c>
      <c r="Y505" s="98"/>
      <c r="AU505" s="103">
        <f t="shared" si="15"/>
        <v>0</v>
      </c>
    </row>
    <row r="506" spans="21:47" s="28" customFormat="1" x14ac:dyDescent="0.25">
      <c r="U506" s="103">
        <f t="shared" si="14"/>
        <v>0</v>
      </c>
      <c r="Y506" s="98"/>
      <c r="AU506" s="103">
        <f t="shared" si="15"/>
        <v>0</v>
      </c>
    </row>
    <row r="507" spans="21:47" s="28" customFormat="1" x14ac:dyDescent="0.25">
      <c r="U507" s="103">
        <f t="shared" si="14"/>
        <v>0</v>
      </c>
      <c r="Y507" s="98"/>
      <c r="AU507" s="103">
        <f t="shared" si="15"/>
        <v>0</v>
      </c>
    </row>
    <row r="508" spans="21:47" s="28" customFormat="1" x14ac:dyDescent="0.25">
      <c r="U508" s="103">
        <f t="shared" si="14"/>
        <v>0</v>
      </c>
      <c r="Y508" s="98"/>
      <c r="AU508" s="103">
        <f t="shared" si="15"/>
        <v>0</v>
      </c>
    </row>
    <row r="509" spans="21:47" s="28" customFormat="1" x14ac:dyDescent="0.25">
      <c r="U509" s="103">
        <f t="shared" si="14"/>
        <v>0</v>
      </c>
      <c r="Y509" s="98"/>
      <c r="AU509" s="103">
        <f t="shared" si="15"/>
        <v>0</v>
      </c>
    </row>
    <row r="510" spans="21:47" s="28" customFormat="1" x14ac:dyDescent="0.25">
      <c r="U510" s="103">
        <f t="shared" si="14"/>
        <v>0</v>
      </c>
      <c r="Y510" s="98"/>
      <c r="AU510" s="103">
        <f t="shared" si="15"/>
        <v>0</v>
      </c>
    </row>
    <row r="511" spans="21:47" s="28" customFormat="1" x14ac:dyDescent="0.25">
      <c r="U511" s="103">
        <f t="shared" si="14"/>
        <v>0</v>
      </c>
      <c r="Y511" s="98"/>
      <c r="AU511" s="103">
        <f t="shared" si="15"/>
        <v>0</v>
      </c>
    </row>
    <row r="512" spans="21:47" s="28" customFormat="1" x14ac:dyDescent="0.25">
      <c r="U512" s="103">
        <f t="shared" si="14"/>
        <v>0</v>
      </c>
      <c r="Y512" s="98"/>
      <c r="AU512" s="103">
        <f t="shared" si="15"/>
        <v>0</v>
      </c>
    </row>
    <row r="513" spans="21:47" s="28" customFormat="1" x14ac:dyDescent="0.25">
      <c r="U513" s="103">
        <f t="shared" si="14"/>
        <v>0</v>
      </c>
      <c r="Y513" s="98"/>
      <c r="AU513" s="103">
        <f t="shared" si="15"/>
        <v>0</v>
      </c>
    </row>
    <row r="514" spans="21:47" s="28" customFormat="1" x14ac:dyDescent="0.25">
      <c r="U514" s="103">
        <f t="shared" si="14"/>
        <v>0</v>
      </c>
      <c r="Y514" s="98"/>
      <c r="AU514" s="103">
        <f t="shared" si="15"/>
        <v>0</v>
      </c>
    </row>
    <row r="515" spans="21:47" s="28" customFormat="1" x14ac:dyDescent="0.25">
      <c r="U515" s="103">
        <f t="shared" si="14"/>
        <v>0</v>
      </c>
      <c r="Y515" s="98"/>
      <c r="AU515" s="103">
        <f t="shared" si="15"/>
        <v>0</v>
      </c>
    </row>
    <row r="516" spans="21:47" s="28" customFormat="1" x14ac:dyDescent="0.25">
      <c r="U516" s="103">
        <f t="shared" si="14"/>
        <v>0</v>
      </c>
      <c r="Y516" s="98"/>
      <c r="AU516" s="103">
        <f t="shared" si="15"/>
        <v>0</v>
      </c>
    </row>
    <row r="517" spans="21:47" s="28" customFormat="1" x14ac:dyDescent="0.25">
      <c r="U517" s="103">
        <f t="shared" si="14"/>
        <v>0</v>
      </c>
      <c r="Y517" s="98"/>
      <c r="AU517" s="103">
        <f t="shared" si="15"/>
        <v>0</v>
      </c>
    </row>
    <row r="518" spans="21:47" s="28" customFormat="1" x14ac:dyDescent="0.25">
      <c r="U518" s="103">
        <f t="shared" si="14"/>
        <v>0</v>
      </c>
      <c r="Y518" s="98"/>
      <c r="AU518" s="103">
        <f t="shared" si="15"/>
        <v>0</v>
      </c>
    </row>
    <row r="519" spans="21:47" s="28" customFormat="1" x14ac:dyDescent="0.25">
      <c r="U519" s="103">
        <f t="shared" si="14"/>
        <v>0</v>
      </c>
      <c r="Y519" s="98"/>
      <c r="AU519" s="103">
        <f t="shared" si="15"/>
        <v>0</v>
      </c>
    </row>
    <row r="520" spans="21:47" s="28" customFormat="1" x14ac:dyDescent="0.25">
      <c r="U520" s="103">
        <f t="shared" si="14"/>
        <v>0</v>
      </c>
      <c r="Y520" s="98"/>
      <c r="AU520" s="103">
        <f t="shared" si="15"/>
        <v>0</v>
      </c>
    </row>
    <row r="521" spans="21:47" s="28" customFormat="1" x14ac:dyDescent="0.25">
      <c r="U521" s="103">
        <f t="shared" si="14"/>
        <v>0</v>
      </c>
      <c r="Y521" s="98"/>
      <c r="AU521" s="103">
        <f t="shared" si="15"/>
        <v>0</v>
      </c>
    </row>
    <row r="522" spans="21:47" s="28" customFormat="1" x14ac:dyDescent="0.25">
      <c r="U522" s="103">
        <f t="shared" si="14"/>
        <v>0</v>
      </c>
      <c r="Y522" s="98"/>
      <c r="AU522" s="103">
        <f t="shared" si="15"/>
        <v>0</v>
      </c>
    </row>
    <row r="523" spans="21:47" s="28" customFormat="1" x14ac:dyDescent="0.25">
      <c r="U523" s="103">
        <f t="shared" si="14"/>
        <v>0</v>
      </c>
      <c r="Y523" s="98"/>
      <c r="AU523" s="103">
        <f t="shared" si="15"/>
        <v>0</v>
      </c>
    </row>
    <row r="524" spans="21:47" s="28" customFormat="1" x14ac:dyDescent="0.25">
      <c r="U524" s="103">
        <f t="shared" si="14"/>
        <v>0</v>
      </c>
      <c r="Y524" s="98"/>
      <c r="AU524" s="103">
        <f t="shared" si="15"/>
        <v>0</v>
      </c>
    </row>
    <row r="525" spans="21:47" s="28" customFormat="1" x14ac:dyDescent="0.25">
      <c r="U525" s="103">
        <f t="shared" si="14"/>
        <v>0</v>
      </c>
      <c r="Y525" s="98"/>
      <c r="AU525" s="103">
        <f t="shared" si="15"/>
        <v>0</v>
      </c>
    </row>
    <row r="526" spans="21:47" s="28" customFormat="1" x14ac:dyDescent="0.25">
      <c r="U526" s="103">
        <f t="shared" si="14"/>
        <v>0</v>
      </c>
      <c r="Y526" s="98"/>
      <c r="AU526" s="103">
        <f t="shared" si="15"/>
        <v>0</v>
      </c>
    </row>
    <row r="527" spans="21:47" s="28" customFormat="1" x14ac:dyDescent="0.25">
      <c r="U527" s="103">
        <f t="shared" si="14"/>
        <v>0</v>
      </c>
      <c r="Y527" s="98"/>
      <c r="AU527" s="103">
        <f t="shared" si="15"/>
        <v>0</v>
      </c>
    </row>
    <row r="528" spans="21:47" s="28" customFormat="1" x14ac:dyDescent="0.25">
      <c r="U528" s="103">
        <f t="shared" si="14"/>
        <v>0</v>
      </c>
      <c r="Y528" s="98"/>
      <c r="AU528" s="103">
        <f t="shared" si="15"/>
        <v>0</v>
      </c>
    </row>
    <row r="529" spans="21:47" s="28" customFormat="1" x14ac:dyDescent="0.25">
      <c r="U529" s="103">
        <f t="shared" si="14"/>
        <v>0</v>
      </c>
      <c r="Y529" s="98"/>
      <c r="AU529" s="103">
        <f t="shared" si="15"/>
        <v>0</v>
      </c>
    </row>
    <row r="530" spans="21:47" s="28" customFormat="1" x14ac:dyDescent="0.25">
      <c r="U530" s="103">
        <f t="shared" si="14"/>
        <v>0</v>
      </c>
      <c r="Y530" s="98"/>
      <c r="AU530" s="103">
        <f t="shared" si="15"/>
        <v>0</v>
      </c>
    </row>
    <row r="531" spans="21:47" s="28" customFormat="1" x14ac:dyDescent="0.25">
      <c r="U531" s="103">
        <f t="shared" si="14"/>
        <v>0</v>
      </c>
      <c r="Y531" s="98"/>
      <c r="AU531" s="103">
        <f t="shared" si="15"/>
        <v>0</v>
      </c>
    </row>
    <row r="532" spans="21:47" s="28" customFormat="1" x14ac:dyDescent="0.25">
      <c r="U532" s="103">
        <f t="shared" si="14"/>
        <v>0</v>
      </c>
      <c r="Y532" s="98"/>
      <c r="AU532" s="103">
        <f t="shared" si="15"/>
        <v>0</v>
      </c>
    </row>
    <row r="533" spans="21:47" s="28" customFormat="1" x14ac:dyDescent="0.25">
      <c r="U533" s="103">
        <f t="shared" si="14"/>
        <v>0</v>
      </c>
      <c r="Y533" s="98"/>
      <c r="AU533" s="103">
        <f t="shared" si="15"/>
        <v>0</v>
      </c>
    </row>
    <row r="534" spans="21:47" s="28" customFormat="1" x14ac:dyDescent="0.25">
      <c r="U534" s="103">
        <f t="shared" ref="U534:U597" si="16">IF(R534="TruePositive",IF(D534&lt;&gt;1,N534,0),0)</f>
        <v>0</v>
      </c>
      <c r="Y534" s="98"/>
      <c r="AU534" s="103">
        <f t="shared" ref="AU534:AU597" si="17">IF(AQ534="TruePositive",IF(AC534&lt;&gt;1,AM534,0),0)</f>
        <v>0</v>
      </c>
    </row>
    <row r="535" spans="21:47" s="28" customFormat="1" x14ac:dyDescent="0.25">
      <c r="U535" s="103">
        <f t="shared" si="16"/>
        <v>0</v>
      </c>
      <c r="Y535" s="98"/>
      <c r="AU535" s="103">
        <f t="shared" si="17"/>
        <v>0</v>
      </c>
    </row>
    <row r="536" spans="21:47" s="28" customFormat="1" x14ac:dyDescent="0.25">
      <c r="U536" s="103">
        <f t="shared" si="16"/>
        <v>0</v>
      </c>
      <c r="Y536" s="98"/>
      <c r="AU536" s="103">
        <f t="shared" si="17"/>
        <v>0</v>
      </c>
    </row>
    <row r="537" spans="21:47" s="28" customFormat="1" x14ac:dyDescent="0.25">
      <c r="U537" s="103">
        <f t="shared" si="16"/>
        <v>0</v>
      </c>
      <c r="Y537" s="98"/>
      <c r="AU537" s="103">
        <f t="shared" si="17"/>
        <v>0</v>
      </c>
    </row>
    <row r="538" spans="21:47" s="28" customFormat="1" x14ac:dyDescent="0.25">
      <c r="U538" s="103">
        <f t="shared" si="16"/>
        <v>0</v>
      </c>
      <c r="Y538" s="98"/>
      <c r="AU538" s="103">
        <f t="shared" si="17"/>
        <v>0</v>
      </c>
    </row>
    <row r="539" spans="21:47" s="28" customFormat="1" x14ac:dyDescent="0.25">
      <c r="U539" s="103">
        <f t="shared" si="16"/>
        <v>0</v>
      </c>
      <c r="Y539" s="98"/>
      <c r="AU539" s="103">
        <f t="shared" si="17"/>
        <v>0</v>
      </c>
    </row>
    <row r="540" spans="21:47" s="28" customFormat="1" x14ac:dyDescent="0.25">
      <c r="U540" s="103">
        <f t="shared" si="16"/>
        <v>0</v>
      </c>
      <c r="Y540" s="98"/>
      <c r="AU540" s="103">
        <f t="shared" si="17"/>
        <v>0</v>
      </c>
    </row>
    <row r="541" spans="21:47" s="28" customFormat="1" x14ac:dyDescent="0.25">
      <c r="U541" s="103">
        <f t="shared" si="16"/>
        <v>0</v>
      </c>
      <c r="Y541" s="98"/>
      <c r="AU541" s="103">
        <f t="shared" si="17"/>
        <v>0</v>
      </c>
    </row>
    <row r="542" spans="21:47" s="28" customFormat="1" x14ac:dyDescent="0.25">
      <c r="U542" s="103">
        <f t="shared" si="16"/>
        <v>0</v>
      </c>
      <c r="Y542" s="98"/>
      <c r="AU542" s="103">
        <f t="shared" si="17"/>
        <v>0</v>
      </c>
    </row>
    <row r="543" spans="21:47" s="28" customFormat="1" x14ac:dyDescent="0.25">
      <c r="U543" s="103">
        <f t="shared" si="16"/>
        <v>0</v>
      </c>
      <c r="Y543" s="98"/>
      <c r="AU543" s="103">
        <f t="shared" si="17"/>
        <v>0</v>
      </c>
    </row>
    <row r="544" spans="21:47" s="28" customFormat="1" x14ac:dyDescent="0.25">
      <c r="U544" s="103">
        <f t="shared" si="16"/>
        <v>0</v>
      </c>
      <c r="Y544" s="98"/>
      <c r="AU544" s="103">
        <f t="shared" si="17"/>
        <v>0</v>
      </c>
    </row>
    <row r="545" spans="21:47" s="28" customFormat="1" x14ac:dyDescent="0.25">
      <c r="U545" s="103">
        <f t="shared" si="16"/>
        <v>0</v>
      </c>
      <c r="Y545" s="98"/>
      <c r="AU545" s="103">
        <f t="shared" si="17"/>
        <v>0</v>
      </c>
    </row>
    <row r="546" spans="21:47" s="28" customFormat="1" x14ac:dyDescent="0.25">
      <c r="U546" s="103">
        <f t="shared" si="16"/>
        <v>0</v>
      </c>
      <c r="Y546" s="98"/>
      <c r="AU546" s="103">
        <f t="shared" si="17"/>
        <v>0</v>
      </c>
    </row>
    <row r="547" spans="21:47" s="28" customFormat="1" x14ac:dyDescent="0.25">
      <c r="U547" s="103">
        <f t="shared" si="16"/>
        <v>0</v>
      </c>
      <c r="Y547" s="98"/>
      <c r="AU547" s="103">
        <f t="shared" si="17"/>
        <v>0</v>
      </c>
    </row>
    <row r="548" spans="21:47" s="28" customFormat="1" x14ac:dyDescent="0.25">
      <c r="U548" s="103">
        <f t="shared" si="16"/>
        <v>0</v>
      </c>
      <c r="Y548" s="98"/>
      <c r="AU548" s="103">
        <f t="shared" si="17"/>
        <v>0</v>
      </c>
    </row>
    <row r="549" spans="21:47" s="28" customFormat="1" x14ac:dyDescent="0.25">
      <c r="U549" s="103">
        <f t="shared" si="16"/>
        <v>0</v>
      </c>
      <c r="Y549" s="98"/>
      <c r="AU549" s="103">
        <f t="shared" si="17"/>
        <v>0</v>
      </c>
    </row>
    <row r="550" spans="21:47" s="28" customFormat="1" x14ac:dyDescent="0.25">
      <c r="U550" s="103">
        <f t="shared" si="16"/>
        <v>0</v>
      </c>
      <c r="Y550" s="98"/>
      <c r="AU550" s="103">
        <f t="shared" si="17"/>
        <v>0</v>
      </c>
    </row>
    <row r="551" spans="21:47" s="28" customFormat="1" x14ac:dyDescent="0.25">
      <c r="U551" s="103">
        <f t="shared" si="16"/>
        <v>0</v>
      </c>
      <c r="Y551" s="98"/>
      <c r="AU551" s="103">
        <f t="shared" si="17"/>
        <v>0</v>
      </c>
    </row>
    <row r="552" spans="21:47" s="28" customFormat="1" x14ac:dyDescent="0.25">
      <c r="U552" s="103">
        <f t="shared" si="16"/>
        <v>0</v>
      </c>
      <c r="Y552" s="98"/>
      <c r="AU552" s="103">
        <f t="shared" si="17"/>
        <v>0</v>
      </c>
    </row>
    <row r="553" spans="21:47" s="28" customFormat="1" x14ac:dyDescent="0.25">
      <c r="U553" s="103">
        <f t="shared" si="16"/>
        <v>0</v>
      </c>
      <c r="Y553" s="98"/>
      <c r="AU553" s="103">
        <f t="shared" si="17"/>
        <v>0</v>
      </c>
    </row>
    <row r="554" spans="21:47" s="28" customFormat="1" x14ac:dyDescent="0.25">
      <c r="U554" s="103">
        <f t="shared" si="16"/>
        <v>0</v>
      </c>
      <c r="Y554" s="98"/>
      <c r="AU554" s="103">
        <f t="shared" si="17"/>
        <v>0</v>
      </c>
    </row>
    <row r="555" spans="21:47" s="28" customFormat="1" x14ac:dyDescent="0.25">
      <c r="U555" s="103">
        <f t="shared" si="16"/>
        <v>0</v>
      </c>
      <c r="Y555" s="98"/>
      <c r="AU555" s="103">
        <f t="shared" si="17"/>
        <v>0</v>
      </c>
    </row>
    <row r="556" spans="21:47" s="28" customFormat="1" x14ac:dyDescent="0.25">
      <c r="U556" s="103">
        <f t="shared" si="16"/>
        <v>0</v>
      </c>
      <c r="Y556" s="98"/>
      <c r="AU556" s="103">
        <f t="shared" si="17"/>
        <v>0</v>
      </c>
    </row>
    <row r="557" spans="21:47" s="28" customFormat="1" x14ac:dyDescent="0.25">
      <c r="U557" s="103">
        <f t="shared" si="16"/>
        <v>0</v>
      </c>
      <c r="Y557" s="98"/>
      <c r="AU557" s="103">
        <f t="shared" si="17"/>
        <v>0</v>
      </c>
    </row>
    <row r="558" spans="21:47" s="28" customFormat="1" x14ac:dyDescent="0.25">
      <c r="U558" s="103">
        <f t="shared" si="16"/>
        <v>0</v>
      </c>
      <c r="Y558" s="98"/>
      <c r="AU558" s="103">
        <f t="shared" si="17"/>
        <v>0</v>
      </c>
    </row>
    <row r="559" spans="21:47" s="28" customFormat="1" x14ac:dyDescent="0.25">
      <c r="U559" s="103">
        <f t="shared" si="16"/>
        <v>0</v>
      </c>
      <c r="Y559" s="98"/>
      <c r="AU559" s="103">
        <f t="shared" si="17"/>
        <v>0</v>
      </c>
    </row>
    <row r="560" spans="21:47" s="28" customFormat="1" x14ac:dyDescent="0.25">
      <c r="U560" s="103">
        <f t="shared" si="16"/>
        <v>0</v>
      </c>
      <c r="Y560" s="98"/>
      <c r="AU560" s="103">
        <f t="shared" si="17"/>
        <v>0</v>
      </c>
    </row>
    <row r="561" spans="21:47" s="28" customFormat="1" x14ac:dyDescent="0.25">
      <c r="U561" s="103">
        <f t="shared" si="16"/>
        <v>0</v>
      </c>
      <c r="Y561" s="98"/>
      <c r="AU561" s="103">
        <f t="shared" si="17"/>
        <v>0</v>
      </c>
    </row>
    <row r="562" spans="21:47" s="28" customFormat="1" x14ac:dyDescent="0.25">
      <c r="U562" s="103">
        <f t="shared" si="16"/>
        <v>0</v>
      </c>
      <c r="Y562" s="98"/>
      <c r="AU562" s="103">
        <f t="shared" si="17"/>
        <v>0</v>
      </c>
    </row>
    <row r="563" spans="21:47" s="28" customFormat="1" x14ac:dyDescent="0.25">
      <c r="U563" s="103">
        <f t="shared" si="16"/>
        <v>0</v>
      </c>
      <c r="Y563" s="98"/>
      <c r="AU563" s="103">
        <f t="shared" si="17"/>
        <v>0</v>
      </c>
    </row>
    <row r="564" spans="21:47" s="28" customFormat="1" x14ac:dyDescent="0.25">
      <c r="U564" s="103">
        <f t="shared" si="16"/>
        <v>0</v>
      </c>
      <c r="Y564" s="98"/>
      <c r="AU564" s="103">
        <f t="shared" si="17"/>
        <v>0</v>
      </c>
    </row>
    <row r="565" spans="21:47" s="28" customFormat="1" x14ac:dyDescent="0.25">
      <c r="U565" s="103">
        <f t="shared" si="16"/>
        <v>0</v>
      </c>
      <c r="Y565" s="98"/>
      <c r="AU565" s="103">
        <f t="shared" si="17"/>
        <v>0</v>
      </c>
    </row>
    <row r="566" spans="21:47" s="28" customFormat="1" x14ac:dyDescent="0.25">
      <c r="U566" s="103">
        <f t="shared" si="16"/>
        <v>0</v>
      </c>
      <c r="Y566" s="98"/>
      <c r="AU566" s="103">
        <f t="shared" si="17"/>
        <v>0</v>
      </c>
    </row>
    <row r="567" spans="21:47" s="28" customFormat="1" x14ac:dyDescent="0.25">
      <c r="U567" s="103">
        <f t="shared" si="16"/>
        <v>0</v>
      </c>
      <c r="Y567" s="98"/>
      <c r="AU567" s="103">
        <f t="shared" si="17"/>
        <v>0</v>
      </c>
    </row>
    <row r="568" spans="21:47" s="28" customFormat="1" x14ac:dyDescent="0.25">
      <c r="U568" s="103">
        <f t="shared" si="16"/>
        <v>0</v>
      </c>
      <c r="Y568" s="98"/>
      <c r="AU568" s="103">
        <f t="shared" si="17"/>
        <v>0</v>
      </c>
    </row>
    <row r="569" spans="21:47" s="28" customFormat="1" x14ac:dyDescent="0.25">
      <c r="U569" s="103">
        <f t="shared" si="16"/>
        <v>0</v>
      </c>
      <c r="Y569" s="98"/>
      <c r="AU569" s="103">
        <f t="shared" si="17"/>
        <v>0</v>
      </c>
    </row>
    <row r="570" spans="21:47" s="28" customFormat="1" x14ac:dyDescent="0.25">
      <c r="U570" s="103">
        <f t="shared" si="16"/>
        <v>0</v>
      </c>
      <c r="Y570" s="98"/>
      <c r="AU570" s="103">
        <f t="shared" si="17"/>
        <v>0</v>
      </c>
    </row>
    <row r="571" spans="21:47" s="28" customFormat="1" x14ac:dyDescent="0.25">
      <c r="U571" s="103">
        <f t="shared" si="16"/>
        <v>0</v>
      </c>
      <c r="Y571" s="98"/>
      <c r="AU571" s="103">
        <f t="shared" si="17"/>
        <v>0</v>
      </c>
    </row>
    <row r="572" spans="21:47" s="28" customFormat="1" x14ac:dyDescent="0.25">
      <c r="U572" s="103">
        <f t="shared" si="16"/>
        <v>0</v>
      </c>
      <c r="Y572" s="98"/>
      <c r="AU572" s="103">
        <f t="shared" si="17"/>
        <v>0</v>
      </c>
    </row>
    <row r="573" spans="21:47" s="28" customFormat="1" x14ac:dyDescent="0.25">
      <c r="U573" s="103">
        <f t="shared" si="16"/>
        <v>0</v>
      </c>
      <c r="Y573" s="98"/>
      <c r="AU573" s="103">
        <f t="shared" si="17"/>
        <v>0</v>
      </c>
    </row>
    <row r="574" spans="21:47" s="28" customFormat="1" x14ac:dyDescent="0.25">
      <c r="U574" s="103">
        <f t="shared" si="16"/>
        <v>0</v>
      </c>
      <c r="Y574" s="98"/>
      <c r="AU574" s="103">
        <f t="shared" si="17"/>
        <v>0</v>
      </c>
    </row>
    <row r="575" spans="21:47" s="28" customFormat="1" x14ac:dyDescent="0.25">
      <c r="U575" s="103">
        <f t="shared" si="16"/>
        <v>0</v>
      </c>
      <c r="Y575" s="98"/>
      <c r="AU575" s="103">
        <f t="shared" si="17"/>
        <v>0</v>
      </c>
    </row>
    <row r="576" spans="21:47" s="28" customFormat="1" x14ac:dyDescent="0.25">
      <c r="U576" s="103">
        <f t="shared" si="16"/>
        <v>0</v>
      </c>
      <c r="Y576" s="98"/>
      <c r="AU576" s="103">
        <f t="shared" si="17"/>
        <v>0</v>
      </c>
    </row>
    <row r="577" spans="21:47" s="28" customFormat="1" x14ac:dyDescent="0.25">
      <c r="U577" s="103">
        <f t="shared" si="16"/>
        <v>0</v>
      </c>
      <c r="Y577" s="98"/>
      <c r="AU577" s="103">
        <f t="shared" si="17"/>
        <v>0</v>
      </c>
    </row>
    <row r="578" spans="21:47" s="28" customFormat="1" x14ac:dyDescent="0.25">
      <c r="U578" s="103">
        <f t="shared" si="16"/>
        <v>0</v>
      </c>
      <c r="Y578" s="98"/>
      <c r="AU578" s="103">
        <f t="shared" si="17"/>
        <v>0</v>
      </c>
    </row>
    <row r="579" spans="21:47" s="28" customFormat="1" x14ac:dyDescent="0.25">
      <c r="U579" s="103">
        <f t="shared" si="16"/>
        <v>0</v>
      </c>
      <c r="Y579" s="98"/>
      <c r="AU579" s="103">
        <f t="shared" si="17"/>
        <v>0</v>
      </c>
    </row>
    <row r="580" spans="21:47" s="28" customFormat="1" x14ac:dyDescent="0.25">
      <c r="U580" s="103">
        <f t="shared" si="16"/>
        <v>0</v>
      </c>
      <c r="Y580" s="98"/>
      <c r="AU580" s="103">
        <f t="shared" si="17"/>
        <v>0</v>
      </c>
    </row>
    <row r="581" spans="21:47" s="28" customFormat="1" x14ac:dyDescent="0.25">
      <c r="U581" s="103">
        <f t="shared" si="16"/>
        <v>0</v>
      </c>
      <c r="Y581" s="98"/>
      <c r="AU581" s="103">
        <f t="shared" si="17"/>
        <v>0</v>
      </c>
    </row>
    <row r="582" spans="21:47" s="28" customFormat="1" x14ac:dyDescent="0.25">
      <c r="U582" s="103">
        <f t="shared" si="16"/>
        <v>0</v>
      </c>
      <c r="Y582" s="98"/>
      <c r="AU582" s="103">
        <f t="shared" si="17"/>
        <v>0</v>
      </c>
    </row>
    <row r="583" spans="21:47" s="28" customFormat="1" x14ac:dyDescent="0.25">
      <c r="U583" s="103">
        <f t="shared" si="16"/>
        <v>0</v>
      </c>
      <c r="Y583" s="98"/>
      <c r="AU583" s="103">
        <f t="shared" si="17"/>
        <v>0</v>
      </c>
    </row>
    <row r="584" spans="21:47" s="28" customFormat="1" x14ac:dyDescent="0.25">
      <c r="U584" s="103">
        <f t="shared" si="16"/>
        <v>0</v>
      </c>
      <c r="Y584" s="98"/>
      <c r="AU584" s="103">
        <f t="shared" si="17"/>
        <v>0</v>
      </c>
    </row>
    <row r="585" spans="21:47" s="28" customFormat="1" x14ac:dyDescent="0.25">
      <c r="U585" s="103">
        <f t="shared" si="16"/>
        <v>0</v>
      </c>
      <c r="Y585" s="98"/>
      <c r="AU585" s="103">
        <f t="shared" si="17"/>
        <v>0</v>
      </c>
    </row>
    <row r="586" spans="21:47" s="28" customFormat="1" x14ac:dyDescent="0.25">
      <c r="U586" s="103">
        <f t="shared" si="16"/>
        <v>0</v>
      </c>
      <c r="Y586" s="98"/>
      <c r="AU586" s="103">
        <f t="shared" si="17"/>
        <v>0</v>
      </c>
    </row>
    <row r="587" spans="21:47" s="28" customFormat="1" x14ac:dyDescent="0.25">
      <c r="U587" s="103">
        <f t="shared" si="16"/>
        <v>0</v>
      </c>
      <c r="Y587" s="98"/>
      <c r="AU587" s="103">
        <f t="shared" si="17"/>
        <v>0</v>
      </c>
    </row>
    <row r="588" spans="21:47" s="28" customFormat="1" x14ac:dyDescent="0.25">
      <c r="U588" s="103">
        <f t="shared" si="16"/>
        <v>0</v>
      </c>
      <c r="Y588" s="98"/>
      <c r="AU588" s="103">
        <f t="shared" si="17"/>
        <v>0</v>
      </c>
    </row>
    <row r="589" spans="21:47" s="28" customFormat="1" x14ac:dyDescent="0.25">
      <c r="U589" s="103">
        <f t="shared" si="16"/>
        <v>0</v>
      </c>
      <c r="Y589" s="98"/>
      <c r="AU589" s="103">
        <f t="shared" si="17"/>
        <v>0</v>
      </c>
    </row>
    <row r="590" spans="21:47" s="28" customFormat="1" x14ac:dyDescent="0.25">
      <c r="U590" s="103">
        <f t="shared" si="16"/>
        <v>0</v>
      </c>
      <c r="Y590" s="98"/>
      <c r="AU590" s="103">
        <f t="shared" si="17"/>
        <v>0</v>
      </c>
    </row>
    <row r="591" spans="21:47" s="28" customFormat="1" x14ac:dyDescent="0.25">
      <c r="U591" s="103">
        <f t="shared" si="16"/>
        <v>0</v>
      </c>
      <c r="Y591" s="98"/>
      <c r="AU591" s="103">
        <f t="shared" si="17"/>
        <v>0</v>
      </c>
    </row>
    <row r="592" spans="21:47" s="28" customFormat="1" x14ac:dyDescent="0.25">
      <c r="U592" s="103">
        <f t="shared" si="16"/>
        <v>0</v>
      </c>
      <c r="Y592" s="98"/>
      <c r="AU592" s="103">
        <f t="shared" si="17"/>
        <v>0</v>
      </c>
    </row>
    <row r="593" spans="21:47" s="28" customFormat="1" x14ac:dyDescent="0.25">
      <c r="U593" s="103">
        <f t="shared" si="16"/>
        <v>0</v>
      </c>
      <c r="Y593" s="98"/>
      <c r="AU593" s="103">
        <f t="shared" si="17"/>
        <v>0</v>
      </c>
    </row>
    <row r="594" spans="21:47" s="28" customFormat="1" x14ac:dyDescent="0.25">
      <c r="U594" s="103">
        <f t="shared" si="16"/>
        <v>0</v>
      </c>
      <c r="Y594" s="98"/>
      <c r="AU594" s="103">
        <f t="shared" si="17"/>
        <v>0</v>
      </c>
    </row>
    <row r="595" spans="21:47" s="28" customFormat="1" x14ac:dyDescent="0.25">
      <c r="U595" s="103">
        <f t="shared" si="16"/>
        <v>0</v>
      </c>
      <c r="Y595" s="98"/>
      <c r="AU595" s="103">
        <f t="shared" si="17"/>
        <v>0</v>
      </c>
    </row>
    <row r="596" spans="21:47" s="28" customFormat="1" x14ac:dyDescent="0.25">
      <c r="U596" s="103">
        <f t="shared" si="16"/>
        <v>0</v>
      </c>
      <c r="Y596" s="98"/>
      <c r="AU596" s="103">
        <f t="shared" si="17"/>
        <v>0</v>
      </c>
    </row>
    <row r="597" spans="21:47" s="28" customFormat="1" x14ac:dyDescent="0.25">
      <c r="U597" s="103">
        <f t="shared" si="16"/>
        <v>0</v>
      </c>
      <c r="Y597" s="98"/>
      <c r="AU597" s="103">
        <f t="shared" si="17"/>
        <v>0</v>
      </c>
    </row>
    <row r="598" spans="21:47" s="28" customFormat="1" x14ac:dyDescent="0.25">
      <c r="U598" s="103">
        <f t="shared" ref="U598:U600" si="18">IF(R598="TruePositive",IF(D598&lt;&gt;1,N598,0),0)</f>
        <v>0</v>
      </c>
      <c r="Y598" s="98"/>
      <c r="AU598" s="103">
        <f t="shared" ref="AU598:AU600" si="19">IF(AQ598="TruePositive",IF(AC598&lt;&gt;1,AM598,0),0)</f>
        <v>0</v>
      </c>
    </row>
    <row r="599" spans="21:47" s="28" customFormat="1" x14ac:dyDescent="0.25">
      <c r="U599" s="103">
        <f t="shared" si="18"/>
        <v>0</v>
      </c>
      <c r="Y599" s="98"/>
      <c r="AU599" s="103">
        <f t="shared" si="19"/>
        <v>0</v>
      </c>
    </row>
    <row r="600" spans="21:47" s="28" customFormat="1" x14ac:dyDescent="0.25">
      <c r="U600" s="103">
        <f t="shared" si="18"/>
        <v>0</v>
      </c>
      <c r="Y600" s="98"/>
      <c r="AU600" s="103">
        <f t="shared" si="19"/>
        <v>0</v>
      </c>
    </row>
    <row r="601" spans="21:47" s="28" customFormat="1" x14ac:dyDescent="0.25">
      <c r="Y601" s="98"/>
    </row>
    <row r="602" spans="21:47" s="28" customFormat="1" x14ac:dyDescent="0.25">
      <c r="Y602" s="98"/>
    </row>
    <row r="603" spans="21:47" s="28" customFormat="1" x14ac:dyDescent="0.25">
      <c r="Y603" s="98"/>
    </row>
    <row r="604" spans="21:47" s="28" customFormat="1" x14ac:dyDescent="0.25">
      <c r="Y604" s="98"/>
    </row>
    <row r="605" spans="21:47" s="28" customFormat="1" x14ac:dyDescent="0.25">
      <c r="Y605" s="98"/>
    </row>
    <row r="606" spans="21:47" s="28" customFormat="1" x14ac:dyDescent="0.25">
      <c r="Y606" s="98"/>
    </row>
    <row r="607" spans="21:47" s="28" customFormat="1" x14ac:dyDescent="0.25">
      <c r="Y607" s="98"/>
    </row>
    <row r="608" spans="21:47" s="28" customFormat="1" x14ac:dyDescent="0.25">
      <c r="Y608" s="98"/>
    </row>
    <row r="609" spans="25:25" s="28" customFormat="1" x14ac:dyDescent="0.25">
      <c r="Y609" s="98"/>
    </row>
    <row r="610" spans="25:25" s="28" customFormat="1" x14ac:dyDescent="0.25">
      <c r="Y610" s="98"/>
    </row>
    <row r="611" spans="25:25" s="28" customFormat="1" x14ac:dyDescent="0.25">
      <c r="Y611" s="98"/>
    </row>
    <row r="612" spans="25:25" s="28" customFormat="1" x14ac:dyDescent="0.25">
      <c r="Y612" s="98"/>
    </row>
    <row r="613" spans="25:25" s="28" customFormat="1" x14ac:dyDescent="0.25">
      <c r="Y613" s="98"/>
    </row>
    <row r="614" spans="25:25" s="28" customFormat="1" x14ac:dyDescent="0.25">
      <c r="Y614" s="98"/>
    </row>
    <row r="615" spans="25:25" s="28" customFormat="1" x14ac:dyDescent="0.25">
      <c r="Y615" s="98"/>
    </row>
    <row r="616" spans="25:25" s="28" customFormat="1" x14ac:dyDescent="0.25">
      <c r="Y616" s="98"/>
    </row>
    <row r="617" spans="25:25" s="28" customFormat="1" x14ac:dyDescent="0.25">
      <c r="Y617" s="98"/>
    </row>
    <row r="618" spans="25:25" s="28" customFormat="1" x14ac:dyDescent="0.25">
      <c r="Y618" s="98"/>
    </row>
    <row r="619" spans="25:25" s="28" customFormat="1" x14ac:dyDescent="0.25">
      <c r="Y619" s="98"/>
    </row>
    <row r="620" spans="25:25" s="28" customFormat="1" x14ac:dyDescent="0.25">
      <c r="Y620" s="98"/>
    </row>
    <row r="621" spans="25:25" s="28" customFormat="1" x14ac:dyDescent="0.25">
      <c r="Y621" s="98"/>
    </row>
    <row r="622" spans="25:25" s="28" customFormat="1" x14ac:dyDescent="0.25">
      <c r="Y622" s="98"/>
    </row>
    <row r="623" spans="25:25" s="28" customFormat="1" x14ac:dyDescent="0.25">
      <c r="Y623" s="98"/>
    </row>
    <row r="624" spans="25:25" s="28" customFormat="1" x14ac:dyDescent="0.25">
      <c r="Y624" s="98"/>
    </row>
    <row r="625" spans="1:25" s="28" customFormat="1" x14ac:dyDescent="0.25">
      <c r="Y625" s="98"/>
    </row>
    <row r="626" spans="1:25" s="28" customFormat="1" x14ac:dyDescent="0.25">
      <c r="Y626" s="98"/>
    </row>
    <row r="627" spans="1:25" s="28" customFormat="1" x14ac:dyDescent="0.25">
      <c r="Y627" s="98"/>
    </row>
    <row r="628" spans="1:25" s="28" customFormat="1" x14ac:dyDescent="0.25">
      <c r="Y628" s="98"/>
    </row>
    <row r="629" spans="1:25" s="28" customFormat="1" x14ac:dyDescent="0.25">
      <c r="Y629" s="98"/>
    </row>
    <row r="630" spans="1:25" s="28" customFormat="1" x14ac:dyDescent="0.25">
      <c r="Y630" s="98"/>
    </row>
    <row r="631" spans="1:25" s="28" customFormat="1" x14ac:dyDescent="0.25">
      <c r="Y631" s="98"/>
    </row>
    <row r="632" spans="1:25" s="28" customFormat="1" x14ac:dyDescent="0.25">
      <c r="Y632" s="98"/>
    </row>
    <row r="633" spans="1:25" s="28" customFormat="1" x14ac:dyDescent="0.25">
      <c r="Y633" s="98"/>
    </row>
    <row r="634" spans="1:25" s="64" customFormat="1" x14ac:dyDescent="0.25">
      <c r="A634" s="63"/>
      <c r="S634" s="28"/>
      <c r="Y634" s="99"/>
    </row>
    <row r="635" spans="1:25" s="64" customFormat="1" x14ac:dyDescent="0.25">
      <c r="A635" s="63"/>
      <c r="S635" s="28"/>
      <c r="Y635" s="99"/>
    </row>
    <row r="636" spans="1:25" s="64" customFormat="1" x14ac:dyDescent="0.25">
      <c r="A636" s="63"/>
      <c r="S636" s="28"/>
      <c r="Y636" s="99"/>
    </row>
    <row r="637" spans="1:25" s="64" customFormat="1" x14ac:dyDescent="0.25">
      <c r="A637" s="63"/>
      <c r="S637" s="28"/>
      <c r="Y637" s="99"/>
    </row>
    <row r="638" spans="1:25" s="64" customFormat="1" x14ac:dyDescent="0.25">
      <c r="A638" s="63"/>
      <c r="S638" s="28"/>
      <c r="Y638" s="99"/>
    </row>
    <row r="639" spans="1:25" s="64" customFormat="1" x14ac:dyDescent="0.25">
      <c r="A639" s="63"/>
      <c r="S639" s="28"/>
      <c r="Y639" s="99"/>
    </row>
    <row r="640" spans="1:25" s="64" customFormat="1" x14ac:dyDescent="0.25">
      <c r="A640" s="63"/>
      <c r="S640" s="28"/>
      <c r="Y640" s="99"/>
    </row>
    <row r="641" spans="1:43" s="64" customFormat="1" x14ac:dyDescent="0.25">
      <c r="A641" s="63"/>
      <c r="S641" s="28"/>
      <c r="Y641" s="99"/>
    </row>
    <row r="642" spans="1:43" s="64" customFormat="1" x14ac:dyDescent="0.25">
      <c r="A642" s="63"/>
      <c r="S642" s="28"/>
      <c r="Y642" s="99"/>
    </row>
    <row r="643" spans="1:43" s="64" customFormat="1" x14ac:dyDescent="0.25">
      <c r="A643" s="63"/>
      <c r="S643" s="28"/>
      <c r="Y643" s="99"/>
    </row>
    <row r="644" spans="1:43" s="64" customFormat="1" x14ac:dyDescent="0.25">
      <c r="A644" s="63"/>
      <c r="S644" s="28"/>
      <c r="Y644" s="99"/>
    </row>
    <row r="645" spans="1:43" s="64" customFormat="1" x14ac:dyDescent="0.25">
      <c r="A645" s="63"/>
      <c r="S645" s="28"/>
      <c r="Y645" s="99"/>
    </row>
    <row r="646" spans="1:43" s="64" customFormat="1" x14ac:dyDescent="0.25">
      <c r="A646" s="63"/>
      <c r="S646" s="28"/>
      <c r="Y646" s="99"/>
    </row>
    <row r="647" spans="1:43" s="64" customFormat="1" x14ac:dyDescent="0.25">
      <c r="A647" s="63"/>
      <c r="S647" s="28"/>
      <c r="Y647" s="99"/>
    </row>
    <row r="648" spans="1:43" s="64" customFormat="1" x14ac:dyDescent="0.25">
      <c r="A648" s="63"/>
      <c r="S648" s="28"/>
      <c r="Y648" s="99"/>
    </row>
    <row r="649" spans="1:43" s="64" customFormat="1" x14ac:dyDescent="0.25">
      <c r="A649" s="63"/>
      <c r="S649" s="28"/>
      <c r="Y649" s="99"/>
    </row>
    <row r="650" spans="1:43" s="64" customFormat="1" x14ac:dyDescent="0.25">
      <c r="A650" s="63"/>
      <c r="S650" s="28"/>
      <c r="Y650" s="99"/>
    </row>
    <row r="651" spans="1:43" s="64" customFormat="1" x14ac:dyDescent="0.25">
      <c r="A651" s="63"/>
      <c r="S651" s="28"/>
      <c r="Y651" s="99"/>
    </row>
    <row r="652" spans="1:43" s="64" customFormat="1" x14ac:dyDescent="0.25">
      <c r="A652" s="63"/>
      <c r="S652" s="28"/>
      <c r="Y652" s="99"/>
    </row>
    <row r="653" spans="1:43" s="64" customFormat="1" x14ac:dyDescent="0.25">
      <c r="A653" s="63"/>
      <c r="S653" s="28"/>
      <c r="Y653" s="99"/>
    </row>
    <row r="654" spans="1:43" x14ac:dyDescent="0.25">
      <c r="A654" s="63"/>
      <c r="B654" s="64"/>
      <c r="C654" s="64"/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4"/>
      <c r="S654" s="28"/>
      <c r="T654" s="64"/>
      <c r="U654" s="64"/>
      <c r="Y654" s="99"/>
      <c r="Z654" s="64"/>
      <c r="AA654" s="64"/>
      <c r="AB654" s="64"/>
      <c r="AC654" s="64"/>
      <c r="AD654" s="64"/>
      <c r="AE654" s="64"/>
      <c r="AF654" s="64"/>
      <c r="AG654" s="64"/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</row>
    <row r="655" spans="1:43" x14ac:dyDescent="0.25">
      <c r="A655" s="63"/>
      <c r="B655" s="64"/>
      <c r="C655" s="64"/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4"/>
      <c r="S655" s="28"/>
      <c r="Y655" s="99"/>
      <c r="Z655" s="64"/>
    </row>
    <row r="656" spans="1:43" x14ac:dyDescent="0.25">
      <c r="A656" s="63"/>
      <c r="B656" s="64"/>
      <c r="C656" s="64"/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4"/>
      <c r="S656" s="28"/>
      <c r="Y656" s="99"/>
      <c r="Z656" s="64"/>
    </row>
    <row r="657" spans="1:26" x14ac:dyDescent="0.25">
      <c r="A657" s="63"/>
      <c r="B657" s="64"/>
      <c r="C657" s="64"/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4"/>
      <c r="S657" s="28"/>
      <c r="Y657" s="99"/>
      <c r="Z657" s="64"/>
    </row>
    <row r="658" spans="1:26" x14ac:dyDescent="0.25">
      <c r="A658" s="63"/>
      <c r="B658" s="64"/>
      <c r="C658" s="64"/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4"/>
      <c r="S658" s="28"/>
      <c r="Y658" s="99"/>
      <c r="Z658" s="64"/>
    </row>
    <row r="659" spans="1:26" x14ac:dyDescent="0.25">
      <c r="A659" s="63"/>
      <c r="B659" s="64"/>
      <c r="C659" s="64"/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4"/>
      <c r="S659" s="28"/>
      <c r="Y659" s="99"/>
      <c r="Z659" s="64"/>
    </row>
    <row r="660" spans="1:26" x14ac:dyDescent="0.25">
      <c r="A660" s="63"/>
      <c r="B660" s="64"/>
      <c r="C660" s="64"/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4"/>
      <c r="S660" s="28"/>
      <c r="Y660" s="99"/>
      <c r="Z660" s="64"/>
    </row>
    <row r="661" spans="1:26" x14ac:dyDescent="0.25">
      <c r="A661" s="63"/>
      <c r="B661" s="64"/>
      <c r="C661" s="64"/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4"/>
      <c r="S661" s="28"/>
      <c r="Y661" s="99"/>
      <c r="Z661" s="64"/>
    </row>
    <row r="662" spans="1:26" x14ac:dyDescent="0.25">
      <c r="A662" s="63"/>
      <c r="B662" s="64"/>
      <c r="C662" s="64"/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4"/>
      <c r="S662" s="28"/>
      <c r="Y662" s="99"/>
      <c r="Z662" s="64"/>
    </row>
    <row r="663" spans="1:26" x14ac:dyDescent="0.25">
      <c r="A663" s="63"/>
      <c r="B663" s="64"/>
      <c r="C663" s="64"/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4"/>
      <c r="S663" s="28"/>
      <c r="Y663" s="99"/>
      <c r="Z663" s="64"/>
    </row>
    <row r="664" spans="1:26" x14ac:dyDescent="0.25">
      <c r="A664" s="63"/>
      <c r="B664" s="64"/>
      <c r="C664" s="64"/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4"/>
      <c r="S664" s="28"/>
      <c r="Y664" s="99"/>
      <c r="Z664" s="64"/>
    </row>
    <row r="665" spans="1:26" x14ac:dyDescent="0.25">
      <c r="A665" s="63"/>
      <c r="B665" s="64"/>
      <c r="C665" s="64"/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4"/>
      <c r="S665" s="28"/>
      <c r="Y665" s="99"/>
      <c r="Z665" s="64"/>
    </row>
    <row r="666" spans="1:26" x14ac:dyDescent="0.25">
      <c r="A666" s="63"/>
      <c r="B666" s="64"/>
      <c r="C666" s="64"/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4"/>
      <c r="S666" s="28"/>
      <c r="Y666" s="99"/>
      <c r="Z666" s="64"/>
    </row>
    <row r="667" spans="1:26" x14ac:dyDescent="0.25">
      <c r="A667" s="63"/>
      <c r="B667" s="64"/>
      <c r="C667" s="64"/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4"/>
      <c r="S667" s="28"/>
      <c r="Y667" s="99"/>
      <c r="Z667" s="64"/>
    </row>
    <row r="668" spans="1:26" x14ac:dyDescent="0.25">
      <c r="A668" s="63"/>
      <c r="B668" s="64"/>
      <c r="C668" s="64"/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4"/>
      <c r="S668" s="28"/>
      <c r="Y668" s="99"/>
      <c r="Z668" s="64"/>
    </row>
    <row r="669" spans="1:26" x14ac:dyDescent="0.25">
      <c r="A669" s="63"/>
      <c r="B669" s="64"/>
      <c r="C669" s="64"/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4"/>
      <c r="S669" s="28"/>
      <c r="Y669" s="99"/>
      <c r="Z669" s="64"/>
    </row>
    <row r="670" spans="1:26" x14ac:dyDescent="0.25">
      <c r="A670" s="63"/>
      <c r="B670" s="64"/>
      <c r="C670" s="64"/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4"/>
      <c r="S670" s="28"/>
      <c r="Y670" s="99"/>
      <c r="Z670" s="64"/>
    </row>
    <row r="671" spans="1:26" x14ac:dyDescent="0.25">
      <c r="A671" s="63"/>
      <c r="B671" s="64"/>
      <c r="C671" s="64"/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4"/>
      <c r="S671" s="28"/>
      <c r="Y671" s="99"/>
      <c r="Z671" s="64"/>
    </row>
    <row r="672" spans="1:26" x14ac:dyDescent="0.25">
      <c r="A672" s="63"/>
      <c r="B672" s="64"/>
      <c r="C672" s="64"/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4"/>
      <c r="S672" s="28"/>
      <c r="Y672" s="99"/>
      <c r="Z672" s="64"/>
    </row>
    <row r="673" spans="1:26" x14ac:dyDescent="0.25">
      <c r="A673" s="63"/>
      <c r="B673" s="64"/>
      <c r="C673" s="64"/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4"/>
      <c r="S673" s="28"/>
      <c r="Y673" s="99"/>
      <c r="Z673" s="64"/>
    </row>
    <row r="674" spans="1:26" x14ac:dyDescent="0.25">
      <c r="A674" s="63"/>
      <c r="B674" s="64"/>
      <c r="C674" s="64"/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4"/>
      <c r="S674" s="28"/>
      <c r="Y674" s="99"/>
      <c r="Z674" s="64"/>
    </row>
    <row r="675" spans="1:26" x14ac:dyDescent="0.25">
      <c r="A675" s="63"/>
      <c r="B675" s="64"/>
      <c r="C675" s="64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4"/>
      <c r="S675" s="28"/>
      <c r="Y675" s="99"/>
      <c r="Z675" s="64"/>
    </row>
    <row r="676" spans="1:26" x14ac:dyDescent="0.25">
      <c r="A676" s="63"/>
      <c r="B676" s="64"/>
      <c r="C676" s="64"/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4"/>
      <c r="S676" s="28"/>
      <c r="Y676" s="99"/>
      <c r="Z676" s="64"/>
    </row>
    <row r="677" spans="1:26" x14ac:dyDescent="0.25">
      <c r="A677" s="63"/>
      <c r="B677" s="64"/>
      <c r="C677" s="64"/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4"/>
      <c r="S677" s="28"/>
      <c r="Y677" s="99"/>
      <c r="Z677" s="64"/>
    </row>
    <row r="678" spans="1:26" x14ac:dyDescent="0.25">
      <c r="A678" s="63"/>
      <c r="B678" s="64"/>
      <c r="C678" s="64"/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4"/>
      <c r="S678" s="28"/>
      <c r="Y678" s="99"/>
      <c r="Z678" s="64"/>
    </row>
    <row r="679" spans="1:26" x14ac:dyDescent="0.25">
      <c r="A679" s="63"/>
      <c r="B679" s="64"/>
      <c r="C679" s="64"/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4"/>
      <c r="S679" s="28"/>
      <c r="Y679" s="99"/>
      <c r="Z679" s="64"/>
    </row>
    <row r="680" spans="1:26" x14ac:dyDescent="0.25">
      <c r="A680" s="63"/>
      <c r="B680" s="64"/>
      <c r="C680" s="64"/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4"/>
      <c r="S680" s="28"/>
      <c r="Y680" s="99"/>
      <c r="Z680" s="64"/>
    </row>
    <row r="681" spans="1:26" x14ac:dyDescent="0.25">
      <c r="A681" s="63"/>
      <c r="B681" s="64"/>
      <c r="C681" s="64"/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4"/>
      <c r="S681" s="28"/>
      <c r="Y681" s="99"/>
      <c r="Z681" s="64"/>
    </row>
    <row r="682" spans="1:26" x14ac:dyDescent="0.25">
      <c r="A682" s="63"/>
      <c r="B682" s="64"/>
      <c r="C682" s="64"/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4"/>
      <c r="S682" s="28"/>
      <c r="Y682" s="99"/>
      <c r="Z682" s="64"/>
    </row>
    <row r="683" spans="1:26" x14ac:dyDescent="0.25">
      <c r="A683" s="63"/>
      <c r="B683" s="64"/>
      <c r="C683" s="64"/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4"/>
      <c r="S683" s="28"/>
      <c r="Y683" s="99"/>
      <c r="Z683" s="64"/>
    </row>
    <row r="684" spans="1:26" x14ac:dyDescent="0.25">
      <c r="A684" s="63"/>
      <c r="B684" s="64"/>
      <c r="C684" s="64"/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4"/>
      <c r="S684" s="28"/>
      <c r="Y684" s="99"/>
      <c r="Z684" s="64"/>
    </row>
    <row r="685" spans="1:26" x14ac:dyDescent="0.25">
      <c r="A685" s="63"/>
      <c r="B685" s="64"/>
      <c r="C685" s="64"/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4"/>
      <c r="S685" s="28"/>
      <c r="Y685" s="99"/>
      <c r="Z685" s="64"/>
    </row>
    <row r="686" spans="1:26" x14ac:dyDescent="0.25">
      <c r="A686" s="63"/>
      <c r="B686" s="64"/>
      <c r="C686" s="64"/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4"/>
      <c r="S686" s="28"/>
      <c r="Y686" s="99"/>
      <c r="Z686" s="64"/>
    </row>
    <row r="687" spans="1:26" x14ac:dyDescent="0.25">
      <c r="A687" s="63"/>
      <c r="B687" s="64"/>
      <c r="C687" s="64"/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4"/>
      <c r="S687" s="28"/>
      <c r="Y687" s="99"/>
      <c r="Z687" s="64"/>
    </row>
    <row r="688" spans="1:26" x14ac:dyDescent="0.25">
      <c r="A688" s="63"/>
      <c r="B688" s="64"/>
      <c r="C688" s="64"/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4"/>
      <c r="S688" s="28"/>
      <c r="Y688" s="99"/>
      <c r="Z688" s="64"/>
    </row>
    <row r="689" spans="1:26" x14ac:dyDescent="0.25">
      <c r="A689" s="63"/>
      <c r="B689" s="64"/>
      <c r="C689" s="64"/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4"/>
      <c r="S689" s="28"/>
      <c r="Y689" s="99"/>
      <c r="Z689" s="64"/>
    </row>
    <row r="690" spans="1:26" x14ac:dyDescent="0.25">
      <c r="A690" s="63"/>
      <c r="B690" s="64"/>
      <c r="C690" s="64"/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4"/>
      <c r="S690" s="28"/>
      <c r="Y690" s="99"/>
      <c r="Z690" s="64"/>
    </row>
    <row r="691" spans="1:26" x14ac:dyDescent="0.25">
      <c r="A691" s="63"/>
      <c r="B691" s="64"/>
      <c r="C691" s="64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4"/>
      <c r="S691" s="28"/>
      <c r="Y691" s="99"/>
      <c r="Z691" s="64"/>
    </row>
    <row r="692" spans="1:26" x14ac:dyDescent="0.25">
      <c r="A692" s="63"/>
      <c r="B692" s="64"/>
      <c r="C692" s="64"/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4"/>
      <c r="S692" s="28"/>
      <c r="Y692" s="99"/>
      <c r="Z692" s="64"/>
    </row>
    <row r="693" spans="1:26" x14ac:dyDescent="0.25">
      <c r="A693" s="63"/>
      <c r="B693" s="64"/>
      <c r="C693" s="64"/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4"/>
      <c r="S693" s="28"/>
      <c r="Y693" s="99"/>
      <c r="Z693" s="64"/>
    </row>
    <row r="694" spans="1:26" x14ac:dyDescent="0.25">
      <c r="A694" s="63"/>
      <c r="B694" s="64"/>
      <c r="C694" s="64"/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4"/>
      <c r="S694" s="28"/>
      <c r="Y694" s="99"/>
      <c r="Z694" s="64"/>
    </row>
    <row r="695" spans="1:26" x14ac:dyDescent="0.25">
      <c r="A695" s="63"/>
      <c r="B695" s="64"/>
      <c r="C695" s="64"/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4"/>
      <c r="S695" s="28"/>
      <c r="Y695" s="99"/>
      <c r="Z695" s="64"/>
    </row>
    <row r="696" spans="1:26" x14ac:dyDescent="0.25">
      <c r="A696" s="63"/>
      <c r="B696" s="64"/>
      <c r="C696" s="64"/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4"/>
      <c r="S696" s="28"/>
      <c r="Y696" s="99"/>
      <c r="Z696" s="64"/>
    </row>
    <row r="697" spans="1:26" x14ac:dyDescent="0.25">
      <c r="A697" s="63"/>
      <c r="B697" s="64"/>
      <c r="C697" s="64"/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4"/>
      <c r="S697" s="28"/>
      <c r="Y697" s="99"/>
      <c r="Z697" s="64"/>
    </row>
    <row r="698" spans="1:26" x14ac:dyDescent="0.25">
      <c r="A698" s="63"/>
      <c r="B698" s="64"/>
      <c r="C698" s="64"/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4"/>
      <c r="S698" s="28"/>
      <c r="Y698" s="99"/>
      <c r="Z698" s="64"/>
    </row>
    <row r="699" spans="1:26" x14ac:dyDescent="0.25">
      <c r="A699" s="63"/>
      <c r="B699" s="64"/>
      <c r="C699" s="64"/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4"/>
      <c r="S699" s="28"/>
      <c r="Y699" s="99"/>
      <c r="Z699" s="64"/>
    </row>
    <row r="700" spans="1:26" x14ac:dyDescent="0.25">
      <c r="A700" s="63"/>
      <c r="B700" s="64"/>
      <c r="C700" s="64"/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4"/>
      <c r="S700" s="28"/>
      <c r="Y700" s="99"/>
      <c r="Z700" s="64"/>
    </row>
    <row r="701" spans="1:26" x14ac:dyDescent="0.25">
      <c r="A701" s="63"/>
      <c r="B701" s="64"/>
      <c r="C701" s="64"/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4"/>
      <c r="S701" s="28"/>
      <c r="Y701" s="99"/>
      <c r="Z701" s="64"/>
    </row>
    <row r="702" spans="1:26" x14ac:dyDescent="0.25">
      <c r="A702" s="63"/>
      <c r="B702" s="64"/>
      <c r="C702" s="64"/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4"/>
      <c r="S702" s="28"/>
      <c r="Y702" s="99"/>
      <c r="Z702" s="64"/>
    </row>
    <row r="703" spans="1:26" x14ac:dyDescent="0.25">
      <c r="A703" s="63"/>
      <c r="B703" s="64"/>
      <c r="C703" s="64"/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4"/>
      <c r="S703" s="28"/>
      <c r="Y703" s="99"/>
      <c r="Z703" s="64"/>
    </row>
    <row r="704" spans="1:26" x14ac:dyDescent="0.25">
      <c r="A704" s="63"/>
      <c r="B704" s="64"/>
      <c r="C704" s="64"/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4"/>
      <c r="S704" s="28"/>
      <c r="Y704" s="99"/>
      <c r="Z704" s="64"/>
    </row>
    <row r="705" spans="1:26" x14ac:dyDescent="0.25">
      <c r="A705" s="63"/>
      <c r="B705" s="64"/>
      <c r="C705" s="64"/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4"/>
      <c r="S705" s="28"/>
      <c r="Y705" s="99"/>
      <c r="Z705" s="64"/>
    </row>
    <row r="706" spans="1:26" x14ac:dyDescent="0.25">
      <c r="A706" s="63"/>
      <c r="B706" s="64"/>
      <c r="C706" s="64"/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4"/>
      <c r="S706" s="28"/>
      <c r="Y706" s="99"/>
      <c r="Z706" s="64"/>
    </row>
    <row r="707" spans="1:26" x14ac:dyDescent="0.25">
      <c r="A707" s="63"/>
      <c r="B707" s="64"/>
      <c r="C707" s="64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4"/>
      <c r="S707" s="28"/>
      <c r="Y707" s="99"/>
      <c r="Z707" s="64"/>
    </row>
    <row r="708" spans="1:26" x14ac:dyDescent="0.25">
      <c r="A708" s="63"/>
      <c r="B708" s="64"/>
      <c r="C708" s="64"/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4"/>
      <c r="S708" s="28"/>
      <c r="Y708" s="99"/>
      <c r="Z708" s="64"/>
    </row>
    <row r="709" spans="1:26" x14ac:dyDescent="0.25">
      <c r="A709" s="63"/>
      <c r="B709" s="64"/>
      <c r="C709" s="64"/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4"/>
      <c r="S709" s="28"/>
      <c r="Y709" s="99"/>
      <c r="Z709" s="64"/>
    </row>
    <row r="710" spans="1:26" x14ac:dyDescent="0.25">
      <c r="A710" s="63"/>
      <c r="B710" s="64"/>
      <c r="C710" s="64"/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4"/>
      <c r="S710" s="28"/>
      <c r="Y710" s="99"/>
      <c r="Z710" s="64"/>
    </row>
    <row r="711" spans="1:26" x14ac:dyDescent="0.25">
      <c r="A711" s="63"/>
      <c r="B711" s="64"/>
      <c r="C711" s="64"/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4"/>
      <c r="S711" s="28"/>
      <c r="Y711" s="99"/>
      <c r="Z711" s="64"/>
    </row>
    <row r="712" spans="1:26" x14ac:dyDescent="0.25">
      <c r="A712" s="63"/>
      <c r="B712" s="64"/>
      <c r="C712" s="64"/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4"/>
      <c r="S712" s="28"/>
      <c r="Y712" s="99"/>
      <c r="Z712" s="64"/>
    </row>
    <row r="713" spans="1:26" x14ac:dyDescent="0.25">
      <c r="A713" s="63"/>
      <c r="B713" s="64"/>
      <c r="C713" s="64"/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4"/>
      <c r="S713" s="28"/>
      <c r="Y713" s="99"/>
      <c r="Z713" s="64"/>
    </row>
    <row r="714" spans="1:26" x14ac:dyDescent="0.25">
      <c r="A714" s="63"/>
      <c r="B714" s="64"/>
      <c r="C714" s="64"/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4"/>
      <c r="S714" s="28"/>
      <c r="Y714" s="99"/>
      <c r="Z714" s="64"/>
    </row>
    <row r="715" spans="1:26" x14ac:dyDescent="0.25">
      <c r="A715" s="63"/>
      <c r="B715" s="64"/>
      <c r="C715" s="64"/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4"/>
      <c r="S715" s="28"/>
      <c r="Y715" s="99"/>
      <c r="Z715" s="64"/>
    </row>
    <row r="716" spans="1:26" x14ac:dyDescent="0.25">
      <c r="A716" s="63"/>
      <c r="B716" s="64"/>
      <c r="C716" s="64"/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4"/>
      <c r="S716" s="28"/>
      <c r="Y716" s="99"/>
      <c r="Z716" s="64"/>
    </row>
    <row r="717" spans="1:26" x14ac:dyDescent="0.25">
      <c r="A717" s="63"/>
      <c r="B717" s="64"/>
      <c r="C717" s="64"/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4"/>
      <c r="S717" s="28"/>
      <c r="Y717" s="99"/>
      <c r="Z717" s="64"/>
    </row>
    <row r="718" spans="1:26" x14ac:dyDescent="0.25">
      <c r="A718" s="63"/>
      <c r="B718" s="64"/>
      <c r="C718" s="64"/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4"/>
      <c r="S718" s="28"/>
      <c r="Y718" s="99"/>
      <c r="Z718" s="64"/>
    </row>
    <row r="719" spans="1:26" x14ac:dyDescent="0.25">
      <c r="A719" s="63"/>
      <c r="B719" s="64"/>
      <c r="C719" s="64"/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4"/>
      <c r="S719" s="28"/>
      <c r="Y719" s="99"/>
      <c r="Z719" s="64"/>
    </row>
    <row r="720" spans="1:26" x14ac:dyDescent="0.25">
      <c r="A720" s="63"/>
      <c r="B720" s="64"/>
      <c r="C720" s="64"/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4"/>
      <c r="S720" s="28"/>
      <c r="Y720" s="99"/>
      <c r="Z720" s="64"/>
    </row>
    <row r="721" spans="1:26" x14ac:dyDescent="0.25">
      <c r="A721" s="63"/>
      <c r="B721" s="64"/>
      <c r="C721" s="64"/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4"/>
      <c r="S721" s="28"/>
      <c r="Y721" s="99"/>
      <c r="Z721" s="64"/>
    </row>
    <row r="722" spans="1:26" x14ac:dyDescent="0.25">
      <c r="A722" s="63"/>
      <c r="B722" s="64"/>
      <c r="C722" s="64"/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4"/>
      <c r="S722" s="28"/>
      <c r="Y722" s="99"/>
      <c r="Z722" s="64"/>
    </row>
    <row r="723" spans="1:26" x14ac:dyDescent="0.25">
      <c r="A723" s="63"/>
      <c r="B723" s="64"/>
      <c r="C723" s="64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4"/>
      <c r="S723" s="28"/>
      <c r="Y723" s="99"/>
      <c r="Z723" s="64"/>
    </row>
    <row r="724" spans="1:26" x14ac:dyDescent="0.25">
      <c r="A724" s="63"/>
      <c r="B724" s="64"/>
      <c r="C724" s="64"/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4"/>
      <c r="S724" s="28"/>
      <c r="Y724" s="99"/>
      <c r="Z724" s="64"/>
    </row>
    <row r="725" spans="1:26" x14ac:dyDescent="0.25">
      <c r="A725" s="63"/>
      <c r="B725" s="64"/>
      <c r="C725" s="64"/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4"/>
      <c r="S725" s="28"/>
      <c r="Y725" s="99"/>
      <c r="Z725" s="64"/>
    </row>
    <row r="726" spans="1:26" x14ac:dyDescent="0.25">
      <c r="A726" s="63"/>
      <c r="B726" s="64"/>
      <c r="C726" s="64"/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4"/>
      <c r="S726" s="28"/>
      <c r="Y726" s="99"/>
      <c r="Z726" s="64"/>
    </row>
    <row r="727" spans="1:26" x14ac:dyDescent="0.25">
      <c r="A727" s="63"/>
      <c r="B727" s="64"/>
      <c r="C727" s="64"/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4"/>
      <c r="S727" s="28"/>
      <c r="Y727" s="99"/>
      <c r="Z727" s="64"/>
    </row>
    <row r="728" spans="1:26" x14ac:dyDescent="0.25">
      <c r="A728" s="63"/>
      <c r="B728" s="64"/>
      <c r="C728" s="64"/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4"/>
      <c r="S728" s="28"/>
      <c r="Y728" s="99"/>
      <c r="Z728" s="64"/>
    </row>
    <row r="729" spans="1:26" x14ac:dyDescent="0.25">
      <c r="A729" s="63"/>
      <c r="B729" s="64"/>
      <c r="C729" s="64"/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4"/>
      <c r="S729" s="28"/>
      <c r="Y729" s="99"/>
      <c r="Z729" s="64"/>
    </row>
    <row r="730" spans="1:26" x14ac:dyDescent="0.25">
      <c r="A730" s="63"/>
      <c r="B730" s="64"/>
      <c r="C730" s="64"/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4"/>
      <c r="S730" s="28"/>
      <c r="Y730" s="99"/>
      <c r="Z730" s="64"/>
    </row>
    <row r="731" spans="1:26" x14ac:dyDescent="0.25">
      <c r="A731" s="63"/>
      <c r="B731" s="64"/>
      <c r="C731" s="64"/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4"/>
      <c r="S731" s="28"/>
      <c r="Y731" s="99"/>
      <c r="Z731" s="64"/>
    </row>
    <row r="732" spans="1:26" x14ac:dyDescent="0.25">
      <c r="A732" s="63"/>
      <c r="B732" s="64"/>
      <c r="C732" s="64"/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4"/>
      <c r="S732" s="28"/>
      <c r="Y732" s="99"/>
      <c r="Z732" s="64"/>
    </row>
    <row r="733" spans="1:26" x14ac:dyDescent="0.25">
      <c r="A733" s="63"/>
      <c r="B733" s="64"/>
      <c r="C733" s="64"/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4"/>
      <c r="S733" s="28"/>
      <c r="Y733" s="99"/>
      <c r="Z733" s="64"/>
    </row>
    <row r="734" spans="1:26" x14ac:dyDescent="0.25">
      <c r="A734" s="63"/>
      <c r="B734" s="64"/>
      <c r="C734" s="64"/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4"/>
      <c r="S734" s="28"/>
      <c r="Y734" s="99"/>
      <c r="Z734" s="64"/>
    </row>
    <row r="735" spans="1:26" x14ac:dyDescent="0.25">
      <c r="A735" s="63"/>
      <c r="B735" s="64"/>
      <c r="C735" s="64"/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4"/>
      <c r="S735" s="28"/>
      <c r="Y735" s="99"/>
      <c r="Z735" s="64"/>
    </row>
    <row r="736" spans="1:26" x14ac:dyDescent="0.25">
      <c r="A736" s="63"/>
      <c r="B736" s="64"/>
      <c r="C736" s="64"/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4"/>
      <c r="S736" s="28"/>
      <c r="Y736" s="99"/>
      <c r="Z736" s="64"/>
    </row>
    <row r="737" spans="1:26" x14ac:dyDescent="0.25">
      <c r="A737" s="63"/>
      <c r="B737" s="64"/>
      <c r="C737" s="64"/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4"/>
      <c r="S737" s="28"/>
      <c r="Y737" s="99"/>
      <c r="Z737" s="64"/>
    </row>
    <row r="738" spans="1:26" x14ac:dyDescent="0.25">
      <c r="A738" s="63"/>
      <c r="B738" s="64"/>
      <c r="C738" s="64"/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4"/>
      <c r="S738" s="28"/>
      <c r="Y738" s="99"/>
      <c r="Z738" s="64"/>
    </row>
    <row r="739" spans="1:26" x14ac:dyDescent="0.25">
      <c r="A739" s="63"/>
      <c r="B739" s="64"/>
      <c r="C739" s="64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4"/>
      <c r="S739" s="28"/>
      <c r="Y739" s="99"/>
      <c r="Z739" s="64"/>
    </row>
    <row r="740" spans="1:26" x14ac:dyDescent="0.25">
      <c r="A740" s="63"/>
      <c r="B740" s="64"/>
      <c r="C740" s="64"/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4"/>
      <c r="S740" s="28"/>
      <c r="Y740" s="99"/>
      <c r="Z740" s="64"/>
    </row>
    <row r="741" spans="1:26" x14ac:dyDescent="0.25">
      <c r="A741" s="63"/>
      <c r="B741" s="64"/>
      <c r="C741" s="64"/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4"/>
      <c r="S741" s="28"/>
      <c r="Y741" s="99"/>
      <c r="Z741" s="64"/>
    </row>
    <row r="742" spans="1:26" x14ac:dyDescent="0.25">
      <c r="A742" s="63"/>
      <c r="B742" s="64"/>
      <c r="C742" s="64"/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4"/>
      <c r="S742" s="28"/>
      <c r="Y742" s="99"/>
      <c r="Z742" s="64"/>
    </row>
    <row r="743" spans="1:26" x14ac:dyDescent="0.25">
      <c r="A743" s="63"/>
      <c r="B743" s="64"/>
      <c r="C743" s="64"/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4"/>
      <c r="S743" s="28"/>
      <c r="Y743" s="99"/>
      <c r="Z743" s="64"/>
    </row>
    <row r="744" spans="1:26" x14ac:dyDescent="0.25">
      <c r="A744" s="63"/>
      <c r="B744" s="64"/>
      <c r="C744" s="64"/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4"/>
      <c r="S744" s="28"/>
      <c r="Y744" s="99"/>
      <c r="Z744" s="64"/>
    </row>
    <row r="745" spans="1:26" x14ac:dyDescent="0.25">
      <c r="A745" s="63"/>
      <c r="B745" s="64"/>
      <c r="C745" s="64"/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4"/>
      <c r="S745" s="28"/>
      <c r="Y745" s="99"/>
      <c r="Z745" s="64"/>
    </row>
    <row r="746" spans="1:26" x14ac:dyDescent="0.25">
      <c r="A746" s="63"/>
      <c r="B746" s="64"/>
      <c r="C746" s="64"/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4"/>
      <c r="S746" s="28"/>
      <c r="Y746" s="99"/>
      <c r="Z746" s="64"/>
    </row>
    <row r="747" spans="1:26" x14ac:dyDescent="0.25">
      <c r="A747" s="63"/>
      <c r="B747" s="64"/>
      <c r="C747" s="64"/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4"/>
      <c r="S747" s="28"/>
      <c r="Y747" s="99"/>
      <c r="Z747" s="64"/>
    </row>
    <row r="748" spans="1:26" x14ac:dyDescent="0.25">
      <c r="A748" s="63"/>
      <c r="B748" s="64"/>
      <c r="C748" s="64"/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4"/>
      <c r="S748" s="28"/>
      <c r="Y748" s="99"/>
      <c r="Z748" s="64"/>
    </row>
    <row r="749" spans="1:26" x14ac:dyDescent="0.25">
      <c r="A749" s="63"/>
      <c r="B749" s="64"/>
      <c r="C749" s="64"/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4"/>
      <c r="S749" s="28"/>
      <c r="Y749" s="99"/>
      <c r="Z749" s="64"/>
    </row>
    <row r="750" spans="1:26" x14ac:dyDescent="0.25">
      <c r="A750" s="63"/>
      <c r="B750" s="64"/>
      <c r="C750" s="64"/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4"/>
      <c r="S750" s="28"/>
      <c r="Y750" s="99"/>
      <c r="Z750" s="64"/>
    </row>
    <row r="751" spans="1:26" x14ac:dyDescent="0.25">
      <c r="A751" s="63"/>
      <c r="B751" s="64"/>
      <c r="C751" s="64"/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4"/>
      <c r="S751" s="28"/>
      <c r="Y751" s="99"/>
      <c r="Z751" s="64"/>
    </row>
    <row r="752" spans="1:26" x14ac:dyDescent="0.25">
      <c r="A752" s="63"/>
      <c r="B752" s="64"/>
      <c r="C752" s="64"/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4"/>
      <c r="S752" s="28"/>
      <c r="Y752" s="99"/>
      <c r="Z752" s="64"/>
    </row>
    <row r="753" spans="1:26" x14ac:dyDescent="0.25">
      <c r="A753" s="63"/>
      <c r="B753" s="64"/>
      <c r="C753" s="64"/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4"/>
      <c r="S753" s="28"/>
      <c r="Y753" s="99"/>
      <c r="Z753" s="64"/>
    </row>
    <row r="754" spans="1:26" x14ac:dyDescent="0.25">
      <c r="A754" s="63"/>
      <c r="B754" s="64"/>
      <c r="C754" s="64"/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4"/>
      <c r="S754" s="28"/>
      <c r="Y754" s="99"/>
      <c r="Z754" s="64"/>
    </row>
    <row r="755" spans="1:26" x14ac:dyDescent="0.25">
      <c r="A755" s="63"/>
      <c r="B755" s="64"/>
      <c r="C755" s="64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4"/>
      <c r="S755" s="28"/>
      <c r="Y755" s="99"/>
      <c r="Z755" s="64"/>
    </row>
    <row r="756" spans="1:26" x14ac:dyDescent="0.25">
      <c r="A756" s="63"/>
      <c r="B756" s="64"/>
      <c r="C756" s="64"/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4"/>
      <c r="S756" s="28"/>
      <c r="Y756" s="99"/>
      <c r="Z756" s="64"/>
    </row>
    <row r="757" spans="1:26" x14ac:dyDescent="0.25">
      <c r="A757" s="63"/>
      <c r="B757" s="64"/>
      <c r="C757" s="64"/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4"/>
      <c r="S757" s="28"/>
      <c r="Y757" s="99"/>
      <c r="Z757" s="64"/>
    </row>
    <row r="758" spans="1:26" x14ac:dyDescent="0.25">
      <c r="A758" s="63"/>
      <c r="B758" s="64"/>
      <c r="C758" s="64"/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4"/>
      <c r="S758" s="28"/>
      <c r="Y758" s="99"/>
      <c r="Z758" s="64"/>
    </row>
    <row r="759" spans="1:26" x14ac:dyDescent="0.25">
      <c r="A759" s="63"/>
      <c r="B759" s="64"/>
      <c r="C759" s="64"/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4"/>
      <c r="S759" s="28"/>
      <c r="Y759" s="99"/>
      <c r="Z759" s="64"/>
    </row>
    <row r="760" spans="1:26" x14ac:dyDescent="0.25">
      <c r="A760" s="63"/>
      <c r="B760" s="64"/>
      <c r="C760" s="64"/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4"/>
      <c r="S760" s="28"/>
      <c r="Y760" s="99"/>
      <c r="Z760" s="64"/>
    </row>
    <row r="761" spans="1:26" x14ac:dyDescent="0.25">
      <c r="A761" s="63"/>
      <c r="B761" s="64"/>
      <c r="C761" s="64"/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4"/>
      <c r="S761" s="28"/>
      <c r="Y761" s="99"/>
      <c r="Z761" s="64"/>
    </row>
    <row r="762" spans="1:26" x14ac:dyDescent="0.25">
      <c r="A762" s="63"/>
      <c r="B762" s="64"/>
      <c r="C762" s="64"/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4"/>
      <c r="S762" s="28"/>
      <c r="Y762" s="99"/>
      <c r="Z762" s="64"/>
    </row>
    <row r="763" spans="1:26" x14ac:dyDescent="0.25">
      <c r="A763" s="63"/>
      <c r="B763" s="64"/>
      <c r="C763" s="64"/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4"/>
      <c r="S763" s="28"/>
      <c r="Y763" s="99"/>
      <c r="Z763" s="64"/>
    </row>
    <row r="764" spans="1:26" x14ac:dyDescent="0.25">
      <c r="A764" s="63"/>
      <c r="B764" s="64"/>
      <c r="C764" s="64"/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4"/>
      <c r="S764" s="28"/>
      <c r="Y764" s="99"/>
      <c r="Z764" s="64"/>
    </row>
    <row r="765" spans="1:26" x14ac:dyDescent="0.25">
      <c r="A765" s="63"/>
      <c r="B765" s="64"/>
      <c r="C765" s="64"/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4"/>
      <c r="S765" s="28"/>
      <c r="Y765" s="99"/>
      <c r="Z765" s="64"/>
    </row>
    <row r="766" spans="1:26" x14ac:dyDescent="0.25">
      <c r="A766" s="63"/>
      <c r="B766" s="64"/>
      <c r="C766" s="64"/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4"/>
      <c r="S766" s="28"/>
      <c r="Y766" s="99"/>
      <c r="Z766" s="64"/>
    </row>
    <row r="767" spans="1:26" x14ac:dyDescent="0.25">
      <c r="A767" s="63"/>
      <c r="B767" s="64"/>
      <c r="C767" s="64"/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4"/>
      <c r="S767" s="28"/>
      <c r="Y767" s="99"/>
      <c r="Z767" s="64"/>
    </row>
    <row r="768" spans="1:26" x14ac:dyDescent="0.25">
      <c r="A768" s="63"/>
      <c r="B768" s="64"/>
      <c r="C768" s="64"/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4"/>
      <c r="S768" s="28"/>
      <c r="Y768" s="99"/>
      <c r="Z768" s="64"/>
    </row>
    <row r="769" spans="1:26" x14ac:dyDescent="0.25">
      <c r="A769" s="63"/>
      <c r="B769" s="64"/>
      <c r="C769" s="64"/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4"/>
      <c r="S769" s="28"/>
      <c r="Y769" s="99"/>
      <c r="Z769" s="64"/>
    </row>
    <row r="770" spans="1:26" x14ac:dyDescent="0.25">
      <c r="A770" s="63"/>
      <c r="B770" s="64"/>
      <c r="C770" s="64"/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4"/>
      <c r="S770" s="28"/>
      <c r="Y770" s="99"/>
      <c r="Z770" s="64"/>
    </row>
    <row r="771" spans="1:26" x14ac:dyDescent="0.25">
      <c r="A771" s="63"/>
      <c r="B771" s="64"/>
      <c r="C771" s="64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4"/>
      <c r="S771" s="28"/>
      <c r="Y771" s="99"/>
      <c r="Z771" s="64"/>
    </row>
    <row r="772" spans="1:26" x14ac:dyDescent="0.25">
      <c r="A772" s="63"/>
      <c r="B772" s="64"/>
      <c r="C772" s="64"/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4"/>
      <c r="S772" s="28"/>
      <c r="Y772" s="99"/>
      <c r="Z772" s="64"/>
    </row>
    <row r="773" spans="1:26" x14ac:dyDescent="0.25">
      <c r="A773" s="63"/>
      <c r="B773" s="64"/>
      <c r="C773" s="64"/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4"/>
      <c r="S773" s="28"/>
      <c r="Y773" s="99"/>
      <c r="Z773" s="64"/>
    </row>
    <row r="774" spans="1:26" x14ac:dyDescent="0.25">
      <c r="A774" s="63"/>
      <c r="B774" s="64"/>
      <c r="C774" s="64"/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4"/>
      <c r="S774" s="28"/>
      <c r="Y774" s="99"/>
      <c r="Z774" s="64"/>
    </row>
    <row r="775" spans="1:26" x14ac:dyDescent="0.25">
      <c r="A775" s="63"/>
      <c r="B775" s="64"/>
      <c r="C775" s="64"/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4"/>
      <c r="S775" s="28"/>
      <c r="Y775" s="99"/>
      <c r="Z775" s="64"/>
    </row>
    <row r="776" spans="1:26" x14ac:dyDescent="0.25">
      <c r="A776" s="63"/>
      <c r="B776" s="64"/>
      <c r="C776" s="64"/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4"/>
      <c r="S776" s="28"/>
      <c r="Y776" s="99"/>
      <c r="Z776" s="64"/>
    </row>
    <row r="777" spans="1:26" x14ac:dyDescent="0.25">
      <c r="A777" s="63"/>
      <c r="B777" s="64"/>
      <c r="C777" s="64"/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4"/>
      <c r="S777" s="28"/>
      <c r="Y777" s="99"/>
      <c r="Z777" s="64"/>
    </row>
    <row r="778" spans="1:26" x14ac:dyDescent="0.25">
      <c r="A778" s="63"/>
      <c r="B778" s="64"/>
      <c r="C778" s="64"/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4"/>
      <c r="S778" s="28"/>
      <c r="Y778" s="99"/>
      <c r="Z778" s="64"/>
    </row>
    <row r="779" spans="1:26" x14ac:dyDescent="0.25">
      <c r="A779" s="63"/>
      <c r="B779" s="64"/>
      <c r="C779" s="64"/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4"/>
      <c r="S779" s="28"/>
      <c r="Y779" s="99"/>
      <c r="Z779" s="64"/>
    </row>
    <row r="780" spans="1:26" x14ac:dyDescent="0.25">
      <c r="A780" s="63"/>
      <c r="B780" s="64"/>
      <c r="C780" s="64"/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4"/>
      <c r="S780" s="28"/>
    </row>
    <row r="781" spans="1:26" x14ac:dyDescent="0.25">
      <c r="A781" s="63"/>
      <c r="B781" s="64"/>
      <c r="C781" s="64"/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4"/>
      <c r="S781" s="28"/>
    </row>
    <row r="782" spans="1:26" x14ac:dyDescent="0.25">
      <c r="A782" s="63"/>
      <c r="B782" s="64"/>
      <c r="C782" s="64"/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4"/>
      <c r="S782" s="28"/>
    </row>
    <row r="783" spans="1:26" x14ac:dyDescent="0.25">
      <c r="A783" s="63"/>
      <c r="B783" s="64"/>
      <c r="C783" s="64"/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4"/>
      <c r="S783" s="28"/>
    </row>
    <row r="784" spans="1:26" x14ac:dyDescent="0.25">
      <c r="A784" s="63"/>
      <c r="B784" s="64"/>
      <c r="C784" s="64"/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4"/>
      <c r="S784" s="28"/>
    </row>
    <row r="785" spans="1:19" x14ac:dyDescent="0.25">
      <c r="A785" s="63"/>
      <c r="B785" s="64"/>
      <c r="C785" s="64"/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4"/>
      <c r="S785" s="28"/>
    </row>
    <row r="786" spans="1:19" x14ac:dyDescent="0.25">
      <c r="A786" s="63"/>
      <c r="B786" s="64"/>
      <c r="C786" s="64"/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4"/>
      <c r="S786" s="28"/>
    </row>
    <row r="787" spans="1:19" x14ac:dyDescent="0.25">
      <c r="A787" s="63"/>
      <c r="B787" s="64"/>
      <c r="C787" s="64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4"/>
      <c r="S787" s="28"/>
    </row>
    <row r="788" spans="1:19" x14ac:dyDescent="0.25">
      <c r="A788" s="63"/>
      <c r="B788" s="64"/>
      <c r="C788" s="64"/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4"/>
      <c r="S788" s="28"/>
    </row>
    <row r="789" spans="1:19" x14ac:dyDescent="0.25">
      <c r="A789" s="63"/>
      <c r="B789" s="64"/>
      <c r="C789" s="64"/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4"/>
      <c r="S789" s="28"/>
    </row>
    <row r="790" spans="1:19" x14ac:dyDescent="0.25">
      <c r="A790" s="63"/>
      <c r="B790" s="64"/>
      <c r="C790" s="64"/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4"/>
      <c r="S790" s="28"/>
    </row>
    <row r="791" spans="1:19" x14ac:dyDescent="0.25">
      <c r="A791" s="63"/>
      <c r="B791" s="64"/>
      <c r="C791" s="64"/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4"/>
      <c r="S791" s="28"/>
    </row>
    <row r="792" spans="1:19" x14ac:dyDescent="0.25">
      <c r="A792" s="63"/>
      <c r="B792" s="64"/>
      <c r="C792" s="64"/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4"/>
      <c r="S792" s="28"/>
    </row>
    <row r="793" spans="1:19" x14ac:dyDescent="0.25">
      <c r="A793" s="63"/>
      <c r="B793" s="64"/>
      <c r="C793" s="64"/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4"/>
      <c r="S793" s="28"/>
    </row>
    <row r="794" spans="1:19" x14ac:dyDescent="0.25">
      <c r="A794" s="63"/>
      <c r="B794" s="64"/>
      <c r="C794" s="64"/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4"/>
      <c r="S794" s="28"/>
    </row>
    <row r="795" spans="1:19" x14ac:dyDescent="0.25">
      <c r="A795" s="63"/>
      <c r="B795" s="64"/>
      <c r="C795" s="64"/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4"/>
      <c r="S795" s="28"/>
    </row>
    <row r="796" spans="1:19" x14ac:dyDescent="0.25">
      <c r="A796" s="63"/>
      <c r="B796" s="64"/>
      <c r="C796" s="64"/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4"/>
      <c r="S796" s="28"/>
    </row>
    <row r="797" spans="1:19" x14ac:dyDescent="0.25">
      <c r="A797" s="63"/>
      <c r="B797" s="64"/>
      <c r="C797" s="64"/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4"/>
      <c r="S797" s="28"/>
    </row>
    <row r="798" spans="1:19" x14ac:dyDescent="0.25">
      <c r="A798" s="63"/>
      <c r="B798" s="64"/>
      <c r="C798" s="64"/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4"/>
      <c r="S798" s="28"/>
    </row>
    <row r="799" spans="1:19" x14ac:dyDescent="0.25">
      <c r="A799" s="63"/>
      <c r="B799" s="64"/>
      <c r="C799" s="64"/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4"/>
      <c r="S799" s="28"/>
    </row>
    <row r="800" spans="1:19" x14ac:dyDescent="0.25">
      <c r="A800" s="63"/>
      <c r="B800" s="64"/>
      <c r="C800" s="64"/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4"/>
      <c r="S800" s="28"/>
    </row>
    <row r="801" spans="1:19" x14ac:dyDescent="0.25">
      <c r="A801" s="63"/>
      <c r="B801" s="64"/>
      <c r="C801" s="64"/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4"/>
      <c r="S801" s="28"/>
    </row>
    <row r="802" spans="1:19" x14ac:dyDescent="0.25">
      <c r="A802" s="63"/>
      <c r="B802" s="64"/>
      <c r="C802" s="64"/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4"/>
      <c r="S802" s="28"/>
    </row>
    <row r="803" spans="1:19" x14ac:dyDescent="0.25">
      <c r="A803" s="63"/>
      <c r="B803" s="64"/>
      <c r="C803" s="64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4"/>
      <c r="S803" s="28"/>
    </row>
    <row r="804" spans="1:19" x14ac:dyDescent="0.25">
      <c r="A804" s="63"/>
      <c r="B804" s="64"/>
      <c r="C804" s="64"/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4"/>
      <c r="S804" s="28"/>
    </row>
    <row r="805" spans="1:19" x14ac:dyDescent="0.25">
      <c r="A805" s="63"/>
      <c r="B805" s="64"/>
      <c r="C805" s="64"/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4"/>
      <c r="S805" s="28"/>
    </row>
    <row r="806" spans="1:19" x14ac:dyDescent="0.25">
      <c r="A806" s="63"/>
      <c r="B806" s="64"/>
      <c r="C806" s="64"/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4"/>
      <c r="S806" s="28"/>
    </row>
    <row r="807" spans="1:19" x14ac:dyDescent="0.25">
      <c r="A807" s="63"/>
      <c r="B807" s="64"/>
      <c r="C807" s="64"/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4"/>
      <c r="S807" s="28"/>
    </row>
    <row r="808" spans="1:19" x14ac:dyDescent="0.25">
      <c r="A808" s="63"/>
      <c r="B808" s="64"/>
      <c r="C808" s="64"/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4"/>
      <c r="S808" s="28"/>
    </row>
    <row r="809" spans="1:19" x14ac:dyDescent="0.25">
      <c r="A809" s="63"/>
      <c r="B809" s="64"/>
      <c r="C809" s="64"/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4"/>
      <c r="S809" s="28"/>
    </row>
    <row r="810" spans="1:19" x14ac:dyDescent="0.25">
      <c r="A810" s="63"/>
      <c r="B810" s="64"/>
      <c r="C810" s="64"/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4"/>
      <c r="S810" s="28"/>
    </row>
    <row r="811" spans="1:19" x14ac:dyDescent="0.25">
      <c r="A811" s="63"/>
      <c r="B811" s="64"/>
      <c r="C811" s="64"/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4"/>
      <c r="S811" s="28"/>
    </row>
    <row r="812" spans="1:19" x14ac:dyDescent="0.25">
      <c r="A812" s="63"/>
      <c r="B812" s="64"/>
      <c r="C812" s="64"/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4"/>
      <c r="S812" s="28"/>
    </row>
    <row r="813" spans="1:19" x14ac:dyDescent="0.25">
      <c r="A813" s="63"/>
      <c r="B813" s="64"/>
      <c r="C813" s="64"/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4"/>
      <c r="S813" s="28"/>
    </row>
    <row r="814" spans="1:19" x14ac:dyDescent="0.25">
      <c r="A814" s="63"/>
      <c r="B814" s="64"/>
      <c r="C814" s="64"/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4"/>
      <c r="S814" s="28"/>
    </row>
    <row r="815" spans="1:19" x14ac:dyDescent="0.25">
      <c r="A815" s="63"/>
      <c r="B815" s="64"/>
      <c r="C815" s="64"/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4"/>
      <c r="S815" s="28"/>
    </row>
    <row r="816" spans="1:19" x14ac:dyDescent="0.25">
      <c r="A816" s="63"/>
      <c r="B816" s="64"/>
      <c r="C816" s="64"/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4"/>
      <c r="S816" s="28"/>
    </row>
    <row r="817" spans="1:19" x14ac:dyDescent="0.25">
      <c r="A817" s="63"/>
      <c r="B817" s="64"/>
      <c r="C817" s="64"/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4"/>
      <c r="S817" s="28"/>
    </row>
    <row r="818" spans="1:19" x14ac:dyDescent="0.25">
      <c r="A818" s="63"/>
      <c r="B818" s="64"/>
      <c r="C818" s="64"/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4"/>
      <c r="S818" s="28"/>
    </row>
    <row r="819" spans="1:19" x14ac:dyDescent="0.25">
      <c r="A819" s="63"/>
      <c r="B819" s="64"/>
      <c r="C819" s="64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4"/>
      <c r="S819" s="28"/>
    </row>
    <row r="820" spans="1:19" x14ac:dyDescent="0.25">
      <c r="A820" s="63"/>
      <c r="B820" s="64"/>
      <c r="C820" s="64"/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4"/>
      <c r="S820" s="28"/>
    </row>
    <row r="821" spans="1:19" x14ac:dyDescent="0.25">
      <c r="A821" s="63"/>
      <c r="B821" s="64"/>
      <c r="C821" s="64"/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4"/>
      <c r="S821" s="28"/>
    </row>
    <row r="822" spans="1:19" x14ac:dyDescent="0.25">
      <c r="A822" s="63"/>
      <c r="B822" s="64"/>
      <c r="C822" s="64"/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4"/>
      <c r="S822" s="28"/>
    </row>
    <row r="823" spans="1:19" x14ac:dyDescent="0.25">
      <c r="A823" s="63"/>
      <c r="B823" s="64"/>
      <c r="C823" s="64"/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4"/>
      <c r="S823" s="28"/>
    </row>
    <row r="824" spans="1:19" x14ac:dyDescent="0.25">
      <c r="A824" s="63"/>
      <c r="B824" s="64"/>
      <c r="C824" s="64"/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4"/>
      <c r="S824" s="28"/>
    </row>
    <row r="825" spans="1:19" x14ac:dyDescent="0.25">
      <c r="A825" s="63"/>
      <c r="B825" s="64"/>
      <c r="C825" s="64"/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4"/>
      <c r="S825" s="28"/>
    </row>
    <row r="826" spans="1:19" x14ac:dyDescent="0.25">
      <c r="A826" s="63"/>
      <c r="B826" s="64"/>
      <c r="C826" s="64"/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4"/>
      <c r="S826" s="28"/>
    </row>
    <row r="827" spans="1:19" x14ac:dyDescent="0.25">
      <c r="A827" s="63"/>
      <c r="B827" s="64"/>
      <c r="C827" s="64"/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4"/>
      <c r="S827" s="28"/>
    </row>
    <row r="828" spans="1:19" x14ac:dyDescent="0.25">
      <c r="A828" s="63"/>
      <c r="B828" s="64"/>
      <c r="C828" s="64"/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4"/>
      <c r="S828" s="28"/>
    </row>
    <row r="829" spans="1:19" x14ac:dyDescent="0.25">
      <c r="A829" s="63"/>
      <c r="B829" s="64"/>
      <c r="C829" s="64"/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4"/>
      <c r="S829" s="28"/>
    </row>
    <row r="830" spans="1:19" x14ac:dyDescent="0.25">
      <c r="A830" s="63"/>
      <c r="B830" s="64"/>
      <c r="C830" s="64"/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4"/>
      <c r="S830" s="28"/>
    </row>
    <row r="831" spans="1:19" x14ac:dyDescent="0.25">
      <c r="A831" s="63"/>
      <c r="B831" s="64"/>
      <c r="C831" s="64"/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4"/>
      <c r="S831" s="28"/>
    </row>
    <row r="832" spans="1:19" x14ac:dyDescent="0.25">
      <c r="A832" s="63"/>
      <c r="B832" s="64"/>
      <c r="C832" s="64"/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4"/>
      <c r="S832" s="28"/>
    </row>
    <row r="833" spans="1:19" x14ac:dyDescent="0.25">
      <c r="A833" s="63"/>
      <c r="B833" s="64"/>
      <c r="C833" s="64"/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4"/>
      <c r="S833" s="28"/>
    </row>
    <row r="834" spans="1:19" x14ac:dyDescent="0.25">
      <c r="A834" s="63"/>
      <c r="B834" s="64"/>
      <c r="C834" s="64"/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4"/>
      <c r="S834" s="28"/>
    </row>
    <row r="835" spans="1:19" x14ac:dyDescent="0.25">
      <c r="A835" s="63"/>
      <c r="B835" s="64"/>
      <c r="C835" s="64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4"/>
      <c r="S835" s="28"/>
    </row>
    <row r="836" spans="1:19" x14ac:dyDescent="0.25">
      <c r="A836" s="63"/>
      <c r="B836" s="64"/>
      <c r="C836" s="64"/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4"/>
      <c r="S836" s="28"/>
    </row>
    <row r="837" spans="1:19" x14ac:dyDescent="0.25">
      <c r="A837" s="63"/>
      <c r="B837" s="64"/>
      <c r="C837" s="64"/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4"/>
      <c r="S837" s="28"/>
    </row>
    <row r="838" spans="1:19" x14ac:dyDescent="0.25">
      <c r="A838" s="63"/>
      <c r="B838" s="64"/>
      <c r="C838" s="64"/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4"/>
      <c r="S838" s="28"/>
    </row>
    <row r="839" spans="1:19" x14ac:dyDescent="0.25">
      <c r="A839" s="63"/>
      <c r="B839" s="64"/>
      <c r="C839" s="64"/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4"/>
      <c r="S839" s="28"/>
    </row>
    <row r="840" spans="1:19" x14ac:dyDescent="0.25">
      <c r="A840" s="63"/>
      <c r="B840" s="64"/>
      <c r="C840" s="64"/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4"/>
      <c r="S840" s="28"/>
    </row>
    <row r="841" spans="1:19" x14ac:dyDescent="0.25">
      <c r="A841" s="63"/>
      <c r="B841" s="64"/>
      <c r="C841" s="64"/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4"/>
      <c r="S841" s="28"/>
    </row>
    <row r="842" spans="1:19" x14ac:dyDescent="0.25">
      <c r="A842" s="63"/>
      <c r="B842" s="64"/>
      <c r="C842" s="64"/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4"/>
      <c r="S842" s="28"/>
    </row>
    <row r="843" spans="1:19" x14ac:dyDescent="0.25">
      <c r="A843" s="63"/>
      <c r="B843" s="64"/>
      <c r="C843" s="64"/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4"/>
      <c r="S843" s="28"/>
    </row>
    <row r="844" spans="1:19" x14ac:dyDescent="0.25">
      <c r="A844" s="63"/>
      <c r="B844" s="64"/>
      <c r="C844" s="64"/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4"/>
      <c r="S844" s="28"/>
    </row>
    <row r="845" spans="1:19" x14ac:dyDescent="0.25">
      <c r="A845" s="63"/>
      <c r="B845" s="64"/>
      <c r="C845" s="64"/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4"/>
      <c r="S845" s="28"/>
    </row>
    <row r="846" spans="1:19" x14ac:dyDescent="0.25">
      <c r="A846" s="63"/>
      <c r="B846" s="64"/>
      <c r="C846" s="64"/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4"/>
      <c r="S846" s="28"/>
    </row>
    <row r="847" spans="1:19" x14ac:dyDescent="0.25">
      <c r="A847" s="63"/>
      <c r="B847" s="64"/>
      <c r="C847" s="64"/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4"/>
      <c r="S847" s="28"/>
    </row>
    <row r="848" spans="1:19" x14ac:dyDescent="0.25">
      <c r="A848" s="63"/>
      <c r="B848" s="64"/>
      <c r="C848" s="64"/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4"/>
      <c r="S848" s="28"/>
    </row>
    <row r="849" spans="1:19" x14ac:dyDescent="0.25">
      <c r="A849" s="63"/>
      <c r="B849" s="64"/>
      <c r="C849" s="64"/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4"/>
      <c r="S849" s="28"/>
    </row>
    <row r="850" spans="1:19" x14ac:dyDescent="0.25">
      <c r="A850" s="63"/>
      <c r="B850" s="64"/>
      <c r="C850" s="64"/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4"/>
      <c r="S850" s="28"/>
    </row>
    <row r="851" spans="1:19" x14ac:dyDescent="0.25">
      <c r="A851" s="63"/>
      <c r="B851" s="64"/>
      <c r="C851" s="64"/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64"/>
      <c r="S851" s="28"/>
    </row>
    <row r="852" spans="1:19" x14ac:dyDescent="0.25">
      <c r="A852" s="63"/>
      <c r="B852" s="64"/>
      <c r="C852" s="64"/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64"/>
      <c r="S852" s="28"/>
    </row>
    <row r="853" spans="1:19" x14ac:dyDescent="0.25">
      <c r="A853" s="63"/>
      <c r="B853" s="64"/>
      <c r="C853" s="64"/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64"/>
      <c r="S853" s="28"/>
    </row>
    <row r="854" spans="1:19" x14ac:dyDescent="0.25">
      <c r="A854" s="63"/>
      <c r="B854" s="64"/>
      <c r="C854" s="64"/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64"/>
      <c r="S854" s="28"/>
    </row>
    <row r="855" spans="1:19" x14ac:dyDescent="0.25">
      <c r="A855" s="63"/>
      <c r="B855" s="64"/>
      <c r="C855" s="64"/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64"/>
      <c r="S855" s="28"/>
    </row>
    <row r="856" spans="1:19" x14ac:dyDescent="0.25">
      <c r="A856" s="63"/>
      <c r="B856" s="64"/>
      <c r="C856" s="64"/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64"/>
      <c r="S856" s="28"/>
    </row>
    <row r="857" spans="1:19" x14ac:dyDescent="0.25">
      <c r="A857" s="63"/>
      <c r="B857" s="64"/>
      <c r="C857" s="64"/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64"/>
      <c r="S857" s="28"/>
    </row>
    <row r="858" spans="1:19" x14ac:dyDescent="0.25">
      <c r="A858" s="63"/>
      <c r="B858" s="64"/>
      <c r="C858" s="64"/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64"/>
      <c r="S858" s="28"/>
    </row>
    <row r="859" spans="1:19" x14ac:dyDescent="0.25">
      <c r="A859" s="63"/>
      <c r="B859" s="64"/>
      <c r="C859" s="64"/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64"/>
      <c r="S859" s="28"/>
    </row>
    <row r="860" spans="1:19" x14ac:dyDescent="0.25">
      <c r="A860" s="63"/>
      <c r="B860" s="64"/>
      <c r="C860" s="64"/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64"/>
      <c r="S860" s="28"/>
    </row>
    <row r="861" spans="1:19" x14ac:dyDescent="0.25">
      <c r="A861" s="63"/>
      <c r="B861" s="64"/>
      <c r="C861" s="64"/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64"/>
      <c r="S861" s="28"/>
    </row>
    <row r="862" spans="1:19" x14ac:dyDescent="0.25">
      <c r="A862" s="63"/>
      <c r="B862" s="64"/>
      <c r="C862" s="64"/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64"/>
      <c r="S862" s="28"/>
    </row>
    <row r="863" spans="1:19" x14ac:dyDescent="0.25">
      <c r="A863" s="63"/>
      <c r="B863" s="64"/>
      <c r="C863" s="64"/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64"/>
      <c r="S863" s="28"/>
    </row>
    <row r="864" spans="1:19" x14ac:dyDescent="0.25">
      <c r="A864" s="63"/>
      <c r="B864" s="64"/>
      <c r="C864" s="64"/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64"/>
      <c r="S864" s="28"/>
    </row>
    <row r="865" spans="1:19" x14ac:dyDescent="0.25">
      <c r="A865" s="63"/>
      <c r="B865" s="64"/>
      <c r="C865" s="64"/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64"/>
      <c r="S865" s="28"/>
    </row>
    <row r="866" spans="1:19" x14ac:dyDescent="0.25">
      <c r="A866" s="63"/>
      <c r="B866" s="64"/>
      <c r="C866" s="64"/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64"/>
      <c r="S866" s="28"/>
    </row>
    <row r="867" spans="1:19" x14ac:dyDescent="0.25">
      <c r="A867" s="63"/>
      <c r="B867" s="64"/>
      <c r="C867" s="64"/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64"/>
      <c r="S867" s="28"/>
    </row>
    <row r="868" spans="1:19" x14ac:dyDescent="0.25">
      <c r="A868" s="63"/>
      <c r="B868" s="64"/>
      <c r="C868" s="64"/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64"/>
      <c r="S868" s="28"/>
    </row>
    <row r="869" spans="1:19" x14ac:dyDescent="0.25">
      <c r="A869" s="63"/>
      <c r="B869" s="64"/>
      <c r="C869" s="64"/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64"/>
      <c r="S869" s="28"/>
    </row>
    <row r="870" spans="1:19" x14ac:dyDescent="0.25">
      <c r="A870" s="63"/>
      <c r="B870" s="64"/>
      <c r="C870" s="64"/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64"/>
      <c r="S870" s="28"/>
    </row>
    <row r="871" spans="1:19" x14ac:dyDescent="0.25">
      <c r="A871" s="63"/>
      <c r="B871" s="64"/>
      <c r="C871" s="64"/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64"/>
      <c r="S871" s="28"/>
    </row>
    <row r="872" spans="1:19" x14ac:dyDescent="0.25">
      <c r="A872" s="63"/>
      <c r="B872" s="64"/>
      <c r="C872" s="64"/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64"/>
      <c r="S872" s="28"/>
    </row>
    <row r="873" spans="1:19" x14ac:dyDescent="0.25">
      <c r="A873" s="63"/>
      <c r="B873" s="64"/>
      <c r="C873" s="64"/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64"/>
      <c r="S873" s="28"/>
    </row>
    <row r="874" spans="1:19" x14ac:dyDescent="0.25">
      <c r="A874" s="63"/>
      <c r="B874" s="64"/>
      <c r="C874" s="64"/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64"/>
      <c r="S874" s="28"/>
    </row>
    <row r="875" spans="1:19" x14ac:dyDescent="0.25">
      <c r="A875" s="63"/>
      <c r="B875" s="64"/>
      <c r="C875" s="64"/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64"/>
      <c r="S875" s="28"/>
    </row>
    <row r="876" spans="1:19" x14ac:dyDescent="0.25">
      <c r="A876" s="63"/>
      <c r="B876" s="64"/>
      <c r="C876" s="64"/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64"/>
      <c r="S876" s="28"/>
    </row>
    <row r="877" spans="1:19" x14ac:dyDescent="0.25">
      <c r="A877" s="63"/>
      <c r="B877" s="64"/>
      <c r="C877" s="64"/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64"/>
      <c r="S877" s="28"/>
    </row>
    <row r="878" spans="1:19" x14ac:dyDescent="0.25">
      <c r="A878" s="63"/>
      <c r="B878" s="64"/>
      <c r="C878" s="64"/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64"/>
      <c r="S878" s="28"/>
    </row>
    <row r="879" spans="1:19" x14ac:dyDescent="0.25">
      <c r="A879" s="63"/>
      <c r="B879" s="64"/>
      <c r="C879" s="64"/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64"/>
      <c r="S879" s="28"/>
    </row>
    <row r="880" spans="1:19" x14ac:dyDescent="0.25">
      <c r="A880" s="63"/>
      <c r="B880" s="64"/>
      <c r="C880" s="64"/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64"/>
      <c r="S880" s="28"/>
    </row>
    <row r="881" spans="1:19" x14ac:dyDescent="0.25">
      <c r="A881" s="63"/>
      <c r="B881" s="64"/>
      <c r="C881" s="64"/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64"/>
      <c r="S881" s="28"/>
    </row>
    <row r="882" spans="1:19" x14ac:dyDescent="0.25">
      <c r="A882" s="63"/>
      <c r="B882" s="64"/>
      <c r="C882" s="64"/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64"/>
      <c r="S882" s="28"/>
    </row>
    <row r="883" spans="1:19" x14ac:dyDescent="0.25">
      <c r="A883" s="63"/>
      <c r="B883" s="64"/>
      <c r="C883" s="64"/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64"/>
      <c r="S883" s="28"/>
    </row>
    <row r="884" spans="1:19" x14ac:dyDescent="0.25">
      <c r="A884" s="63"/>
      <c r="B884" s="64"/>
      <c r="C884" s="64"/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64"/>
      <c r="S884" s="28"/>
    </row>
    <row r="885" spans="1:19" x14ac:dyDescent="0.25">
      <c r="A885" s="63"/>
      <c r="B885" s="64"/>
      <c r="C885" s="64"/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64"/>
      <c r="S885" s="28"/>
    </row>
    <row r="886" spans="1:19" x14ac:dyDescent="0.25">
      <c r="A886" s="63"/>
      <c r="B886" s="64"/>
      <c r="C886" s="64"/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64"/>
      <c r="S886" s="28"/>
    </row>
    <row r="887" spans="1:19" x14ac:dyDescent="0.25">
      <c r="A887" s="63"/>
      <c r="B887" s="64"/>
      <c r="C887" s="64"/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64"/>
      <c r="S887" s="28"/>
    </row>
    <row r="888" spans="1:19" x14ac:dyDescent="0.25">
      <c r="A888" s="63"/>
      <c r="B888" s="64"/>
      <c r="C888" s="64"/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64"/>
      <c r="S888" s="28"/>
    </row>
    <row r="889" spans="1:19" x14ac:dyDescent="0.25">
      <c r="A889" s="63"/>
      <c r="B889" s="64"/>
      <c r="C889" s="64"/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64"/>
      <c r="S889" s="28"/>
    </row>
    <row r="890" spans="1:19" x14ac:dyDescent="0.25">
      <c r="A890" s="63"/>
      <c r="B890" s="64"/>
      <c r="C890" s="64"/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64"/>
      <c r="S890" s="28"/>
    </row>
    <row r="891" spans="1:19" x14ac:dyDescent="0.25">
      <c r="A891" s="63"/>
      <c r="B891" s="64"/>
      <c r="C891" s="64"/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64"/>
      <c r="S891" s="28"/>
    </row>
    <row r="892" spans="1:19" x14ac:dyDescent="0.25">
      <c r="A892" s="63"/>
      <c r="B892" s="64"/>
      <c r="C892" s="64"/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64"/>
      <c r="S892" s="28"/>
    </row>
    <row r="893" spans="1:19" x14ac:dyDescent="0.25">
      <c r="A893" s="63"/>
      <c r="B893" s="64"/>
      <c r="C893" s="64"/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64"/>
      <c r="S893" s="28"/>
    </row>
    <row r="894" spans="1:19" x14ac:dyDescent="0.25">
      <c r="A894" s="63"/>
      <c r="B894" s="64"/>
      <c r="C894" s="64"/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64"/>
      <c r="S894" s="28"/>
    </row>
    <row r="895" spans="1:19" x14ac:dyDescent="0.25">
      <c r="A895" s="63"/>
      <c r="B895" s="64"/>
      <c r="C895" s="64"/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64"/>
      <c r="S895" s="28"/>
    </row>
    <row r="896" spans="1:19" x14ac:dyDescent="0.25">
      <c r="A896" s="63"/>
      <c r="B896" s="64"/>
      <c r="C896" s="64"/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64"/>
      <c r="S896" s="28"/>
    </row>
    <row r="897" spans="1:19" x14ac:dyDescent="0.25">
      <c r="A897" s="63"/>
      <c r="B897" s="64"/>
      <c r="C897" s="64"/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64"/>
      <c r="S897" s="28"/>
    </row>
    <row r="898" spans="1:19" x14ac:dyDescent="0.25">
      <c r="A898" s="63"/>
      <c r="B898" s="64"/>
      <c r="C898" s="64"/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64"/>
      <c r="S898" s="28"/>
    </row>
    <row r="899" spans="1:19" x14ac:dyDescent="0.25">
      <c r="A899" s="63"/>
      <c r="B899" s="64"/>
      <c r="C899" s="64"/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64"/>
      <c r="S899" s="28"/>
    </row>
    <row r="900" spans="1:19" x14ac:dyDescent="0.25">
      <c r="A900" s="63"/>
      <c r="B900" s="64"/>
      <c r="C900" s="64"/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64"/>
      <c r="S900" s="28"/>
    </row>
    <row r="901" spans="1:19" x14ac:dyDescent="0.25">
      <c r="A901" s="63"/>
      <c r="B901" s="64"/>
      <c r="C901" s="64"/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64"/>
      <c r="S901" s="28"/>
    </row>
    <row r="902" spans="1:19" x14ac:dyDescent="0.25">
      <c r="A902" s="63"/>
      <c r="B902" s="64"/>
      <c r="C902" s="64"/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64"/>
      <c r="S902" s="28"/>
    </row>
    <row r="903" spans="1:19" x14ac:dyDescent="0.25">
      <c r="A903" s="63"/>
      <c r="B903" s="64"/>
      <c r="C903" s="64"/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64"/>
      <c r="S903" s="28"/>
    </row>
    <row r="904" spans="1:19" x14ac:dyDescent="0.25">
      <c r="A904" s="63"/>
      <c r="B904" s="64"/>
      <c r="C904" s="64"/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64"/>
      <c r="S904" s="28"/>
    </row>
    <row r="905" spans="1:19" x14ac:dyDescent="0.25">
      <c r="A905" s="63"/>
      <c r="B905" s="64"/>
      <c r="C905" s="64"/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64"/>
      <c r="S905" s="28"/>
    </row>
    <row r="906" spans="1:19" x14ac:dyDescent="0.25">
      <c r="A906" s="63"/>
      <c r="B906" s="64"/>
      <c r="C906" s="64"/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64"/>
      <c r="S906" s="28"/>
    </row>
    <row r="907" spans="1:19" x14ac:dyDescent="0.25">
      <c r="A907" s="63"/>
      <c r="B907" s="64"/>
      <c r="C907" s="64"/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64"/>
      <c r="S907" s="28"/>
    </row>
    <row r="908" spans="1:19" x14ac:dyDescent="0.25">
      <c r="A908" s="63"/>
      <c r="B908" s="64"/>
      <c r="C908" s="64"/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64"/>
      <c r="S908" s="28"/>
    </row>
    <row r="909" spans="1:19" x14ac:dyDescent="0.25">
      <c r="A909" s="63"/>
      <c r="B909" s="64"/>
      <c r="C909" s="64"/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64"/>
      <c r="S909" s="28"/>
    </row>
    <row r="910" spans="1:19" x14ac:dyDescent="0.25">
      <c r="A910" s="63"/>
      <c r="B910" s="64"/>
      <c r="C910" s="64"/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64"/>
      <c r="S910" s="28"/>
    </row>
    <row r="911" spans="1:19" x14ac:dyDescent="0.25">
      <c r="A911" s="63"/>
      <c r="B911" s="64"/>
      <c r="C911" s="64"/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64"/>
      <c r="S911" s="28"/>
    </row>
    <row r="912" spans="1:19" x14ac:dyDescent="0.25">
      <c r="A912" s="63"/>
      <c r="B912" s="64"/>
      <c r="C912" s="64"/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64"/>
      <c r="S912" s="28"/>
    </row>
    <row r="913" spans="1:19" x14ac:dyDescent="0.25">
      <c r="A913" s="63"/>
      <c r="B913" s="64"/>
      <c r="C913" s="64"/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64"/>
      <c r="S913" s="28"/>
    </row>
    <row r="914" spans="1:19" x14ac:dyDescent="0.25">
      <c r="A914" s="63"/>
      <c r="B914" s="64"/>
      <c r="C914" s="64"/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64"/>
      <c r="S914" s="28"/>
    </row>
    <row r="915" spans="1:19" x14ac:dyDescent="0.25">
      <c r="A915" s="63"/>
      <c r="B915" s="64"/>
      <c r="C915" s="64"/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64"/>
      <c r="S915" s="28"/>
    </row>
    <row r="916" spans="1:19" x14ac:dyDescent="0.25">
      <c r="A916" s="63"/>
      <c r="B916" s="64"/>
      <c r="C916" s="64"/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64"/>
      <c r="S916" s="28"/>
    </row>
    <row r="917" spans="1:19" x14ac:dyDescent="0.25">
      <c r="A917" s="63"/>
      <c r="B917" s="64"/>
      <c r="C917" s="64"/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64"/>
      <c r="S917" s="28"/>
    </row>
    <row r="918" spans="1:19" x14ac:dyDescent="0.25">
      <c r="A918" s="63"/>
      <c r="B918" s="64"/>
      <c r="C918" s="64"/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64"/>
      <c r="S918" s="28"/>
    </row>
    <row r="919" spans="1:19" x14ac:dyDescent="0.25">
      <c r="A919" s="63"/>
      <c r="B919" s="64"/>
      <c r="C919" s="64"/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64"/>
      <c r="S919" s="28"/>
    </row>
    <row r="920" spans="1:19" x14ac:dyDescent="0.25">
      <c r="A920" s="63"/>
      <c r="B920" s="64"/>
      <c r="C920" s="64"/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64"/>
      <c r="S920" s="28"/>
    </row>
    <row r="921" spans="1:19" x14ac:dyDescent="0.25">
      <c r="A921" s="63"/>
      <c r="B921" s="64"/>
      <c r="C921" s="64"/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64"/>
      <c r="S921" s="28"/>
    </row>
    <row r="922" spans="1:19" x14ac:dyDescent="0.25">
      <c r="A922" s="63"/>
      <c r="B922" s="64"/>
      <c r="C922" s="64"/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64"/>
      <c r="S922" s="28"/>
    </row>
    <row r="923" spans="1:19" x14ac:dyDescent="0.25">
      <c r="A923" s="63"/>
      <c r="B923" s="64"/>
      <c r="C923" s="64"/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64"/>
      <c r="S923" s="28"/>
    </row>
    <row r="924" spans="1:19" x14ac:dyDescent="0.25">
      <c r="A924" s="63"/>
      <c r="B924" s="64"/>
      <c r="C924" s="64"/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64"/>
      <c r="S924" s="28"/>
    </row>
    <row r="925" spans="1:19" x14ac:dyDescent="0.25">
      <c r="A925" s="63"/>
      <c r="B925" s="64"/>
      <c r="C925" s="64"/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64"/>
      <c r="S925" s="28"/>
    </row>
    <row r="926" spans="1:19" x14ac:dyDescent="0.25">
      <c r="A926" s="63"/>
      <c r="B926" s="64"/>
      <c r="C926" s="64"/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64"/>
      <c r="S926" s="28"/>
    </row>
    <row r="927" spans="1:19" x14ac:dyDescent="0.25">
      <c r="A927" s="63"/>
      <c r="B927" s="64"/>
      <c r="C927" s="64"/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64"/>
      <c r="S927" s="28"/>
    </row>
    <row r="928" spans="1:19" x14ac:dyDescent="0.25">
      <c r="A928" s="63"/>
      <c r="B928" s="64"/>
      <c r="C928" s="64"/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64"/>
      <c r="S928" s="28"/>
    </row>
    <row r="929" spans="1:19" x14ac:dyDescent="0.25">
      <c r="A929" s="63"/>
      <c r="B929" s="64"/>
      <c r="C929" s="64"/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64"/>
      <c r="S929" s="28"/>
    </row>
    <row r="930" spans="1:19" x14ac:dyDescent="0.25">
      <c r="A930" s="63"/>
      <c r="B930" s="64"/>
      <c r="C930" s="64"/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64"/>
      <c r="S930" s="28"/>
    </row>
    <row r="931" spans="1:19" x14ac:dyDescent="0.25">
      <c r="A931" s="63"/>
      <c r="B931" s="64"/>
      <c r="C931" s="64"/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64"/>
      <c r="S931" s="28"/>
    </row>
    <row r="932" spans="1:19" x14ac:dyDescent="0.25">
      <c r="A932" s="63"/>
      <c r="B932" s="64"/>
      <c r="C932" s="64"/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64"/>
      <c r="S932" s="28"/>
    </row>
    <row r="933" spans="1:19" x14ac:dyDescent="0.25">
      <c r="A933" s="63"/>
      <c r="B933" s="64"/>
      <c r="C933" s="64"/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64"/>
      <c r="S933" s="28"/>
    </row>
    <row r="934" spans="1:19" x14ac:dyDescent="0.25">
      <c r="A934" s="63"/>
      <c r="B934" s="64"/>
      <c r="C934" s="64"/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64"/>
      <c r="S934" s="28"/>
    </row>
    <row r="935" spans="1:19" x14ac:dyDescent="0.25">
      <c r="A935" s="63"/>
      <c r="B935" s="64"/>
      <c r="C935" s="64"/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64"/>
      <c r="S935" s="28"/>
    </row>
    <row r="936" spans="1:19" x14ac:dyDescent="0.25">
      <c r="A936" s="63"/>
      <c r="B936" s="64"/>
      <c r="C936" s="64"/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64"/>
      <c r="S936" s="28"/>
    </row>
    <row r="937" spans="1:19" x14ac:dyDescent="0.25">
      <c r="A937" s="63"/>
      <c r="B937" s="64"/>
      <c r="C937" s="64"/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64"/>
      <c r="S937" s="28"/>
    </row>
    <row r="938" spans="1:19" x14ac:dyDescent="0.25">
      <c r="A938" s="63"/>
      <c r="B938" s="64"/>
      <c r="C938" s="64"/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64"/>
      <c r="S938" s="28"/>
    </row>
    <row r="939" spans="1:19" x14ac:dyDescent="0.25">
      <c r="A939" s="63"/>
      <c r="B939" s="64"/>
      <c r="C939" s="64"/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64"/>
      <c r="S939" s="28"/>
    </row>
    <row r="940" spans="1:19" x14ac:dyDescent="0.25">
      <c r="A940" s="63"/>
      <c r="B940" s="64"/>
      <c r="C940" s="64"/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64"/>
      <c r="S940" s="28"/>
    </row>
    <row r="941" spans="1:19" x14ac:dyDescent="0.25">
      <c r="A941" s="63"/>
      <c r="B941" s="64"/>
      <c r="C941" s="64"/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64"/>
      <c r="S941" s="28"/>
    </row>
    <row r="942" spans="1:19" x14ac:dyDescent="0.25">
      <c r="A942" s="63"/>
      <c r="B942" s="64"/>
      <c r="C942" s="64"/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64"/>
      <c r="S942" s="28"/>
    </row>
    <row r="943" spans="1:19" x14ac:dyDescent="0.25">
      <c r="A943" s="63"/>
      <c r="B943" s="64"/>
      <c r="C943" s="64"/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64"/>
      <c r="S943" s="28"/>
    </row>
    <row r="944" spans="1:19" x14ac:dyDescent="0.25">
      <c r="A944" s="63"/>
      <c r="B944" s="64"/>
      <c r="C944" s="64"/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64"/>
      <c r="S944" s="28"/>
    </row>
    <row r="945" spans="1:19" x14ac:dyDescent="0.25">
      <c r="A945" s="63"/>
      <c r="B945" s="64"/>
      <c r="C945" s="64"/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64"/>
      <c r="S945" s="28"/>
    </row>
    <row r="946" spans="1:19" x14ac:dyDescent="0.25">
      <c r="A946" s="63"/>
      <c r="B946" s="64"/>
      <c r="C946" s="64"/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64"/>
      <c r="S946" s="28"/>
    </row>
    <row r="947" spans="1:19" x14ac:dyDescent="0.25">
      <c r="A947" s="63"/>
      <c r="B947" s="64"/>
      <c r="C947" s="64"/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64"/>
      <c r="S947" s="28"/>
    </row>
    <row r="948" spans="1:19" x14ac:dyDescent="0.25">
      <c r="A948" s="63"/>
      <c r="B948" s="64"/>
      <c r="C948" s="64"/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64"/>
      <c r="S948" s="28"/>
    </row>
    <row r="949" spans="1:19" x14ac:dyDescent="0.25">
      <c r="A949" s="63"/>
      <c r="B949" s="64"/>
      <c r="C949" s="64"/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64"/>
      <c r="S949" s="28"/>
    </row>
    <row r="950" spans="1:19" x14ac:dyDescent="0.25">
      <c r="A950" s="63"/>
      <c r="B950" s="64"/>
      <c r="C950" s="64"/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64"/>
      <c r="S950" s="28"/>
    </row>
    <row r="951" spans="1:19" x14ac:dyDescent="0.25">
      <c r="A951" s="63"/>
      <c r="B951" s="64"/>
      <c r="C951" s="64"/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64"/>
      <c r="S951" s="28"/>
    </row>
    <row r="952" spans="1:19" x14ac:dyDescent="0.25">
      <c r="A952" s="63"/>
      <c r="B952" s="64"/>
      <c r="C952" s="64"/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64"/>
      <c r="S952" s="28"/>
    </row>
    <row r="953" spans="1:19" x14ac:dyDescent="0.25">
      <c r="A953" s="63"/>
      <c r="B953" s="64"/>
      <c r="C953" s="64"/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64"/>
      <c r="S953" s="28"/>
    </row>
    <row r="954" spans="1:19" x14ac:dyDescent="0.25">
      <c r="A954" s="63"/>
      <c r="B954" s="64"/>
      <c r="C954" s="64"/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64"/>
      <c r="S954" s="28"/>
    </row>
    <row r="955" spans="1:19" x14ac:dyDescent="0.25">
      <c r="A955" s="63"/>
      <c r="B955" s="64"/>
      <c r="C955" s="64"/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64"/>
      <c r="S955" s="28"/>
    </row>
    <row r="956" spans="1:19" x14ac:dyDescent="0.25">
      <c r="A956" s="63"/>
      <c r="B956" s="64"/>
      <c r="C956" s="64"/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64"/>
      <c r="S956" s="28"/>
    </row>
    <row r="957" spans="1:19" x14ac:dyDescent="0.25">
      <c r="A957" s="63"/>
      <c r="B957" s="64"/>
      <c r="C957" s="64"/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64"/>
      <c r="S957" s="28"/>
    </row>
    <row r="958" spans="1:19" x14ac:dyDescent="0.25">
      <c r="A958" s="63"/>
      <c r="B958" s="64"/>
      <c r="C958" s="64"/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64"/>
      <c r="S958" s="28"/>
    </row>
    <row r="959" spans="1:19" x14ac:dyDescent="0.25">
      <c r="A959" s="63"/>
      <c r="B959" s="64"/>
      <c r="C959" s="64"/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64"/>
      <c r="S959" s="28"/>
    </row>
    <row r="960" spans="1:19" x14ac:dyDescent="0.25">
      <c r="A960" s="63"/>
      <c r="B960" s="64"/>
      <c r="C960" s="64"/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64"/>
      <c r="S960" s="28"/>
    </row>
    <row r="961" spans="1:19" x14ac:dyDescent="0.25">
      <c r="A961" s="63"/>
      <c r="B961" s="64"/>
      <c r="C961" s="64"/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64"/>
      <c r="S961" s="28"/>
    </row>
    <row r="962" spans="1:19" x14ac:dyDescent="0.25">
      <c r="A962" s="63"/>
      <c r="B962" s="64"/>
      <c r="C962" s="64"/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64"/>
      <c r="S962" s="28"/>
    </row>
    <row r="963" spans="1:19" x14ac:dyDescent="0.25">
      <c r="A963" s="63"/>
      <c r="B963" s="64"/>
      <c r="C963" s="64"/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64"/>
      <c r="S963" s="28"/>
    </row>
    <row r="964" spans="1:19" x14ac:dyDescent="0.25">
      <c r="A964" s="63"/>
      <c r="B964" s="64"/>
      <c r="C964" s="64"/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64"/>
      <c r="S964" s="28"/>
    </row>
    <row r="965" spans="1:19" x14ac:dyDescent="0.25">
      <c r="A965" s="63"/>
      <c r="B965" s="64"/>
      <c r="C965" s="64"/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64"/>
      <c r="S965" s="28"/>
    </row>
    <row r="966" spans="1:19" x14ac:dyDescent="0.25">
      <c r="A966" s="63"/>
      <c r="B966" s="64"/>
      <c r="C966" s="64"/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64"/>
      <c r="S966" s="28"/>
    </row>
    <row r="967" spans="1:19" x14ac:dyDescent="0.25">
      <c r="A967" s="63"/>
      <c r="B967" s="64"/>
      <c r="C967" s="64"/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64"/>
      <c r="S967" s="28"/>
    </row>
    <row r="968" spans="1:19" x14ac:dyDescent="0.25">
      <c r="A968" s="63"/>
      <c r="B968" s="64"/>
      <c r="C968" s="64"/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64"/>
      <c r="S968" s="28"/>
    </row>
    <row r="969" spans="1:19" x14ac:dyDescent="0.25">
      <c r="A969" s="63"/>
      <c r="B969" s="64"/>
      <c r="C969" s="64"/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64"/>
      <c r="S969" s="28"/>
    </row>
    <row r="970" spans="1:19" x14ac:dyDescent="0.25">
      <c r="A970" s="63"/>
      <c r="B970" s="64"/>
      <c r="C970" s="64"/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64"/>
      <c r="S970" s="28"/>
    </row>
    <row r="971" spans="1:19" x14ac:dyDescent="0.25">
      <c r="A971" s="63"/>
      <c r="B971" s="64"/>
      <c r="C971" s="64"/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64"/>
      <c r="S971" s="28"/>
    </row>
    <row r="972" spans="1:19" x14ac:dyDescent="0.25">
      <c r="A972" s="63"/>
      <c r="B972" s="64"/>
      <c r="C972" s="64"/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64"/>
      <c r="S972" s="28"/>
    </row>
    <row r="973" spans="1:19" x14ac:dyDescent="0.25">
      <c r="A973" s="63"/>
      <c r="B973" s="64"/>
      <c r="C973" s="64"/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64"/>
      <c r="S973" s="28"/>
    </row>
    <row r="974" spans="1:19" x14ac:dyDescent="0.25">
      <c r="A974" s="63"/>
      <c r="B974" s="64"/>
      <c r="C974" s="64"/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64"/>
      <c r="S974" s="28"/>
    </row>
    <row r="975" spans="1:19" x14ac:dyDescent="0.25">
      <c r="A975" s="63"/>
      <c r="B975" s="64"/>
      <c r="C975" s="64"/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64"/>
      <c r="S975" s="28"/>
    </row>
    <row r="976" spans="1:19" x14ac:dyDescent="0.25">
      <c r="A976" s="63"/>
      <c r="B976" s="64"/>
      <c r="C976" s="64"/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64"/>
      <c r="S976" s="28"/>
    </row>
    <row r="977" spans="1:19" x14ac:dyDescent="0.25">
      <c r="A977" s="63"/>
      <c r="B977" s="64"/>
      <c r="C977" s="64"/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64"/>
      <c r="S977" s="28"/>
    </row>
    <row r="978" spans="1:19" x14ac:dyDescent="0.25">
      <c r="A978" s="63"/>
      <c r="B978" s="64"/>
      <c r="C978" s="64"/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64"/>
      <c r="S978" s="28"/>
    </row>
    <row r="979" spans="1:19" x14ac:dyDescent="0.25">
      <c r="A979" s="63"/>
      <c r="B979" s="64"/>
      <c r="C979" s="64"/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64"/>
      <c r="S979" s="28"/>
    </row>
    <row r="980" spans="1:19" x14ac:dyDescent="0.25">
      <c r="A980" s="63"/>
      <c r="B980" s="64"/>
      <c r="C980" s="64"/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64"/>
      <c r="S980" s="28"/>
    </row>
    <row r="981" spans="1:19" x14ac:dyDescent="0.25">
      <c r="A981" s="63"/>
      <c r="B981" s="64"/>
      <c r="C981" s="64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4"/>
      <c r="S981" s="28"/>
    </row>
    <row r="982" spans="1:19" x14ac:dyDescent="0.25">
      <c r="A982" s="63"/>
      <c r="B982" s="64"/>
      <c r="C982" s="64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4"/>
      <c r="S982" s="28"/>
    </row>
    <row r="983" spans="1:19" x14ac:dyDescent="0.25">
      <c r="A983" s="63"/>
      <c r="B983" s="64"/>
      <c r="C983" s="64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4"/>
      <c r="S983" s="28"/>
    </row>
    <row r="984" spans="1:19" x14ac:dyDescent="0.25">
      <c r="A984" s="63"/>
      <c r="B984" s="64"/>
      <c r="C984" s="64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4"/>
      <c r="S984" s="28"/>
    </row>
    <row r="985" spans="1:19" x14ac:dyDescent="0.25">
      <c r="A985" s="63"/>
      <c r="B985" s="64"/>
      <c r="C985" s="64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4"/>
      <c r="S985" s="28"/>
    </row>
    <row r="986" spans="1:19" x14ac:dyDescent="0.25">
      <c r="A986" s="63"/>
      <c r="B986" s="64"/>
      <c r="C986" s="64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4"/>
      <c r="S986" s="28"/>
    </row>
    <row r="987" spans="1:19" x14ac:dyDescent="0.25">
      <c r="A987" s="63"/>
      <c r="B987" s="64"/>
      <c r="C987" s="64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4"/>
      <c r="S987" s="28"/>
    </row>
    <row r="988" spans="1:19" x14ac:dyDescent="0.25">
      <c r="A988" s="63"/>
      <c r="B988" s="64"/>
      <c r="C988" s="64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4"/>
      <c r="S988" s="28"/>
    </row>
    <row r="989" spans="1:19" x14ac:dyDescent="0.25">
      <c r="A989" s="63"/>
      <c r="B989" s="64"/>
      <c r="C989" s="64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4"/>
      <c r="S989" s="28"/>
    </row>
    <row r="990" spans="1:19" x14ac:dyDescent="0.25">
      <c r="A990" s="63"/>
      <c r="B990" s="64"/>
      <c r="C990" s="64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4"/>
      <c r="S990" s="28"/>
    </row>
    <row r="991" spans="1:19" x14ac:dyDescent="0.25">
      <c r="A991" s="63"/>
      <c r="B991" s="64"/>
      <c r="C991" s="64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4"/>
      <c r="S991" s="28"/>
    </row>
    <row r="992" spans="1:19" x14ac:dyDescent="0.25">
      <c r="A992" s="63"/>
      <c r="B992" s="64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28"/>
    </row>
    <row r="993" spans="1:19" x14ac:dyDescent="0.25">
      <c r="A993" s="63"/>
      <c r="B993" s="64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28"/>
    </row>
    <row r="994" spans="1:19" x14ac:dyDescent="0.25">
      <c r="A994" s="63"/>
      <c r="B994" s="64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28"/>
    </row>
    <row r="995" spans="1:19" x14ac:dyDescent="0.25">
      <c r="A995" s="63"/>
      <c r="B995" s="64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28"/>
    </row>
    <row r="996" spans="1:19" x14ac:dyDescent="0.25">
      <c r="A996" s="63"/>
      <c r="B996" s="64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28"/>
    </row>
    <row r="997" spans="1:19" x14ac:dyDescent="0.25">
      <c r="A997" s="63"/>
      <c r="B997" s="64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4"/>
      <c r="S997" s="28"/>
    </row>
    <row r="998" spans="1:19" x14ac:dyDescent="0.25">
      <c r="A998" s="63"/>
      <c r="B998" s="64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4"/>
      <c r="S998" s="28"/>
    </row>
    <row r="999" spans="1:19" x14ac:dyDescent="0.25">
      <c r="A999" s="63"/>
      <c r="B999" s="64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4"/>
      <c r="S999" s="28"/>
    </row>
    <row r="1000" spans="1:19" x14ac:dyDescent="0.25">
      <c r="A1000" s="63"/>
      <c r="B1000" s="64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4"/>
      <c r="S1000" s="28"/>
    </row>
    <row r="1001" spans="1:19" x14ac:dyDescent="0.25">
      <c r="A1001" s="63"/>
      <c r="B1001" s="64"/>
      <c r="C1001" s="64"/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  <c r="Q1001" s="64"/>
      <c r="R1001" s="64"/>
      <c r="S1001" s="28"/>
    </row>
    <row r="1002" spans="1:19" x14ac:dyDescent="0.25">
      <c r="A1002" s="63"/>
      <c r="B1002" s="64"/>
      <c r="C1002" s="64"/>
      <c r="D1002" s="64"/>
      <c r="E1002" s="64"/>
      <c r="F1002" s="64"/>
      <c r="G1002" s="64"/>
      <c r="H1002" s="64"/>
      <c r="I1002" s="64"/>
      <c r="J1002" s="64"/>
      <c r="K1002" s="64"/>
      <c r="L1002" s="64"/>
      <c r="M1002" s="64"/>
      <c r="N1002" s="64"/>
      <c r="O1002" s="64"/>
      <c r="P1002" s="64"/>
      <c r="Q1002" s="64"/>
      <c r="R1002" s="64"/>
      <c r="S1002" s="28"/>
    </row>
    <row r="1003" spans="1:19" x14ac:dyDescent="0.25">
      <c r="A1003" s="63"/>
      <c r="B1003" s="64"/>
      <c r="C1003" s="64"/>
      <c r="D1003" s="64"/>
      <c r="E1003" s="64"/>
      <c r="F1003" s="64"/>
      <c r="G1003" s="64"/>
      <c r="H1003" s="64"/>
      <c r="I1003" s="64"/>
      <c r="J1003" s="64"/>
      <c r="K1003" s="64"/>
      <c r="L1003" s="64"/>
      <c r="M1003" s="64"/>
      <c r="N1003" s="64"/>
      <c r="O1003" s="64"/>
      <c r="P1003" s="64"/>
      <c r="Q1003" s="64"/>
      <c r="R1003" s="64"/>
      <c r="S1003" s="28"/>
    </row>
    <row r="1004" spans="1:19" x14ac:dyDescent="0.25">
      <c r="A1004" s="63"/>
      <c r="B1004" s="64"/>
      <c r="C1004" s="64"/>
      <c r="D1004" s="64"/>
      <c r="E1004" s="64"/>
      <c r="F1004" s="64"/>
      <c r="G1004" s="64"/>
      <c r="H1004" s="64"/>
      <c r="I1004" s="64"/>
      <c r="J1004" s="64"/>
      <c r="K1004" s="64"/>
      <c r="L1004" s="64"/>
      <c r="M1004" s="64"/>
      <c r="N1004" s="64"/>
      <c r="O1004" s="64"/>
      <c r="P1004" s="64"/>
      <c r="Q1004" s="64"/>
      <c r="R1004" s="64"/>
      <c r="S1004" s="28"/>
    </row>
    <row r="1005" spans="1:19" x14ac:dyDescent="0.25">
      <c r="A1005" s="63"/>
      <c r="B1005" s="64"/>
      <c r="C1005" s="64"/>
      <c r="D1005" s="64"/>
      <c r="E1005" s="64"/>
      <c r="F1005" s="64"/>
      <c r="G1005" s="64"/>
      <c r="H1005" s="64"/>
      <c r="I1005" s="64"/>
      <c r="J1005" s="64"/>
      <c r="K1005" s="64"/>
      <c r="L1005" s="64"/>
      <c r="M1005" s="64"/>
      <c r="N1005" s="64"/>
      <c r="O1005" s="64"/>
      <c r="P1005" s="64"/>
      <c r="Q1005" s="64"/>
      <c r="R1005" s="64"/>
      <c r="S1005" s="28"/>
    </row>
    <row r="1006" spans="1:19" x14ac:dyDescent="0.25">
      <c r="A1006" s="63"/>
      <c r="B1006" s="64"/>
      <c r="C1006" s="64"/>
      <c r="D1006" s="64"/>
      <c r="E1006" s="64"/>
      <c r="F1006" s="64"/>
      <c r="G1006" s="64"/>
      <c r="H1006" s="64"/>
      <c r="I1006" s="64"/>
      <c r="J1006" s="64"/>
      <c r="K1006" s="64"/>
      <c r="L1006" s="64"/>
      <c r="M1006" s="64"/>
      <c r="N1006" s="64"/>
      <c r="O1006" s="64"/>
      <c r="P1006" s="64"/>
      <c r="Q1006" s="64"/>
      <c r="R1006" s="64"/>
      <c r="S1006" s="28"/>
    </row>
    <row r="1007" spans="1:19" x14ac:dyDescent="0.25">
      <c r="A1007" s="63"/>
      <c r="B1007" s="64"/>
      <c r="C1007" s="64"/>
      <c r="D1007" s="64"/>
      <c r="E1007" s="64"/>
      <c r="F1007" s="64"/>
      <c r="G1007" s="64"/>
      <c r="H1007" s="64"/>
      <c r="I1007" s="64"/>
      <c r="J1007" s="64"/>
      <c r="K1007" s="64"/>
      <c r="L1007" s="64"/>
      <c r="M1007" s="64"/>
      <c r="N1007" s="64"/>
      <c r="O1007" s="64"/>
      <c r="P1007" s="64"/>
      <c r="Q1007" s="64"/>
      <c r="R1007" s="64"/>
      <c r="S1007" s="28"/>
    </row>
    <row r="1008" spans="1:19" x14ac:dyDescent="0.25">
      <c r="A1008" s="63"/>
      <c r="B1008" s="64"/>
      <c r="C1008" s="64"/>
      <c r="D1008" s="64"/>
      <c r="E1008" s="64"/>
      <c r="F1008" s="64"/>
      <c r="G1008" s="64"/>
      <c r="H1008" s="64"/>
      <c r="I1008" s="64"/>
      <c r="J1008" s="64"/>
      <c r="K1008" s="64"/>
      <c r="L1008" s="64"/>
      <c r="M1008" s="64"/>
      <c r="N1008" s="64"/>
      <c r="O1008" s="64"/>
      <c r="P1008" s="64"/>
      <c r="Q1008" s="64"/>
      <c r="R1008" s="64"/>
      <c r="S1008" s="28"/>
    </row>
    <row r="1009" spans="1:19" x14ac:dyDescent="0.25">
      <c r="A1009" s="63"/>
      <c r="B1009" s="64"/>
      <c r="C1009" s="64"/>
      <c r="D1009" s="64"/>
      <c r="E1009" s="64"/>
      <c r="F1009" s="64"/>
      <c r="G1009" s="64"/>
      <c r="H1009" s="64"/>
      <c r="I1009" s="64"/>
      <c r="J1009" s="64"/>
      <c r="K1009" s="64"/>
      <c r="L1009" s="64"/>
      <c r="M1009" s="64"/>
      <c r="N1009" s="64"/>
      <c r="O1009" s="64"/>
      <c r="P1009" s="64"/>
      <c r="Q1009" s="64"/>
      <c r="R1009" s="64"/>
      <c r="S1009" s="28"/>
    </row>
    <row r="1010" spans="1:19" x14ac:dyDescent="0.25">
      <c r="A1010" s="63"/>
      <c r="B1010" s="64"/>
      <c r="C1010" s="64"/>
      <c r="D1010" s="64"/>
      <c r="E1010" s="64"/>
      <c r="F1010" s="64"/>
      <c r="G1010" s="64"/>
      <c r="H1010" s="64"/>
      <c r="I1010" s="64"/>
      <c r="J1010" s="64"/>
      <c r="K1010" s="64"/>
      <c r="L1010" s="64"/>
      <c r="M1010" s="64"/>
      <c r="N1010" s="64"/>
      <c r="O1010" s="64"/>
      <c r="P1010" s="64"/>
      <c r="Q1010" s="64"/>
      <c r="R1010" s="64"/>
      <c r="S1010" s="28"/>
    </row>
    <row r="1011" spans="1:19" x14ac:dyDescent="0.25">
      <c r="A1011" s="63"/>
      <c r="B1011" s="64"/>
      <c r="C1011" s="64"/>
      <c r="D1011" s="64"/>
      <c r="E1011" s="64"/>
      <c r="F1011" s="64"/>
      <c r="G1011" s="64"/>
      <c r="H1011" s="64"/>
      <c r="I1011" s="64"/>
      <c r="J1011" s="64"/>
      <c r="K1011" s="64"/>
      <c r="L1011" s="64"/>
      <c r="M1011" s="64"/>
      <c r="N1011" s="64"/>
      <c r="O1011" s="64"/>
      <c r="P1011" s="64"/>
      <c r="Q1011" s="64"/>
      <c r="R1011" s="64"/>
      <c r="S1011" s="28"/>
    </row>
    <row r="1012" spans="1:19" x14ac:dyDescent="0.25">
      <c r="A1012" s="63"/>
      <c r="B1012" s="64"/>
      <c r="C1012" s="64"/>
      <c r="D1012" s="64"/>
      <c r="E1012" s="64"/>
      <c r="F1012" s="64"/>
      <c r="G1012" s="64"/>
      <c r="H1012" s="64"/>
      <c r="I1012" s="64"/>
      <c r="J1012" s="64"/>
      <c r="K1012" s="64"/>
      <c r="L1012" s="64"/>
      <c r="M1012" s="64"/>
      <c r="N1012" s="64"/>
      <c r="O1012" s="64"/>
      <c r="P1012" s="64"/>
      <c r="Q1012" s="64"/>
      <c r="R1012" s="64"/>
      <c r="S1012" s="28"/>
    </row>
    <row r="1013" spans="1:19" x14ac:dyDescent="0.25">
      <c r="A1013" s="63"/>
      <c r="B1013" s="64"/>
      <c r="C1013" s="64"/>
      <c r="D1013" s="64"/>
      <c r="E1013" s="64"/>
      <c r="F1013" s="64"/>
      <c r="G1013" s="64"/>
      <c r="H1013" s="64"/>
      <c r="I1013" s="64"/>
      <c r="J1013" s="64"/>
      <c r="K1013" s="64"/>
      <c r="L1013" s="64"/>
      <c r="M1013" s="64"/>
      <c r="N1013" s="64"/>
      <c r="O1013" s="64"/>
      <c r="P1013" s="64"/>
      <c r="Q1013" s="64"/>
      <c r="R1013" s="64"/>
      <c r="S1013" s="28"/>
    </row>
    <row r="1014" spans="1:19" x14ac:dyDescent="0.25">
      <c r="A1014" s="63"/>
      <c r="B1014" s="64"/>
      <c r="C1014" s="64"/>
      <c r="D1014" s="64"/>
      <c r="E1014" s="64"/>
      <c r="F1014" s="64"/>
      <c r="G1014" s="64"/>
      <c r="H1014" s="64"/>
      <c r="I1014" s="64"/>
      <c r="J1014" s="64"/>
      <c r="K1014" s="64"/>
      <c r="L1014" s="64"/>
      <c r="M1014" s="64"/>
      <c r="N1014" s="64"/>
      <c r="O1014" s="64"/>
      <c r="P1014" s="64"/>
      <c r="Q1014" s="64"/>
      <c r="R1014" s="64"/>
      <c r="S1014" s="28"/>
    </row>
    <row r="1015" spans="1:19" x14ac:dyDescent="0.25">
      <c r="A1015" s="63"/>
      <c r="B1015" s="64"/>
      <c r="C1015" s="64"/>
      <c r="D1015" s="64"/>
      <c r="E1015" s="64"/>
      <c r="F1015" s="64"/>
      <c r="G1015" s="64"/>
      <c r="H1015" s="64"/>
      <c r="I1015" s="64"/>
      <c r="J1015" s="64"/>
      <c r="K1015" s="64"/>
      <c r="L1015" s="64"/>
      <c r="M1015" s="64"/>
      <c r="N1015" s="64"/>
      <c r="O1015" s="64"/>
      <c r="P1015" s="64"/>
      <c r="Q1015" s="64"/>
      <c r="R1015" s="64"/>
      <c r="S1015" s="28"/>
    </row>
    <row r="1016" spans="1:19" x14ac:dyDescent="0.25">
      <c r="A1016" s="63"/>
      <c r="B1016" s="64"/>
      <c r="C1016" s="64"/>
      <c r="D1016" s="64"/>
      <c r="E1016" s="64"/>
      <c r="F1016" s="64"/>
      <c r="G1016" s="64"/>
      <c r="H1016" s="64"/>
      <c r="I1016" s="64"/>
      <c r="J1016" s="64"/>
      <c r="K1016" s="64"/>
      <c r="L1016" s="64"/>
      <c r="M1016" s="64"/>
      <c r="N1016" s="64"/>
      <c r="O1016" s="64"/>
      <c r="P1016" s="64"/>
      <c r="Q1016" s="64"/>
      <c r="R1016" s="64"/>
      <c r="S1016" s="28"/>
    </row>
    <row r="1017" spans="1:19" x14ac:dyDescent="0.25">
      <c r="A1017" s="63"/>
      <c r="B1017" s="64"/>
      <c r="C1017" s="64"/>
      <c r="D1017" s="64"/>
      <c r="E1017" s="64"/>
      <c r="F1017" s="64"/>
      <c r="G1017" s="64"/>
      <c r="H1017" s="64"/>
      <c r="I1017" s="64"/>
      <c r="J1017" s="64"/>
      <c r="K1017" s="64"/>
      <c r="L1017" s="64"/>
      <c r="M1017" s="64"/>
      <c r="N1017" s="64"/>
      <c r="O1017" s="64"/>
      <c r="P1017" s="64"/>
      <c r="Q1017" s="64"/>
      <c r="R1017" s="64"/>
      <c r="S1017" s="28"/>
    </row>
    <row r="1018" spans="1:19" x14ac:dyDescent="0.25">
      <c r="A1018" s="63"/>
      <c r="B1018" s="64"/>
      <c r="C1018" s="64"/>
      <c r="D1018" s="64"/>
      <c r="E1018" s="64"/>
      <c r="F1018" s="64"/>
      <c r="G1018" s="64"/>
      <c r="H1018" s="64"/>
      <c r="I1018" s="64"/>
      <c r="J1018" s="64"/>
      <c r="K1018" s="64"/>
      <c r="L1018" s="64"/>
      <c r="M1018" s="64"/>
      <c r="N1018" s="64"/>
      <c r="O1018" s="64"/>
      <c r="P1018" s="64"/>
      <c r="Q1018" s="64"/>
      <c r="R1018" s="64"/>
      <c r="S1018" s="28"/>
    </row>
    <row r="1019" spans="1:19" x14ac:dyDescent="0.25">
      <c r="A1019" s="63"/>
      <c r="B1019" s="64"/>
      <c r="C1019" s="64"/>
      <c r="D1019" s="64"/>
      <c r="E1019" s="64"/>
      <c r="F1019" s="64"/>
      <c r="G1019" s="64"/>
      <c r="H1019" s="64"/>
      <c r="I1019" s="64"/>
      <c r="J1019" s="64"/>
      <c r="K1019" s="64"/>
      <c r="L1019" s="64"/>
      <c r="M1019" s="64"/>
      <c r="N1019" s="64"/>
      <c r="O1019" s="64"/>
      <c r="P1019" s="64"/>
      <c r="Q1019" s="64"/>
      <c r="R1019" s="64"/>
      <c r="S1019" s="28"/>
    </row>
    <row r="1020" spans="1:19" x14ac:dyDescent="0.25">
      <c r="A1020" s="63"/>
      <c r="B1020" s="64"/>
      <c r="C1020" s="64"/>
      <c r="D1020" s="64"/>
      <c r="E1020" s="64"/>
      <c r="F1020" s="64"/>
      <c r="G1020" s="64"/>
      <c r="H1020" s="64"/>
      <c r="I1020" s="64"/>
      <c r="J1020" s="64"/>
      <c r="K1020" s="64"/>
      <c r="L1020" s="64"/>
      <c r="M1020" s="64"/>
      <c r="N1020" s="64"/>
      <c r="O1020" s="64"/>
      <c r="P1020" s="64"/>
      <c r="Q1020" s="64"/>
      <c r="R1020" s="64"/>
      <c r="S1020" s="28"/>
    </row>
    <row r="1021" spans="1:19" x14ac:dyDescent="0.25">
      <c r="A1021" s="63"/>
      <c r="B1021" s="64"/>
      <c r="C1021" s="64"/>
      <c r="D1021" s="64"/>
      <c r="E1021" s="64"/>
      <c r="F1021" s="64"/>
      <c r="G1021" s="64"/>
      <c r="H1021" s="64"/>
      <c r="I1021" s="64"/>
      <c r="J1021" s="64"/>
      <c r="K1021" s="64"/>
      <c r="L1021" s="64"/>
      <c r="M1021" s="64"/>
      <c r="N1021" s="64"/>
      <c r="O1021" s="64"/>
      <c r="P1021" s="64"/>
      <c r="Q1021" s="64"/>
      <c r="R1021" s="64"/>
      <c r="S1021" s="28"/>
    </row>
    <row r="1022" spans="1:19" x14ac:dyDescent="0.25">
      <c r="A1022" s="63"/>
      <c r="B1022" s="64"/>
      <c r="C1022" s="64"/>
      <c r="D1022" s="64"/>
      <c r="E1022" s="64"/>
      <c r="F1022" s="64"/>
      <c r="G1022" s="64"/>
      <c r="H1022" s="64"/>
      <c r="I1022" s="64"/>
      <c r="J1022" s="64"/>
      <c r="K1022" s="64"/>
      <c r="L1022" s="64"/>
      <c r="M1022" s="64"/>
      <c r="N1022" s="64"/>
      <c r="O1022" s="64"/>
      <c r="P1022" s="64"/>
      <c r="Q1022" s="64"/>
      <c r="R1022" s="64"/>
      <c r="S1022" s="28"/>
    </row>
    <row r="1023" spans="1:19" x14ac:dyDescent="0.25">
      <c r="A1023" s="63"/>
      <c r="B1023" s="64"/>
      <c r="C1023" s="64"/>
      <c r="D1023" s="64"/>
      <c r="E1023" s="64"/>
      <c r="F1023" s="64"/>
      <c r="G1023" s="64"/>
      <c r="H1023" s="64"/>
      <c r="I1023" s="64"/>
      <c r="J1023" s="64"/>
      <c r="K1023" s="64"/>
      <c r="L1023" s="64"/>
      <c r="M1023" s="64"/>
      <c r="N1023" s="64"/>
      <c r="O1023" s="64"/>
      <c r="P1023" s="64"/>
      <c r="Q1023" s="64"/>
      <c r="R1023" s="64"/>
      <c r="S1023" s="28"/>
    </row>
    <row r="1024" spans="1:19" x14ac:dyDescent="0.25">
      <c r="A1024" s="63"/>
      <c r="B1024" s="64"/>
      <c r="C1024" s="64"/>
      <c r="D1024" s="64"/>
      <c r="E1024" s="64"/>
      <c r="F1024" s="64"/>
      <c r="G1024" s="64"/>
      <c r="H1024" s="64"/>
      <c r="I1024" s="64"/>
      <c r="J1024" s="64"/>
      <c r="K1024" s="64"/>
      <c r="L1024" s="64"/>
      <c r="M1024" s="64"/>
      <c r="N1024" s="64"/>
      <c r="O1024" s="64"/>
      <c r="P1024" s="64"/>
      <c r="Q1024" s="64"/>
      <c r="R1024" s="64"/>
      <c r="S1024" s="28"/>
    </row>
    <row r="1025" spans="1:19" x14ac:dyDescent="0.25">
      <c r="A1025" s="63"/>
      <c r="B1025" s="64"/>
      <c r="C1025" s="64"/>
      <c r="D1025" s="64"/>
      <c r="E1025" s="64"/>
      <c r="F1025" s="64"/>
      <c r="G1025" s="64"/>
      <c r="H1025" s="64"/>
      <c r="I1025" s="64"/>
      <c r="J1025" s="64"/>
      <c r="K1025" s="64"/>
      <c r="L1025" s="64"/>
      <c r="M1025" s="64"/>
      <c r="N1025" s="64"/>
      <c r="O1025" s="64"/>
      <c r="P1025" s="64"/>
      <c r="Q1025" s="64"/>
      <c r="R1025" s="64"/>
      <c r="S1025" s="28"/>
    </row>
    <row r="1026" spans="1:19" x14ac:dyDescent="0.25">
      <c r="A1026" s="63"/>
      <c r="B1026" s="64"/>
      <c r="C1026" s="64"/>
      <c r="D1026" s="64"/>
      <c r="E1026" s="64"/>
      <c r="F1026" s="64"/>
      <c r="G1026" s="64"/>
      <c r="H1026" s="64"/>
      <c r="I1026" s="64"/>
      <c r="J1026" s="64"/>
      <c r="K1026" s="64"/>
      <c r="L1026" s="64"/>
      <c r="M1026" s="64"/>
      <c r="N1026" s="64"/>
      <c r="O1026" s="64"/>
      <c r="P1026" s="64"/>
      <c r="Q1026" s="64"/>
      <c r="R1026" s="64"/>
      <c r="S1026" s="28"/>
    </row>
    <row r="1027" spans="1:19" x14ac:dyDescent="0.25">
      <c r="A1027" s="63"/>
      <c r="B1027" s="64"/>
      <c r="C1027" s="64"/>
      <c r="D1027" s="64"/>
      <c r="E1027" s="64"/>
      <c r="F1027" s="64"/>
      <c r="G1027" s="64"/>
      <c r="H1027" s="64"/>
      <c r="I1027" s="64"/>
      <c r="J1027" s="64"/>
      <c r="K1027" s="64"/>
      <c r="L1027" s="64"/>
      <c r="M1027" s="64"/>
      <c r="N1027" s="64"/>
      <c r="O1027" s="64"/>
      <c r="P1027" s="64"/>
      <c r="Q1027" s="64"/>
      <c r="R1027" s="64"/>
      <c r="S1027" s="28"/>
    </row>
    <row r="1028" spans="1:19" x14ac:dyDescent="0.25">
      <c r="A1028" s="63"/>
      <c r="B1028" s="64"/>
      <c r="C1028" s="64"/>
      <c r="D1028" s="64"/>
      <c r="E1028" s="64"/>
      <c r="F1028" s="64"/>
      <c r="G1028" s="64"/>
      <c r="H1028" s="64"/>
      <c r="I1028" s="64"/>
      <c r="J1028" s="64"/>
      <c r="K1028" s="64"/>
      <c r="L1028" s="64"/>
      <c r="M1028" s="64"/>
      <c r="N1028" s="64"/>
      <c r="O1028" s="64"/>
      <c r="P1028" s="64"/>
      <c r="Q1028" s="64"/>
      <c r="R1028" s="64"/>
      <c r="S1028" s="28"/>
    </row>
    <row r="1029" spans="1:19" x14ac:dyDescent="0.25">
      <c r="A1029" s="63"/>
      <c r="B1029" s="64"/>
      <c r="C1029" s="64"/>
      <c r="D1029" s="64"/>
      <c r="E1029" s="64"/>
      <c r="F1029" s="64"/>
      <c r="G1029" s="64"/>
      <c r="H1029" s="64"/>
      <c r="I1029" s="64"/>
      <c r="J1029" s="64"/>
      <c r="K1029" s="64"/>
      <c r="L1029" s="64"/>
      <c r="M1029" s="64"/>
      <c r="N1029" s="64"/>
      <c r="O1029" s="64"/>
      <c r="P1029" s="64"/>
      <c r="Q1029" s="64"/>
      <c r="R1029" s="64"/>
      <c r="S1029" s="28"/>
    </row>
    <row r="1030" spans="1:19" x14ac:dyDescent="0.25">
      <c r="A1030" s="63"/>
      <c r="B1030" s="64"/>
      <c r="C1030" s="64"/>
      <c r="D1030" s="64"/>
      <c r="E1030" s="64"/>
      <c r="F1030" s="64"/>
      <c r="G1030" s="64"/>
      <c r="H1030" s="64"/>
      <c r="I1030" s="64"/>
      <c r="J1030" s="64"/>
      <c r="K1030" s="64"/>
      <c r="L1030" s="64"/>
      <c r="M1030" s="64"/>
      <c r="N1030" s="64"/>
      <c r="O1030" s="64"/>
      <c r="P1030" s="64"/>
      <c r="Q1030" s="64"/>
      <c r="R1030" s="64"/>
      <c r="S1030" s="28"/>
    </row>
    <row r="1031" spans="1:19" x14ac:dyDescent="0.25">
      <c r="A1031" s="63"/>
      <c r="B1031" s="64"/>
      <c r="C1031" s="64"/>
      <c r="D1031" s="64"/>
      <c r="E1031" s="64"/>
      <c r="F1031" s="64"/>
      <c r="G1031" s="64"/>
      <c r="H1031" s="64"/>
      <c r="I1031" s="64"/>
      <c r="J1031" s="64"/>
      <c r="K1031" s="64"/>
      <c r="L1031" s="64"/>
      <c r="M1031" s="64"/>
      <c r="N1031" s="64"/>
      <c r="O1031" s="64"/>
      <c r="P1031" s="64"/>
      <c r="Q1031" s="64"/>
      <c r="R1031" s="64"/>
      <c r="S1031" s="28"/>
    </row>
    <row r="1032" spans="1:19" x14ac:dyDescent="0.25">
      <c r="A1032" s="63"/>
      <c r="B1032" s="64"/>
      <c r="C1032" s="64"/>
      <c r="D1032" s="64"/>
      <c r="E1032" s="64"/>
      <c r="F1032" s="64"/>
      <c r="G1032" s="64"/>
      <c r="H1032" s="64"/>
      <c r="I1032" s="64"/>
      <c r="J1032" s="64"/>
      <c r="K1032" s="64"/>
      <c r="L1032" s="64"/>
      <c r="M1032" s="64"/>
      <c r="N1032" s="64"/>
      <c r="O1032" s="64"/>
      <c r="P1032" s="64"/>
      <c r="Q1032" s="64"/>
      <c r="R1032" s="64"/>
      <c r="S1032" s="28"/>
    </row>
    <row r="1033" spans="1:19" x14ac:dyDescent="0.25">
      <c r="A1033" s="63"/>
      <c r="B1033" s="64"/>
      <c r="C1033" s="64"/>
      <c r="D1033" s="64"/>
      <c r="E1033" s="64"/>
      <c r="F1033" s="64"/>
      <c r="G1033" s="64"/>
      <c r="H1033" s="64"/>
      <c r="I1033" s="64"/>
      <c r="J1033" s="64"/>
      <c r="K1033" s="64"/>
      <c r="L1033" s="64"/>
      <c r="M1033" s="64"/>
      <c r="N1033" s="64"/>
      <c r="O1033" s="64"/>
      <c r="P1033" s="64"/>
      <c r="Q1033" s="64"/>
      <c r="R1033" s="64"/>
      <c r="S1033" s="28"/>
    </row>
    <row r="1034" spans="1:19" x14ac:dyDescent="0.25">
      <c r="A1034" s="63"/>
      <c r="B1034" s="64"/>
      <c r="C1034" s="64"/>
      <c r="D1034" s="64"/>
      <c r="E1034" s="64"/>
      <c r="F1034" s="64"/>
      <c r="G1034" s="64"/>
      <c r="H1034" s="64"/>
      <c r="I1034" s="64"/>
      <c r="J1034" s="64"/>
      <c r="K1034" s="64"/>
      <c r="L1034" s="64"/>
      <c r="M1034" s="64"/>
      <c r="N1034" s="64"/>
      <c r="O1034" s="64"/>
      <c r="P1034" s="64"/>
      <c r="Q1034" s="64"/>
      <c r="R1034" s="64"/>
      <c r="S1034" s="28"/>
    </row>
    <row r="1035" spans="1:19" x14ac:dyDescent="0.25">
      <c r="A1035" s="63"/>
      <c r="B1035" s="64"/>
      <c r="C1035" s="64"/>
      <c r="D1035" s="64"/>
      <c r="E1035" s="64"/>
      <c r="F1035" s="64"/>
      <c r="G1035" s="64"/>
      <c r="H1035" s="64"/>
      <c r="I1035" s="64"/>
      <c r="J1035" s="64"/>
      <c r="K1035" s="64"/>
      <c r="L1035" s="64"/>
      <c r="M1035" s="64"/>
      <c r="N1035" s="64"/>
      <c r="O1035" s="64"/>
      <c r="P1035" s="64"/>
      <c r="Q1035" s="64"/>
      <c r="R1035" s="64"/>
      <c r="S1035" s="28"/>
    </row>
    <row r="1036" spans="1:19" x14ac:dyDescent="0.25">
      <c r="A1036" s="63"/>
      <c r="B1036" s="64"/>
      <c r="C1036" s="64"/>
      <c r="D1036" s="64"/>
      <c r="E1036" s="64"/>
      <c r="F1036" s="64"/>
      <c r="G1036" s="64"/>
      <c r="H1036" s="64"/>
      <c r="I1036" s="64"/>
      <c r="J1036" s="64"/>
      <c r="K1036" s="64"/>
      <c r="L1036" s="64"/>
      <c r="M1036" s="64"/>
      <c r="N1036" s="64"/>
      <c r="O1036" s="64"/>
      <c r="P1036" s="64"/>
      <c r="Q1036" s="64"/>
      <c r="R1036" s="64"/>
      <c r="S1036" s="28"/>
    </row>
    <row r="1037" spans="1:19" x14ac:dyDescent="0.25">
      <c r="A1037" s="63"/>
      <c r="B1037" s="64"/>
      <c r="C1037" s="64"/>
      <c r="D1037" s="64"/>
      <c r="E1037" s="64"/>
      <c r="F1037" s="64"/>
      <c r="G1037" s="64"/>
      <c r="H1037" s="64"/>
      <c r="I1037" s="64"/>
      <c r="J1037" s="64"/>
      <c r="K1037" s="64"/>
      <c r="L1037" s="64"/>
      <c r="M1037" s="64"/>
      <c r="N1037" s="64"/>
      <c r="O1037" s="64"/>
      <c r="P1037" s="64"/>
      <c r="Q1037" s="64"/>
      <c r="R1037" s="64"/>
      <c r="S1037" s="28"/>
    </row>
    <row r="1038" spans="1:19" x14ac:dyDescent="0.25">
      <c r="A1038" s="63"/>
      <c r="B1038" s="64"/>
      <c r="C1038" s="64"/>
      <c r="D1038" s="64"/>
      <c r="E1038" s="64"/>
      <c r="F1038" s="64"/>
      <c r="G1038" s="64"/>
      <c r="H1038" s="64"/>
      <c r="I1038" s="64"/>
      <c r="J1038" s="64"/>
      <c r="K1038" s="64"/>
      <c r="L1038" s="64"/>
      <c r="M1038" s="64"/>
      <c r="N1038" s="64"/>
      <c r="O1038" s="64"/>
      <c r="P1038" s="64"/>
      <c r="Q1038" s="64"/>
      <c r="R1038" s="64"/>
      <c r="S1038" s="28"/>
    </row>
    <row r="1039" spans="1:19" x14ac:dyDescent="0.25">
      <c r="A1039" s="63"/>
      <c r="B1039" s="64"/>
      <c r="C1039" s="64"/>
      <c r="D1039" s="64"/>
      <c r="E1039" s="64"/>
      <c r="F1039" s="64"/>
      <c r="G1039" s="64"/>
      <c r="H1039" s="64"/>
      <c r="I1039" s="64"/>
      <c r="J1039" s="64"/>
      <c r="K1039" s="64"/>
      <c r="L1039" s="64"/>
      <c r="M1039" s="64"/>
      <c r="N1039" s="64"/>
      <c r="O1039" s="64"/>
      <c r="P1039" s="64"/>
      <c r="Q1039" s="64"/>
      <c r="R1039" s="64"/>
      <c r="S1039" s="28"/>
    </row>
    <row r="1040" spans="1:19" x14ac:dyDescent="0.25">
      <c r="A1040" s="63"/>
      <c r="B1040" s="64"/>
      <c r="C1040" s="64"/>
      <c r="D1040" s="64"/>
      <c r="E1040" s="64"/>
      <c r="F1040" s="64"/>
      <c r="G1040" s="64"/>
      <c r="H1040" s="64"/>
      <c r="I1040" s="64"/>
      <c r="J1040" s="64"/>
      <c r="K1040" s="64"/>
      <c r="L1040" s="64"/>
      <c r="M1040" s="64"/>
      <c r="N1040" s="64"/>
      <c r="O1040" s="64"/>
      <c r="P1040" s="64"/>
      <c r="Q1040" s="64"/>
      <c r="R1040" s="64"/>
      <c r="S1040" s="28"/>
    </row>
    <row r="1041" spans="1:19" x14ac:dyDescent="0.25">
      <c r="A1041" s="63"/>
      <c r="B1041" s="64"/>
      <c r="C1041" s="64"/>
      <c r="D1041" s="64"/>
      <c r="E1041" s="64"/>
      <c r="F1041" s="64"/>
      <c r="G1041" s="64"/>
      <c r="H1041" s="64"/>
      <c r="I1041" s="64"/>
      <c r="J1041" s="64"/>
      <c r="K1041" s="64"/>
      <c r="L1041" s="64"/>
      <c r="M1041" s="64"/>
      <c r="N1041" s="64"/>
      <c r="O1041" s="64"/>
      <c r="P1041" s="64"/>
      <c r="Q1041" s="64"/>
      <c r="R1041" s="64"/>
      <c r="S1041" s="28"/>
    </row>
    <row r="1042" spans="1:19" x14ac:dyDescent="0.25">
      <c r="A1042" s="63"/>
      <c r="B1042" s="64"/>
      <c r="C1042" s="64"/>
      <c r="D1042" s="64"/>
      <c r="E1042" s="64"/>
      <c r="F1042" s="64"/>
      <c r="G1042" s="64"/>
      <c r="H1042" s="64"/>
      <c r="I1042" s="64"/>
      <c r="J1042" s="64"/>
      <c r="K1042" s="64"/>
      <c r="L1042" s="64"/>
      <c r="M1042" s="64"/>
      <c r="N1042" s="64"/>
      <c r="O1042" s="64"/>
      <c r="P1042" s="64"/>
      <c r="Q1042" s="64"/>
      <c r="R1042" s="64"/>
      <c r="S1042" s="28"/>
    </row>
    <row r="1043" spans="1:19" x14ac:dyDescent="0.25">
      <c r="A1043" s="63"/>
      <c r="B1043" s="64"/>
      <c r="C1043" s="64"/>
      <c r="D1043" s="64"/>
      <c r="E1043" s="64"/>
      <c r="F1043" s="64"/>
      <c r="G1043" s="64"/>
      <c r="H1043" s="64"/>
      <c r="I1043" s="64"/>
      <c r="J1043" s="64"/>
      <c r="K1043" s="64"/>
      <c r="L1043" s="64"/>
      <c r="M1043" s="64"/>
      <c r="N1043" s="64"/>
      <c r="O1043" s="64"/>
      <c r="P1043" s="64"/>
      <c r="Q1043" s="64"/>
      <c r="R1043" s="64"/>
      <c r="S1043" s="28"/>
    </row>
    <row r="1044" spans="1:19" x14ac:dyDescent="0.25">
      <c r="A1044" s="63"/>
      <c r="B1044" s="64"/>
      <c r="C1044" s="64"/>
      <c r="D1044" s="64"/>
      <c r="E1044" s="64"/>
      <c r="F1044" s="64"/>
      <c r="G1044" s="64"/>
      <c r="H1044" s="64"/>
      <c r="I1044" s="64"/>
      <c r="J1044" s="64"/>
      <c r="K1044" s="64"/>
      <c r="L1044" s="64"/>
      <c r="M1044" s="64"/>
      <c r="N1044" s="64"/>
      <c r="O1044" s="64"/>
      <c r="P1044" s="64"/>
      <c r="Q1044" s="64"/>
      <c r="R1044" s="64"/>
      <c r="S1044" s="28"/>
    </row>
    <row r="1045" spans="1:19" x14ac:dyDescent="0.25">
      <c r="A1045" s="63"/>
      <c r="B1045" s="64"/>
      <c r="C1045" s="64"/>
      <c r="D1045" s="64"/>
      <c r="E1045" s="64"/>
      <c r="F1045" s="64"/>
      <c r="G1045" s="64"/>
      <c r="H1045" s="64"/>
      <c r="I1045" s="64"/>
      <c r="J1045" s="64"/>
      <c r="K1045" s="64"/>
      <c r="L1045" s="64"/>
      <c r="M1045" s="64"/>
      <c r="N1045" s="64"/>
      <c r="O1045" s="64"/>
      <c r="P1045" s="64"/>
      <c r="Q1045" s="64"/>
      <c r="R1045" s="64"/>
      <c r="S1045" s="28"/>
    </row>
    <row r="1046" spans="1:19" x14ac:dyDescent="0.25">
      <c r="A1046" s="63"/>
      <c r="B1046" s="64"/>
      <c r="C1046" s="64"/>
      <c r="D1046" s="64"/>
      <c r="E1046" s="64"/>
      <c r="F1046" s="64"/>
      <c r="G1046" s="64"/>
      <c r="H1046" s="64"/>
      <c r="I1046" s="64"/>
      <c r="J1046" s="64"/>
      <c r="K1046" s="64"/>
      <c r="L1046" s="64"/>
      <c r="M1046" s="64"/>
      <c r="N1046" s="64"/>
      <c r="O1046" s="64"/>
      <c r="P1046" s="64"/>
      <c r="Q1046" s="64"/>
      <c r="R1046" s="64"/>
      <c r="S1046" s="28"/>
    </row>
    <row r="1047" spans="1:19" x14ac:dyDescent="0.25">
      <c r="A1047" s="63"/>
      <c r="B1047" s="64"/>
      <c r="C1047" s="64"/>
      <c r="D1047" s="64"/>
      <c r="E1047" s="64"/>
      <c r="F1047" s="64"/>
      <c r="G1047" s="64"/>
      <c r="H1047" s="64"/>
      <c r="I1047" s="64"/>
      <c r="J1047" s="64"/>
      <c r="K1047" s="64"/>
      <c r="L1047" s="64"/>
      <c r="M1047" s="64"/>
      <c r="N1047" s="64"/>
      <c r="O1047" s="64"/>
      <c r="P1047" s="64"/>
      <c r="Q1047" s="64"/>
      <c r="R1047" s="64"/>
      <c r="S1047" s="28"/>
    </row>
    <row r="1048" spans="1:19" x14ac:dyDescent="0.25">
      <c r="A1048" s="63"/>
      <c r="B1048" s="64"/>
      <c r="C1048" s="64"/>
      <c r="D1048" s="64"/>
      <c r="E1048" s="64"/>
      <c r="F1048" s="64"/>
      <c r="G1048" s="64"/>
      <c r="H1048" s="64"/>
      <c r="I1048" s="64"/>
      <c r="J1048" s="64"/>
      <c r="K1048" s="64"/>
      <c r="L1048" s="64"/>
      <c r="M1048" s="64"/>
      <c r="N1048" s="64"/>
      <c r="O1048" s="64"/>
      <c r="P1048" s="64"/>
      <c r="Q1048" s="64"/>
      <c r="R1048" s="64"/>
      <c r="S1048" s="28"/>
    </row>
    <row r="1049" spans="1:19" x14ac:dyDescent="0.25">
      <c r="A1049" s="63"/>
      <c r="B1049" s="64"/>
      <c r="C1049" s="64"/>
      <c r="D1049" s="64"/>
      <c r="E1049" s="64"/>
      <c r="F1049" s="64"/>
      <c r="G1049" s="64"/>
      <c r="H1049" s="64"/>
      <c r="I1049" s="64"/>
      <c r="J1049" s="64"/>
      <c r="K1049" s="64"/>
      <c r="L1049" s="64"/>
      <c r="M1049" s="64"/>
      <c r="N1049" s="64"/>
      <c r="O1049" s="64"/>
      <c r="P1049" s="64"/>
      <c r="Q1049" s="64"/>
      <c r="R1049" s="64"/>
      <c r="S1049" s="28"/>
    </row>
    <row r="1050" spans="1:19" x14ac:dyDescent="0.25">
      <c r="A1050" s="63"/>
      <c r="B1050" s="64"/>
      <c r="C1050" s="64"/>
      <c r="D1050" s="64"/>
      <c r="E1050" s="64"/>
      <c r="F1050" s="64"/>
      <c r="G1050" s="64"/>
      <c r="H1050" s="64"/>
      <c r="I1050" s="64"/>
      <c r="J1050" s="64"/>
      <c r="K1050" s="64"/>
      <c r="L1050" s="64"/>
      <c r="M1050" s="64"/>
      <c r="N1050" s="64"/>
      <c r="O1050" s="64"/>
      <c r="P1050" s="64"/>
      <c r="Q1050" s="64"/>
      <c r="R1050" s="64"/>
      <c r="S1050" s="28"/>
    </row>
    <row r="1051" spans="1:19" x14ac:dyDescent="0.25">
      <c r="A1051" s="63"/>
      <c r="B1051" s="64"/>
      <c r="C1051" s="64"/>
      <c r="D1051" s="64"/>
      <c r="E1051" s="64"/>
      <c r="F1051" s="64"/>
      <c r="G1051" s="64"/>
      <c r="H1051" s="64"/>
      <c r="I1051" s="64"/>
      <c r="J1051" s="64"/>
      <c r="K1051" s="64"/>
      <c r="L1051" s="64"/>
      <c r="M1051" s="64"/>
      <c r="N1051" s="64"/>
      <c r="O1051" s="64"/>
      <c r="P1051" s="64"/>
      <c r="Q1051" s="64"/>
      <c r="R1051" s="64"/>
      <c r="S1051" s="28"/>
    </row>
    <row r="1052" spans="1:19" x14ac:dyDescent="0.25">
      <c r="A1052" s="63"/>
      <c r="B1052" s="64"/>
      <c r="C1052" s="64"/>
      <c r="D1052" s="64"/>
      <c r="E1052" s="64"/>
      <c r="F1052" s="64"/>
      <c r="G1052" s="64"/>
      <c r="H1052" s="64"/>
      <c r="I1052" s="64"/>
      <c r="J1052" s="64"/>
      <c r="K1052" s="64"/>
      <c r="L1052" s="64"/>
      <c r="M1052" s="64"/>
      <c r="N1052" s="64"/>
      <c r="O1052" s="64"/>
      <c r="P1052" s="64"/>
      <c r="Q1052" s="64"/>
      <c r="R1052" s="64"/>
      <c r="S1052" s="28"/>
    </row>
    <row r="1053" spans="1:19" x14ac:dyDescent="0.25">
      <c r="A1053" s="63"/>
      <c r="B1053" s="64"/>
      <c r="C1053" s="64"/>
      <c r="D1053" s="64"/>
      <c r="E1053" s="64"/>
      <c r="F1053" s="64"/>
      <c r="G1053" s="64"/>
      <c r="H1053" s="64"/>
      <c r="I1053" s="64"/>
      <c r="J1053" s="64"/>
      <c r="K1053" s="64"/>
      <c r="L1053" s="64"/>
      <c r="M1053" s="64"/>
      <c r="N1053" s="64"/>
      <c r="O1053" s="64"/>
      <c r="P1053" s="64"/>
      <c r="Q1053" s="64"/>
      <c r="R1053" s="64"/>
      <c r="S1053" s="28"/>
    </row>
    <row r="1054" spans="1:19" x14ac:dyDescent="0.25">
      <c r="A1054" s="63"/>
      <c r="B1054" s="64"/>
      <c r="C1054" s="64"/>
      <c r="D1054" s="64"/>
      <c r="E1054" s="64"/>
      <c r="F1054" s="64"/>
      <c r="G1054" s="64"/>
      <c r="H1054" s="64"/>
      <c r="I1054" s="64"/>
      <c r="J1054" s="64"/>
      <c r="K1054" s="64"/>
      <c r="L1054" s="64"/>
      <c r="M1054" s="64"/>
      <c r="N1054" s="64"/>
      <c r="O1054" s="64"/>
      <c r="P1054" s="64"/>
      <c r="Q1054" s="64"/>
      <c r="R1054" s="64"/>
      <c r="S1054" s="28"/>
    </row>
    <row r="1055" spans="1:19" x14ac:dyDescent="0.25">
      <c r="A1055" s="63"/>
      <c r="B1055" s="64"/>
      <c r="C1055" s="64"/>
      <c r="D1055" s="64"/>
      <c r="E1055" s="64"/>
      <c r="F1055" s="64"/>
      <c r="G1055" s="64"/>
      <c r="H1055" s="64"/>
      <c r="I1055" s="64"/>
      <c r="J1055" s="64"/>
      <c r="K1055" s="64"/>
      <c r="L1055" s="64"/>
      <c r="M1055" s="64"/>
      <c r="N1055" s="64"/>
      <c r="O1055" s="64"/>
      <c r="P1055" s="64"/>
      <c r="Q1055" s="64"/>
      <c r="R1055" s="64"/>
      <c r="S1055" s="28"/>
    </row>
    <row r="1056" spans="1:19" x14ac:dyDescent="0.25">
      <c r="A1056" s="63"/>
      <c r="B1056" s="64"/>
      <c r="C1056" s="64"/>
      <c r="D1056" s="64"/>
      <c r="E1056" s="64"/>
      <c r="F1056" s="64"/>
      <c r="G1056" s="64"/>
      <c r="H1056" s="64"/>
      <c r="I1056" s="64"/>
      <c r="J1056" s="64"/>
      <c r="K1056" s="64"/>
      <c r="L1056" s="64"/>
      <c r="M1056" s="64"/>
      <c r="N1056" s="64"/>
      <c r="O1056" s="64"/>
      <c r="P1056" s="64"/>
      <c r="Q1056" s="64"/>
      <c r="R1056" s="64"/>
      <c r="S1056" s="28"/>
    </row>
    <row r="1057" spans="1:19" x14ac:dyDescent="0.25">
      <c r="A1057" s="63"/>
      <c r="B1057" s="64"/>
      <c r="C1057" s="64"/>
      <c r="D1057" s="64"/>
      <c r="E1057" s="64"/>
      <c r="F1057" s="64"/>
      <c r="G1057" s="64"/>
      <c r="H1057" s="64"/>
      <c r="I1057" s="64"/>
      <c r="J1057" s="64"/>
      <c r="K1057" s="64"/>
      <c r="L1057" s="64"/>
      <c r="M1057" s="64"/>
      <c r="N1057" s="64"/>
      <c r="O1057" s="64"/>
      <c r="P1057" s="64"/>
      <c r="Q1057" s="64"/>
      <c r="R1057" s="64"/>
      <c r="S1057" s="28"/>
    </row>
    <row r="1058" spans="1:19" x14ac:dyDescent="0.25">
      <c r="A1058" s="63"/>
      <c r="B1058" s="64"/>
      <c r="C1058" s="64"/>
      <c r="D1058" s="64"/>
      <c r="E1058" s="64"/>
      <c r="F1058" s="64"/>
      <c r="G1058" s="64"/>
      <c r="H1058" s="64"/>
      <c r="I1058" s="64"/>
      <c r="J1058" s="64"/>
      <c r="K1058" s="64"/>
      <c r="L1058" s="64"/>
      <c r="M1058" s="64"/>
      <c r="N1058" s="64"/>
      <c r="O1058" s="64"/>
      <c r="P1058" s="64"/>
      <c r="Q1058" s="64"/>
      <c r="R1058" s="64"/>
      <c r="S1058" s="28"/>
    </row>
    <row r="1059" spans="1:19" x14ac:dyDescent="0.25">
      <c r="A1059" s="63"/>
      <c r="B1059" s="64"/>
      <c r="C1059" s="64"/>
      <c r="D1059" s="64"/>
      <c r="E1059" s="64"/>
      <c r="F1059" s="64"/>
      <c r="G1059" s="64"/>
      <c r="H1059" s="64"/>
      <c r="I1059" s="64"/>
      <c r="J1059" s="64"/>
      <c r="K1059" s="64"/>
      <c r="L1059" s="64"/>
      <c r="M1059" s="64"/>
      <c r="N1059" s="64"/>
      <c r="O1059" s="64"/>
      <c r="P1059" s="64"/>
      <c r="Q1059" s="64"/>
      <c r="R1059" s="64"/>
      <c r="S1059" s="28"/>
    </row>
    <row r="1060" spans="1:19" x14ac:dyDescent="0.25">
      <c r="A1060" s="63"/>
      <c r="B1060" s="64"/>
      <c r="C1060" s="64"/>
      <c r="D1060" s="64"/>
      <c r="E1060" s="64"/>
      <c r="F1060" s="64"/>
      <c r="G1060" s="64"/>
      <c r="H1060" s="64"/>
      <c r="I1060" s="64"/>
      <c r="J1060" s="64"/>
      <c r="K1060" s="64"/>
      <c r="L1060" s="64"/>
      <c r="M1060" s="64"/>
      <c r="N1060" s="64"/>
      <c r="O1060" s="64"/>
      <c r="P1060" s="64"/>
      <c r="Q1060" s="64"/>
      <c r="R1060" s="64"/>
      <c r="S1060" s="28"/>
    </row>
    <row r="1061" spans="1:19" x14ac:dyDescent="0.25">
      <c r="A1061" s="63"/>
      <c r="B1061" s="64"/>
      <c r="C1061" s="64"/>
      <c r="D1061" s="64"/>
      <c r="E1061" s="64"/>
      <c r="F1061" s="64"/>
      <c r="G1061" s="64"/>
      <c r="H1061" s="64"/>
      <c r="I1061" s="64"/>
      <c r="J1061" s="64"/>
      <c r="K1061" s="64"/>
      <c r="L1061" s="64"/>
      <c r="M1061" s="64"/>
      <c r="N1061" s="64"/>
      <c r="O1061" s="64"/>
      <c r="P1061" s="64"/>
      <c r="Q1061" s="64"/>
      <c r="R1061" s="64"/>
      <c r="S1061" s="28"/>
    </row>
    <row r="1062" spans="1:19" x14ac:dyDescent="0.25">
      <c r="A1062" s="63"/>
      <c r="B1062" s="64"/>
      <c r="C1062" s="64"/>
      <c r="D1062" s="64"/>
      <c r="E1062" s="64"/>
      <c r="F1062" s="64"/>
      <c r="G1062" s="64"/>
      <c r="H1062" s="64"/>
      <c r="I1062" s="64"/>
      <c r="J1062" s="64"/>
      <c r="K1062" s="64"/>
      <c r="L1062" s="64"/>
      <c r="M1062" s="64"/>
      <c r="N1062" s="64"/>
      <c r="O1062" s="64"/>
      <c r="P1062" s="64"/>
      <c r="Q1062" s="64"/>
      <c r="R1062" s="64"/>
      <c r="S1062" s="28"/>
    </row>
    <row r="1063" spans="1:19" x14ac:dyDescent="0.25">
      <c r="A1063" s="63"/>
      <c r="B1063" s="64"/>
      <c r="C1063" s="64"/>
      <c r="D1063" s="64"/>
      <c r="E1063" s="64"/>
      <c r="F1063" s="64"/>
      <c r="G1063" s="64"/>
      <c r="H1063" s="64"/>
      <c r="I1063" s="64"/>
      <c r="J1063" s="64"/>
      <c r="K1063" s="64"/>
      <c r="L1063" s="64"/>
      <c r="M1063" s="64"/>
      <c r="N1063" s="64"/>
      <c r="O1063" s="64"/>
      <c r="P1063" s="64"/>
      <c r="Q1063" s="64"/>
      <c r="R1063" s="64"/>
      <c r="S1063" s="28"/>
    </row>
    <row r="1064" spans="1:19" x14ac:dyDescent="0.25">
      <c r="A1064" s="63"/>
      <c r="B1064" s="64"/>
      <c r="C1064" s="64"/>
      <c r="D1064" s="64"/>
      <c r="E1064" s="64"/>
      <c r="F1064" s="64"/>
      <c r="G1064" s="64"/>
      <c r="H1064" s="64"/>
      <c r="I1064" s="64"/>
      <c r="J1064" s="64"/>
      <c r="K1064" s="64"/>
      <c r="L1064" s="64"/>
      <c r="M1064" s="64"/>
      <c r="N1064" s="64"/>
      <c r="O1064" s="64"/>
      <c r="P1064" s="64"/>
      <c r="Q1064" s="64"/>
      <c r="R1064" s="64"/>
      <c r="S1064" s="28"/>
    </row>
    <row r="1065" spans="1:19" x14ac:dyDescent="0.25">
      <c r="A1065" s="63"/>
      <c r="B1065" s="64"/>
      <c r="C1065" s="64"/>
      <c r="D1065" s="64"/>
      <c r="E1065" s="64"/>
      <c r="F1065" s="64"/>
      <c r="G1065" s="64"/>
      <c r="H1065" s="64"/>
      <c r="I1065" s="64"/>
      <c r="J1065" s="64"/>
      <c r="K1065" s="64"/>
      <c r="L1065" s="64"/>
      <c r="M1065" s="64"/>
      <c r="N1065" s="64"/>
      <c r="O1065" s="64"/>
      <c r="P1065" s="64"/>
      <c r="Q1065" s="64"/>
      <c r="R1065" s="64"/>
      <c r="S1065" s="28"/>
    </row>
    <row r="1066" spans="1:19" x14ac:dyDescent="0.25">
      <c r="A1066" s="63"/>
      <c r="B1066" s="64"/>
      <c r="C1066" s="64"/>
      <c r="D1066" s="64"/>
      <c r="E1066" s="64"/>
      <c r="F1066" s="64"/>
      <c r="G1066" s="64"/>
      <c r="H1066" s="64"/>
      <c r="I1066" s="64"/>
      <c r="J1066" s="64"/>
      <c r="K1066" s="64"/>
      <c r="L1066" s="64"/>
      <c r="M1066" s="64"/>
      <c r="N1066" s="64"/>
      <c r="O1066" s="64"/>
      <c r="P1066" s="64"/>
      <c r="Q1066" s="64"/>
      <c r="R1066" s="64"/>
      <c r="S1066" s="28"/>
    </row>
    <row r="1067" spans="1:19" x14ac:dyDescent="0.25">
      <c r="A1067" s="63"/>
      <c r="B1067" s="64"/>
      <c r="C1067" s="64"/>
      <c r="D1067" s="64"/>
      <c r="E1067" s="64"/>
      <c r="F1067" s="64"/>
      <c r="G1067" s="64"/>
      <c r="H1067" s="64"/>
      <c r="I1067" s="64"/>
      <c r="J1067" s="64"/>
      <c r="K1067" s="64"/>
      <c r="L1067" s="64"/>
      <c r="M1067" s="64"/>
      <c r="N1067" s="64"/>
      <c r="O1067" s="64"/>
      <c r="P1067" s="64"/>
      <c r="Q1067" s="64"/>
      <c r="R1067" s="64"/>
      <c r="S1067" s="28"/>
    </row>
    <row r="1068" spans="1:19" x14ac:dyDescent="0.25">
      <c r="A1068" s="63"/>
      <c r="B1068" s="64"/>
      <c r="C1068" s="64"/>
      <c r="D1068" s="64"/>
      <c r="E1068" s="64"/>
      <c r="F1068" s="64"/>
      <c r="G1068" s="64"/>
      <c r="H1068" s="64"/>
      <c r="I1068" s="64"/>
      <c r="J1068" s="64"/>
      <c r="K1068" s="64"/>
      <c r="L1068" s="64"/>
      <c r="M1068" s="64"/>
      <c r="N1068" s="64"/>
      <c r="O1068" s="64"/>
      <c r="P1068" s="64"/>
      <c r="Q1068" s="64"/>
      <c r="R1068" s="64"/>
      <c r="S1068" s="28"/>
    </row>
    <row r="1069" spans="1:19" x14ac:dyDescent="0.25">
      <c r="A1069" s="63"/>
      <c r="B1069" s="64"/>
      <c r="C1069" s="64"/>
      <c r="D1069" s="64"/>
      <c r="E1069" s="64"/>
      <c r="F1069" s="64"/>
      <c r="G1069" s="64"/>
      <c r="H1069" s="64"/>
      <c r="I1069" s="64"/>
      <c r="J1069" s="64"/>
      <c r="K1069" s="64"/>
      <c r="L1069" s="64"/>
      <c r="M1069" s="64"/>
      <c r="N1069" s="64"/>
      <c r="O1069" s="64"/>
      <c r="P1069" s="64"/>
      <c r="Q1069" s="64"/>
      <c r="R1069" s="64"/>
      <c r="S1069" s="28"/>
    </row>
    <row r="1070" spans="1:19" x14ac:dyDescent="0.25">
      <c r="A1070" s="63"/>
      <c r="B1070" s="64"/>
      <c r="C1070" s="64"/>
      <c r="D1070" s="64"/>
      <c r="E1070" s="64"/>
      <c r="F1070" s="64"/>
      <c r="G1070" s="64"/>
      <c r="H1070" s="64"/>
      <c r="I1070" s="64"/>
      <c r="J1070" s="64"/>
      <c r="K1070" s="64"/>
      <c r="L1070" s="64"/>
      <c r="M1070" s="64"/>
      <c r="N1070" s="64"/>
      <c r="O1070" s="64"/>
      <c r="P1070" s="64"/>
      <c r="Q1070" s="64"/>
      <c r="R1070" s="64"/>
      <c r="S1070" s="28"/>
    </row>
    <row r="1071" spans="1:19" x14ac:dyDescent="0.25">
      <c r="A1071" s="63"/>
      <c r="B1071" s="64"/>
      <c r="C1071" s="64"/>
      <c r="D1071" s="64"/>
      <c r="E1071" s="64"/>
      <c r="F1071" s="64"/>
      <c r="G1071" s="64"/>
      <c r="H1071" s="64"/>
      <c r="I1071" s="64"/>
      <c r="J1071" s="64"/>
      <c r="K1071" s="64"/>
      <c r="L1071" s="64"/>
      <c r="M1071" s="64"/>
      <c r="N1071" s="64"/>
      <c r="O1071" s="64"/>
      <c r="P1071" s="64"/>
      <c r="Q1071" s="64"/>
      <c r="R1071" s="64"/>
      <c r="S1071" s="28"/>
    </row>
    <row r="1072" spans="1:19" x14ac:dyDescent="0.25">
      <c r="A1072" s="63"/>
      <c r="B1072" s="64"/>
      <c r="C1072" s="64"/>
      <c r="D1072" s="64"/>
      <c r="E1072" s="64"/>
      <c r="F1072" s="64"/>
      <c r="G1072" s="64"/>
      <c r="H1072" s="64"/>
      <c r="I1072" s="64"/>
      <c r="J1072" s="64"/>
      <c r="K1072" s="64"/>
      <c r="L1072" s="64"/>
      <c r="M1072" s="64"/>
      <c r="N1072" s="64"/>
      <c r="O1072" s="64"/>
      <c r="P1072" s="64"/>
      <c r="Q1072" s="64"/>
      <c r="R1072" s="64"/>
      <c r="S1072" s="28"/>
    </row>
    <row r="1073" spans="1:19" x14ac:dyDescent="0.25">
      <c r="A1073" s="63"/>
      <c r="B1073" s="64"/>
      <c r="C1073" s="64"/>
      <c r="D1073" s="64"/>
      <c r="E1073" s="64"/>
      <c r="F1073" s="64"/>
      <c r="G1073" s="64"/>
      <c r="H1073" s="64"/>
      <c r="I1073" s="64"/>
      <c r="J1073" s="64"/>
      <c r="K1073" s="64"/>
      <c r="L1073" s="64"/>
      <c r="M1073" s="64"/>
      <c r="N1073" s="64"/>
      <c r="O1073" s="64"/>
      <c r="P1073" s="64"/>
      <c r="Q1073" s="64"/>
      <c r="R1073" s="64"/>
      <c r="S1073" s="28"/>
    </row>
    <row r="1074" spans="1:19" x14ac:dyDescent="0.25">
      <c r="A1074" s="63"/>
      <c r="B1074" s="64"/>
      <c r="C1074" s="64"/>
      <c r="D1074" s="64"/>
      <c r="E1074" s="64"/>
      <c r="F1074" s="64"/>
      <c r="G1074" s="64"/>
      <c r="H1074" s="64"/>
      <c r="I1074" s="64"/>
      <c r="J1074" s="64"/>
      <c r="K1074" s="64"/>
      <c r="L1074" s="64"/>
      <c r="M1074" s="64"/>
      <c r="N1074" s="64"/>
      <c r="O1074" s="64"/>
      <c r="P1074" s="64"/>
      <c r="Q1074" s="64"/>
      <c r="R1074" s="64"/>
      <c r="S1074" s="28"/>
    </row>
    <row r="1075" spans="1:19" x14ac:dyDescent="0.25">
      <c r="A1075" s="63"/>
      <c r="B1075" s="64"/>
      <c r="C1075" s="64"/>
      <c r="D1075" s="64"/>
      <c r="E1075" s="64"/>
      <c r="F1075" s="64"/>
      <c r="G1075" s="64"/>
      <c r="H1075" s="64"/>
      <c r="I1075" s="64"/>
      <c r="J1075" s="64"/>
      <c r="K1075" s="64"/>
      <c r="L1075" s="64"/>
      <c r="M1075" s="64"/>
      <c r="N1075" s="64"/>
      <c r="O1075" s="64"/>
      <c r="P1075" s="64"/>
      <c r="Q1075" s="64"/>
      <c r="R1075" s="64"/>
      <c r="S1075" s="28"/>
    </row>
    <row r="1076" spans="1:19" x14ac:dyDescent="0.25">
      <c r="A1076" s="63"/>
      <c r="B1076" s="64"/>
      <c r="C1076" s="64"/>
      <c r="D1076" s="64"/>
      <c r="E1076" s="64"/>
      <c r="F1076" s="64"/>
      <c r="G1076" s="64"/>
      <c r="H1076" s="64"/>
      <c r="I1076" s="64"/>
      <c r="J1076" s="64"/>
      <c r="K1076" s="64"/>
      <c r="L1076" s="64"/>
      <c r="M1076" s="64"/>
      <c r="N1076" s="64"/>
      <c r="O1076" s="64"/>
      <c r="P1076" s="64"/>
      <c r="Q1076" s="64"/>
      <c r="R1076" s="64"/>
      <c r="S1076" s="28"/>
    </row>
    <row r="1077" spans="1:19" x14ac:dyDescent="0.25">
      <c r="A1077" s="63"/>
      <c r="B1077" s="64"/>
      <c r="C1077" s="64"/>
      <c r="D1077" s="64"/>
      <c r="E1077" s="64"/>
      <c r="F1077" s="64"/>
      <c r="G1077" s="64"/>
      <c r="H1077" s="64"/>
      <c r="I1077" s="64"/>
      <c r="J1077" s="64"/>
      <c r="K1077" s="64"/>
      <c r="L1077" s="64"/>
      <c r="M1077" s="64"/>
      <c r="N1077" s="64"/>
      <c r="O1077" s="64"/>
      <c r="P1077" s="64"/>
      <c r="Q1077" s="64"/>
      <c r="R1077" s="64"/>
      <c r="S1077" s="28"/>
    </row>
    <row r="1078" spans="1:19" x14ac:dyDescent="0.25">
      <c r="A1078" s="63"/>
      <c r="B1078" s="64"/>
      <c r="C1078" s="64"/>
      <c r="D1078" s="64"/>
      <c r="E1078" s="64"/>
      <c r="F1078" s="64"/>
      <c r="G1078" s="64"/>
      <c r="H1078" s="64"/>
      <c r="I1078" s="64"/>
      <c r="J1078" s="64"/>
      <c r="K1078" s="64"/>
      <c r="L1078" s="64"/>
      <c r="M1078" s="64"/>
      <c r="N1078" s="64"/>
      <c r="O1078" s="64"/>
      <c r="P1078" s="64"/>
      <c r="Q1078" s="64"/>
      <c r="R1078" s="64"/>
      <c r="S1078" s="28"/>
    </row>
    <row r="1079" spans="1:19" x14ac:dyDescent="0.25">
      <c r="A1079" s="63"/>
      <c r="B1079" s="64"/>
      <c r="C1079" s="64"/>
      <c r="D1079" s="64"/>
      <c r="E1079" s="64"/>
      <c r="F1079" s="64"/>
      <c r="G1079" s="64"/>
      <c r="H1079" s="64"/>
      <c r="I1079" s="64"/>
      <c r="J1079" s="64"/>
      <c r="K1079" s="64"/>
      <c r="L1079" s="64"/>
      <c r="M1079" s="64"/>
      <c r="N1079" s="64"/>
      <c r="O1079" s="64"/>
      <c r="P1079" s="64"/>
      <c r="Q1079" s="64"/>
      <c r="R1079" s="64"/>
      <c r="S1079" s="28"/>
    </row>
    <row r="1080" spans="1:19" x14ac:dyDescent="0.25">
      <c r="A1080" s="63"/>
      <c r="B1080" s="64"/>
      <c r="C1080" s="64"/>
      <c r="D1080" s="64"/>
      <c r="E1080" s="64"/>
      <c r="F1080" s="64"/>
      <c r="G1080" s="64"/>
      <c r="H1080" s="64"/>
      <c r="I1080" s="64"/>
      <c r="J1080" s="64"/>
      <c r="K1080" s="64"/>
      <c r="L1080" s="64"/>
      <c r="M1080" s="64"/>
      <c r="N1080" s="64"/>
      <c r="O1080" s="64"/>
      <c r="P1080" s="64"/>
      <c r="Q1080" s="64"/>
      <c r="R1080" s="64"/>
      <c r="S1080" s="28"/>
    </row>
    <row r="1081" spans="1:19" x14ac:dyDescent="0.25">
      <c r="A1081" s="63"/>
      <c r="B1081" s="64"/>
      <c r="C1081" s="64"/>
      <c r="D1081" s="64"/>
      <c r="E1081" s="64"/>
      <c r="F1081" s="64"/>
      <c r="G1081" s="64"/>
      <c r="H1081" s="64"/>
      <c r="I1081" s="64"/>
      <c r="J1081" s="64"/>
      <c r="K1081" s="64"/>
      <c r="L1081" s="64"/>
      <c r="M1081" s="64"/>
      <c r="N1081" s="64"/>
      <c r="O1081" s="64"/>
      <c r="P1081" s="64"/>
      <c r="Q1081" s="64"/>
      <c r="R1081" s="64"/>
      <c r="S1081" s="28"/>
    </row>
    <row r="1082" spans="1:19" x14ac:dyDescent="0.25">
      <c r="A1082" s="63"/>
      <c r="B1082" s="64"/>
      <c r="C1082" s="64"/>
      <c r="D1082" s="64"/>
      <c r="E1082" s="64"/>
      <c r="F1082" s="64"/>
      <c r="G1082" s="64"/>
      <c r="H1082" s="64"/>
      <c r="I1082" s="64"/>
      <c r="J1082" s="64"/>
      <c r="K1082" s="64"/>
      <c r="L1082" s="64"/>
      <c r="M1082" s="64"/>
      <c r="N1082" s="64"/>
      <c r="O1082" s="64"/>
      <c r="P1082" s="64"/>
      <c r="Q1082" s="64"/>
      <c r="R1082" s="64"/>
      <c r="S1082" s="28"/>
    </row>
    <row r="1083" spans="1:19" x14ac:dyDescent="0.25">
      <c r="A1083" s="63"/>
      <c r="B1083" s="64"/>
      <c r="C1083" s="64"/>
      <c r="D1083" s="64"/>
      <c r="E1083" s="64"/>
      <c r="F1083" s="64"/>
      <c r="G1083" s="64"/>
      <c r="H1083" s="64"/>
      <c r="I1083" s="64"/>
      <c r="J1083" s="64"/>
      <c r="K1083" s="64"/>
      <c r="L1083" s="64"/>
      <c r="M1083" s="64"/>
      <c r="N1083" s="64"/>
      <c r="O1083" s="64"/>
      <c r="P1083" s="64"/>
      <c r="Q1083" s="64"/>
      <c r="R1083" s="64"/>
      <c r="S1083" s="28"/>
    </row>
    <row r="1084" spans="1:19" x14ac:dyDescent="0.25">
      <c r="A1084" s="63"/>
      <c r="B1084" s="64"/>
      <c r="C1084" s="64"/>
      <c r="D1084" s="64"/>
      <c r="E1084" s="64"/>
      <c r="F1084" s="64"/>
      <c r="G1084" s="64"/>
      <c r="H1084" s="64"/>
      <c r="I1084" s="64"/>
      <c r="J1084" s="64"/>
      <c r="K1084" s="64"/>
      <c r="L1084" s="64"/>
      <c r="M1084" s="64"/>
      <c r="N1084" s="64"/>
      <c r="O1084" s="64"/>
      <c r="P1084" s="64"/>
      <c r="Q1084" s="64"/>
      <c r="R1084" s="64"/>
      <c r="S1084" s="28"/>
    </row>
    <row r="1085" spans="1:19" x14ac:dyDescent="0.25">
      <c r="A1085" s="63"/>
      <c r="B1085" s="64"/>
      <c r="C1085" s="64"/>
      <c r="D1085" s="64"/>
      <c r="E1085" s="64"/>
      <c r="F1085" s="64"/>
      <c r="G1085" s="64"/>
      <c r="H1085" s="64"/>
      <c r="I1085" s="64"/>
      <c r="J1085" s="64"/>
      <c r="K1085" s="64"/>
      <c r="L1085" s="64"/>
      <c r="M1085" s="64"/>
      <c r="N1085" s="64"/>
      <c r="O1085" s="64"/>
      <c r="P1085" s="64"/>
      <c r="Q1085" s="64"/>
      <c r="R1085" s="64"/>
      <c r="S1085" s="28"/>
    </row>
    <row r="1086" spans="1:19" x14ac:dyDescent="0.25">
      <c r="A1086" s="63"/>
      <c r="B1086" s="64"/>
      <c r="C1086" s="64"/>
      <c r="D1086" s="64"/>
      <c r="E1086" s="64"/>
      <c r="F1086" s="64"/>
      <c r="G1086" s="64"/>
      <c r="H1086" s="64"/>
      <c r="I1086" s="64"/>
      <c r="J1086" s="64"/>
      <c r="K1086" s="64"/>
      <c r="L1086" s="64"/>
      <c r="M1086" s="64"/>
      <c r="N1086" s="64"/>
      <c r="O1086" s="64"/>
      <c r="P1086" s="64"/>
      <c r="Q1086" s="64"/>
      <c r="R1086" s="64"/>
      <c r="S1086" s="28"/>
    </row>
    <row r="1087" spans="1:19" x14ac:dyDescent="0.25">
      <c r="A1087" s="63"/>
      <c r="B1087" s="64"/>
      <c r="C1087" s="64"/>
      <c r="D1087" s="64"/>
      <c r="E1087" s="64"/>
      <c r="F1087" s="64"/>
      <c r="G1087" s="64"/>
      <c r="H1087" s="64"/>
      <c r="I1087" s="64"/>
      <c r="J1087" s="64"/>
      <c r="K1087" s="64"/>
      <c r="L1087" s="64"/>
      <c r="M1087" s="64"/>
      <c r="N1087" s="64"/>
      <c r="O1087" s="64"/>
      <c r="P1087" s="64"/>
      <c r="Q1087" s="64"/>
      <c r="R1087" s="64"/>
      <c r="S1087" s="28"/>
    </row>
    <row r="1088" spans="1:19" x14ac:dyDescent="0.25">
      <c r="A1088" s="63"/>
      <c r="B1088" s="64"/>
      <c r="C1088" s="64"/>
      <c r="D1088" s="64"/>
      <c r="E1088" s="64"/>
      <c r="F1088" s="64"/>
      <c r="G1088" s="64"/>
      <c r="H1088" s="64"/>
      <c r="I1088" s="64"/>
      <c r="J1088" s="64"/>
      <c r="K1088" s="64"/>
      <c r="L1088" s="64"/>
      <c r="M1088" s="64"/>
      <c r="N1088" s="64"/>
      <c r="O1088" s="64"/>
      <c r="P1088" s="64"/>
      <c r="Q1088" s="64"/>
      <c r="R1088" s="64"/>
      <c r="S1088" s="28"/>
    </row>
    <row r="1089" spans="1:19" x14ac:dyDescent="0.25">
      <c r="A1089" s="63"/>
      <c r="B1089" s="64"/>
      <c r="C1089" s="64"/>
      <c r="D1089" s="64"/>
      <c r="E1089" s="64"/>
      <c r="F1089" s="64"/>
      <c r="G1089" s="64"/>
      <c r="H1089" s="64"/>
      <c r="I1089" s="64"/>
      <c r="J1089" s="64"/>
      <c r="K1089" s="64"/>
      <c r="L1089" s="64"/>
      <c r="M1089" s="64"/>
      <c r="N1089" s="64"/>
      <c r="O1089" s="64"/>
      <c r="P1089" s="64"/>
      <c r="Q1089" s="64"/>
      <c r="R1089" s="64"/>
      <c r="S1089" s="28"/>
    </row>
    <row r="1090" spans="1:19" x14ac:dyDescent="0.25">
      <c r="A1090" s="63"/>
      <c r="B1090" s="64"/>
      <c r="C1090" s="64"/>
      <c r="D1090" s="64"/>
      <c r="E1090" s="64"/>
      <c r="F1090" s="64"/>
      <c r="G1090" s="64"/>
      <c r="H1090" s="64"/>
      <c r="I1090" s="64"/>
      <c r="J1090" s="64"/>
      <c r="K1090" s="64"/>
      <c r="L1090" s="64"/>
      <c r="M1090" s="64"/>
      <c r="N1090" s="64"/>
      <c r="O1090" s="64"/>
      <c r="P1090" s="64"/>
      <c r="Q1090" s="64"/>
      <c r="R1090" s="64"/>
      <c r="S1090" s="28"/>
    </row>
    <row r="1091" spans="1:19" x14ac:dyDescent="0.25">
      <c r="A1091" s="63"/>
      <c r="B1091" s="64"/>
      <c r="C1091" s="64"/>
      <c r="D1091" s="64"/>
      <c r="E1091" s="64"/>
      <c r="F1091" s="64"/>
      <c r="G1091" s="64"/>
      <c r="H1091" s="64"/>
      <c r="I1091" s="64"/>
      <c r="J1091" s="64"/>
      <c r="K1091" s="64"/>
      <c r="L1091" s="64"/>
      <c r="M1091" s="64"/>
      <c r="N1091" s="64"/>
      <c r="O1091" s="64"/>
      <c r="P1091" s="64"/>
      <c r="Q1091" s="64"/>
      <c r="R1091" s="64"/>
      <c r="S1091" s="28"/>
    </row>
    <row r="1092" spans="1:19" x14ac:dyDescent="0.25">
      <c r="A1092" s="63"/>
      <c r="B1092" s="64"/>
      <c r="C1092" s="64"/>
      <c r="D1092" s="64"/>
      <c r="E1092" s="64"/>
      <c r="F1092" s="64"/>
      <c r="G1092" s="64"/>
      <c r="H1092" s="64"/>
      <c r="I1092" s="64"/>
      <c r="J1092" s="64"/>
      <c r="K1092" s="64"/>
      <c r="L1092" s="64"/>
      <c r="M1092" s="64"/>
      <c r="N1092" s="64"/>
      <c r="O1092" s="64"/>
      <c r="P1092" s="64"/>
      <c r="Q1092" s="64"/>
      <c r="R1092" s="64"/>
      <c r="S1092" s="28"/>
    </row>
    <row r="1093" spans="1:19" x14ac:dyDescent="0.25">
      <c r="A1093" s="63"/>
      <c r="B1093" s="64"/>
      <c r="C1093" s="64"/>
      <c r="D1093" s="64"/>
      <c r="E1093" s="64"/>
      <c r="F1093" s="64"/>
      <c r="G1093" s="64"/>
      <c r="H1093" s="64"/>
      <c r="I1093" s="64"/>
      <c r="J1093" s="64"/>
      <c r="K1093" s="64"/>
      <c r="L1093" s="64"/>
      <c r="M1093" s="64"/>
      <c r="N1093" s="64"/>
      <c r="O1093" s="64"/>
      <c r="P1093" s="64"/>
      <c r="Q1093" s="64"/>
      <c r="R1093" s="64"/>
      <c r="S1093" s="28"/>
    </row>
    <row r="1094" spans="1:19" x14ac:dyDescent="0.25">
      <c r="A1094" s="63"/>
      <c r="B1094" s="64"/>
      <c r="C1094" s="64"/>
      <c r="D1094" s="64"/>
      <c r="E1094" s="64"/>
      <c r="F1094" s="64"/>
      <c r="G1094" s="64"/>
      <c r="H1094" s="64"/>
      <c r="I1094" s="64"/>
      <c r="J1094" s="64"/>
      <c r="K1094" s="64"/>
      <c r="L1094" s="64"/>
      <c r="M1094" s="64"/>
      <c r="N1094" s="64"/>
      <c r="O1094" s="64"/>
      <c r="P1094" s="64"/>
      <c r="Q1094" s="64"/>
      <c r="R1094" s="64"/>
      <c r="S1094" s="28"/>
    </row>
    <row r="1095" spans="1:19" x14ac:dyDescent="0.25">
      <c r="A1095" s="63"/>
      <c r="B1095" s="64"/>
      <c r="C1095" s="64"/>
      <c r="D1095" s="64"/>
      <c r="E1095" s="64"/>
      <c r="F1095" s="64"/>
      <c r="G1095" s="64"/>
      <c r="H1095" s="64"/>
      <c r="I1095" s="64"/>
      <c r="J1095" s="64"/>
      <c r="K1095" s="64"/>
      <c r="L1095" s="64"/>
      <c r="M1095" s="64"/>
      <c r="N1095" s="64"/>
      <c r="O1095" s="64"/>
      <c r="P1095" s="64"/>
      <c r="Q1095" s="64"/>
      <c r="R1095" s="64"/>
      <c r="S1095" s="28"/>
    </row>
    <row r="1096" spans="1:19" x14ac:dyDescent="0.25">
      <c r="A1096" s="63"/>
      <c r="B1096" s="64"/>
      <c r="C1096" s="64"/>
      <c r="D1096" s="64"/>
      <c r="E1096" s="64"/>
      <c r="F1096" s="64"/>
      <c r="G1096" s="64"/>
      <c r="H1096" s="64"/>
      <c r="I1096" s="64"/>
      <c r="J1096" s="64"/>
      <c r="K1096" s="64"/>
      <c r="L1096" s="64"/>
      <c r="M1096" s="64"/>
      <c r="N1096" s="64"/>
      <c r="O1096" s="64"/>
      <c r="P1096" s="64"/>
      <c r="Q1096" s="64"/>
      <c r="R1096" s="64"/>
      <c r="S1096" s="28"/>
    </row>
    <row r="1097" spans="1:19" x14ac:dyDescent="0.25">
      <c r="A1097" s="63"/>
      <c r="B1097" s="64"/>
      <c r="C1097" s="64"/>
      <c r="D1097" s="64"/>
      <c r="E1097" s="64"/>
      <c r="F1097" s="64"/>
      <c r="G1097" s="64"/>
      <c r="H1097" s="64"/>
      <c r="I1097" s="64"/>
      <c r="J1097" s="64"/>
      <c r="K1097" s="64"/>
      <c r="L1097" s="64"/>
      <c r="M1097" s="64"/>
      <c r="N1097" s="64"/>
      <c r="O1097" s="64"/>
      <c r="P1097" s="64"/>
      <c r="Q1097" s="64"/>
      <c r="R1097" s="64"/>
      <c r="S1097" s="28"/>
    </row>
    <row r="1098" spans="1:19" x14ac:dyDescent="0.25">
      <c r="A1098" s="63"/>
      <c r="B1098" s="64"/>
      <c r="C1098" s="64"/>
      <c r="D1098" s="64"/>
      <c r="E1098" s="64"/>
      <c r="F1098" s="64"/>
      <c r="G1098" s="64"/>
      <c r="H1098" s="64"/>
      <c r="I1098" s="64"/>
      <c r="J1098" s="64"/>
      <c r="K1098" s="64"/>
      <c r="L1098" s="64"/>
      <c r="M1098" s="64"/>
      <c r="N1098" s="64"/>
      <c r="O1098" s="64"/>
      <c r="P1098" s="64"/>
      <c r="Q1098" s="64"/>
      <c r="R1098" s="64"/>
      <c r="S1098" s="28"/>
    </row>
    <row r="1099" spans="1:19" x14ac:dyDescent="0.25">
      <c r="A1099" s="63"/>
      <c r="B1099" s="64"/>
      <c r="C1099" s="64"/>
      <c r="D1099" s="64"/>
      <c r="E1099" s="64"/>
      <c r="F1099" s="64"/>
      <c r="G1099" s="64"/>
      <c r="H1099" s="64"/>
      <c r="I1099" s="64"/>
      <c r="J1099" s="64"/>
      <c r="K1099" s="64"/>
      <c r="L1099" s="64"/>
      <c r="M1099" s="64"/>
      <c r="N1099" s="64"/>
      <c r="O1099" s="64"/>
      <c r="P1099" s="64"/>
      <c r="Q1099" s="64"/>
      <c r="R1099" s="64"/>
      <c r="S1099" s="28"/>
    </row>
    <row r="1100" spans="1:19" x14ac:dyDescent="0.25">
      <c r="A1100" s="63"/>
      <c r="B1100" s="64"/>
      <c r="C1100" s="64"/>
      <c r="D1100" s="64"/>
      <c r="E1100" s="64"/>
      <c r="F1100" s="64"/>
      <c r="G1100" s="64"/>
      <c r="H1100" s="64"/>
      <c r="I1100" s="64"/>
      <c r="J1100" s="64"/>
      <c r="K1100" s="64"/>
      <c r="L1100" s="64"/>
      <c r="M1100" s="64"/>
      <c r="N1100" s="64"/>
      <c r="O1100" s="64"/>
      <c r="P1100" s="64"/>
      <c r="Q1100" s="64"/>
      <c r="R1100" s="64"/>
      <c r="S1100" s="28"/>
    </row>
    <row r="1101" spans="1:19" x14ac:dyDescent="0.25">
      <c r="A1101" s="63"/>
      <c r="B1101" s="64"/>
      <c r="C1101" s="64"/>
      <c r="D1101" s="64"/>
      <c r="E1101" s="64"/>
      <c r="F1101" s="64"/>
      <c r="G1101" s="64"/>
      <c r="H1101" s="64"/>
      <c r="I1101" s="64"/>
      <c r="J1101" s="64"/>
      <c r="K1101" s="64"/>
      <c r="L1101" s="64"/>
      <c r="M1101" s="64"/>
      <c r="N1101" s="64"/>
      <c r="O1101" s="64"/>
      <c r="P1101" s="64"/>
      <c r="Q1101" s="64"/>
      <c r="R1101" s="64"/>
      <c r="S1101" s="28"/>
    </row>
    <row r="1102" spans="1:19" x14ac:dyDescent="0.25">
      <c r="A1102" s="63"/>
      <c r="B1102" s="64"/>
      <c r="C1102" s="64"/>
      <c r="D1102" s="64"/>
      <c r="E1102" s="64"/>
      <c r="F1102" s="64"/>
      <c r="G1102" s="64"/>
      <c r="H1102" s="64"/>
      <c r="I1102" s="64"/>
      <c r="J1102" s="64"/>
      <c r="K1102" s="64"/>
      <c r="L1102" s="64"/>
      <c r="M1102" s="64"/>
      <c r="N1102" s="64"/>
      <c r="O1102" s="64"/>
      <c r="P1102" s="64"/>
      <c r="Q1102" s="64"/>
      <c r="R1102" s="64"/>
      <c r="S1102" s="28"/>
    </row>
    <row r="1103" spans="1:19" x14ac:dyDescent="0.25">
      <c r="A1103" s="63"/>
      <c r="B1103" s="64"/>
      <c r="C1103" s="64"/>
      <c r="D1103" s="64"/>
      <c r="E1103" s="64"/>
      <c r="F1103" s="64"/>
      <c r="G1103" s="64"/>
      <c r="H1103" s="64"/>
      <c r="I1103" s="64"/>
      <c r="J1103" s="64"/>
      <c r="K1103" s="64"/>
      <c r="L1103" s="64"/>
      <c r="M1103" s="64"/>
      <c r="N1103" s="64"/>
      <c r="O1103" s="64"/>
      <c r="P1103" s="64"/>
      <c r="Q1103" s="64"/>
      <c r="R1103" s="64"/>
      <c r="S1103" s="28"/>
    </row>
    <row r="1104" spans="1:19" x14ac:dyDescent="0.25">
      <c r="A1104" s="63"/>
      <c r="B1104" s="64"/>
      <c r="C1104" s="64"/>
      <c r="D1104" s="64"/>
      <c r="E1104" s="64"/>
      <c r="F1104" s="64"/>
      <c r="G1104" s="64"/>
      <c r="H1104" s="64"/>
      <c r="I1104" s="64"/>
      <c r="J1104" s="64"/>
      <c r="K1104" s="64"/>
      <c r="L1104" s="64"/>
      <c r="M1104" s="64"/>
      <c r="N1104" s="64"/>
      <c r="O1104" s="64"/>
      <c r="P1104" s="64"/>
      <c r="Q1104" s="64"/>
      <c r="R1104" s="64"/>
      <c r="S1104" s="28"/>
    </row>
    <row r="1105" spans="1:19" x14ac:dyDescent="0.25">
      <c r="A1105" s="63"/>
      <c r="B1105" s="64"/>
      <c r="C1105" s="64"/>
      <c r="D1105" s="64"/>
      <c r="E1105" s="64"/>
      <c r="F1105" s="64"/>
      <c r="G1105" s="64"/>
      <c r="H1105" s="64"/>
      <c r="I1105" s="64"/>
      <c r="J1105" s="64"/>
      <c r="K1105" s="64"/>
      <c r="L1105" s="64"/>
      <c r="M1105" s="64"/>
      <c r="N1105" s="64"/>
      <c r="O1105" s="64"/>
      <c r="P1105" s="64"/>
      <c r="Q1105" s="64"/>
      <c r="R1105" s="64"/>
      <c r="S1105" s="28"/>
    </row>
    <row r="1106" spans="1:19" x14ac:dyDescent="0.25">
      <c r="A1106" s="63"/>
      <c r="B1106" s="64"/>
      <c r="C1106" s="64"/>
      <c r="D1106" s="64"/>
      <c r="E1106" s="64"/>
      <c r="F1106" s="64"/>
      <c r="G1106" s="64"/>
      <c r="H1106" s="64"/>
      <c r="I1106" s="64"/>
      <c r="J1106" s="64"/>
      <c r="K1106" s="64"/>
      <c r="L1106" s="64"/>
      <c r="M1106" s="64"/>
      <c r="N1106" s="64"/>
      <c r="O1106" s="64"/>
      <c r="P1106" s="64"/>
      <c r="Q1106" s="64"/>
      <c r="R1106" s="64"/>
      <c r="S1106" s="28"/>
    </row>
    <row r="1107" spans="1:19" x14ac:dyDescent="0.25">
      <c r="A1107" s="63"/>
      <c r="B1107" s="64"/>
      <c r="C1107" s="64"/>
      <c r="D1107" s="64"/>
      <c r="E1107" s="64"/>
      <c r="F1107" s="64"/>
      <c r="G1107" s="64"/>
      <c r="H1107" s="64"/>
      <c r="I1107" s="64"/>
      <c r="J1107" s="64"/>
      <c r="K1107" s="64"/>
      <c r="L1107" s="64"/>
      <c r="M1107" s="64"/>
      <c r="N1107" s="64"/>
      <c r="O1107" s="64"/>
      <c r="P1107" s="64"/>
      <c r="Q1107" s="64"/>
      <c r="R1107" s="64"/>
      <c r="S1107" s="28"/>
    </row>
    <row r="1108" spans="1:19" x14ac:dyDescent="0.25">
      <c r="A1108" s="63"/>
      <c r="B1108" s="64"/>
      <c r="C1108" s="64"/>
      <c r="D1108" s="64"/>
      <c r="E1108" s="64"/>
      <c r="F1108" s="64"/>
      <c r="G1108" s="64"/>
      <c r="H1108" s="64"/>
      <c r="I1108" s="64"/>
      <c r="J1108" s="64"/>
      <c r="K1108" s="64"/>
      <c r="L1108" s="64"/>
      <c r="M1108" s="64"/>
      <c r="N1108" s="64"/>
      <c r="O1108" s="64"/>
      <c r="P1108" s="64"/>
      <c r="Q1108" s="64"/>
      <c r="R1108" s="64"/>
      <c r="S1108" s="28"/>
    </row>
    <row r="1109" spans="1:19" x14ac:dyDescent="0.25">
      <c r="A1109" s="63"/>
      <c r="B1109" s="64"/>
      <c r="C1109" s="64"/>
      <c r="D1109" s="64"/>
      <c r="E1109" s="64"/>
      <c r="F1109" s="64"/>
      <c r="G1109" s="64"/>
      <c r="H1109" s="64"/>
      <c r="I1109" s="64"/>
      <c r="J1109" s="64"/>
      <c r="K1109" s="64"/>
      <c r="L1109" s="64"/>
      <c r="M1109" s="64"/>
      <c r="N1109" s="64"/>
      <c r="O1109" s="64"/>
      <c r="P1109" s="64"/>
      <c r="Q1109" s="64"/>
      <c r="R1109" s="64"/>
      <c r="S1109" s="28"/>
    </row>
    <row r="1110" spans="1:19" x14ac:dyDescent="0.25">
      <c r="A1110" s="63"/>
      <c r="B1110" s="64"/>
      <c r="C1110" s="64"/>
      <c r="D1110" s="64"/>
      <c r="E1110" s="64"/>
      <c r="F1110" s="64"/>
      <c r="G1110" s="64"/>
      <c r="H1110" s="64"/>
      <c r="I1110" s="64"/>
      <c r="J1110" s="64"/>
      <c r="K1110" s="64"/>
      <c r="L1110" s="64"/>
      <c r="M1110" s="64"/>
      <c r="N1110" s="64"/>
      <c r="O1110" s="64"/>
      <c r="P1110" s="64"/>
      <c r="Q1110" s="64"/>
      <c r="R1110" s="64"/>
      <c r="S1110" s="28"/>
    </row>
    <row r="1111" spans="1:19" x14ac:dyDescent="0.25">
      <c r="A1111" s="63"/>
      <c r="B1111" s="64"/>
      <c r="C1111" s="64"/>
      <c r="D1111" s="64"/>
      <c r="E1111" s="64"/>
      <c r="F1111" s="64"/>
      <c r="G1111" s="64"/>
      <c r="H1111" s="64"/>
      <c r="I1111" s="64"/>
      <c r="J1111" s="64"/>
      <c r="K1111" s="64"/>
      <c r="L1111" s="64"/>
      <c r="M1111" s="64"/>
      <c r="N1111" s="64"/>
      <c r="O1111" s="64"/>
      <c r="P1111" s="64"/>
      <c r="Q1111" s="64"/>
      <c r="R1111" s="64"/>
      <c r="S1111" s="28"/>
    </row>
    <row r="1112" spans="1:19" x14ac:dyDescent="0.25">
      <c r="A1112" s="63"/>
      <c r="B1112" s="64"/>
      <c r="C1112" s="64"/>
      <c r="D1112" s="64"/>
      <c r="E1112" s="64"/>
      <c r="F1112" s="64"/>
      <c r="G1112" s="64"/>
      <c r="H1112" s="64"/>
      <c r="I1112" s="64"/>
      <c r="J1112" s="64"/>
      <c r="K1112" s="64"/>
      <c r="L1112" s="64"/>
      <c r="M1112" s="64"/>
      <c r="N1112" s="64"/>
      <c r="O1112" s="64"/>
      <c r="P1112" s="64"/>
      <c r="Q1112" s="64"/>
      <c r="R1112" s="64"/>
      <c r="S1112" s="28"/>
    </row>
    <row r="1113" spans="1:19" x14ac:dyDescent="0.25">
      <c r="A1113" s="63"/>
      <c r="B1113" s="64"/>
      <c r="C1113" s="64"/>
      <c r="D1113" s="64"/>
      <c r="E1113" s="64"/>
      <c r="F1113" s="64"/>
      <c r="G1113" s="64"/>
      <c r="H1113" s="64"/>
      <c r="I1113" s="64"/>
      <c r="J1113" s="64"/>
      <c r="K1113" s="64"/>
      <c r="L1113" s="64"/>
      <c r="M1113" s="64"/>
      <c r="N1113" s="64"/>
      <c r="O1113" s="64"/>
      <c r="P1113" s="64"/>
      <c r="Q1113" s="64"/>
      <c r="R1113" s="64"/>
      <c r="S1113" s="28"/>
    </row>
    <row r="1114" spans="1:19" x14ac:dyDescent="0.25">
      <c r="A1114" s="63"/>
      <c r="B1114" s="64"/>
      <c r="C1114" s="64"/>
      <c r="D1114" s="64"/>
      <c r="E1114" s="64"/>
      <c r="F1114" s="64"/>
      <c r="G1114" s="64"/>
      <c r="H1114" s="64"/>
      <c r="I1114" s="64"/>
      <c r="J1114" s="64"/>
      <c r="K1114" s="64"/>
      <c r="L1114" s="64"/>
      <c r="M1114" s="64"/>
      <c r="N1114" s="64"/>
      <c r="O1114" s="64"/>
      <c r="P1114" s="64"/>
      <c r="Q1114" s="64"/>
      <c r="R1114" s="64"/>
      <c r="S1114" s="28"/>
    </row>
    <row r="1115" spans="1:19" x14ac:dyDescent="0.25">
      <c r="A1115" s="63"/>
      <c r="B1115" s="64"/>
      <c r="C1115" s="64"/>
      <c r="D1115" s="64"/>
      <c r="E1115" s="64"/>
      <c r="F1115" s="64"/>
      <c r="G1115" s="64"/>
      <c r="H1115" s="64"/>
      <c r="I1115" s="64"/>
      <c r="J1115" s="64"/>
      <c r="K1115" s="64"/>
      <c r="L1115" s="64"/>
      <c r="M1115" s="64"/>
      <c r="N1115" s="64"/>
      <c r="O1115" s="64"/>
      <c r="P1115" s="64"/>
      <c r="Q1115" s="64"/>
      <c r="R1115" s="64"/>
      <c r="S1115" s="28"/>
    </row>
    <row r="1116" spans="1:19" x14ac:dyDescent="0.25">
      <c r="A1116" s="63"/>
      <c r="B1116" s="64"/>
      <c r="C1116" s="64"/>
      <c r="D1116" s="64"/>
      <c r="E1116" s="64"/>
      <c r="F1116" s="64"/>
      <c r="G1116" s="64"/>
      <c r="H1116" s="64"/>
      <c r="I1116" s="64"/>
      <c r="J1116" s="64"/>
      <c r="K1116" s="64"/>
      <c r="L1116" s="64"/>
      <c r="M1116" s="64"/>
      <c r="N1116" s="64"/>
      <c r="O1116" s="64"/>
      <c r="P1116" s="64"/>
      <c r="Q1116" s="64"/>
      <c r="R1116" s="64"/>
      <c r="S1116" s="28"/>
    </row>
    <row r="1117" spans="1:19" x14ac:dyDescent="0.25">
      <c r="A1117" s="63"/>
      <c r="B1117" s="64"/>
      <c r="C1117" s="64"/>
      <c r="D1117" s="64"/>
      <c r="E1117" s="64"/>
      <c r="F1117" s="64"/>
      <c r="G1117" s="64"/>
      <c r="H1117" s="64"/>
      <c r="I1117" s="64"/>
      <c r="J1117" s="64"/>
      <c r="K1117" s="64"/>
      <c r="L1117" s="64"/>
      <c r="M1117" s="64"/>
      <c r="N1117" s="64"/>
      <c r="O1117" s="64"/>
      <c r="P1117" s="64"/>
      <c r="Q1117" s="64"/>
      <c r="R1117" s="64"/>
      <c r="S1117" s="28"/>
    </row>
    <row r="1118" spans="1:19" x14ac:dyDescent="0.25">
      <c r="A1118" s="63"/>
      <c r="B1118" s="64"/>
      <c r="C1118" s="64"/>
      <c r="D1118" s="64"/>
      <c r="E1118" s="64"/>
      <c r="F1118" s="64"/>
      <c r="G1118" s="64"/>
      <c r="H1118" s="64"/>
      <c r="I1118" s="64"/>
      <c r="J1118" s="64"/>
      <c r="K1118" s="64"/>
      <c r="L1118" s="64"/>
      <c r="M1118" s="64"/>
      <c r="N1118" s="64"/>
      <c r="O1118" s="64"/>
      <c r="P1118" s="64"/>
      <c r="Q1118" s="64"/>
      <c r="R1118" s="64"/>
      <c r="S1118" s="28"/>
    </row>
    <row r="1119" spans="1:19" x14ac:dyDescent="0.25">
      <c r="A1119" s="63"/>
      <c r="B1119" s="64"/>
      <c r="C1119" s="64"/>
      <c r="D1119" s="64"/>
      <c r="E1119" s="64"/>
      <c r="F1119" s="64"/>
      <c r="G1119" s="64"/>
      <c r="H1119" s="64"/>
      <c r="I1119" s="64"/>
      <c r="J1119" s="64"/>
      <c r="K1119" s="64"/>
      <c r="L1119" s="64"/>
      <c r="M1119" s="64"/>
      <c r="N1119" s="64"/>
      <c r="O1119" s="64"/>
      <c r="P1119" s="64"/>
      <c r="Q1119" s="64"/>
      <c r="R1119" s="64"/>
      <c r="S1119" s="28"/>
    </row>
    <row r="1120" spans="1:19" x14ac:dyDescent="0.25">
      <c r="A1120" s="63"/>
      <c r="B1120" s="64"/>
      <c r="C1120" s="64"/>
      <c r="D1120" s="64"/>
      <c r="E1120" s="64"/>
      <c r="F1120" s="64"/>
      <c r="G1120" s="64"/>
      <c r="H1120" s="64"/>
      <c r="I1120" s="64"/>
      <c r="J1120" s="64"/>
      <c r="K1120" s="64"/>
      <c r="L1120" s="64"/>
      <c r="M1120" s="64"/>
      <c r="N1120" s="64"/>
      <c r="O1120" s="64"/>
      <c r="P1120" s="64"/>
      <c r="Q1120" s="64"/>
      <c r="R1120" s="64"/>
      <c r="S1120" s="28"/>
    </row>
    <row r="1121" spans="1:19" x14ac:dyDescent="0.25">
      <c r="A1121" s="63"/>
      <c r="B1121" s="64"/>
      <c r="C1121" s="64"/>
      <c r="D1121" s="64"/>
      <c r="E1121" s="64"/>
      <c r="F1121" s="64"/>
      <c r="G1121" s="64"/>
      <c r="H1121" s="64"/>
      <c r="I1121" s="64"/>
      <c r="J1121" s="64"/>
      <c r="K1121" s="64"/>
      <c r="L1121" s="64"/>
      <c r="M1121" s="64"/>
      <c r="N1121" s="64"/>
      <c r="O1121" s="64"/>
      <c r="P1121" s="64"/>
      <c r="Q1121" s="64"/>
      <c r="R1121" s="64"/>
      <c r="S1121" s="28"/>
    </row>
    <row r="1122" spans="1:19" x14ac:dyDescent="0.25">
      <c r="A1122" s="63"/>
      <c r="B1122" s="64"/>
      <c r="C1122" s="64"/>
      <c r="D1122" s="64"/>
      <c r="E1122" s="64"/>
      <c r="F1122" s="64"/>
      <c r="G1122" s="64"/>
      <c r="H1122" s="64"/>
      <c r="I1122" s="64"/>
      <c r="J1122" s="64"/>
      <c r="K1122" s="64"/>
      <c r="L1122" s="64"/>
      <c r="M1122" s="64"/>
      <c r="N1122" s="64"/>
      <c r="O1122" s="64"/>
      <c r="P1122" s="64"/>
      <c r="Q1122" s="64"/>
      <c r="R1122" s="64"/>
      <c r="S1122" s="28"/>
    </row>
    <row r="1123" spans="1:19" x14ac:dyDescent="0.25">
      <c r="A1123" s="63"/>
      <c r="B1123" s="64"/>
      <c r="C1123" s="64"/>
      <c r="D1123" s="64"/>
      <c r="E1123" s="64"/>
      <c r="F1123" s="64"/>
      <c r="G1123" s="64"/>
      <c r="H1123" s="64"/>
      <c r="I1123" s="64"/>
      <c r="J1123" s="64"/>
      <c r="K1123" s="64"/>
      <c r="L1123" s="64"/>
      <c r="M1123" s="64"/>
      <c r="N1123" s="64"/>
      <c r="O1123" s="64"/>
      <c r="P1123" s="64"/>
      <c r="Q1123" s="64"/>
      <c r="R1123" s="64"/>
      <c r="S1123" s="28"/>
    </row>
    <row r="1124" spans="1:19" x14ac:dyDescent="0.25">
      <c r="A1124" s="63"/>
      <c r="B1124" s="64"/>
      <c r="C1124" s="64"/>
      <c r="D1124" s="64"/>
      <c r="E1124" s="64"/>
      <c r="F1124" s="64"/>
      <c r="G1124" s="64"/>
      <c r="H1124" s="64"/>
      <c r="I1124" s="64"/>
      <c r="J1124" s="64"/>
      <c r="K1124" s="64"/>
      <c r="L1124" s="64"/>
      <c r="M1124" s="64"/>
      <c r="N1124" s="64"/>
      <c r="O1124" s="64"/>
      <c r="P1124" s="64"/>
      <c r="Q1124" s="64"/>
      <c r="R1124" s="64"/>
      <c r="S1124" s="28"/>
    </row>
    <row r="1125" spans="1:19" x14ac:dyDescent="0.25">
      <c r="A1125" s="63"/>
      <c r="B1125" s="64"/>
      <c r="C1125" s="64"/>
      <c r="D1125" s="64"/>
      <c r="E1125" s="64"/>
      <c r="F1125" s="64"/>
      <c r="G1125" s="64"/>
      <c r="H1125" s="64"/>
      <c r="I1125" s="64"/>
      <c r="J1125" s="64"/>
      <c r="K1125" s="64"/>
      <c r="L1125" s="64"/>
      <c r="M1125" s="64"/>
      <c r="N1125" s="64"/>
      <c r="O1125" s="64"/>
      <c r="P1125" s="64"/>
      <c r="Q1125" s="64"/>
      <c r="R1125" s="64"/>
      <c r="S1125" s="28"/>
    </row>
    <row r="1126" spans="1:19" x14ac:dyDescent="0.25">
      <c r="A1126" s="63"/>
      <c r="B1126" s="64"/>
      <c r="C1126" s="64"/>
      <c r="D1126" s="64"/>
      <c r="E1126" s="64"/>
      <c r="F1126" s="64"/>
      <c r="G1126" s="64"/>
      <c r="H1126" s="64"/>
      <c r="I1126" s="64"/>
      <c r="J1126" s="64"/>
      <c r="K1126" s="64"/>
      <c r="L1126" s="64"/>
      <c r="M1126" s="64"/>
      <c r="N1126" s="64"/>
      <c r="O1126" s="64"/>
      <c r="P1126" s="64"/>
      <c r="Q1126" s="64"/>
      <c r="R1126" s="64"/>
      <c r="S1126" s="28"/>
    </row>
    <row r="1127" spans="1:19" x14ac:dyDescent="0.25">
      <c r="A1127" s="63"/>
      <c r="B1127" s="64"/>
      <c r="C1127" s="64"/>
      <c r="D1127" s="64"/>
      <c r="E1127" s="64"/>
      <c r="F1127" s="64"/>
      <c r="G1127" s="64"/>
      <c r="H1127" s="64"/>
      <c r="I1127" s="64"/>
      <c r="J1127" s="64"/>
      <c r="K1127" s="64"/>
      <c r="L1127" s="64"/>
      <c r="M1127" s="64"/>
      <c r="N1127" s="64"/>
      <c r="O1127" s="64"/>
      <c r="P1127" s="64"/>
      <c r="Q1127" s="64"/>
      <c r="R1127" s="64"/>
      <c r="S1127" s="28"/>
    </row>
    <row r="1128" spans="1:19" x14ac:dyDescent="0.25">
      <c r="A1128" s="63"/>
      <c r="B1128" s="64"/>
      <c r="C1128" s="64"/>
      <c r="D1128" s="64"/>
      <c r="E1128" s="64"/>
      <c r="F1128" s="64"/>
      <c r="G1128" s="64"/>
      <c r="H1128" s="64"/>
      <c r="I1128" s="64"/>
      <c r="J1128" s="64"/>
      <c r="K1128" s="64"/>
      <c r="L1128" s="64"/>
      <c r="M1128" s="64"/>
      <c r="N1128" s="64"/>
      <c r="O1128" s="64"/>
      <c r="P1128" s="64"/>
      <c r="Q1128" s="64"/>
      <c r="R1128" s="64"/>
      <c r="S1128" s="28"/>
    </row>
    <row r="1129" spans="1:19" x14ac:dyDescent="0.25">
      <c r="A1129" s="63"/>
      <c r="B1129" s="64"/>
      <c r="C1129" s="64"/>
      <c r="D1129" s="64"/>
      <c r="E1129" s="64"/>
      <c r="F1129" s="64"/>
      <c r="G1129" s="64"/>
      <c r="H1129" s="64"/>
      <c r="I1129" s="64"/>
      <c r="J1129" s="64"/>
      <c r="K1129" s="64"/>
      <c r="L1129" s="64"/>
      <c r="M1129" s="64"/>
      <c r="N1129" s="64"/>
      <c r="O1129" s="64"/>
      <c r="P1129" s="64"/>
      <c r="Q1129" s="64"/>
      <c r="R1129" s="64"/>
      <c r="S1129" s="28"/>
    </row>
    <row r="1130" spans="1:19" x14ac:dyDescent="0.25">
      <c r="A1130" s="63"/>
      <c r="B1130" s="64"/>
      <c r="C1130" s="64"/>
      <c r="D1130" s="64"/>
      <c r="E1130" s="64"/>
      <c r="F1130" s="64"/>
      <c r="G1130" s="64"/>
      <c r="H1130" s="64"/>
      <c r="I1130" s="64"/>
      <c r="J1130" s="64"/>
      <c r="K1130" s="64"/>
      <c r="L1130" s="64"/>
      <c r="M1130" s="64"/>
      <c r="N1130" s="64"/>
      <c r="O1130" s="64"/>
      <c r="P1130" s="64"/>
      <c r="Q1130" s="64"/>
      <c r="R1130" s="64"/>
      <c r="S1130" s="28"/>
    </row>
    <row r="1131" spans="1:19" x14ac:dyDescent="0.25">
      <c r="A1131" s="63"/>
      <c r="B1131" s="64"/>
      <c r="C1131" s="64"/>
      <c r="D1131" s="64"/>
      <c r="E1131" s="64"/>
      <c r="F1131" s="64"/>
      <c r="G1131" s="64"/>
      <c r="H1131" s="64"/>
      <c r="I1131" s="64"/>
      <c r="J1131" s="64"/>
      <c r="K1131" s="64"/>
      <c r="L1131" s="64"/>
      <c r="M1131" s="64"/>
      <c r="N1131" s="64"/>
      <c r="O1131" s="64"/>
      <c r="P1131" s="64"/>
      <c r="Q1131" s="64"/>
      <c r="R1131" s="64"/>
      <c r="S1131" s="28"/>
    </row>
    <row r="1132" spans="1:19" x14ac:dyDescent="0.25">
      <c r="A1132" s="63"/>
      <c r="B1132" s="64"/>
      <c r="C1132" s="64"/>
      <c r="D1132" s="64"/>
      <c r="E1132" s="64"/>
      <c r="F1132" s="64"/>
      <c r="G1132" s="64"/>
      <c r="H1132" s="64"/>
      <c r="I1132" s="64"/>
      <c r="J1132" s="64"/>
      <c r="K1132" s="64"/>
      <c r="L1132" s="64"/>
      <c r="M1132" s="64"/>
      <c r="N1132" s="64"/>
      <c r="O1132" s="64"/>
      <c r="P1132" s="64"/>
      <c r="Q1132" s="64"/>
      <c r="R1132" s="64"/>
      <c r="S1132" s="28"/>
    </row>
    <row r="1133" spans="1:19" x14ac:dyDescent="0.25">
      <c r="A1133" s="63"/>
      <c r="B1133" s="64"/>
      <c r="C1133" s="64"/>
      <c r="D1133" s="64"/>
      <c r="E1133" s="64"/>
      <c r="F1133" s="64"/>
      <c r="G1133" s="64"/>
      <c r="H1133" s="64"/>
      <c r="I1133" s="64"/>
      <c r="J1133" s="64"/>
      <c r="K1133" s="64"/>
      <c r="L1133" s="64"/>
      <c r="M1133" s="64"/>
      <c r="N1133" s="64"/>
      <c r="O1133" s="64"/>
      <c r="P1133" s="64"/>
      <c r="Q1133" s="64"/>
      <c r="R1133" s="64"/>
      <c r="S1133" s="28"/>
    </row>
    <row r="1134" spans="1:19" x14ac:dyDescent="0.25">
      <c r="A1134" s="63"/>
      <c r="B1134" s="64"/>
      <c r="C1134" s="64"/>
      <c r="D1134" s="64"/>
      <c r="E1134" s="64"/>
      <c r="F1134" s="64"/>
      <c r="G1134" s="64"/>
      <c r="H1134" s="64"/>
      <c r="I1134" s="64"/>
      <c r="J1134" s="64"/>
      <c r="K1134" s="64"/>
      <c r="L1134" s="64"/>
      <c r="M1134" s="64"/>
      <c r="N1134" s="64"/>
      <c r="O1134" s="64"/>
      <c r="P1134" s="64"/>
      <c r="Q1134" s="64"/>
      <c r="R1134" s="64"/>
      <c r="S1134" s="28"/>
    </row>
    <row r="1135" spans="1:19" x14ac:dyDescent="0.25">
      <c r="A1135" s="63"/>
      <c r="B1135" s="64"/>
      <c r="C1135" s="64"/>
      <c r="D1135" s="64"/>
      <c r="E1135" s="64"/>
      <c r="F1135" s="64"/>
      <c r="G1135" s="64"/>
      <c r="H1135" s="64"/>
      <c r="I1135" s="64"/>
      <c r="J1135" s="64"/>
      <c r="K1135" s="64"/>
      <c r="L1135" s="64"/>
      <c r="M1135" s="64"/>
      <c r="N1135" s="64"/>
      <c r="O1135" s="64"/>
      <c r="P1135" s="64"/>
      <c r="Q1135" s="64"/>
      <c r="R1135" s="64"/>
      <c r="S1135" s="28"/>
    </row>
    <row r="1136" spans="1:19" x14ac:dyDescent="0.25">
      <c r="A1136" s="63"/>
      <c r="B1136" s="64"/>
      <c r="C1136" s="64"/>
      <c r="D1136" s="64"/>
      <c r="E1136" s="64"/>
      <c r="F1136" s="64"/>
      <c r="G1136" s="64"/>
      <c r="H1136" s="64"/>
      <c r="I1136" s="64"/>
      <c r="J1136" s="64"/>
      <c r="K1136" s="64"/>
      <c r="L1136" s="64"/>
      <c r="M1136" s="64"/>
      <c r="N1136" s="64"/>
      <c r="O1136" s="64"/>
      <c r="P1136" s="64"/>
      <c r="Q1136" s="64"/>
      <c r="R1136" s="64"/>
      <c r="S1136" s="28"/>
    </row>
    <row r="1137" spans="1:19" x14ac:dyDescent="0.25">
      <c r="A1137" s="63"/>
      <c r="B1137" s="64"/>
      <c r="C1137" s="64"/>
      <c r="D1137" s="64"/>
      <c r="E1137" s="64"/>
      <c r="F1137" s="64"/>
      <c r="G1137" s="64"/>
      <c r="H1137" s="64"/>
      <c r="I1137" s="64"/>
      <c r="J1137" s="64"/>
      <c r="K1137" s="64"/>
      <c r="L1137" s="64"/>
      <c r="M1137" s="64"/>
      <c r="N1137" s="64"/>
      <c r="O1137" s="64"/>
      <c r="P1137" s="64"/>
      <c r="Q1137" s="64"/>
      <c r="R1137" s="64"/>
      <c r="S1137" s="28"/>
    </row>
    <row r="1138" spans="1:19" x14ac:dyDescent="0.25">
      <c r="A1138" s="63"/>
      <c r="B1138" s="64"/>
      <c r="C1138" s="64"/>
      <c r="D1138" s="64"/>
      <c r="E1138" s="64"/>
      <c r="F1138" s="64"/>
      <c r="G1138" s="64"/>
      <c r="H1138" s="64"/>
      <c r="I1138" s="64"/>
      <c r="J1138" s="64"/>
      <c r="K1138" s="64"/>
      <c r="L1138" s="64"/>
      <c r="M1138" s="64"/>
      <c r="N1138" s="64"/>
      <c r="O1138" s="64"/>
      <c r="P1138" s="64"/>
      <c r="Q1138" s="64"/>
      <c r="R1138" s="64"/>
      <c r="S1138" s="28"/>
    </row>
    <row r="1139" spans="1:19" x14ac:dyDescent="0.25">
      <c r="A1139" s="63"/>
      <c r="B1139" s="64"/>
      <c r="C1139" s="64"/>
      <c r="D1139" s="64"/>
      <c r="E1139" s="64"/>
      <c r="F1139" s="64"/>
      <c r="G1139" s="64"/>
      <c r="H1139" s="64"/>
      <c r="I1139" s="64"/>
      <c r="J1139" s="64"/>
      <c r="K1139" s="64"/>
      <c r="L1139" s="64"/>
      <c r="M1139" s="64"/>
      <c r="N1139" s="64"/>
      <c r="O1139" s="64"/>
      <c r="P1139" s="64"/>
      <c r="Q1139" s="64"/>
      <c r="R1139" s="64"/>
      <c r="S1139" s="28"/>
    </row>
    <row r="1140" spans="1:19" x14ac:dyDescent="0.25">
      <c r="A1140" s="63"/>
      <c r="B1140" s="64"/>
      <c r="C1140" s="64"/>
      <c r="D1140" s="64"/>
      <c r="E1140" s="64"/>
      <c r="F1140" s="64"/>
      <c r="G1140" s="64"/>
      <c r="H1140" s="64"/>
      <c r="I1140" s="64"/>
      <c r="J1140" s="64"/>
      <c r="K1140" s="64"/>
      <c r="L1140" s="64"/>
      <c r="M1140" s="64"/>
      <c r="N1140" s="64"/>
      <c r="O1140" s="64"/>
      <c r="P1140" s="64"/>
      <c r="Q1140" s="64"/>
      <c r="R1140" s="64"/>
      <c r="S1140" s="28"/>
    </row>
    <row r="1141" spans="1:19" x14ac:dyDescent="0.25">
      <c r="A1141" s="63"/>
      <c r="B1141" s="64"/>
      <c r="C1141" s="64"/>
      <c r="D1141" s="64"/>
      <c r="E1141" s="64"/>
      <c r="F1141" s="64"/>
      <c r="G1141" s="64"/>
      <c r="H1141" s="64"/>
      <c r="I1141" s="64"/>
      <c r="J1141" s="64"/>
      <c r="K1141" s="64"/>
      <c r="L1141" s="64"/>
      <c r="M1141" s="64"/>
      <c r="N1141" s="64"/>
      <c r="O1141" s="64"/>
      <c r="P1141" s="64"/>
      <c r="Q1141" s="64"/>
      <c r="R1141" s="64"/>
      <c r="S1141" s="28"/>
    </row>
    <row r="1142" spans="1:19" x14ac:dyDescent="0.25">
      <c r="A1142" s="63"/>
      <c r="B1142" s="64"/>
      <c r="C1142" s="64"/>
      <c r="D1142" s="64"/>
      <c r="E1142" s="64"/>
      <c r="F1142" s="64"/>
      <c r="G1142" s="64"/>
      <c r="H1142" s="64"/>
      <c r="I1142" s="64"/>
      <c r="J1142" s="64"/>
      <c r="K1142" s="64"/>
      <c r="L1142" s="64"/>
      <c r="M1142" s="64"/>
      <c r="N1142" s="64"/>
      <c r="O1142" s="64"/>
      <c r="P1142" s="64"/>
      <c r="Q1142" s="64"/>
      <c r="R1142" s="64"/>
      <c r="S1142" s="28"/>
    </row>
    <row r="1143" spans="1:19" x14ac:dyDescent="0.25">
      <c r="A1143" s="63"/>
      <c r="B1143" s="64"/>
      <c r="C1143" s="64"/>
      <c r="D1143" s="64"/>
      <c r="E1143" s="64"/>
      <c r="F1143" s="64"/>
      <c r="G1143" s="64"/>
      <c r="H1143" s="64"/>
      <c r="I1143" s="64"/>
      <c r="J1143" s="64"/>
      <c r="K1143" s="64"/>
      <c r="L1143" s="64"/>
      <c r="M1143" s="64"/>
      <c r="N1143" s="64"/>
      <c r="O1143" s="64"/>
      <c r="P1143" s="64"/>
      <c r="Q1143" s="64"/>
      <c r="R1143" s="64"/>
      <c r="S1143" s="28"/>
    </row>
    <row r="1144" spans="1:19" x14ac:dyDescent="0.25">
      <c r="A1144" s="63"/>
      <c r="B1144" s="64"/>
      <c r="C1144" s="64"/>
      <c r="D1144" s="64"/>
      <c r="E1144" s="64"/>
      <c r="F1144" s="64"/>
      <c r="G1144" s="64"/>
      <c r="H1144" s="64"/>
      <c r="I1144" s="64"/>
      <c r="J1144" s="64"/>
      <c r="K1144" s="64"/>
      <c r="L1144" s="64"/>
      <c r="M1144" s="64"/>
      <c r="N1144" s="64"/>
      <c r="O1144" s="64"/>
      <c r="P1144" s="64"/>
      <c r="Q1144" s="64"/>
      <c r="R1144" s="64"/>
      <c r="S1144" s="28"/>
    </row>
    <row r="1145" spans="1:19" x14ac:dyDescent="0.25">
      <c r="A1145" s="63"/>
      <c r="B1145" s="64"/>
      <c r="C1145" s="64"/>
      <c r="D1145" s="64"/>
      <c r="E1145" s="64"/>
      <c r="F1145" s="64"/>
      <c r="G1145" s="64"/>
      <c r="H1145" s="64"/>
      <c r="I1145" s="64"/>
      <c r="J1145" s="64"/>
      <c r="K1145" s="64"/>
      <c r="L1145" s="64"/>
      <c r="M1145" s="64"/>
      <c r="N1145" s="64"/>
      <c r="O1145" s="64"/>
      <c r="P1145" s="64"/>
      <c r="Q1145" s="64"/>
      <c r="R1145" s="64"/>
      <c r="S1145" s="28"/>
    </row>
    <row r="1146" spans="1:19" x14ac:dyDescent="0.25">
      <c r="A1146" s="63"/>
      <c r="B1146" s="64"/>
      <c r="C1146" s="64"/>
      <c r="D1146" s="64"/>
      <c r="E1146" s="64"/>
      <c r="F1146" s="64"/>
      <c r="G1146" s="64"/>
      <c r="H1146" s="64"/>
      <c r="I1146" s="64"/>
      <c r="J1146" s="64"/>
      <c r="K1146" s="64"/>
      <c r="L1146" s="64"/>
      <c r="M1146" s="64"/>
      <c r="N1146" s="64"/>
      <c r="O1146" s="64"/>
      <c r="P1146" s="64"/>
      <c r="Q1146" s="64"/>
      <c r="R1146" s="64"/>
      <c r="S1146" s="28"/>
    </row>
    <row r="1147" spans="1:19" x14ac:dyDescent="0.25">
      <c r="A1147" s="63"/>
      <c r="B1147" s="64"/>
      <c r="C1147" s="64"/>
      <c r="D1147" s="64"/>
      <c r="E1147" s="64"/>
      <c r="F1147" s="64"/>
      <c r="G1147" s="64"/>
      <c r="H1147" s="64"/>
      <c r="I1147" s="64"/>
      <c r="J1147" s="64"/>
      <c r="K1147" s="64"/>
      <c r="L1147" s="64"/>
      <c r="M1147" s="64"/>
      <c r="N1147" s="64"/>
      <c r="O1147" s="64"/>
      <c r="P1147" s="64"/>
      <c r="Q1147" s="64"/>
      <c r="R1147" s="64"/>
      <c r="S1147" s="64"/>
    </row>
    <row r="1148" spans="1:19" x14ac:dyDescent="0.25">
      <c r="A1148" s="63"/>
      <c r="B1148" s="64"/>
      <c r="C1148" s="64"/>
      <c r="D1148" s="64"/>
      <c r="E1148" s="64"/>
      <c r="F1148" s="64"/>
      <c r="G1148" s="64"/>
      <c r="H1148" s="64"/>
      <c r="I1148" s="64"/>
      <c r="J1148" s="64"/>
      <c r="K1148" s="64"/>
      <c r="L1148" s="64"/>
      <c r="M1148" s="64"/>
      <c r="N1148" s="64"/>
      <c r="O1148" s="64"/>
      <c r="P1148" s="64"/>
      <c r="Q1148" s="64"/>
      <c r="R1148" s="64"/>
      <c r="S1148" s="64"/>
    </row>
    <row r="1149" spans="1:19" x14ac:dyDescent="0.25">
      <c r="A1149" s="63"/>
      <c r="B1149" s="64"/>
      <c r="C1149" s="64"/>
      <c r="D1149" s="64"/>
      <c r="E1149" s="64"/>
      <c r="F1149" s="64"/>
      <c r="G1149" s="64"/>
      <c r="H1149" s="64"/>
      <c r="I1149" s="64"/>
      <c r="J1149" s="64"/>
      <c r="K1149" s="64"/>
      <c r="L1149" s="64"/>
      <c r="M1149" s="64"/>
      <c r="N1149" s="64"/>
      <c r="O1149" s="64"/>
      <c r="P1149" s="64"/>
      <c r="Q1149" s="64"/>
      <c r="R1149" s="64"/>
      <c r="S1149" s="64"/>
    </row>
    <row r="1150" spans="1:19" x14ac:dyDescent="0.25">
      <c r="A1150" s="63"/>
      <c r="B1150" s="64"/>
      <c r="C1150" s="64"/>
      <c r="D1150" s="64"/>
      <c r="E1150" s="64"/>
      <c r="F1150" s="64"/>
      <c r="G1150" s="64"/>
      <c r="H1150" s="64"/>
      <c r="I1150" s="64"/>
      <c r="J1150" s="64"/>
      <c r="K1150" s="64"/>
      <c r="L1150" s="64"/>
      <c r="M1150" s="64"/>
      <c r="N1150" s="64"/>
      <c r="O1150" s="64"/>
      <c r="P1150" s="64"/>
      <c r="Q1150" s="64"/>
      <c r="R1150" s="64"/>
      <c r="S1150" s="64"/>
    </row>
    <row r="1151" spans="1:19" x14ac:dyDescent="0.25">
      <c r="A1151" s="63"/>
      <c r="B1151" s="64"/>
      <c r="C1151" s="64"/>
      <c r="D1151" s="64"/>
      <c r="E1151" s="64"/>
      <c r="F1151" s="64"/>
      <c r="G1151" s="64"/>
      <c r="H1151" s="64"/>
      <c r="I1151" s="64"/>
      <c r="J1151" s="64"/>
      <c r="K1151" s="64"/>
      <c r="L1151" s="64"/>
      <c r="M1151" s="64"/>
      <c r="N1151" s="64"/>
      <c r="O1151" s="64"/>
      <c r="P1151" s="64"/>
      <c r="Q1151" s="64"/>
      <c r="R1151" s="64"/>
      <c r="S1151" s="64"/>
    </row>
    <row r="1152" spans="1:19" x14ac:dyDescent="0.25">
      <c r="A1152" s="63"/>
      <c r="B1152" s="64"/>
      <c r="C1152" s="64"/>
      <c r="D1152" s="64"/>
      <c r="E1152" s="64"/>
      <c r="F1152" s="64"/>
      <c r="G1152" s="64"/>
      <c r="H1152" s="64"/>
      <c r="I1152" s="64"/>
      <c r="J1152" s="64"/>
      <c r="K1152" s="64"/>
      <c r="L1152" s="64"/>
      <c r="M1152" s="64"/>
      <c r="N1152" s="64"/>
      <c r="O1152" s="64"/>
      <c r="P1152" s="64"/>
      <c r="Q1152" s="64"/>
      <c r="R1152" s="64"/>
      <c r="S1152" s="64"/>
    </row>
    <row r="1153" spans="1:19" x14ac:dyDescent="0.25">
      <c r="A1153" s="63"/>
      <c r="B1153" s="64"/>
      <c r="C1153" s="64"/>
      <c r="D1153" s="64"/>
      <c r="E1153" s="64"/>
      <c r="F1153" s="64"/>
      <c r="G1153" s="64"/>
      <c r="H1153" s="64"/>
      <c r="I1153" s="64"/>
      <c r="J1153" s="64"/>
      <c r="K1153" s="64"/>
      <c r="L1153" s="64"/>
      <c r="M1153" s="64"/>
      <c r="N1153" s="64"/>
      <c r="O1153" s="64"/>
      <c r="P1153" s="64"/>
      <c r="Q1153" s="64"/>
      <c r="R1153" s="64"/>
      <c r="S1153" s="64"/>
    </row>
    <row r="1154" spans="1:19" x14ac:dyDescent="0.25">
      <c r="A1154" s="63"/>
      <c r="B1154" s="64"/>
      <c r="C1154" s="64"/>
      <c r="D1154" s="64"/>
      <c r="E1154" s="64"/>
      <c r="F1154" s="64"/>
      <c r="G1154" s="64"/>
      <c r="H1154" s="64"/>
      <c r="I1154" s="64"/>
      <c r="J1154" s="64"/>
      <c r="K1154" s="64"/>
      <c r="L1154" s="64"/>
      <c r="M1154" s="64"/>
      <c r="N1154" s="64"/>
      <c r="O1154" s="64"/>
      <c r="P1154" s="64"/>
      <c r="Q1154" s="64"/>
      <c r="R1154" s="64"/>
      <c r="S1154" s="64"/>
    </row>
    <row r="1155" spans="1:19" x14ac:dyDescent="0.25">
      <c r="A1155" s="63"/>
      <c r="B1155" s="64"/>
      <c r="C1155" s="64"/>
      <c r="D1155" s="64"/>
      <c r="E1155" s="64"/>
      <c r="F1155" s="64"/>
      <c r="G1155" s="64"/>
      <c r="H1155" s="64"/>
      <c r="I1155" s="64"/>
      <c r="J1155" s="64"/>
      <c r="K1155" s="64"/>
      <c r="L1155" s="64"/>
      <c r="M1155" s="64"/>
      <c r="N1155" s="64"/>
      <c r="O1155" s="64"/>
      <c r="P1155" s="64"/>
      <c r="Q1155" s="64"/>
      <c r="R1155" s="64"/>
      <c r="S1155" s="64"/>
    </row>
    <row r="1156" spans="1:19" x14ac:dyDescent="0.25">
      <c r="A1156" s="63"/>
      <c r="B1156" s="64"/>
      <c r="C1156" s="64"/>
      <c r="D1156" s="64"/>
      <c r="E1156" s="64"/>
      <c r="F1156" s="64"/>
      <c r="G1156" s="64"/>
      <c r="H1156" s="64"/>
      <c r="I1156" s="64"/>
      <c r="J1156" s="64"/>
      <c r="K1156" s="64"/>
      <c r="L1156" s="64"/>
      <c r="M1156" s="64"/>
      <c r="N1156" s="64"/>
      <c r="O1156" s="64"/>
      <c r="P1156" s="64"/>
      <c r="Q1156" s="64"/>
      <c r="R1156" s="64"/>
      <c r="S1156" s="64"/>
    </row>
    <row r="1157" spans="1:19" x14ac:dyDescent="0.25">
      <c r="A1157" s="63"/>
      <c r="B1157" s="64"/>
      <c r="C1157" s="64"/>
      <c r="D1157" s="64"/>
      <c r="E1157" s="64"/>
      <c r="F1157" s="64"/>
      <c r="G1157" s="64"/>
      <c r="H1157" s="64"/>
      <c r="I1157" s="64"/>
      <c r="J1157" s="64"/>
      <c r="K1157" s="64"/>
      <c r="L1157" s="64"/>
      <c r="M1157" s="64"/>
      <c r="N1157" s="64"/>
      <c r="O1157" s="64"/>
      <c r="P1157" s="64"/>
      <c r="Q1157" s="64"/>
      <c r="R1157" s="64"/>
      <c r="S1157" s="64"/>
    </row>
    <row r="1158" spans="1:19" x14ac:dyDescent="0.25">
      <c r="A1158" s="63"/>
      <c r="B1158" s="64"/>
      <c r="C1158" s="64"/>
      <c r="D1158" s="64"/>
      <c r="E1158" s="64"/>
      <c r="F1158" s="64"/>
      <c r="G1158" s="64"/>
      <c r="H1158" s="64"/>
      <c r="I1158" s="64"/>
      <c r="J1158" s="64"/>
      <c r="K1158" s="64"/>
      <c r="L1158" s="64"/>
      <c r="M1158" s="64"/>
      <c r="N1158" s="64"/>
      <c r="O1158" s="64"/>
      <c r="P1158" s="64"/>
      <c r="Q1158" s="64"/>
      <c r="R1158" s="64"/>
      <c r="S1158" s="64"/>
    </row>
    <row r="1159" spans="1:19" x14ac:dyDescent="0.25">
      <c r="A1159" s="63"/>
      <c r="B1159" s="64"/>
      <c r="C1159" s="64"/>
      <c r="D1159" s="64"/>
      <c r="E1159" s="64"/>
      <c r="F1159" s="64"/>
      <c r="G1159" s="64"/>
      <c r="H1159" s="64"/>
      <c r="I1159" s="64"/>
      <c r="J1159" s="64"/>
      <c r="K1159" s="64"/>
      <c r="L1159" s="64"/>
      <c r="M1159" s="64"/>
      <c r="N1159" s="64"/>
      <c r="O1159" s="64"/>
      <c r="P1159" s="64"/>
      <c r="Q1159" s="64"/>
      <c r="R1159" s="64"/>
      <c r="S1159" s="64"/>
    </row>
    <row r="1160" spans="1:19" x14ac:dyDescent="0.25">
      <c r="A1160" s="63"/>
      <c r="B1160" s="64"/>
      <c r="C1160" s="64"/>
      <c r="D1160" s="64"/>
      <c r="E1160" s="64"/>
      <c r="F1160" s="64"/>
      <c r="G1160" s="64"/>
      <c r="H1160" s="64"/>
      <c r="I1160" s="64"/>
      <c r="J1160" s="64"/>
      <c r="K1160" s="64"/>
      <c r="L1160" s="64"/>
      <c r="M1160" s="64"/>
      <c r="N1160" s="64"/>
      <c r="O1160" s="64"/>
      <c r="P1160" s="64"/>
      <c r="Q1160" s="64"/>
      <c r="R1160" s="64"/>
      <c r="S1160" s="64"/>
    </row>
    <row r="1161" spans="1:19" x14ac:dyDescent="0.25">
      <c r="A1161" s="63"/>
      <c r="B1161" s="64"/>
      <c r="C1161" s="64"/>
      <c r="D1161" s="64"/>
      <c r="E1161" s="64"/>
      <c r="F1161" s="64"/>
      <c r="G1161" s="64"/>
      <c r="H1161" s="64"/>
      <c r="I1161" s="64"/>
      <c r="J1161" s="64"/>
      <c r="K1161" s="64"/>
      <c r="L1161" s="64"/>
      <c r="M1161" s="64"/>
      <c r="N1161" s="64"/>
      <c r="O1161" s="64"/>
      <c r="P1161" s="64"/>
      <c r="Q1161" s="64"/>
      <c r="R1161" s="64"/>
      <c r="S1161" s="64"/>
    </row>
    <row r="1162" spans="1:19" x14ac:dyDescent="0.25">
      <c r="A1162" s="63"/>
      <c r="B1162" s="64"/>
      <c r="C1162" s="64"/>
      <c r="D1162" s="64"/>
      <c r="E1162" s="64"/>
      <c r="F1162" s="64"/>
      <c r="G1162" s="64"/>
      <c r="H1162" s="64"/>
      <c r="I1162" s="64"/>
      <c r="J1162" s="64"/>
      <c r="K1162" s="64"/>
      <c r="L1162" s="64"/>
      <c r="M1162" s="64"/>
      <c r="N1162" s="64"/>
      <c r="O1162" s="64"/>
      <c r="P1162" s="64"/>
      <c r="Q1162" s="64"/>
      <c r="R1162" s="64"/>
      <c r="S1162" s="64"/>
    </row>
    <row r="1163" spans="1:19" x14ac:dyDescent="0.25">
      <c r="A1163" s="63"/>
      <c r="B1163" s="64"/>
      <c r="C1163" s="64"/>
      <c r="D1163" s="64"/>
      <c r="E1163" s="64"/>
      <c r="F1163" s="64"/>
      <c r="G1163" s="64"/>
      <c r="H1163" s="64"/>
      <c r="I1163" s="64"/>
      <c r="J1163" s="64"/>
      <c r="K1163" s="64"/>
      <c r="L1163" s="64"/>
      <c r="M1163" s="64"/>
      <c r="N1163" s="64"/>
      <c r="O1163" s="64"/>
      <c r="P1163" s="64"/>
      <c r="Q1163" s="64"/>
      <c r="R1163" s="64"/>
      <c r="S1163" s="64"/>
    </row>
    <row r="1164" spans="1:19" x14ac:dyDescent="0.25">
      <c r="A1164" s="63"/>
      <c r="B1164" s="64"/>
      <c r="C1164" s="64"/>
      <c r="D1164" s="64"/>
      <c r="E1164" s="64"/>
      <c r="F1164" s="64"/>
      <c r="G1164" s="64"/>
      <c r="H1164" s="64"/>
      <c r="I1164" s="64"/>
      <c r="J1164" s="64"/>
      <c r="K1164" s="64"/>
      <c r="L1164" s="64"/>
      <c r="M1164" s="64"/>
      <c r="N1164" s="64"/>
      <c r="O1164" s="64"/>
      <c r="P1164" s="64"/>
      <c r="Q1164" s="64"/>
      <c r="R1164" s="64"/>
      <c r="S1164" s="64"/>
    </row>
    <row r="1165" spans="1:19" x14ac:dyDescent="0.25">
      <c r="A1165" s="63"/>
      <c r="B1165" s="64"/>
      <c r="C1165" s="64"/>
      <c r="D1165" s="64"/>
      <c r="E1165" s="64"/>
      <c r="F1165" s="64"/>
      <c r="G1165" s="64"/>
      <c r="H1165" s="64"/>
      <c r="I1165" s="64"/>
      <c r="J1165" s="64"/>
      <c r="K1165" s="64"/>
      <c r="L1165" s="64"/>
      <c r="M1165" s="64"/>
      <c r="N1165" s="64"/>
      <c r="O1165" s="64"/>
      <c r="P1165" s="64"/>
      <c r="Q1165" s="64"/>
      <c r="R1165" s="64"/>
      <c r="S1165" s="64"/>
    </row>
    <row r="1166" spans="1:19" x14ac:dyDescent="0.25">
      <c r="A1166" s="63"/>
      <c r="B1166" s="64"/>
      <c r="C1166" s="64"/>
      <c r="D1166" s="64"/>
      <c r="E1166" s="64"/>
      <c r="F1166" s="64"/>
      <c r="G1166" s="64"/>
      <c r="H1166" s="64"/>
      <c r="I1166" s="64"/>
      <c r="J1166" s="64"/>
      <c r="K1166" s="64"/>
      <c r="L1166" s="64"/>
      <c r="M1166" s="64"/>
      <c r="N1166" s="64"/>
      <c r="O1166" s="64"/>
      <c r="P1166" s="64"/>
      <c r="Q1166" s="64"/>
      <c r="R1166" s="64"/>
      <c r="S1166" s="64"/>
    </row>
    <row r="1167" spans="1:19" x14ac:dyDescent="0.25">
      <c r="A1167" s="63"/>
      <c r="B1167" s="64"/>
      <c r="C1167" s="64"/>
      <c r="D1167" s="64"/>
      <c r="E1167" s="64"/>
      <c r="F1167" s="64"/>
      <c r="G1167" s="64"/>
      <c r="H1167" s="64"/>
      <c r="I1167" s="64"/>
      <c r="J1167" s="64"/>
      <c r="K1167" s="64"/>
      <c r="L1167" s="64"/>
      <c r="M1167" s="64"/>
      <c r="N1167" s="64"/>
      <c r="O1167" s="64"/>
      <c r="P1167" s="64"/>
      <c r="Q1167" s="64"/>
      <c r="R1167" s="64"/>
      <c r="S1167" s="64"/>
    </row>
    <row r="1168" spans="1:19" x14ac:dyDescent="0.25">
      <c r="A1168" s="63"/>
      <c r="B1168" s="64"/>
      <c r="C1168" s="64"/>
      <c r="D1168" s="64"/>
      <c r="E1168" s="64"/>
      <c r="F1168" s="64"/>
      <c r="G1168" s="64"/>
      <c r="H1168" s="64"/>
      <c r="I1168" s="64"/>
      <c r="J1168" s="64"/>
      <c r="K1168" s="64"/>
      <c r="L1168" s="64"/>
      <c r="M1168" s="64"/>
      <c r="N1168" s="64"/>
      <c r="O1168" s="64"/>
      <c r="P1168" s="64"/>
      <c r="Q1168" s="64"/>
      <c r="R1168" s="64"/>
      <c r="S1168" s="64"/>
    </row>
    <row r="1169" spans="1:19" x14ac:dyDescent="0.25">
      <c r="A1169" s="63"/>
      <c r="B1169" s="64"/>
      <c r="C1169" s="64"/>
      <c r="D1169" s="64"/>
      <c r="E1169" s="64"/>
      <c r="F1169" s="64"/>
      <c r="G1169" s="64"/>
      <c r="H1169" s="64"/>
      <c r="I1169" s="64"/>
      <c r="J1169" s="64"/>
      <c r="K1169" s="64"/>
      <c r="L1169" s="64"/>
      <c r="M1169" s="64"/>
      <c r="N1169" s="64"/>
      <c r="O1169" s="64"/>
      <c r="P1169" s="64"/>
      <c r="Q1169" s="64"/>
      <c r="R1169" s="64"/>
      <c r="S1169" s="64"/>
    </row>
    <row r="1170" spans="1:19" x14ac:dyDescent="0.25">
      <c r="A1170" s="63"/>
      <c r="B1170" s="64"/>
      <c r="C1170" s="64"/>
      <c r="D1170" s="64"/>
      <c r="E1170" s="64"/>
      <c r="F1170" s="64"/>
      <c r="G1170" s="64"/>
      <c r="H1170" s="64"/>
      <c r="I1170" s="64"/>
      <c r="J1170" s="64"/>
      <c r="K1170" s="64"/>
      <c r="L1170" s="64"/>
      <c r="M1170" s="64"/>
      <c r="N1170" s="64"/>
      <c r="O1170" s="64"/>
      <c r="P1170" s="64"/>
      <c r="Q1170" s="64"/>
      <c r="R1170" s="64"/>
      <c r="S1170" s="64"/>
    </row>
    <row r="1171" spans="1:19" x14ac:dyDescent="0.25">
      <c r="A1171" s="63"/>
      <c r="B1171" s="64"/>
      <c r="C1171" s="64"/>
      <c r="D1171" s="64"/>
      <c r="E1171" s="64"/>
      <c r="F1171" s="64"/>
      <c r="G1171" s="64"/>
      <c r="H1171" s="64"/>
      <c r="I1171" s="64"/>
      <c r="J1171" s="64"/>
      <c r="K1171" s="64"/>
      <c r="L1171" s="64"/>
      <c r="M1171" s="64"/>
      <c r="N1171" s="64"/>
      <c r="O1171" s="64"/>
      <c r="P1171" s="64"/>
      <c r="Q1171" s="64"/>
      <c r="R1171" s="64"/>
      <c r="S1171" s="64"/>
    </row>
    <row r="1172" spans="1:19" x14ac:dyDescent="0.25">
      <c r="A1172" s="63"/>
      <c r="B1172" s="64"/>
      <c r="C1172" s="64"/>
      <c r="D1172" s="64"/>
      <c r="E1172" s="64"/>
      <c r="F1172" s="64"/>
      <c r="G1172" s="64"/>
      <c r="H1172" s="64"/>
      <c r="I1172" s="64"/>
      <c r="J1172" s="64"/>
      <c r="K1172" s="64"/>
      <c r="L1172" s="64"/>
      <c r="M1172" s="64"/>
      <c r="N1172" s="64"/>
      <c r="O1172" s="64"/>
      <c r="P1172" s="64"/>
      <c r="Q1172" s="64"/>
      <c r="R1172" s="64"/>
      <c r="S1172" s="64"/>
    </row>
    <row r="1173" spans="1:19" x14ac:dyDescent="0.25">
      <c r="A1173" s="63"/>
      <c r="B1173" s="64"/>
      <c r="C1173" s="64"/>
      <c r="D1173" s="64"/>
      <c r="E1173" s="64"/>
      <c r="F1173" s="64"/>
      <c r="G1173" s="64"/>
      <c r="H1173" s="64"/>
      <c r="I1173" s="64"/>
      <c r="J1173" s="64"/>
      <c r="K1173" s="64"/>
      <c r="L1173" s="64"/>
      <c r="M1173" s="64"/>
      <c r="N1173" s="64"/>
      <c r="O1173" s="64"/>
      <c r="P1173" s="64"/>
      <c r="Q1173" s="64"/>
      <c r="R1173" s="64"/>
      <c r="S1173" s="64"/>
    </row>
    <row r="1174" spans="1:19" x14ac:dyDescent="0.25">
      <c r="A1174" s="63"/>
      <c r="B1174" s="64"/>
      <c r="C1174" s="64"/>
      <c r="D1174" s="64"/>
      <c r="E1174" s="64"/>
      <c r="F1174" s="64"/>
      <c r="G1174" s="64"/>
      <c r="H1174" s="64"/>
      <c r="I1174" s="64"/>
      <c r="J1174" s="64"/>
      <c r="K1174" s="64"/>
      <c r="L1174" s="64"/>
      <c r="M1174" s="64"/>
      <c r="N1174" s="64"/>
      <c r="O1174" s="64"/>
      <c r="P1174" s="64"/>
      <c r="Q1174" s="64"/>
      <c r="R1174" s="64"/>
      <c r="S1174" s="64"/>
    </row>
    <row r="1175" spans="1:19" x14ac:dyDescent="0.25">
      <c r="A1175" s="63"/>
      <c r="B1175" s="64"/>
      <c r="C1175" s="64"/>
      <c r="D1175" s="64"/>
      <c r="E1175" s="64"/>
      <c r="F1175" s="64"/>
      <c r="G1175" s="64"/>
      <c r="H1175" s="64"/>
      <c r="I1175" s="64"/>
      <c r="J1175" s="64"/>
      <c r="K1175" s="64"/>
      <c r="L1175" s="64"/>
      <c r="M1175" s="64"/>
      <c r="N1175" s="64"/>
      <c r="O1175" s="64"/>
      <c r="P1175" s="64"/>
      <c r="Q1175" s="64"/>
      <c r="R1175" s="64"/>
      <c r="S1175" s="64"/>
    </row>
    <row r="1176" spans="1:19" x14ac:dyDescent="0.25">
      <c r="A1176" s="63"/>
      <c r="B1176" s="64"/>
      <c r="C1176" s="64"/>
      <c r="D1176" s="64"/>
      <c r="E1176" s="64"/>
      <c r="F1176" s="64"/>
      <c r="G1176" s="64"/>
      <c r="H1176" s="64"/>
      <c r="I1176" s="64"/>
      <c r="J1176" s="64"/>
      <c r="K1176" s="64"/>
      <c r="L1176" s="64"/>
      <c r="M1176" s="64"/>
      <c r="N1176" s="64"/>
      <c r="O1176" s="64"/>
      <c r="P1176" s="64"/>
      <c r="Q1176" s="64"/>
      <c r="R1176" s="64"/>
      <c r="S1176" s="64"/>
    </row>
    <row r="1177" spans="1:19" x14ac:dyDescent="0.25">
      <c r="A1177" s="63"/>
      <c r="B1177" s="64"/>
      <c r="C1177" s="64"/>
      <c r="D1177" s="64"/>
      <c r="E1177" s="64"/>
      <c r="F1177" s="64"/>
      <c r="G1177" s="64"/>
      <c r="H1177" s="64"/>
      <c r="I1177" s="64"/>
      <c r="J1177" s="64"/>
      <c r="K1177" s="64"/>
      <c r="L1177" s="64"/>
      <c r="M1177" s="64"/>
      <c r="N1177" s="64"/>
      <c r="O1177" s="64"/>
      <c r="P1177" s="64"/>
      <c r="Q1177" s="64"/>
      <c r="R1177" s="64"/>
      <c r="S1177" s="64"/>
    </row>
    <row r="1178" spans="1:19" x14ac:dyDescent="0.25">
      <c r="A1178" s="63"/>
      <c r="B1178" s="64"/>
      <c r="C1178" s="64"/>
      <c r="D1178" s="64"/>
      <c r="E1178" s="64"/>
      <c r="F1178" s="64"/>
      <c r="G1178" s="64"/>
      <c r="H1178" s="64"/>
      <c r="I1178" s="64"/>
      <c r="J1178" s="64"/>
      <c r="K1178" s="64"/>
      <c r="L1178" s="64"/>
      <c r="M1178" s="64"/>
      <c r="N1178" s="64"/>
      <c r="O1178" s="64"/>
      <c r="P1178" s="64"/>
      <c r="Q1178" s="64"/>
      <c r="R1178" s="64"/>
      <c r="S1178" s="64"/>
    </row>
    <row r="1179" spans="1:19" x14ac:dyDescent="0.25">
      <c r="A1179" s="63"/>
      <c r="B1179" s="64"/>
      <c r="C1179" s="64"/>
      <c r="D1179" s="64"/>
      <c r="E1179" s="64"/>
      <c r="F1179" s="64"/>
      <c r="G1179" s="64"/>
      <c r="H1179" s="64"/>
      <c r="I1179" s="64"/>
      <c r="J1179" s="64"/>
      <c r="K1179" s="64"/>
      <c r="L1179" s="64"/>
      <c r="M1179" s="64"/>
      <c r="N1179" s="64"/>
      <c r="O1179" s="64"/>
      <c r="P1179" s="64"/>
      <c r="Q1179" s="64"/>
      <c r="R1179" s="64"/>
      <c r="S1179" s="64"/>
    </row>
    <row r="1180" spans="1:19" x14ac:dyDescent="0.25">
      <c r="A1180" s="63"/>
      <c r="B1180" s="64"/>
      <c r="C1180" s="64"/>
      <c r="D1180" s="64"/>
      <c r="E1180" s="64"/>
      <c r="F1180" s="64"/>
      <c r="G1180" s="64"/>
      <c r="H1180" s="64"/>
      <c r="I1180" s="64"/>
      <c r="J1180" s="64"/>
      <c r="K1180" s="64"/>
      <c r="L1180" s="64"/>
      <c r="M1180" s="64"/>
      <c r="N1180" s="64"/>
      <c r="O1180" s="64"/>
      <c r="P1180" s="64"/>
      <c r="Q1180" s="64"/>
      <c r="R1180" s="64"/>
      <c r="S1180" s="64"/>
    </row>
    <row r="1181" spans="1:19" x14ac:dyDescent="0.25">
      <c r="A1181" s="63"/>
      <c r="B1181" s="64"/>
      <c r="C1181" s="64"/>
      <c r="D1181" s="64"/>
      <c r="E1181" s="64"/>
      <c r="F1181" s="64"/>
      <c r="G1181" s="64"/>
      <c r="H1181" s="64"/>
      <c r="I1181" s="64"/>
      <c r="J1181" s="64"/>
      <c r="K1181" s="64"/>
      <c r="L1181" s="64"/>
      <c r="M1181" s="64"/>
      <c r="N1181" s="64"/>
      <c r="O1181" s="64"/>
      <c r="P1181" s="64"/>
      <c r="Q1181" s="64"/>
      <c r="R1181" s="64"/>
      <c r="S1181" s="64"/>
    </row>
    <row r="1182" spans="1:19" x14ac:dyDescent="0.25">
      <c r="A1182" s="63"/>
      <c r="B1182" s="64"/>
      <c r="C1182" s="64"/>
      <c r="D1182" s="64"/>
      <c r="E1182" s="64"/>
      <c r="F1182" s="64"/>
      <c r="G1182" s="64"/>
      <c r="H1182" s="64"/>
      <c r="I1182" s="64"/>
      <c r="J1182" s="64"/>
      <c r="K1182" s="64"/>
      <c r="L1182" s="64"/>
      <c r="M1182" s="64"/>
      <c r="N1182" s="64"/>
      <c r="O1182" s="64"/>
      <c r="P1182" s="64"/>
      <c r="Q1182" s="64"/>
      <c r="R1182" s="64"/>
      <c r="S1182" s="64"/>
    </row>
    <row r="1183" spans="1:19" x14ac:dyDescent="0.25">
      <c r="A1183" s="63"/>
      <c r="B1183" s="64"/>
      <c r="C1183" s="64"/>
      <c r="D1183" s="64"/>
      <c r="E1183" s="64"/>
      <c r="F1183" s="64"/>
      <c r="G1183" s="64"/>
      <c r="H1183" s="64"/>
      <c r="I1183" s="64"/>
      <c r="J1183" s="64"/>
      <c r="K1183" s="64"/>
      <c r="L1183" s="64"/>
      <c r="M1183" s="64"/>
      <c r="N1183" s="64"/>
      <c r="O1183" s="64"/>
      <c r="P1183" s="64"/>
      <c r="Q1183" s="64"/>
      <c r="R1183" s="64"/>
      <c r="S1183" s="64"/>
    </row>
    <row r="1184" spans="1:19" x14ac:dyDescent="0.25">
      <c r="A1184" s="63"/>
      <c r="B1184" s="64"/>
      <c r="C1184" s="64"/>
      <c r="D1184" s="64"/>
      <c r="E1184" s="64"/>
      <c r="F1184" s="64"/>
      <c r="G1184" s="64"/>
      <c r="H1184" s="64"/>
      <c r="I1184" s="64"/>
      <c r="J1184" s="64"/>
      <c r="K1184" s="64"/>
      <c r="L1184" s="64"/>
      <c r="M1184" s="64"/>
      <c r="N1184" s="64"/>
      <c r="O1184" s="64"/>
      <c r="P1184" s="64"/>
      <c r="Q1184" s="64"/>
      <c r="R1184" s="64"/>
      <c r="S1184" s="64"/>
    </row>
    <row r="1185" spans="1:19" x14ac:dyDescent="0.25">
      <c r="A1185" s="63"/>
      <c r="B1185" s="64"/>
      <c r="C1185" s="64"/>
      <c r="D1185" s="64"/>
      <c r="E1185" s="64"/>
      <c r="F1185" s="64"/>
      <c r="G1185" s="64"/>
      <c r="H1185" s="64"/>
      <c r="I1185" s="64"/>
      <c r="J1185" s="64"/>
      <c r="K1185" s="64"/>
      <c r="L1185" s="64"/>
      <c r="M1185" s="64"/>
      <c r="N1185" s="64"/>
      <c r="O1185" s="64"/>
      <c r="P1185" s="64"/>
      <c r="Q1185" s="64"/>
      <c r="R1185" s="64"/>
      <c r="S1185" s="64"/>
    </row>
    <row r="1186" spans="1:19" x14ac:dyDescent="0.25">
      <c r="A1186" s="63"/>
      <c r="B1186" s="64"/>
      <c r="C1186" s="64"/>
      <c r="D1186" s="64"/>
      <c r="E1186" s="64"/>
      <c r="F1186" s="64"/>
      <c r="G1186" s="64"/>
      <c r="H1186" s="64"/>
      <c r="I1186" s="64"/>
      <c r="J1186" s="64"/>
      <c r="K1186" s="64"/>
      <c r="L1186" s="64"/>
      <c r="M1186" s="64"/>
      <c r="N1186" s="64"/>
      <c r="O1186" s="64"/>
      <c r="P1186" s="64"/>
      <c r="Q1186" s="64"/>
      <c r="R1186" s="64"/>
      <c r="S1186" s="64"/>
    </row>
    <row r="1187" spans="1:19" x14ac:dyDescent="0.25">
      <c r="A1187" s="63"/>
      <c r="B1187" s="64"/>
      <c r="C1187" s="64"/>
      <c r="D1187" s="64"/>
      <c r="E1187" s="64"/>
      <c r="F1187" s="64"/>
      <c r="G1187" s="64"/>
      <c r="H1187" s="64"/>
      <c r="I1187" s="64"/>
      <c r="J1187" s="64"/>
      <c r="K1187" s="64"/>
      <c r="L1187" s="64"/>
      <c r="M1187" s="64"/>
      <c r="N1187" s="64"/>
      <c r="O1187" s="64"/>
      <c r="P1187" s="64"/>
      <c r="Q1187" s="64"/>
      <c r="R1187" s="64"/>
      <c r="S1187" s="64"/>
    </row>
    <row r="1188" spans="1:19" x14ac:dyDescent="0.25">
      <c r="A1188" s="63"/>
      <c r="B1188" s="64"/>
      <c r="C1188" s="64"/>
      <c r="D1188" s="64"/>
      <c r="E1188" s="64"/>
      <c r="F1188" s="64"/>
      <c r="G1188" s="64"/>
      <c r="H1188" s="64"/>
      <c r="I1188" s="64"/>
      <c r="J1188" s="64"/>
      <c r="K1188" s="64"/>
      <c r="L1188" s="64"/>
      <c r="M1188" s="64"/>
      <c r="N1188" s="64"/>
      <c r="O1188" s="64"/>
      <c r="P1188" s="64"/>
      <c r="Q1188" s="64"/>
      <c r="R1188" s="64"/>
      <c r="S1188" s="64"/>
    </row>
    <row r="1189" spans="1:19" x14ac:dyDescent="0.25">
      <c r="A1189" s="63"/>
      <c r="B1189" s="64"/>
      <c r="C1189" s="64"/>
      <c r="D1189" s="64"/>
      <c r="E1189" s="64"/>
      <c r="F1189" s="64"/>
      <c r="G1189" s="64"/>
      <c r="H1189" s="64"/>
      <c r="I1189" s="64"/>
      <c r="J1189" s="64"/>
      <c r="K1189" s="64"/>
      <c r="L1189" s="64"/>
      <c r="M1189" s="64"/>
      <c r="N1189" s="64"/>
      <c r="O1189" s="64"/>
      <c r="P1189" s="64"/>
      <c r="Q1189" s="64"/>
      <c r="R1189" s="64"/>
      <c r="S1189" s="64"/>
    </row>
    <row r="1190" spans="1:19" x14ac:dyDescent="0.25">
      <c r="A1190" s="63"/>
      <c r="B1190" s="64"/>
      <c r="C1190" s="64"/>
      <c r="D1190" s="64"/>
      <c r="E1190" s="64"/>
      <c r="F1190" s="64"/>
      <c r="G1190" s="64"/>
      <c r="H1190" s="64"/>
      <c r="I1190" s="64"/>
      <c r="J1190" s="64"/>
      <c r="K1190" s="64"/>
      <c r="L1190" s="64"/>
      <c r="M1190" s="64"/>
      <c r="N1190" s="64"/>
      <c r="O1190" s="64"/>
      <c r="P1190" s="64"/>
      <c r="Q1190" s="64"/>
      <c r="R1190" s="64"/>
      <c r="S1190" s="64"/>
    </row>
    <row r="1191" spans="1:19" x14ac:dyDescent="0.25">
      <c r="A1191" s="63"/>
      <c r="B1191" s="64"/>
      <c r="C1191" s="64"/>
      <c r="D1191" s="64"/>
      <c r="E1191" s="64"/>
      <c r="F1191" s="64"/>
      <c r="G1191" s="64"/>
      <c r="H1191" s="64"/>
      <c r="I1191" s="64"/>
      <c r="J1191" s="64"/>
      <c r="K1191" s="64"/>
      <c r="L1191" s="64"/>
      <c r="M1191" s="64"/>
      <c r="N1191" s="64"/>
      <c r="O1191" s="64"/>
      <c r="P1191" s="64"/>
      <c r="Q1191" s="64"/>
      <c r="R1191" s="64"/>
      <c r="S1191" s="64"/>
    </row>
    <row r="1192" spans="1:19" x14ac:dyDescent="0.25">
      <c r="A1192" s="63"/>
      <c r="B1192" s="64"/>
      <c r="C1192" s="64"/>
      <c r="D1192" s="64"/>
      <c r="E1192" s="64"/>
      <c r="F1192" s="64"/>
      <c r="G1192" s="64"/>
      <c r="H1192" s="64"/>
      <c r="I1192" s="64"/>
      <c r="J1192" s="64"/>
      <c r="K1192" s="64"/>
      <c r="L1192" s="64"/>
      <c r="M1192" s="64"/>
      <c r="N1192" s="64"/>
      <c r="O1192" s="64"/>
      <c r="P1192" s="64"/>
      <c r="Q1192" s="64"/>
      <c r="R1192" s="64"/>
      <c r="S1192" s="64"/>
    </row>
    <row r="1193" spans="1:19" x14ac:dyDescent="0.25">
      <c r="A1193" s="63"/>
      <c r="B1193" s="64"/>
      <c r="C1193" s="64"/>
      <c r="D1193" s="64"/>
      <c r="E1193" s="64"/>
      <c r="F1193" s="64"/>
      <c r="G1193" s="64"/>
      <c r="H1193" s="64"/>
      <c r="I1193" s="64"/>
      <c r="J1193" s="64"/>
      <c r="K1193" s="64"/>
      <c r="L1193" s="64"/>
      <c r="M1193" s="64"/>
      <c r="N1193" s="64"/>
      <c r="O1193" s="64"/>
      <c r="P1193" s="64"/>
      <c r="Q1193" s="64"/>
      <c r="R1193" s="64"/>
      <c r="S1193" s="64"/>
    </row>
    <row r="1194" spans="1:19" x14ac:dyDescent="0.25">
      <c r="A1194" s="63"/>
      <c r="B1194" s="64"/>
      <c r="C1194" s="64"/>
      <c r="D1194" s="64"/>
      <c r="E1194" s="64"/>
      <c r="F1194" s="64"/>
      <c r="G1194" s="64"/>
      <c r="H1194" s="64"/>
      <c r="I1194" s="64"/>
      <c r="J1194" s="64"/>
      <c r="K1194" s="64"/>
      <c r="L1194" s="64"/>
      <c r="M1194" s="64"/>
      <c r="N1194" s="64"/>
      <c r="O1194" s="64"/>
      <c r="P1194" s="64"/>
      <c r="Q1194" s="64"/>
      <c r="R1194" s="64"/>
      <c r="S1194" s="64"/>
    </row>
    <row r="1195" spans="1:19" x14ac:dyDescent="0.25">
      <c r="A1195" s="63"/>
      <c r="B1195" s="64"/>
      <c r="C1195" s="64"/>
      <c r="D1195" s="64"/>
      <c r="E1195" s="64"/>
      <c r="F1195" s="64"/>
      <c r="G1195" s="64"/>
      <c r="H1195" s="64"/>
      <c r="I1195" s="64"/>
      <c r="J1195" s="64"/>
      <c r="K1195" s="64"/>
      <c r="L1195" s="64"/>
      <c r="M1195" s="64"/>
      <c r="N1195" s="64"/>
      <c r="O1195" s="64"/>
      <c r="P1195" s="64"/>
      <c r="Q1195" s="64"/>
      <c r="R1195" s="64"/>
      <c r="S1195" s="64"/>
    </row>
    <row r="1196" spans="1:19" x14ac:dyDescent="0.25">
      <c r="A1196" s="63"/>
      <c r="B1196" s="64"/>
      <c r="C1196" s="64"/>
      <c r="D1196" s="64"/>
      <c r="E1196" s="64"/>
      <c r="F1196" s="64"/>
      <c r="G1196" s="64"/>
      <c r="H1196" s="64"/>
      <c r="I1196" s="64"/>
      <c r="J1196" s="64"/>
      <c r="K1196" s="64"/>
      <c r="L1196" s="64"/>
      <c r="M1196" s="64"/>
      <c r="N1196" s="64"/>
      <c r="O1196" s="64"/>
      <c r="P1196" s="64"/>
      <c r="Q1196" s="64"/>
      <c r="R1196" s="64"/>
      <c r="S1196" s="64"/>
    </row>
    <row r="1197" spans="1:19" x14ac:dyDescent="0.25">
      <c r="A1197" s="63"/>
      <c r="B1197" s="64"/>
      <c r="C1197" s="64"/>
      <c r="D1197" s="64"/>
      <c r="E1197" s="64"/>
      <c r="F1197" s="64"/>
      <c r="G1197" s="64"/>
      <c r="H1197" s="64"/>
      <c r="I1197" s="64"/>
      <c r="J1197" s="64"/>
      <c r="K1197" s="64"/>
      <c r="L1197" s="64"/>
      <c r="M1197" s="64"/>
      <c r="N1197" s="64"/>
      <c r="O1197" s="64"/>
      <c r="P1197" s="64"/>
      <c r="Q1197" s="64"/>
      <c r="R1197" s="64"/>
      <c r="S1197" s="64"/>
    </row>
    <row r="1198" spans="1:19" x14ac:dyDescent="0.25">
      <c r="A1198" s="63"/>
      <c r="B1198" s="64"/>
      <c r="C1198" s="64"/>
      <c r="D1198" s="64"/>
      <c r="E1198" s="64"/>
      <c r="F1198" s="64"/>
      <c r="G1198" s="64"/>
      <c r="H1198" s="64"/>
      <c r="I1198" s="64"/>
      <c r="J1198" s="64"/>
      <c r="K1198" s="64"/>
      <c r="L1198" s="64"/>
      <c r="M1198" s="64"/>
      <c r="N1198" s="64"/>
      <c r="O1198" s="64"/>
      <c r="P1198" s="64"/>
      <c r="Q1198" s="64"/>
      <c r="R1198" s="64"/>
      <c r="S1198" s="64"/>
    </row>
    <row r="1199" spans="1:19" x14ac:dyDescent="0.25">
      <c r="A1199" s="63"/>
      <c r="B1199" s="64"/>
      <c r="C1199" s="64"/>
      <c r="D1199" s="64"/>
      <c r="E1199" s="64"/>
      <c r="F1199" s="64"/>
      <c r="G1199" s="64"/>
      <c r="H1199" s="64"/>
      <c r="I1199" s="64"/>
      <c r="J1199" s="64"/>
      <c r="K1199" s="64"/>
      <c r="L1199" s="64"/>
      <c r="M1199" s="64"/>
      <c r="N1199" s="64"/>
      <c r="O1199" s="64"/>
      <c r="P1199" s="64"/>
      <c r="Q1199" s="64"/>
      <c r="R1199" s="64"/>
      <c r="S1199" s="64"/>
    </row>
    <row r="1200" spans="1:19" x14ac:dyDescent="0.25">
      <c r="A1200" s="63"/>
      <c r="B1200" s="64"/>
      <c r="C1200" s="64"/>
      <c r="D1200" s="64"/>
      <c r="E1200" s="64"/>
      <c r="F1200" s="64"/>
      <c r="G1200" s="64"/>
      <c r="H1200" s="64"/>
      <c r="I1200" s="64"/>
      <c r="J1200" s="64"/>
      <c r="K1200" s="64"/>
      <c r="L1200" s="64"/>
      <c r="M1200" s="64"/>
      <c r="N1200" s="64"/>
      <c r="O1200" s="64"/>
      <c r="P1200" s="64"/>
      <c r="Q1200" s="64"/>
      <c r="R1200" s="64"/>
      <c r="S1200" s="64"/>
    </row>
    <row r="1201" spans="1:19" x14ac:dyDescent="0.25">
      <c r="A1201" s="63"/>
      <c r="B1201" s="64"/>
      <c r="C1201" s="64"/>
      <c r="D1201" s="64"/>
      <c r="E1201" s="64"/>
      <c r="F1201" s="64"/>
      <c r="G1201" s="64"/>
      <c r="H1201" s="64"/>
      <c r="I1201" s="64"/>
      <c r="J1201" s="64"/>
      <c r="K1201" s="64"/>
      <c r="L1201" s="64"/>
      <c r="M1201" s="64"/>
      <c r="N1201" s="64"/>
      <c r="O1201" s="64"/>
      <c r="P1201" s="64"/>
      <c r="Q1201" s="64"/>
      <c r="R1201" s="64"/>
      <c r="S1201" s="64"/>
    </row>
    <row r="1202" spans="1:19" x14ac:dyDescent="0.25">
      <c r="A1202" s="63"/>
      <c r="B1202" s="64"/>
      <c r="C1202" s="64"/>
      <c r="D1202" s="64"/>
      <c r="E1202" s="64"/>
      <c r="F1202" s="64"/>
      <c r="G1202" s="64"/>
      <c r="H1202" s="64"/>
      <c r="I1202" s="64"/>
      <c r="J1202" s="64"/>
      <c r="K1202" s="64"/>
      <c r="L1202" s="64"/>
      <c r="M1202" s="64"/>
      <c r="N1202" s="64"/>
      <c r="O1202" s="64"/>
      <c r="P1202" s="64"/>
      <c r="Q1202" s="64"/>
      <c r="R1202" s="64"/>
      <c r="S1202" s="64"/>
    </row>
    <row r="1203" spans="1:19" x14ac:dyDescent="0.25">
      <c r="A1203" s="63"/>
      <c r="B1203" s="64"/>
      <c r="C1203" s="64"/>
      <c r="D1203" s="64"/>
      <c r="E1203" s="64"/>
      <c r="F1203" s="64"/>
      <c r="G1203" s="64"/>
      <c r="H1203" s="64"/>
      <c r="I1203" s="64"/>
      <c r="J1203" s="64"/>
      <c r="K1203" s="64"/>
      <c r="L1203" s="64"/>
      <c r="M1203" s="64"/>
      <c r="N1203" s="64"/>
      <c r="O1203" s="64"/>
      <c r="P1203" s="64"/>
      <c r="Q1203" s="64"/>
      <c r="R1203" s="64"/>
      <c r="S1203" s="64"/>
    </row>
    <row r="1204" spans="1:19" x14ac:dyDescent="0.25">
      <c r="A1204" s="63"/>
      <c r="B1204" s="64"/>
      <c r="C1204" s="64"/>
      <c r="D1204" s="64"/>
      <c r="E1204" s="64"/>
      <c r="F1204" s="64"/>
      <c r="G1204" s="64"/>
      <c r="H1204" s="64"/>
      <c r="I1204" s="64"/>
      <c r="J1204" s="64"/>
      <c r="K1204" s="64"/>
      <c r="L1204" s="64"/>
      <c r="M1204" s="64"/>
      <c r="N1204" s="64"/>
      <c r="O1204" s="64"/>
      <c r="P1204" s="64"/>
      <c r="Q1204" s="64"/>
      <c r="R1204" s="64"/>
      <c r="S1204" s="64"/>
    </row>
    <row r="1205" spans="1:19" x14ac:dyDescent="0.25">
      <c r="A1205" s="63"/>
      <c r="B1205" s="64"/>
      <c r="C1205" s="64"/>
      <c r="D1205" s="64"/>
      <c r="E1205" s="64"/>
      <c r="F1205" s="64"/>
      <c r="G1205" s="64"/>
      <c r="H1205" s="64"/>
      <c r="I1205" s="64"/>
      <c r="J1205" s="64"/>
      <c r="K1205" s="64"/>
      <c r="L1205" s="64"/>
      <c r="M1205" s="64"/>
      <c r="N1205" s="64"/>
      <c r="O1205" s="64"/>
      <c r="P1205" s="64"/>
      <c r="Q1205" s="64"/>
      <c r="R1205" s="64"/>
      <c r="S1205" s="64"/>
    </row>
    <row r="1206" spans="1:19" x14ac:dyDescent="0.25">
      <c r="A1206" s="63"/>
      <c r="B1206" s="64"/>
      <c r="C1206" s="64"/>
      <c r="D1206" s="64"/>
      <c r="E1206" s="64"/>
      <c r="F1206" s="64"/>
      <c r="G1206" s="64"/>
      <c r="H1206" s="64"/>
      <c r="I1206" s="64"/>
      <c r="J1206" s="64"/>
      <c r="K1206" s="64"/>
      <c r="L1206" s="64"/>
      <c r="M1206" s="64"/>
      <c r="N1206" s="64"/>
      <c r="O1206" s="64"/>
      <c r="P1206" s="64"/>
      <c r="Q1206" s="64"/>
      <c r="R1206" s="64"/>
      <c r="S1206" s="64"/>
    </row>
    <row r="1207" spans="1:19" x14ac:dyDescent="0.25">
      <c r="A1207" s="63"/>
      <c r="B1207" s="64"/>
      <c r="C1207" s="64"/>
      <c r="D1207" s="64"/>
      <c r="E1207" s="64"/>
      <c r="F1207" s="64"/>
      <c r="G1207" s="64"/>
      <c r="H1207" s="64"/>
      <c r="I1207" s="64"/>
      <c r="J1207" s="64"/>
      <c r="K1207" s="64"/>
      <c r="L1207" s="64"/>
      <c r="M1207" s="64"/>
      <c r="N1207" s="64"/>
      <c r="O1207" s="64"/>
      <c r="P1207" s="64"/>
      <c r="Q1207" s="64"/>
      <c r="R1207" s="64"/>
      <c r="S1207" s="64"/>
    </row>
    <row r="1208" spans="1:19" x14ac:dyDescent="0.25">
      <c r="A1208" s="63"/>
      <c r="B1208" s="64"/>
      <c r="C1208" s="64"/>
      <c r="D1208" s="64"/>
      <c r="E1208" s="64"/>
      <c r="F1208" s="64"/>
      <c r="G1208" s="64"/>
      <c r="H1208" s="64"/>
      <c r="I1208" s="64"/>
      <c r="J1208" s="64"/>
      <c r="K1208" s="64"/>
      <c r="L1208" s="64"/>
      <c r="M1208" s="64"/>
      <c r="N1208" s="64"/>
      <c r="O1208" s="64"/>
      <c r="P1208" s="64"/>
      <c r="Q1208" s="64"/>
      <c r="R1208" s="64"/>
      <c r="S1208" s="64"/>
    </row>
    <row r="1209" spans="1:19" x14ac:dyDescent="0.25">
      <c r="A1209" s="63"/>
      <c r="B1209" s="64"/>
      <c r="C1209" s="64"/>
      <c r="D1209" s="64"/>
      <c r="E1209" s="64"/>
      <c r="F1209" s="64"/>
      <c r="G1209" s="64"/>
      <c r="H1209" s="64"/>
      <c r="I1209" s="64"/>
      <c r="J1209" s="64"/>
      <c r="K1209" s="64"/>
      <c r="L1209" s="64"/>
      <c r="M1209" s="64"/>
      <c r="N1209" s="64"/>
      <c r="O1209" s="64"/>
      <c r="P1209" s="64"/>
      <c r="Q1209" s="64"/>
      <c r="R1209" s="64"/>
      <c r="S1209" s="64"/>
    </row>
    <row r="1210" spans="1:19" x14ac:dyDescent="0.25">
      <c r="A1210" s="63"/>
      <c r="B1210" s="64"/>
      <c r="C1210" s="64"/>
      <c r="D1210" s="64"/>
      <c r="E1210" s="64"/>
      <c r="F1210" s="64"/>
      <c r="G1210" s="64"/>
      <c r="H1210" s="64"/>
      <c r="I1210" s="64"/>
      <c r="J1210" s="64"/>
      <c r="K1210" s="64"/>
      <c r="L1210" s="64"/>
      <c r="M1210" s="64"/>
      <c r="N1210" s="64"/>
      <c r="O1210" s="64"/>
      <c r="P1210" s="64"/>
      <c r="Q1210" s="64"/>
      <c r="R1210" s="64"/>
      <c r="S1210" s="64"/>
    </row>
    <row r="1211" spans="1:19" x14ac:dyDescent="0.25">
      <c r="A1211" s="63"/>
      <c r="B1211" s="64"/>
      <c r="C1211" s="64"/>
      <c r="D1211" s="64"/>
      <c r="E1211" s="64"/>
      <c r="F1211" s="64"/>
      <c r="G1211" s="64"/>
      <c r="H1211" s="64"/>
      <c r="I1211" s="64"/>
      <c r="J1211" s="64"/>
      <c r="K1211" s="64"/>
      <c r="L1211" s="64"/>
      <c r="M1211" s="64"/>
      <c r="N1211" s="64"/>
      <c r="O1211" s="64"/>
      <c r="P1211" s="64"/>
      <c r="Q1211" s="64"/>
      <c r="R1211" s="64"/>
      <c r="S1211" s="64"/>
    </row>
    <row r="1212" spans="1:19" x14ac:dyDescent="0.25">
      <c r="A1212" s="63"/>
      <c r="B1212" s="64"/>
      <c r="C1212" s="64"/>
      <c r="D1212" s="64"/>
      <c r="E1212" s="64"/>
      <c r="F1212" s="64"/>
      <c r="G1212" s="64"/>
      <c r="H1212" s="64"/>
      <c r="I1212" s="64"/>
      <c r="J1212" s="64"/>
      <c r="K1212" s="64"/>
      <c r="L1212" s="64"/>
      <c r="M1212" s="64"/>
      <c r="N1212" s="64"/>
      <c r="O1212" s="64"/>
      <c r="P1212" s="64"/>
      <c r="Q1212" s="64"/>
      <c r="R1212" s="64"/>
      <c r="S1212" s="64"/>
    </row>
    <row r="1213" spans="1:19" x14ac:dyDescent="0.25">
      <c r="A1213" s="63"/>
      <c r="B1213" s="64"/>
      <c r="C1213" s="64"/>
      <c r="D1213" s="64"/>
      <c r="E1213" s="64"/>
      <c r="F1213" s="64"/>
      <c r="G1213" s="64"/>
      <c r="H1213" s="64"/>
      <c r="I1213" s="64"/>
      <c r="J1213" s="64"/>
      <c r="K1213" s="64"/>
      <c r="L1213" s="64"/>
      <c r="M1213" s="64"/>
      <c r="N1213" s="64"/>
      <c r="O1213" s="64"/>
      <c r="P1213" s="64"/>
      <c r="Q1213" s="64"/>
      <c r="R1213" s="64"/>
      <c r="S1213" s="64"/>
    </row>
    <row r="1214" spans="1:19" x14ac:dyDescent="0.25">
      <c r="A1214" s="63"/>
      <c r="B1214" s="64"/>
      <c r="C1214" s="64"/>
      <c r="D1214" s="64"/>
      <c r="E1214" s="64"/>
      <c r="F1214" s="64"/>
      <c r="G1214" s="64"/>
      <c r="H1214" s="64"/>
      <c r="I1214" s="64"/>
      <c r="J1214" s="64"/>
      <c r="K1214" s="64"/>
      <c r="L1214" s="64"/>
      <c r="M1214" s="64"/>
      <c r="N1214" s="64"/>
      <c r="O1214" s="64"/>
      <c r="P1214" s="64"/>
      <c r="Q1214" s="64"/>
      <c r="R1214" s="64"/>
      <c r="S1214" s="64"/>
    </row>
    <row r="1215" spans="1:19" x14ac:dyDescent="0.25">
      <c r="A1215" s="63"/>
      <c r="B1215" s="64"/>
      <c r="C1215" s="64"/>
      <c r="D1215" s="64"/>
      <c r="E1215" s="64"/>
      <c r="F1215" s="64"/>
      <c r="G1215" s="64"/>
      <c r="H1215" s="64"/>
      <c r="I1215" s="64"/>
      <c r="J1215" s="64"/>
      <c r="K1215" s="64"/>
      <c r="L1215" s="64"/>
      <c r="M1215" s="64"/>
      <c r="N1215" s="64"/>
      <c r="O1215" s="64"/>
      <c r="P1215" s="64"/>
      <c r="Q1215" s="64"/>
      <c r="R1215" s="64"/>
      <c r="S1215" s="64"/>
    </row>
    <row r="1216" spans="1:19" x14ac:dyDescent="0.25">
      <c r="A1216" s="63"/>
      <c r="B1216" s="64"/>
      <c r="C1216" s="64"/>
      <c r="D1216" s="64"/>
      <c r="E1216" s="64"/>
      <c r="F1216" s="64"/>
      <c r="G1216" s="64"/>
      <c r="H1216" s="64"/>
      <c r="I1216" s="64"/>
      <c r="J1216" s="64"/>
      <c r="K1216" s="64"/>
      <c r="L1216" s="64"/>
      <c r="M1216" s="64"/>
      <c r="N1216" s="64"/>
      <c r="O1216" s="64"/>
      <c r="P1216" s="64"/>
      <c r="Q1216" s="64"/>
      <c r="R1216" s="64"/>
      <c r="S1216" s="64"/>
    </row>
    <row r="1217" spans="1:19" x14ac:dyDescent="0.25">
      <c r="A1217" s="63"/>
      <c r="B1217" s="64"/>
      <c r="C1217" s="64"/>
      <c r="D1217" s="64"/>
      <c r="E1217" s="64"/>
      <c r="F1217" s="64"/>
      <c r="G1217" s="64"/>
      <c r="H1217" s="64"/>
      <c r="I1217" s="64"/>
      <c r="J1217" s="64"/>
      <c r="K1217" s="64"/>
      <c r="L1217" s="64"/>
      <c r="M1217" s="64"/>
      <c r="N1217" s="64"/>
      <c r="O1217" s="64"/>
      <c r="P1217" s="64"/>
      <c r="Q1217" s="64"/>
      <c r="R1217" s="64"/>
      <c r="S1217" s="64"/>
    </row>
    <row r="1218" spans="1:19" x14ac:dyDescent="0.25">
      <c r="A1218" s="63"/>
      <c r="B1218" s="64"/>
      <c r="C1218" s="64"/>
      <c r="D1218" s="64"/>
      <c r="E1218" s="64"/>
      <c r="F1218" s="64"/>
      <c r="G1218" s="64"/>
      <c r="H1218" s="64"/>
      <c r="I1218" s="64"/>
      <c r="J1218" s="64"/>
      <c r="K1218" s="64"/>
      <c r="L1218" s="64"/>
      <c r="M1218" s="64"/>
      <c r="N1218" s="64"/>
      <c r="O1218" s="64"/>
      <c r="P1218" s="64"/>
      <c r="Q1218" s="64"/>
      <c r="R1218" s="64"/>
      <c r="S1218" s="64"/>
    </row>
    <row r="1219" spans="1:19" x14ac:dyDescent="0.25">
      <c r="A1219" s="63"/>
      <c r="B1219" s="64"/>
      <c r="C1219" s="64"/>
      <c r="D1219" s="64"/>
      <c r="E1219" s="64"/>
      <c r="F1219" s="64"/>
      <c r="G1219" s="64"/>
      <c r="H1219" s="64"/>
      <c r="I1219" s="64"/>
      <c r="J1219" s="64"/>
      <c r="K1219" s="64"/>
      <c r="L1219" s="64"/>
      <c r="M1219" s="64"/>
      <c r="N1219" s="64"/>
      <c r="O1219" s="64"/>
      <c r="P1219" s="64"/>
      <c r="Q1219" s="64"/>
      <c r="R1219" s="64"/>
      <c r="S1219" s="64"/>
    </row>
    <row r="1220" spans="1:19" x14ac:dyDescent="0.25">
      <c r="A1220" s="63"/>
      <c r="B1220" s="64"/>
      <c r="C1220" s="64"/>
      <c r="D1220" s="64"/>
      <c r="E1220" s="64"/>
      <c r="F1220" s="64"/>
      <c r="G1220" s="64"/>
      <c r="H1220" s="64"/>
      <c r="I1220" s="64"/>
      <c r="J1220" s="64"/>
      <c r="K1220" s="64"/>
      <c r="L1220" s="64"/>
      <c r="M1220" s="64"/>
      <c r="N1220" s="64"/>
      <c r="O1220" s="64"/>
      <c r="P1220" s="64"/>
      <c r="Q1220" s="64"/>
      <c r="R1220" s="64"/>
      <c r="S1220" s="64"/>
    </row>
    <row r="1221" spans="1:19" x14ac:dyDescent="0.25">
      <c r="A1221" s="63"/>
      <c r="B1221" s="64"/>
      <c r="C1221" s="64"/>
      <c r="D1221" s="64"/>
      <c r="E1221" s="64"/>
      <c r="F1221" s="64"/>
      <c r="G1221" s="64"/>
      <c r="H1221" s="64"/>
      <c r="I1221" s="64"/>
      <c r="J1221" s="64"/>
      <c r="K1221" s="64"/>
      <c r="L1221" s="64"/>
      <c r="M1221" s="64"/>
      <c r="N1221" s="64"/>
      <c r="O1221" s="64"/>
      <c r="P1221" s="64"/>
      <c r="Q1221" s="64"/>
      <c r="R1221" s="64"/>
      <c r="S1221" s="64"/>
    </row>
    <row r="1222" spans="1:19" x14ac:dyDescent="0.25">
      <c r="A1222" s="63"/>
      <c r="B1222" s="64"/>
      <c r="C1222" s="64"/>
      <c r="D1222" s="64"/>
      <c r="E1222" s="64"/>
      <c r="F1222" s="64"/>
      <c r="G1222" s="64"/>
      <c r="H1222" s="64"/>
      <c r="I1222" s="64"/>
      <c r="J1222" s="64"/>
      <c r="K1222" s="64"/>
      <c r="L1222" s="64"/>
      <c r="M1222" s="64"/>
      <c r="N1222" s="64"/>
      <c r="O1222" s="64"/>
      <c r="P1222" s="64"/>
      <c r="Q1222" s="64"/>
      <c r="R1222" s="64"/>
      <c r="S1222" s="64"/>
    </row>
    <row r="1223" spans="1:19" x14ac:dyDescent="0.25">
      <c r="A1223" s="63"/>
      <c r="B1223" s="64"/>
      <c r="C1223" s="64"/>
      <c r="D1223" s="64"/>
      <c r="E1223" s="64"/>
      <c r="F1223" s="64"/>
      <c r="G1223" s="64"/>
      <c r="H1223" s="64"/>
      <c r="I1223" s="64"/>
      <c r="J1223" s="64"/>
      <c r="K1223" s="64"/>
      <c r="L1223" s="64"/>
      <c r="M1223" s="64"/>
      <c r="N1223" s="64"/>
      <c r="O1223" s="64"/>
      <c r="P1223" s="64"/>
      <c r="Q1223" s="64"/>
      <c r="R1223" s="64"/>
      <c r="S1223" s="64"/>
    </row>
    <row r="1224" spans="1:19" x14ac:dyDescent="0.25">
      <c r="A1224" s="63"/>
      <c r="B1224" s="64"/>
      <c r="C1224" s="64"/>
      <c r="D1224" s="64"/>
      <c r="E1224" s="64"/>
      <c r="F1224" s="64"/>
      <c r="G1224" s="64"/>
      <c r="H1224" s="64"/>
      <c r="I1224" s="64"/>
      <c r="J1224" s="64"/>
      <c r="K1224" s="64"/>
      <c r="L1224" s="64"/>
      <c r="M1224" s="64"/>
      <c r="N1224" s="64"/>
      <c r="O1224" s="64"/>
      <c r="P1224" s="64"/>
      <c r="Q1224" s="64"/>
      <c r="R1224" s="64"/>
      <c r="S1224" s="64"/>
    </row>
    <row r="1225" spans="1:19" x14ac:dyDescent="0.25">
      <c r="A1225" s="63"/>
      <c r="B1225" s="64"/>
      <c r="C1225" s="64"/>
      <c r="D1225" s="64"/>
      <c r="E1225" s="64"/>
      <c r="F1225" s="64"/>
      <c r="G1225" s="64"/>
      <c r="H1225" s="64"/>
      <c r="I1225" s="64"/>
      <c r="J1225" s="64"/>
      <c r="K1225" s="64"/>
      <c r="L1225" s="64"/>
      <c r="M1225" s="64"/>
      <c r="N1225" s="64"/>
      <c r="O1225" s="64"/>
      <c r="P1225" s="64"/>
      <c r="Q1225" s="64"/>
      <c r="R1225" s="64"/>
      <c r="S1225" s="64"/>
    </row>
    <row r="1226" spans="1:19" x14ac:dyDescent="0.25">
      <c r="A1226" s="63"/>
      <c r="B1226" s="64"/>
      <c r="C1226" s="64"/>
      <c r="D1226" s="64"/>
      <c r="E1226" s="64"/>
      <c r="F1226" s="64"/>
      <c r="G1226" s="64"/>
      <c r="H1226" s="64"/>
      <c r="I1226" s="64"/>
      <c r="J1226" s="64"/>
      <c r="K1226" s="64"/>
      <c r="L1226" s="64"/>
      <c r="M1226" s="64"/>
      <c r="N1226" s="64"/>
      <c r="O1226" s="64"/>
      <c r="P1226" s="64"/>
      <c r="Q1226" s="64"/>
      <c r="R1226" s="64"/>
      <c r="S1226" s="64"/>
    </row>
    <row r="1227" spans="1:19" x14ac:dyDescent="0.25">
      <c r="A1227" s="63"/>
      <c r="B1227" s="64"/>
      <c r="C1227" s="64"/>
      <c r="D1227" s="64"/>
      <c r="E1227" s="64"/>
      <c r="F1227" s="64"/>
      <c r="G1227" s="64"/>
      <c r="H1227" s="64"/>
      <c r="I1227" s="64"/>
      <c r="J1227" s="64"/>
      <c r="K1227" s="64"/>
      <c r="L1227" s="64"/>
      <c r="M1227" s="64"/>
      <c r="N1227" s="64"/>
      <c r="O1227" s="64"/>
      <c r="P1227" s="64"/>
      <c r="Q1227" s="64"/>
      <c r="R1227" s="64"/>
      <c r="S1227" s="64"/>
    </row>
    <row r="1228" spans="1:19" x14ac:dyDescent="0.25">
      <c r="A1228" s="63"/>
      <c r="B1228" s="64"/>
      <c r="C1228" s="64"/>
      <c r="D1228" s="64"/>
      <c r="E1228" s="64"/>
      <c r="F1228" s="64"/>
      <c r="G1228" s="64"/>
      <c r="H1228" s="64"/>
      <c r="I1228" s="64"/>
      <c r="J1228" s="64"/>
      <c r="K1228" s="64"/>
      <c r="L1228" s="64"/>
      <c r="M1228" s="64"/>
      <c r="N1228" s="64"/>
      <c r="O1228" s="64"/>
      <c r="P1228" s="64"/>
      <c r="Q1228" s="64"/>
      <c r="R1228" s="64"/>
      <c r="S1228" s="64"/>
    </row>
    <row r="1229" spans="1:19" x14ac:dyDescent="0.25">
      <c r="A1229" s="63"/>
      <c r="B1229" s="64"/>
      <c r="C1229" s="64"/>
      <c r="D1229" s="64"/>
      <c r="E1229" s="64"/>
      <c r="F1229" s="64"/>
      <c r="G1229" s="64"/>
      <c r="H1229" s="64"/>
      <c r="I1229" s="64"/>
      <c r="J1229" s="64"/>
      <c r="K1229" s="64"/>
      <c r="L1229" s="64"/>
      <c r="M1229" s="64"/>
      <c r="N1229" s="64"/>
      <c r="O1229" s="64"/>
      <c r="P1229" s="64"/>
      <c r="Q1229" s="64"/>
      <c r="R1229" s="64"/>
      <c r="S1229" s="64"/>
    </row>
    <row r="1230" spans="1:19" x14ac:dyDescent="0.25">
      <c r="A1230" s="63"/>
      <c r="B1230" s="64"/>
      <c r="C1230" s="64"/>
      <c r="D1230" s="64"/>
      <c r="E1230" s="64"/>
      <c r="F1230" s="64"/>
      <c r="G1230" s="64"/>
      <c r="H1230" s="64"/>
      <c r="I1230" s="64"/>
      <c r="J1230" s="64"/>
      <c r="K1230" s="64"/>
      <c r="L1230" s="64"/>
      <c r="M1230" s="64"/>
      <c r="N1230" s="64"/>
      <c r="O1230" s="64"/>
      <c r="P1230" s="64"/>
      <c r="Q1230" s="64"/>
      <c r="R1230" s="64"/>
      <c r="S1230" s="64"/>
    </row>
    <row r="1231" spans="1:19" x14ac:dyDescent="0.25">
      <c r="A1231" s="63"/>
      <c r="B1231" s="64"/>
      <c r="C1231" s="64"/>
      <c r="D1231" s="64"/>
      <c r="E1231" s="64"/>
      <c r="F1231" s="64"/>
      <c r="G1231" s="64"/>
      <c r="H1231" s="64"/>
      <c r="I1231" s="64"/>
      <c r="J1231" s="64"/>
      <c r="K1231" s="64"/>
      <c r="L1231" s="64"/>
      <c r="M1231" s="64"/>
      <c r="N1231" s="64"/>
      <c r="O1231" s="64"/>
      <c r="P1231" s="64"/>
      <c r="Q1231" s="64"/>
      <c r="R1231" s="64"/>
      <c r="S1231" s="64"/>
    </row>
    <row r="1232" spans="1:19" x14ac:dyDescent="0.25">
      <c r="A1232" s="63"/>
      <c r="B1232" s="64"/>
      <c r="C1232" s="64"/>
      <c r="D1232" s="64"/>
      <c r="E1232" s="64"/>
      <c r="F1232" s="64"/>
      <c r="G1232" s="64"/>
      <c r="H1232" s="64"/>
      <c r="I1232" s="64"/>
      <c r="J1232" s="64"/>
      <c r="K1232" s="64"/>
      <c r="L1232" s="64"/>
      <c r="M1232" s="64"/>
      <c r="N1232" s="64"/>
      <c r="O1232" s="64"/>
      <c r="P1232" s="64"/>
      <c r="Q1232" s="64"/>
      <c r="R1232" s="64"/>
      <c r="S1232" s="64"/>
    </row>
    <row r="1233" spans="1:19" x14ac:dyDescent="0.25">
      <c r="A1233" s="63"/>
      <c r="B1233" s="64"/>
      <c r="C1233" s="64"/>
      <c r="D1233" s="64"/>
      <c r="E1233" s="64"/>
      <c r="F1233" s="64"/>
      <c r="G1233" s="64"/>
      <c r="H1233" s="64"/>
      <c r="I1233" s="64"/>
      <c r="J1233" s="64"/>
      <c r="K1233" s="64"/>
      <c r="L1233" s="64"/>
      <c r="M1233" s="64"/>
      <c r="N1233" s="64"/>
      <c r="O1233" s="64"/>
      <c r="P1233" s="64"/>
      <c r="Q1233" s="64"/>
      <c r="R1233" s="64"/>
      <c r="S1233" s="64"/>
    </row>
    <row r="1234" spans="1:19" x14ac:dyDescent="0.25">
      <c r="A1234" s="63"/>
      <c r="B1234" s="64"/>
      <c r="C1234" s="64"/>
      <c r="D1234" s="64"/>
      <c r="E1234" s="64"/>
      <c r="F1234" s="64"/>
      <c r="G1234" s="64"/>
      <c r="H1234" s="64"/>
      <c r="I1234" s="64"/>
      <c r="J1234" s="64"/>
      <c r="K1234" s="64"/>
      <c r="L1234" s="64"/>
      <c r="M1234" s="64"/>
      <c r="N1234" s="64"/>
      <c r="O1234" s="64"/>
      <c r="P1234" s="64"/>
      <c r="Q1234" s="64"/>
      <c r="R1234" s="64"/>
      <c r="S1234" s="64"/>
    </row>
    <row r="1235" spans="1:19" x14ac:dyDescent="0.25">
      <c r="A1235" s="63"/>
      <c r="B1235" s="64"/>
      <c r="C1235" s="64"/>
      <c r="D1235" s="64"/>
      <c r="E1235" s="64"/>
      <c r="F1235" s="64"/>
      <c r="G1235" s="64"/>
      <c r="H1235" s="64"/>
      <c r="I1235" s="64"/>
      <c r="J1235" s="64"/>
      <c r="K1235" s="64"/>
      <c r="L1235" s="64"/>
      <c r="M1235" s="64"/>
      <c r="N1235" s="64"/>
      <c r="O1235" s="64"/>
      <c r="P1235" s="64"/>
      <c r="Q1235" s="64"/>
      <c r="R1235" s="64"/>
      <c r="S1235" s="64"/>
    </row>
    <row r="1236" spans="1:19" x14ac:dyDescent="0.25">
      <c r="A1236" s="63"/>
      <c r="B1236" s="64"/>
      <c r="C1236" s="64"/>
      <c r="D1236" s="64"/>
      <c r="E1236" s="64"/>
      <c r="F1236" s="64"/>
      <c r="G1236" s="64"/>
      <c r="H1236" s="64"/>
      <c r="I1236" s="64"/>
      <c r="J1236" s="64"/>
      <c r="K1236" s="64"/>
      <c r="L1236" s="64"/>
      <c r="M1236" s="64"/>
      <c r="N1236" s="64"/>
      <c r="O1236" s="64"/>
      <c r="P1236" s="64"/>
      <c r="Q1236" s="64"/>
      <c r="R1236" s="64"/>
      <c r="S1236" s="64"/>
    </row>
    <row r="1237" spans="1:19" x14ac:dyDescent="0.25">
      <c r="A1237" s="63"/>
      <c r="B1237" s="64"/>
      <c r="C1237" s="64"/>
      <c r="D1237" s="64"/>
      <c r="E1237" s="64"/>
      <c r="F1237" s="64"/>
      <c r="G1237" s="64"/>
      <c r="H1237" s="64"/>
      <c r="I1237" s="64"/>
      <c r="J1237" s="64"/>
      <c r="K1237" s="64"/>
      <c r="L1237" s="64"/>
      <c r="M1237" s="64"/>
      <c r="N1237" s="64"/>
      <c r="O1237" s="64"/>
      <c r="P1237" s="64"/>
      <c r="Q1237" s="64"/>
      <c r="R1237" s="64"/>
      <c r="S1237" s="64"/>
    </row>
    <row r="1238" spans="1:19" x14ac:dyDescent="0.25">
      <c r="A1238" s="63"/>
      <c r="B1238" s="64"/>
      <c r="C1238" s="64"/>
      <c r="D1238" s="64"/>
      <c r="E1238" s="64"/>
      <c r="F1238" s="64"/>
      <c r="G1238" s="64"/>
      <c r="H1238" s="64"/>
      <c r="I1238" s="64"/>
      <c r="J1238" s="64"/>
      <c r="K1238" s="64"/>
      <c r="L1238" s="64"/>
      <c r="M1238" s="64"/>
      <c r="N1238" s="64"/>
      <c r="O1238" s="64"/>
      <c r="P1238" s="64"/>
      <c r="Q1238" s="64"/>
      <c r="R1238" s="64"/>
      <c r="S1238" s="64"/>
    </row>
    <row r="1239" spans="1:19" x14ac:dyDescent="0.25">
      <c r="A1239" s="63"/>
      <c r="B1239" s="64"/>
      <c r="C1239" s="64"/>
      <c r="D1239" s="64"/>
      <c r="E1239" s="64"/>
      <c r="F1239" s="64"/>
      <c r="G1239" s="64"/>
      <c r="H1239" s="64"/>
      <c r="I1239" s="64"/>
      <c r="J1239" s="64"/>
      <c r="K1239" s="64"/>
      <c r="L1239" s="64"/>
      <c r="M1239" s="64"/>
      <c r="N1239" s="64"/>
      <c r="O1239" s="64"/>
      <c r="P1239" s="64"/>
      <c r="Q1239" s="64"/>
      <c r="R1239" s="64"/>
      <c r="S1239" s="64"/>
    </row>
    <row r="1240" spans="1:19" x14ac:dyDescent="0.25">
      <c r="A1240" s="63"/>
      <c r="B1240" s="64"/>
      <c r="C1240" s="64"/>
      <c r="D1240" s="64"/>
      <c r="E1240" s="64"/>
      <c r="F1240" s="64"/>
      <c r="G1240" s="64"/>
      <c r="H1240" s="64"/>
      <c r="I1240" s="64"/>
      <c r="J1240" s="64"/>
      <c r="K1240" s="64"/>
      <c r="L1240" s="64"/>
      <c r="M1240" s="64"/>
      <c r="N1240" s="64"/>
      <c r="O1240" s="64"/>
      <c r="P1240" s="64"/>
      <c r="Q1240" s="64"/>
      <c r="R1240" s="64"/>
      <c r="S1240" s="64"/>
    </row>
    <row r="1241" spans="1:19" x14ac:dyDescent="0.25">
      <c r="A1241" s="63"/>
      <c r="B1241" s="64"/>
      <c r="C1241" s="64"/>
      <c r="D1241" s="64"/>
      <c r="E1241" s="64"/>
      <c r="F1241" s="64"/>
      <c r="G1241" s="64"/>
      <c r="H1241" s="64"/>
      <c r="I1241" s="64"/>
      <c r="J1241" s="64"/>
      <c r="K1241" s="64"/>
      <c r="L1241" s="64"/>
      <c r="M1241" s="64"/>
      <c r="N1241" s="64"/>
      <c r="O1241" s="64"/>
      <c r="P1241" s="64"/>
      <c r="Q1241" s="64"/>
      <c r="R1241" s="64"/>
      <c r="S1241" s="64"/>
    </row>
    <row r="1242" spans="1:19" x14ac:dyDescent="0.25">
      <c r="A1242" s="63"/>
      <c r="B1242" s="64"/>
      <c r="C1242" s="64"/>
      <c r="D1242" s="64"/>
      <c r="E1242" s="64"/>
      <c r="F1242" s="64"/>
      <c r="G1242" s="64"/>
      <c r="H1242" s="64"/>
      <c r="I1242" s="64"/>
      <c r="J1242" s="64"/>
      <c r="K1242" s="64"/>
      <c r="L1242" s="64"/>
      <c r="M1242" s="64"/>
      <c r="N1242" s="64"/>
      <c r="O1242" s="64"/>
      <c r="P1242" s="64"/>
      <c r="Q1242" s="64"/>
      <c r="R1242" s="64"/>
      <c r="S1242" s="64"/>
    </row>
    <row r="1243" spans="1:19" x14ac:dyDescent="0.25">
      <c r="A1243" s="63"/>
      <c r="B1243" s="64"/>
      <c r="C1243" s="64"/>
      <c r="D1243" s="64"/>
      <c r="E1243" s="64"/>
      <c r="F1243" s="64"/>
      <c r="G1243" s="64"/>
      <c r="H1243" s="64"/>
      <c r="I1243" s="64"/>
      <c r="J1243" s="64"/>
      <c r="K1243" s="64"/>
      <c r="L1243" s="64"/>
      <c r="M1243" s="64"/>
      <c r="N1243" s="64"/>
      <c r="O1243" s="64"/>
      <c r="P1243" s="64"/>
      <c r="Q1243" s="64"/>
      <c r="R1243" s="64"/>
      <c r="S1243" s="64"/>
    </row>
    <row r="1244" spans="1:19" x14ac:dyDescent="0.25">
      <c r="A1244" s="63"/>
      <c r="B1244" s="64"/>
      <c r="C1244" s="64"/>
      <c r="D1244" s="64"/>
      <c r="E1244" s="64"/>
      <c r="F1244" s="64"/>
      <c r="G1244" s="64"/>
      <c r="H1244" s="64"/>
      <c r="I1244" s="64"/>
      <c r="J1244" s="64"/>
      <c r="K1244" s="64"/>
      <c r="L1244" s="64"/>
      <c r="M1244" s="64"/>
      <c r="N1244" s="64"/>
      <c r="O1244" s="64"/>
      <c r="P1244" s="64"/>
      <c r="Q1244" s="64"/>
      <c r="R1244" s="64"/>
      <c r="S1244" s="64"/>
    </row>
    <row r="1245" spans="1:19" x14ac:dyDescent="0.25">
      <c r="A1245" s="63"/>
      <c r="B1245" s="64"/>
      <c r="C1245" s="64"/>
      <c r="D1245" s="64"/>
      <c r="E1245" s="64"/>
      <c r="F1245" s="64"/>
      <c r="G1245" s="64"/>
      <c r="H1245" s="64"/>
      <c r="I1245" s="64"/>
      <c r="J1245" s="64"/>
      <c r="K1245" s="64"/>
      <c r="L1245" s="64"/>
      <c r="M1245" s="64"/>
      <c r="N1245" s="64"/>
      <c r="O1245" s="64"/>
      <c r="P1245" s="64"/>
      <c r="Q1245" s="64"/>
      <c r="R1245" s="64"/>
      <c r="S1245" s="64"/>
    </row>
    <row r="1246" spans="1:19" x14ac:dyDescent="0.25">
      <c r="A1246" s="63"/>
      <c r="B1246" s="64"/>
      <c r="C1246" s="64"/>
      <c r="D1246" s="64"/>
      <c r="E1246" s="64"/>
      <c r="F1246" s="64"/>
      <c r="G1246" s="64"/>
      <c r="H1246" s="64"/>
      <c r="I1246" s="64"/>
      <c r="J1246" s="64"/>
      <c r="K1246" s="64"/>
      <c r="L1246" s="64"/>
      <c r="M1246" s="64"/>
      <c r="N1246" s="64"/>
      <c r="O1246" s="64"/>
      <c r="P1246" s="64"/>
      <c r="Q1246" s="64"/>
      <c r="R1246" s="64"/>
      <c r="S1246" s="64"/>
    </row>
    <row r="1247" spans="1:19" x14ac:dyDescent="0.25">
      <c r="A1247" s="63"/>
      <c r="B1247" s="64"/>
      <c r="C1247" s="64"/>
      <c r="D1247" s="64"/>
      <c r="E1247" s="64"/>
      <c r="F1247" s="64"/>
      <c r="G1247" s="64"/>
      <c r="H1247" s="64"/>
      <c r="I1247" s="64"/>
      <c r="J1247" s="64"/>
      <c r="K1247" s="64"/>
      <c r="L1247" s="64"/>
      <c r="M1247" s="64"/>
      <c r="N1247" s="64"/>
      <c r="O1247" s="64"/>
      <c r="P1247" s="64"/>
      <c r="Q1247" s="64"/>
      <c r="R1247" s="64"/>
      <c r="S1247" s="64"/>
    </row>
    <row r="1248" spans="1:19" x14ac:dyDescent="0.25">
      <c r="A1248" s="63"/>
      <c r="B1248" s="64"/>
      <c r="C1248" s="64"/>
      <c r="D1248" s="64"/>
      <c r="E1248" s="64"/>
      <c r="F1248" s="64"/>
      <c r="G1248" s="64"/>
      <c r="H1248" s="64"/>
      <c r="I1248" s="64"/>
      <c r="J1248" s="64"/>
      <c r="K1248" s="64"/>
      <c r="L1248" s="64"/>
      <c r="M1248" s="64"/>
      <c r="N1248" s="64"/>
      <c r="O1248" s="64"/>
      <c r="P1248" s="64"/>
      <c r="Q1248" s="64"/>
      <c r="R1248" s="64"/>
      <c r="S1248" s="64"/>
    </row>
    <row r="1249" spans="1:19" x14ac:dyDescent="0.25">
      <c r="A1249" s="63"/>
      <c r="B1249" s="64"/>
      <c r="C1249" s="64"/>
      <c r="D1249" s="64"/>
      <c r="E1249" s="64"/>
      <c r="F1249" s="64"/>
      <c r="G1249" s="64"/>
      <c r="H1249" s="64"/>
      <c r="I1249" s="64"/>
      <c r="J1249" s="64"/>
      <c r="K1249" s="64"/>
      <c r="L1249" s="64"/>
      <c r="M1249" s="64"/>
      <c r="N1249" s="64"/>
      <c r="O1249" s="64"/>
      <c r="P1249" s="64"/>
      <c r="Q1249" s="64"/>
      <c r="R1249" s="64"/>
      <c r="S1249" s="64"/>
    </row>
    <row r="1250" spans="1:19" x14ac:dyDescent="0.25">
      <c r="A1250" s="63"/>
      <c r="B1250" s="64"/>
      <c r="C1250" s="64"/>
      <c r="D1250" s="64"/>
      <c r="E1250" s="64"/>
      <c r="F1250" s="64"/>
      <c r="G1250" s="64"/>
      <c r="H1250" s="64"/>
      <c r="I1250" s="64"/>
      <c r="J1250" s="64"/>
      <c r="K1250" s="64"/>
      <c r="L1250" s="64"/>
      <c r="M1250" s="64"/>
      <c r="N1250" s="64"/>
      <c r="O1250" s="64"/>
      <c r="P1250" s="64"/>
      <c r="Q1250" s="64"/>
      <c r="R1250" s="64"/>
      <c r="S1250" s="64"/>
    </row>
    <row r="1251" spans="1:19" x14ac:dyDescent="0.25">
      <c r="A1251" s="63"/>
      <c r="B1251" s="64"/>
      <c r="C1251" s="64"/>
      <c r="D1251" s="64"/>
      <c r="E1251" s="64"/>
      <c r="F1251" s="64"/>
      <c r="G1251" s="64"/>
      <c r="H1251" s="64"/>
      <c r="I1251" s="64"/>
      <c r="J1251" s="64"/>
      <c r="K1251" s="64"/>
      <c r="L1251" s="64"/>
      <c r="M1251" s="64"/>
      <c r="N1251" s="64"/>
      <c r="O1251" s="64"/>
      <c r="P1251" s="64"/>
      <c r="Q1251" s="64"/>
      <c r="R1251" s="64"/>
      <c r="S1251" s="64"/>
    </row>
    <row r="1252" spans="1:19" x14ac:dyDescent="0.25">
      <c r="A1252" s="63"/>
      <c r="B1252" s="64"/>
      <c r="C1252" s="64"/>
      <c r="D1252" s="64"/>
      <c r="E1252" s="64"/>
      <c r="F1252" s="64"/>
      <c r="G1252" s="64"/>
      <c r="H1252" s="64"/>
      <c r="I1252" s="64"/>
      <c r="J1252" s="64"/>
      <c r="K1252" s="64"/>
      <c r="L1252" s="64"/>
      <c r="M1252" s="64"/>
      <c r="N1252" s="64"/>
      <c r="O1252" s="64"/>
      <c r="P1252" s="64"/>
      <c r="Q1252" s="64"/>
      <c r="R1252" s="64"/>
      <c r="S1252" s="64"/>
    </row>
    <row r="1253" spans="1:19" x14ac:dyDescent="0.25">
      <c r="A1253" s="63"/>
      <c r="B1253" s="64"/>
      <c r="C1253" s="64"/>
      <c r="D1253" s="64"/>
      <c r="E1253" s="64"/>
      <c r="F1253" s="64"/>
      <c r="G1253" s="64"/>
      <c r="H1253" s="64"/>
      <c r="I1253" s="64"/>
      <c r="J1253" s="64"/>
      <c r="K1253" s="64"/>
      <c r="L1253" s="64"/>
      <c r="M1253" s="64"/>
      <c r="N1253" s="64"/>
      <c r="O1253" s="64"/>
      <c r="P1253" s="64"/>
      <c r="Q1253" s="64"/>
      <c r="R1253" s="64"/>
      <c r="S1253" s="64"/>
    </row>
    <row r="1254" spans="1:19" x14ac:dyDescent="0.25">
      <c r="A1254" s="63"/>
      <c r="B1254" s="64"/>
      <c r="C1254" s="64"/>
      <c r="D1254" s="64"/>
      <c r="E1254" s="64"/>
      <c r="F1254" s="64"/>
      <c r="G1254" s="64"/>
      <c r="H1254" s="64"/>
      <c r="I1254" s="64"/>
      <c r="J1254" s="64"/>
      <c r="K1254" s="64"/>
      <c r="L1254" s="64"/>
      <c r="M1254" s="64"/>
      <c r="N1254" s="64"/>
      <c r="O1254" s="64"/>
      <c r="P1254" s="64"/>
      <c r="Q1254" s="64"/>
      <c r="R1254" s="64"/>
      <c r="S1254" s="64"/>
    </row>
    <row r="1255" spans="1:19" x14ac:dyDescent="0.25">
      <c r="A1255" s="63"/>
      <c r="B1255" s="64"/>
      <c r="C1255" s="64"/>
      <c r="D1255" s="64"/>
      <c r="E1255" s="64"/>
      <c r="F1255" s="64"/>
      <c r="G1255" s="64"/>
      <c r="H1255" s="64"/>
      <c r="I1255" s="64"/>
      <c r="J1255" s="64"/>
      <c r="K1255" s="64"/>
      <c r="L1255" s="64"/>
      <c r="M1255" s="64"/>
      <c r="N1255" s="64"/>
      <c r="O1255" s="64"/>
      <c r="P1255" s="64"/>
      <c r="Q1255" s="64"/>
      <c r="R1255" s="64"/>
      <c r="S1255" s="64"/>
    </row>
    <row r="1256" spans="1:19" x14ac:dyDescent="0.25">
      <c r="A1256" s="63"/>
      <c r="B1256" s="64"/>
      <c r="C1256" s="64"/>
      <c r="D1256" s="64"/>
      <c r="E1256" s="64"/>
      <c r="F1256" s="64"/>
      <c r="G1256" s="64"/>
      <c r="H1256" s="64"/>
      <c r="I1256" s="64"/>
      <c r="J1256" s="64"/>
      <c r="K1256" s="64"/>
      <c r="L1256" s="64"/>
      <c r="M1256" s="64"/>
      <c r="N1256" s="64"/>
      <c r="O1256" s="64"/>
      <c r="P1256" s="64"/>
      <c r="Q1256" s="64"/>
      <c r="R1256" s="64"/>
      <c r="S1256" s="64"/>
    </row>
    <row r="1257" spans="1:19" x14ac:dyDescent="0.25">
      <c r="A1257" s="63"/>
      <c r="B1257" s="64"/>
      <c r="C1257" s="64"/>
      <c r="D1257" s="64"/>
      <c r="E1257" s="64"/>
      <c r="F1257" s="64"/>
      <c r="G1257" s="64"/>
      <c r="H1257" s="64"/>
      <c r="I1257" s="64"/>
      <c r="J1257" s="64"/>
      <c r="K1257" s="64"/>
      <c r="L1257" s="64"/>
      <c r="M1257" s="64"/>
      <c r="N1257" s="64"/>
      <c r="O1257" s="64"/>
      <c r="P1257" s="64"/>
      <c r="Q1257" s="64"/>
      <c r="R1257" s="64"/>
      <c r="S1257" s="64"/>
    </row>
    <row r="1258" spans="1:19" x14ac:dyDescent="0.25">
      <c r="A1258" s="63"/>
      <c r="B1258" s="64"/>
      <c r="C1258" s="64"/>
      <c r="D1258" s="64"/>
      <c r="E1258" s="64"/>
      <c r="F1258" s="64"/>
      <c r="G1258" s="64"/>
      <c r="H1258" s="64"/>
      <c r="I1258" s="64"/>
      <c r="J1258" s="64"/>
      <c r="K1258" s="64"/>
      <c r="L1258" s="64"/>
      <c r="M1258" s="64"/>
      <c r="N1258" s="64"/>
      <c r="O1258" s="64"/>
      <c r="P1258" s="64"/>
      <c r="Q1258" s="64"/>
      <c r="R1258" s="64"/>
      <c r="S1258" s="64"/>
    </row>
    <row r="1259" spans="1:19" x14ac:dyDescent="0.25">
      <c r="A1259" s="63"/>
      <c r="B1259" s="64"/>
      <c r="C1259" s="64"/>
      <c r="D1259" s="64"/>
      <c r="E1259" s="64"/>
      <c r="F1259" s="64"/>
      <c r="G1259" s="64"/>
      <c r="H1259" s="64"/>
      <c r="I1259" s="64"/>
      <c r="J1259" s="64"/>
      <c r="K1259" s="64"/>
      <c r="L1259" s="64"/>
      <c r="M1259" s="64"/>
      <c r="N1259" s="64"/>
      <c r="O1259" s="64"/>
      <c r="P1259" s="64"/>
      <c r="Q1259" s="64"/>
      <c r="R1259" s="64"/>
      <c r="S1259" s="64"/>
    </row>
    <row r="1260" spans="1:19" x14ac:dyDescent="0.25">
      <c r="A1260" s="63"/>
      <c r="B1260" s="64"/>
      <c r="C1260" s="64"/>
      <c r="D1260" s="64"/>
      <c r="E1260" s="64"/>
      <c r="F1260" s="64"/>
      <c r="G1260" s="64"/>
      <c r="H1260" s="64"/>
      <c r="I1260" s="64"/>
      <c r="J1260" s="64"/>
      <c r="K1260" s="64"/>
      <c r="L1260" s="64"/>
      <c r="M1260" s="64"/>
      <c r="N1260" s="64"/>
      <c r="O1260" s="64"/>
      <c r="P1260" s="64"/>
      <c r="Q1260" s="64"/>
      <c r="R1260" s="64"/>
      <c r="S1260" s="64"/>
    </row>
    <row r="1261" spans="1:19" x14ac:dyDescent="0.25">
      <c r="A1261" s="63"/>
      <c r="B1261" s="64"/>
      <c r="C1261" s="64"/>
      <c r="D1261" s="64"/>
      <c r="E1261" s="64"/>
      <c r="F1261" s="64"/>
      <c r="G1261" s="64"/>
      <c r="H1261" s="64"/>
      <c r="I1261" s="64"/>
      <c r="J1261" s="64"/>
      <c r="K1261" s="64"/>
      <c r="L1261" s="64"/>
      <c r="M1261" s="64"/>
      <c r="N1261" s="64"/>
      <c r="O1261" s="64"/>
      <c r="P1261" s="64"/>
      <c r="Q1261" s="64"/>
      <c r="R1261" s="64"/>
      <c r="S1261" s="64"/>
    </row>
    <row r="1262" spans="1:19" x14ac:dyDescent="0.25">
      <c r="A1262" s="63"/>
      <c r="B1262" s="64"/>
      <c r="C1262" s="64"/>
      <c r="D1262" s="64"/>
      <c r="E1262" s="64"/>
      <c r="F1262" s="64"/>
      <c r="G1262" s="64"/>
      <c r="H1262" s="64"/>
      <c r="I1262" s="64"/>
      <c r="J1262" s="64"/>
      <c r="K1262" s="64"/>
      <c r="L1262" s="64"/>
      <c r="M1262" s="64"/>
      <c r="N1262" s="64"/>
      <c r="O1262" s="64"/>
      <c r="P1262" s="64"/>
      <c r="Q1262" s="64"/>
      <c r="R1262" s="64"/>
      <c r="S1262" s="64"/>
    </row>
    <row r="1263" spans="1:19" x14ac:dyDescent="0.25">
      <c r="A1263" s="63"/>
      <c r="B1263" s="64"/>
      <c r="C1263" s="64"/>
      <c r="D1263" s="64"/>
      <c r="E1263" s="64"/>
      <c r="F1263" s="64"/>
      <c r="G1263" s="64"/>
      <c r="H1263" s="64"/>
      <c r="I1263" s="64"/>
      <c r="J1263" s="64"/>
      <c r="K1263" s="64"/>
      <c r="L1263" s="64"/>
      <c r="M1263" s="64"/>
      <c r="N1263" s="64"/>
      <c r="O1263" s="64"/>
      <c r="P1263" s="64"/>
      <c r="Q1263" s="64"/>
      <c r="R1263" s="64"/>
      <c r="S1263" s="64"/>
    </row>
    <row r="1264" spans="1:19" x14ac:dyDescent="0.25">
      <c r="A1264" s="63"/>
      <c r="B1264" s="64"/>
      <c r="C1264" s="64"/>
      <c r="D1264" s="64"/>
      <c r="E1264" s="64"/>
      <c r="F1264" s="64"/>
      <c r="G1264" s="64"/>
      <c r="H1264" s="64"/>
      <c r="I1264" s="64"/>
      <c r="J1264" s="64"/>
      <c r="K1264" s="64"/>
      <c r="L1264" s="64"/>
      <c r="M1264" s="64"/>
      <c r="N1264" s="64"/>
      <c r="O1264" s="64"/>
      <c r="P1264" s="64"/>
      <c r="Q1264" s="64"/>
      <c r="R1264" s="64"/>
      <c r="S1264" s="64"/>
    </row>
    <row r="1265" spans="1:19" x14ac:dyDescent="0.25">
      <c r="A1265" s="63"/>
      <c r="B1265" s="64"/>
      <c r="C1265" s="64"/>
      <c r="D1265" s="64"/>
      <c r="E1265" s="64"/>
      <c r="F1265" s="64"/>
      <c r="G1265" s="64"/>
      <c r="H1265" s="64"/>
      <c r="I1265" s="64"/>
      <c r="J1265" s="64"/>
      <c r="K1265" s="64"/>
      <c r="L1265" s="64"/>
      <c r="M1265" s="64"/>
      <c r="N1265" s="64"/>
      <c r="O1265" s="64"/>
      <c r="P1265" s="64"/>
      <c r="Q1265" s="64"/>
      <c r="R1265" s="64"/>
      <c r="S1265" s="64"/>
    </row>
    <row r="1266" spans="1:19" x14ac:dyDescent="0.25">
      <c r="A1266" s="63"/>
      <c r="B1266" s="64"/>
      <c r="C1266" s="64"/>
      <c r="D1266" s="64"/>
      <c r="E1266" s="64"/>
      <c r="F1266" s="64"/>
      <c r="G1266" s="64"/>
      <c r="H1266" s="64"/>
      <c r="I1266" s="64"/>
      <c r="J1266" s="64"/>
      <c r="K1266" s="64"/>
      <c r="L1266" s="64"/>
      <c r="M1266" s="64"/>
      <c r="N1266" s="64"/>
      <c r="O1266" s="64"/>
      <c r="P1266" s="64"/>
      <c r="Q1266" s="64"/>
      <c r="R1266" s="64"/>
      <c r="S1266" s="64"/>
    </row>
    <row r="1267" spans="1:19" x14ac:dyDescent="0.25">
      <c r="A1267" s="63"/>
      <c r="B1267" s="64"/>
      <c r="C1267" s="64"/>
      <c r="D1267" s="64"/>
      <c r="E1267" s="64"/>
      <c r="F1267" s="64"/>
      <c r="G1267" s="64"/>
      <c r="H1267" s="64"/>
      <c r="I1267" s="64"/>
      <c r="J1267" s="64"/>
      <c r="K1267" s="64"/>
      <c r="L1267" s="64"/>
      <c r="M1267" s="64"/>
      <c r="N1267" s="64"/>
      <c r="O1267" s="64"/>
      <c r="P1267" s="64"/>
      <c r="Q1267" s="64"/>
      <c r="R1267" s="64"/>
      <c r="S1267" s="64"/>
    </row>
    <row r="1268" spans="1:19" x14ac:dyDescent="0.25">
      <c r="A1268" s="63"/>
      <c r="B1268" s="64"/>
      <c r="C1268" s="64"/>
      <c r="D1268" s="64"/>
      <c r="E1268" s="64"/>
      <c r="F1268" s="64"/>
      <c r="G1268" s="64"/>
      <c r="H1268" s="64"/>
      <c r="I1268" s="64"/>
      <c r="J1268" s="64"/>
      <c r="K1268" s="64"/>
      <c r="L1268" s="64"/>
      <c r="M1268" s="64"/>
      <c r="N1268" s="64"/>
      <c r="O1268" s="64"/>
      <c r="P1268" s="64"/>
      <c r="Q1268" s="64"/>
      <c r="R1268" s="64"/>
      <c r="S1268" s="64"/>
    </row>
    <row r="1269" spans="1:19" x14ac:dyDescent="0.25">
      <c r="A1269" s="63"/>
      <c r="B1269" s="64"/>
      <c r="C1269" s="64"/>
      <c r="D1269" s="64"/>
      <c r="E1269" s="64"/>
      <c r="F1269" s="64"/>
      <c r="G1269" s="64"/>
      <c r="H1269" s="64"/>
      <c r="I1269" s="64"/>
      <c r="J1269" s="64"/>
      <c r="K1269" s="64"/>
      <c r="L1269" s="64"/>
      <c r="M1269" s="64"/>
      <c r="N1269" s="64"/>
      <c r="O1269" s="64"/>
      <c r="P1269" s="64"/>
      <c r="Q1269" s="64"/>
      <c r="R1269" s="64"/>
      <c r="S1269" s="64"/>
    </row>
    <row r="1270" spans="1:19" x14ac:dyDescent="0.25">
      <c r="A1270" s="63"/>
      <c r="B1270" s="64"/>
      <c r="C1270" s="64"/>
      <c r="D1270" s="64"/>
      <c r="E1270" s="64"/>
      <c r="F1270" s="64"/>
      <c r="G1270" s="64"/>
      <c r="H1270" s="64"/>
      <c r="I1270" s="64"/>
      <c r="J1270" s="64"/>
      <c r="K1270" s="64"/>
      <c r="L1270" s="64"/>
      <c r="M1270" s="64"/>
      <c r="N1270" s="64"/>
      <c r="O1270" s="64"/>
      <c r="P1270" s="64"/>
      <c r="Q1270" s="64"/>
      <c r="R1270" s="64"/>
      <c r="S1270" s="64"/>
    </row>
    <row r="1271" spans="1:19" x14ac:dyDescent="0.25">
      <c r="A1271" s="63"/>
      <c r="B1271" s="64"/>
      <c r="C1271" s="64"/>
      <c r="D1271" s="64"/>
      <c r="E1271" s="64"/>
      <c r="F1271" s="64"/>
      <c r="G1271" s="64"/>
      <c r="H1271" s="64"/>
      <c r="I1271" s="64"/>
      <c r="J1271" s="64"/>
      <c r="K1271" s="64"/>
      <c r="L1271" s="64"/>
      <c r="M1271" s="64"/>
      <c r="N1271" s="64"/>
      <c r="O1271" s="64"/>
      <c r="P1271" s="64"/>
      <c r="Q1271" s="64"/>
      <c r="R1271" s="64"/>
      <c r="S1271" s="64"/>
    </row>
    <row r="1272" spans="1:19" x14ac:dyDescent="0.25">
      <c r="A1272" s="63"/>
      <c r="B1272" s="64"/>
      <c r="C1272" s="64"/>
      <c r="D1272" s="64"/>
      <c r="E1272" s="64"/>
      <c r="F1272" s="64"/>
      <c r="G1272" s="64"/>
      <c r="H1272" s="64"/>
      <c r="I1272" s="64"/>
      <c r="J1272" s="64"/>
      <c r="K1272" s="64"/>
      <c r="L1272" s="64"/>
      <c r="M1272" s="64"/>
      <c r="N1272" s="64"/>
      <c r="O1272" s="64"/>
      <c r="P1272" s="64"/>
      <c r="Q1272" s="64"/>
      <c r="R1272" s="64"/>
      <c r="S1272" s="64"/>
    </row>
    <row r="1273" spans="1:19" x14ac:dyDescent="0.25">
      <c r="A1273" s="63"/>
      <c r="B1273" s="64"/>
      <c r="C1273" s="64"/>
      <c r="D1273" s="64"/>
      <c r="E1273" s="64"/>
      <c r="F1273" s="64"/>
      <c r="G1273" s="64"/>
      <c r="H1273" s="64"/>
      <c r="I1273" s="64"/>
      <c r="J1273" s="64"/>
      <c r="K1273" s="64"/>
      <c r="L1273" s="64"/>
      <c r="M1273" s="64"/>
      <c r="N1273" s="64"/>
      <c r="O1273" s="64"/>
      <c r="P1273" s="64"/>
      <c r="Q1273" s="64"/>
      <c r="R1273" s="64"/>
      <c r="S1273" s="64"/>
    </row>
    <row r="1274" spans="1:19" x14ac:dyDescent="0.25">
      <c r="A1274" s="63"/>
      <c r="B1274" s="64"/>
      <c r="C1274" s="64"/>
      <c r="D1274" s="64"/>
      <c r="E1274" s="64"/>
      <c r="F1274" s="64"/>
      <c r="G1274" s="64"/>
      <c r="H1274" s="64"/>
      <c r="I1274" s="64"/>
      <c r="J1274" s="64"/>
      <c r="K1274" s="64"/>
      <c r="L1274" s="64"/>
      <c r="M1274" s="64"/>
      <c r="N1274" s="64"/>
      <c r="O1274" s="64"/>
      <c r="P1274" s="64"/>
      <c r="Q1274" s="64"/>
      <c r="R1274" s="64"/>
      <c r="S1274" s="64"/>
    </row>
    <row r="1275" spans="1:19" x14ac:dyDescent="0.25">
      <c r="A1275" s="63"/>
      <c r="B1275" s="64"/>
      <c r="C1275" s="64"/>
      <c r="D1275" s="64"/>
      <c r="E1275" s="64"/>
      <c r="F1275" s="64"/>
      <c r="G1275" s="64"/>
      <c r="H1275" s="64"/>
      <c r="I1275" s="64"/>
      <c r="J1275" s="64"/>
      <c r="K1275" s="64"/>
      <c r="L1275" s="64"/>
      <c r="M1275" s="64"/>
      <c r="N1275" s="64"/>
      <c r="O1275" s="64"/>
      <c r="P1275" s="64"/>
      <c r="Q1275" s="64"/>
      <c r="R1275" s="64"/>
      <c r="S1275" s="64"/>
    </row>
    <row r="1276" spans="1:19" x14ac:dyDescent="0.25">
      <c r="A1276" s="63"/>
      <c r="B1276" s="64"/>
      <c r="C1276" s="64"/>
      <c r="D1276" s="64"/>
      <c r="E1276" s="64"/>
      <c r="F1276" s="64"/>
      <c r="G1276" s="64"/>
      <c r="H1276" s="64"/>
      <c r="I1276" s="64"/>
      <c r="J1276" s="64"/>
      <c r="K1276" s="64"/>
      <c r="L1276" s="64"/>
      <c r="M1276" s="64"/>
      <c r="N1276" s="64"/>
      <c r="O1276" s="64"/>
      <c r="P1276" s="64"/>
      <c r="Q1276" s="64"/>
      <c r="R1276" s="64"/>
      <c r="S1276" s="64"/>
    </row>
    <row r="1277" spans="1:19" x14ac:dyDescent="0.25">
      <c r="A1277" s="63"/>
      <c r="B1277" s="64"/>
      <c r="C1277" s="64"/>
      <c r="D1277" s="64"/>
      <c r="E1277" s="64"/>
      <c r="F1277" s="64"/>
      <c r="G1277" s="64"/>
      <c r="H1277" s="64"/>
      <c r="I1277" s="64"/>
      <c r="J1277" s="64"/>
      <c r="K1277" s="64"/>
      <c r="L1277" s="64"/>
      <c r="M1277" s="64"/>
      <c r="N1277" s="64"/>
      <c r="O1277" s="64"/>
      <c r="P1277" s="64"/>
      <c r="Q1277" s="64"/>
      <c r="R1277" s="64"/>
      <c r="S1277" s="64"/>
    </row>
    <row r="1278" spans="1:19" x14ac:dyDescent="0.25">
      <c r="A1278" s="63"/>
      <c r="B1278" s="64"/>
      <c r="C1278" s="64"/>
      <c r="D1278" s="64"/>
      <c r="E1278" s="64"/>
      <c r="F1278" s="64"/>
      <c r="G1278" s="64"/>
      <c r="H1278" s="64"/>
      <c r="I1278" s="64"/>
      <c r="J1278" s="64"/>
      <c r="K1278" s="64"/>
      <c r="L1278" s="64"/>
      <c r="M1278" s="64"/>
      <c r="N1278" s="64"/>
      <c r="O1278" s="64"/>
      <c r="P1278" s="64"/>
      <c r="Q1278" s="64"/>
      <c r="R1278" s="64"/>
      <c r="S1278" s="64"/>
    </row>
    <row r="1279" spans="1:19" x14ac:dyDescent="0.25">
      <c r="A1279" s="63"/>
      <c r="B1279" s="64"/>
      <c r="C1279" s="64"/>
      <c r="D1279" s="64"/>
      <c r="E1279" s="64"/>
      <c r="F1279" s="64"/>
      <c r="G1279" s="64"/>
      <c r="H1279" s="64"/>
      <c r="I1279" s="64"/>
      <c r="J1279" s="64"/>
      <c r="K1279" s="64"/>
      <c r="L1279" s="64"/>
      <c r="M1279" s="64"/>
      <c r="N1279" s="64"/>
      <c r="O1279" s="64"/>
      <c r="P1279" s="64"/>
      <c r="Q1279" s="64"/>
      <c r="R1279" s="64"/>
      <c r="S1279" s="64"/>
    </row>
    <row r="1280" spans="1:19" x14ac:dyDescent="0.25">
      <c r="A1280" s="63"/>
      <c r="B1280" s="64"/>
      <c r="C1280" s="64"/>
      <c r="D1280" s="64"/>
      <c r="E1280" s="64"/>
      <c r="F1280" s="64"/>
      <c r="G1280" s="64"/>
      <c r="H1280" s="64"/>
      <c r="I1280" s="64"/>
      <c r="J1280" s="64"/>
      <c r="K1280" s="64"/>
      <c r="L1280" s="64"/>
      <c r="M1280" s="64"/>
      <c r="N1280" s="64"/>
      <c r="O1280" s="64"/>
      <c r="P1280" s="64"/>
      <c r="Q1280" s="64"/>
      <c r="R1280" s="64"/>
      <c r="S1280" s="64"/>
    </row>
    <row r="1281" spans="1:19" x14ac:dyDescent="0.25">
      <c r="A1281" s="63"/>
      <c r="B1281" s="64"/>
      <c r="C1281" s="64"/>
      <c r="D1281" s="64"/>
      <c r="E1281" s="64"/>
      <c r="F1281" s="64"/>
      <c r="G1281" s="64"/>
      <c r="H1281" s="64"/>
      <c r="I1281" s="64"/>
      <c r="J1281" s="64"/>
      <c r="K1281" s="64"/>
      <c r="L1281" s="64"/>
      <c r="M1281" s="64"/>
      <c r="N1281" s="64"/>
      <c r="O1281" s="64"/>
      <c r="P1281" s="64"/>
      <c r="Q1281" s="64"/>
      <c r="R1281" s="64"/>
      <c r="S1281" s="64"/>
    </row>
    <row r="1282" spans="1:19" x14ac:dyDescent="0.25">
      <c r="A1282" s="63"/>
      <c r="B1282" s="64"/>
      <c r="C1282" s="64"/>
      <c r="D1282" s="64"/>
      <c r="E1282" s="64"/>
      <c r="F1282" s="64"/>
      <c r="G1282" s="64"/>
      <c r="H1282" s="64"/>
      <c r="I1282" s="64"/>
      <c r="J1282" s="64"/>
      <c r="K1282" s="64"/>
      <c r="L1282" s="64"/>
      <c r="M1282" s="64"/>
      <c r="N1282" s="64"/>
      <c r="O1282" s="64"/>
      <c r="P1282" s="64"/>
      <c r="Q1282" s="64"/>
      <c r="R1282" s="64"/>
      <c r="S1282" s="64"/>
    </row>
    <row r="1283" spans="1:19" x14ac:dyDescent="0.25">
      <c r="A1283" s="63"/>
      <c r="B1283" s="64"/>
      <c r="C1283" s="64"/>
      <c r="D1283" s="64"/>
      <c r="E1283" s="64"/>
      <c r="F1283" s="64"/>
      <c r="G1283" s="64"/>
      <c r="H1283" s="64"/>
      <c r="I1283" s="64"/>
      <c r="J1283" s="64"/>
      <c r="K1283" s="64"/>
      <c r="L1283" s="64"/>
      <c r="M1283" s="64"/>
      <c r="N1283" s="64"/>
      <c r="O1283" s="64"/>
      <c r="P1283" s="64"/>
      <c r="Q1283" s="64"/>
      <c r="R1283" s="64"/>
      <c r="S1283" s="64"/>
    </row>
    <row r="1284" spans="1:19" x14ac:dyDescent="0.25">
      <c r="A1284" s="63"/>
      <c r="B1284" s="64"/>
      <c r="C1284" s="64"/>
      <c r="D1284" s="64"/>
      <c r="E1284" s="64"/>
      <c r="F1284" s="64"/>
      <c r="G1284" s="64"/>
      <c r="H1284" s="64"/>
      <c r="I1284" s="64"/>
      <c r="J1284" s="64"/>
      <c r="K1284" s="64"/>
      <c r="L1284" s="64"/>
      <c r="M1284" s="64"/>
      <c r="N1284" s="64"/>
      <c r="O1284" s="64"/>
      <c r="P1284" s="64"/>
      <c r="Q1284" s="64"/>
      <c r="R1284" s="64"/>
      <c r="S1284" s="64"/>
    </row>
    <row r="1285" spans="1:19" x14ac:dyDescent="0.25">
      <c r="A1285" s="63"/>
      <c r="B1285" s="64"/>
      <c r="C1285" s="64"/>
      <c r="D1285" s="64"/>
      <c r="E1285" s="64"/>
      <c r="F1285" s="64"/>
      <c r="G1285" s="64"/>
      <c r="H1285" s="64"/>
      <c r="I1285" s="64"/>
      <c r="J1285" s="64"/>
      <c r="K1285" s="64"/>
      <c r="L1285" s="64"/>
      <c r="M1285" s="64"/>
      <c r="N1285" s="64"/>
      <c r="O1285" s="64"/>
      <c r="P1285" s="64"/>
      <c r="Q1285" s="64"/>
      <c r="R1285" s="64"/>
      <c r="S1285" s="64"/>
    </row>
    <row r="1286" spans="1:19" x14ac:dyDescent="0.25">
      <c r="A1286" s="63"/>
      <c r="B1286" s="64"/>
      <c r="C1286" s="64"/>
      <c r="D1286" s="64"/>
      <c r="E1286" s="64"/>
      <c r="F1286" s="64"/>
      <c r="G1286" s="64"/>
      <c r="H1286" s="64"/>
      <c r="I1286" s="64"/>
      <c r="J1286" s="64"/>
      <c r="K1286" s="64"/>
      <c r="L1286" s="64"/>
      <c r="M1286" s="64"/>
      <c r="N1286" s="64"/>
      <c r="O1286" s="64"/>
      <c r="P1286" s="64"/>
      <c r="Q1286" s="64"/>
      <c r="R1286" s="64"/>
      <c r="S1286" s="64"/>
    </row>
    <row r="1287" spans="1:19" x14ac:dyDescent="0.25">
      <c r="A1287" s="63"/>
      <c r="B1287" s="64"/>
      <c r="C1287" s="64"/>
      <c r="D1287" s="64"/>
      <c r="E1287" s="64"/>
      <c r="F1287" s="64"/>
      <c r="G1287" s="64"/>
      <c r="H1287" s="64"/>
      <c r="I1287" s="64"/>
      <c r="J1287" s="64"/>
      <c r="K1287" s="64"/>
      <c r="L1287" s="64"/>
      <c r="M1287" s="64"/>
      <c r="N1287" s="64"/>
      <c r="O1287" s="64"/>
      <c r="P1287" s="64"/>
      <c r="Q1287" s="64"/>
      <c r="R1287" s="64"/>
      <c r="S1287" s="64"/>
    </row>
    <row r="1288" spans="1:19" x14ac:dyDescent="0.25">
      <c r="A1288" s="63"/>
      <c r="B1288" s="64"/>
      <c r="C1288" s="64"/>
      <c r="D1288" s="64"/>
      <c r="E1288" s="64"/>
      <c r="F1288" s="64"/>
      <c r="G1288" s="64"/>
      <c r="H1288" s="64"/>
      <c r="I1288" s="64"/>
      <c r="J1288" s="64"/>
      <c r="K1288" s="64"/>
      <c r="L1288" s="64"/>
      <c r="M1288" s="64"/>
      <c r="N1288" s="64"/>
      <c r="O1288" s="64"/>
      <c r="P1288" s="64"/>
      <c r="Q1288" s="64"/>
      <c r="R1288" s="64"/>
      <c r="S1288" s="64"/>
    </row>
    <row r="1289" spans="1:19" x14ac:dyDescent="0.25">
      <c r="A1289" s="63"/>
      <c r="B1289" s="64"/>
      <c r="C1289" s="64"/>
      <c r="D1289" s="64"/>
      <c r="E1289" s="64"/>
      <c r="F1289" s="64"/>
      <c r="G1289" s="64"/>
      <c r="H1289" s="64"/>
      <c r="I1289" s="64"/>
      <c r="J1289" s="64"/>
      <c r="K1289" s="64"/>
      <c r="L1289" s="64"/>
      <c r="M1289" s="64"/>
      <c r="N1289" s="64"/>
      <c r="O1289" s="64"/>
      <c r="P1289" s="64"/>
      <c r="Q1289" s="64"/>
      <c r="R1289" s="64"/>
      <c r="S1289" s="64"/>
    </row>
    <row r="1290" spans="1:19" x14ac:dyDescent="0.25">
      <c r="A1290" s="63"/>
      <c r="B1290" s="64"/>
      <c r="C1290" s="64"/>
      <c r="D1290" s="64"/>
      <c r="E1290" s="64"/>
      <c r="F1290" s="64"/>
      <c r="G1290" s="64"/>
      <c r="H1290" s="64"/>
      <c r="I1290" s="64"/>
      <c r="J1290" s="64"/>
      <c r="K1290" s="64"/>
      <c r="L1290" s="64"/>
      <c r="M1290" s="64"/>
      <c r="N1290" s="64"/>
      <c r="O1290" s="64"/>
      <c r="P1290" s="64"/>
      <c r="Q1290" s="64"/>
      <c r="R1290" s="64"/>
      <c r="S1290" s="64"/>
    </row>
    <row r="1291" spans="1:19" x14ac:dyDescent="0.25">
      <c r="A1291" s="63"/>
      <c r="B1291" s="64"/>
      <c r="C1291" s="64"/>
      <c r="D1291" s="64"/>
      <c r="E1291" s="64"/>
      <c r="F1291" s="64"/>
      <c r="G1291" s="64"/>
      <c r="H1291" s="64"/>
      <c r="I1291" s="64"/>
      <c r="J1291" s="64"/>
      <c r="K1291" s="64"/>
      <c r="L1291" s="64"/>
      <c r="M1291" s="64"/>
      <c r="N1291" s="64"/>
      <c r="O1291" s="64"/>
      <c r="P1291" s="64"/>
      <c r="Q1291" s="64"/>
      <c r="R1291" s="64"/>
      <c r="S1291" s="64"/>
    </row>
    <row r="1292" spans="1:19" x14ac:dyDescent="0.25">
      <c r="A1292" s="63"/>
      <c r="B1292" s="64"/>
      <c r="C1292" s="64"/>
      <c r="D1292" s="64"/>
      <c r="E1292" s="64"/>
      <c r="F1292" s="64"/>
      <c r="G1292" s="64"/>
      <c r="H1292" s="64"/>
      <c r="I1292" s="64"/>
      <c r="J1292" s="64"/>
      <c r="K1292" s="64"/>
      <c r="L1292" s="64"/>
      <c r="M1292" s="64"/>
      <c r="N1292" s="64"/>
      <c r="O1292" s="64"/>
      <c r="P1292" s="64"/>
      <c r="Q1292" s="64"/>
      <c r="R1292" s="64"/>
      <c r="S1292" s="64"/>
    </row>
    <row r="1293" spans="1:19" x14ac:dyDescent="0.25">
      <c r="A1293" s="63"/>
      <c r="B1293" s="64"/>
      <c r="C1293" s="64"/>
      <c r="D1293" s="64"/>
      <c r="E1293" s="64"/>
      <c r="F1293" s="64"/>
      <c r="G1293" s="64"/>
      <c r="H1293" s="64"/>
      <c r="I1293" s="64"/>
      <c r="J1293" s="64"/>
      <c r="K1293" s="64"/>
      <c r="L1293" s="64"/>
      <c r="M1293" s="64"/>
      <c r="N1293" s="64"/>
      <c r="O1293" s="64"/>
      <c r="P1293" s="64"/>
      <c r="Q1293" s="64"/>
      <c r="R1293" s="64"/>
      <c r="S1293" s="64"/>
    </row>
    <row r="1294" spans="1:19" x14ac:dyDescent="0.25">
      <c r="A1294" s="63"/>
      <c r="B1294" s="64"/>
      <c r="C1294" s="64"/>
      <c r="D1294" s="64"/>
      <c r="E1294" s="64"/>
      <c r="F1294" s="64"/>
      <c r="G1294" s="64"/>
      <c r="H1294" s="64"/>
      <c r="I1294" s="64"/>
      <c r="J1294" s="64"/>
      <c r="K1294" s="64"/>
      <c r="L1294" s="64"/>
      <c r="M1294" s="64"/>
      <c r="N1294" s="64"/>
      <c r="O1294" s="64"/>
      <c r="P1294" s="64"/>
      <c r="Q1294" s="64"/>
      <c r="R1294" s="64"/>
      <c r="S1294" s="64"/>
    </row>
    <row r="1295" spans="1:19" x14ac:dyDescent="0.25">
      <c r="A1295" s="63"/>
      <c r="B1295" s="64"/>
      <c r="C1295" s="64"/>
      <c r="D1295" s="64"/>
      <c r="E1295" s="64"/>
      <c r="F1295" s="64"/>
      <c r="G1295" s="64"/>
      <c r="H1295" s="64"/>
      <c r="I1295" s="64"/>
      <c r="J1295" s="64"/>
      <c r="K1295" s="64"/>
      <c r="L1295" s="64"/>
      <c r="M1295" s="64"/>
      <c r="N1295" s="64"/>
      <c r="O1295" s="64"/>
      <c r="P1295" s="64"/>
      <c r="Q1295" s="64"/>
      <c r="R1295" s="64"/>
      <c r="S1295" s="64"/>
    </row>
    <row r="1296" spans="1:19" x14ac:dyDescent="0.25">
      <c r="A1296" s="63"/>
      <c r="B1296" s="64"/>
      <c r="C1296" s="64"/>
      <c r="D1296" s="64"/>
      <c r="E1296" s="64"/>
      <c r="F1296" s="64"/>
      <c r="G1296" s="64"/>
      <c r="H1296" s="64"/>
      <c r="I1296" s="64"/>
      <c r="J1296" s="64"/>
      <c r="K1296" s="64"/>
      <c r="L1296" s="64"/>
      <c r="M1296" s="64"/>
      <c r="N1296" s="64"/>
      <c r="O1296" s="64"/>
      <c r="P1296" s="64"/>
      <c r="Q1296" s="64"/>
      <c r="R1296" s="64"/>
      <c r="S1296" s="64"/>
    </row>
    <row r="1297" spans="1:19" x14ac:dyDescent="0.25">
      <c r="A1297" s="63"/>
      <c r="B1297" s="64"/>
      <c r="C1297" s="64"/>
      <c r="D1297" s="64"/>
      <c r="E1297" s="64"/>
      <c r="F1297" s="64"/>
      <c r="G1297" s="64"/>
      <c r="H1297" s="64"/>
      <c r="I1297" s="64"/>
      <c r="J1297" s="64"/>
      <c r="K1297" s="64"/>
      <c r="L1297" s="64"/>
      <c r="M1297" s="64"/>
      <c r="N1297" s="64"/>
      <c r="O1297" s="64"/>
      <c r="P1297" s="64"/>
      <c r="Q1297" s="64"/>
      <c r="R1297" s="64"/>
      <c r="S1297" s="64"/>
    </row>
    <row r="1298" spans="1:19" x14ac:dyDescent="0.25">
      <c r="A1298" s="63"/>
      <c r="B1298" s="64"/>
      <c r="C1298" s="64"/>
      <c r="D1298" s="64"/>
      <c r="E1298" s="64"/>
      <c r="F1298" s="64"/>
      <c r="G1298" s="64"/>
      <c r="H1298" s="64"/>
      <c r="I1298" s="64"/>
      <c r="J1298" s="64"/>
      <c r="K1298" s="64"/>
      <c r="L1298" s="64"/>
      <c r="M1298" s="64"/>
      <c r="N1298" s="64"/>
      <c r="O1298" s="64"/>
      <c r="P1298" s="64"/>
      <c r="Q1298" s="64"/>
      <c r="R1298" s="64"/>
      <c r="S1298" s="64"/>
    </row>
    <row r="1299" spans="1:19" x14ac:dyDescent="0.25">
      <c r="A1299" s="63"/>
      <c r="B1299" s="64"/>
      <c r="C1299" s="64"/>
      <c r="D1299" s="64"/>
      <c r="E1299" s="64"/>
      <c r="F1299" s="64"/>
      <c r="G1299" s="64"/>
      <c r="H1299" s="64"/>
      <c r="I1299" s="64"/>
      <c r="J1299" s="64"/>
      <c r="K1299" s="64"/>
      <c r="L1299" s="64"/>
      <c r="M1299" s="64"/>
      <c r="N1299" s="64"/>
      <c r="O1299" s="64"/>
      <c r="P1299" s="64"/>
      <c r="Q1299" s="64"/>
      <c r="R1299" s="64"/>
      <c r="S1299" s="64"/>
    </row>
    <row r="1300" spans="1:19" x14ac:dyDescent="0.25">
      <c r="A1300" s="63"/>
      <c r="B1300" s="64"/>
      <c r="C1300" s="64"/>
      <c r="D1300" s="64"/>
      <c r="E1300" s="64"/>
      <c r="F1300" s="64"/>
      <c r="G1300" s="64"/>
      <c r="H1300" s="64"/>
      <c r="I1300" s="64"/>
      <c r="J1300" s="64"/>
      <c r="K1300" s="64"/>
      <c r="L1300" s="64"/>
      <c r="M1300" s="64"/>
      <c r="N1300" s="64"/>
      <c r="O1300" s="64"/>
      <c r="P1300" s="64"/>
      <c r="Q1300" s="64"/>
      <c r="R1300" s="64"/>
      <c r="S1300" s="64"/>
    </row>
    <row r="1301" spans="1:19" x14ac:dyDescent="0.25">
      <c r="A1301" s="63"/>
      <c r="B1301" s="64"/>
      <c r="C1301" s="64"/>
      <c r="D1301" s="64"/>
      <c r="E1301" s="64"/>
      <c r="F1301" s="64"/>
      <c r="G1301" s="64"/>
      <c r="H1301" s="64"/>
      <c r="I1301" s="64"/>
      <c r="J1301" s="64"/>
      <c r="K1301" s="64"/>
      <c r="L1301" s="64"/>
      <c r="M1301" s="64"/>
      <c r="N1301" s="64"/>
      <c r="O1301" s="64"/>
      <c r="P1301" s="64"/>
      <c r="Q1301" s="64"/>
      <c r="R1301" s="64"/>
      <c r="S1301" s="64"/>
    </row>
    <row r="1302" spans="1:19" x14ac:dyDescent="0.25">
      <c r="A1302" s="63"/>
      <c r="B1302" s="64"/>
      <c r="C1302" s="64"/>
      <c r="D1302" s="64"/>
      <c r="E1302" s="64"/>
      <c r="F1302" s="64"/>
      <c r="G1302" s="64"/>
      <c r="H1302" s="64"/>
      <c r="I1302" s="64"/>
      <c r="J1302" s="64"/>
      <c r="K1302" s="64"/>
      <c r="L1302" s="64"/>
      <c r="M1302" s="64"/>
      <c r="N1302" s="64"/>
      <c r="O1302" s="64"/>
      <c r="P1302" s="64"/>
      <c r="Q1302" s="64"/>
      <c r="R1302" s="64"/>
      <c r="S1302" s="64"/>
    </row>
    <row r="1303" spans="1:19" x14ac:dyDescent="0.25">
      <c r="A1303" s="63"/>
      <c r="B1303" s="64"/>
      <c r="C1303" s="64"/>
      <c r="D1303" s="64"/>
      <c r="E1303" s="64"/>
      <c r="F1303" s="64"/>
      <c r="G1303" s="64"/>
      <c r="H1303" s="64"/>
      <c r="I1303" s="64"/>
      <c r="J1303" s="64"/>
      <c r="K1303" s="64"/>
      <c r="L1303" s="64"/>
      <c r="M1303" s="64"/>
      <c r="N1303" s="64"/>
      <c r="O1303" s="64"/>
      <c r="P1303" s="64"/>
      <c r="Q1303" s="64"/>
      <c r="R1303" s="64"/>
      <c r="S1303" s="64"/>
    </row>
    <row r="1304" spans="1:19" x14ac:dyDescent="0.25">
      <c r="A1304" s="63"/>
      <c r="B1304" s="64"/>
      <c r="C1304" s="64"/>
      <c r="D1304" s="64"/>
      <c r="E1304" s="64"/>
      <c r="F1304" s="64"/>
      <c r="G1304" s="64"/>
      <c r="H1304" s="64"/>
      <c r="I1304" s="64"/>
      <c r="J1304" s="64"/>
      <c r="K1304" s="64"/>
      <c r="L1304" s="64"/>
      <c r="M1304" s="64"/>
      <c r="N1304" s="64"/>
      <c r="O1304" s="64"/>
      <c r="P1304" s="64"/>
      <c r="Q1304" s="64"/>
      <c r="R1304" s="64"/>
      <c r="S1304" s="64"/>
    </row>
    <row r="1305" spans="1:19" x14ac:dyDescent="0.25">
      <c r="A1305" s="63"/>
      <c r="B1305" s="64"/>
      <c r="C1305" s="64"/>
      <c r="D1305" s="64"/>
      <c r="E1305" s="64"/>
      <c r="F1305" s="64"/>
      <c r="G1305" s="64"/>
      <c r="H1305" s="64"/>
      <c r="I1305" s="64"/>
      <c r="J1305" s="64"/>
      <c r="K1305" s="64"/>
      <c r="L1305" s="64"/>
      <c r="M1305" s="64"/>
      <c r="N1305" s="64"/>
      <c r="O1305" s="64"/>
      <c r="P1305" s="64"/>
      <c r="Q1305" s="64"/>
      <c r="R1305" s="64"/>
      <c r="S1305" s="64"/>
    </row>
    <row r="1306" spans="1:19" x14ac:dyDescent="0.25">
      <c r="A1306" s="63"/>
      <c r="B1306" s="64"/>
      <c r="C1306" s="64"/>
      <c r="D1306" s="64"/>
      <c r="E1306" s="64"/>
      <c r="F1306" s="64"/>
      <c r="G1306" s="64"/>
      <c r="H1306" s="64"/>
      <c r="I1306" s="64"/>
      <c r="J1306" s="64"/>
      <c r="K1306" s="64"/>
      <c r="L1306" s="64"/>
      <c r="M1306" s="64"/>
      <c r="N1306" s="64"/>
      <c r="O1306" s="64"/>
      <c r="P1306" s="64"/>
      <c r="Q1306" s="64"/>
      <c r="R1306" s="64"/>
      <c r="S1306" s="64"/>
    </row>
    <row r="1307" spans="1:19" x14ac:dyDescent="0.25">
      <c r="A1307" s="63"/>
      <c r="B1307" s="64"/>
      <c r="C1307" s="64"/>
      <c r="D1307" s="64"/>
      <c r="E1307" s="64"/>
      <c r="F1307" s="64"/>
      <c r="G1307" s="64"/>
      <c r="H1307" s="64"/>
      <c r="I1307" s="64"/>
      <c r="J1307" s="64"/>
      <c r="K1307" s="64"/>
      <c r="L1307" s="64"/>
      <c r="M1307" s="64"/>
      <c r="N1307" s="64"/>
      <c r="O1307" s="64"/>
      <c r="P1307" s="64"/>
      <c r="Q1307" s="64"/>
      <c r="R1307" s="64"/>
      <c r="S1307" s="64"/>
    </row>
    <row r="1308" spans="1:19" x14ac:dyDescent="0.25">
      <c r="A1308" s="63"/>
      <c r="B1308" s="64"/>
      <c r="C1308" s="64"/>
      <c r="D1308" s="64"/>
      <c r="E1308" s="64"/>
      <c r="F1308" s="64"/>
      <c r="G1308" s="64"/>
      <c r="H1308" s="64"/>
      <c r="I1308" s="64"/>
      <c r="J1308" s="64"/>
      <c r="K1308" s="64"/>
      <c r="L1308" s="64"/>
      <c r="M1308" s="64"/>
      <c r="N1308" s="64"/>
      <c r="O1308" s="64"/>
      <c r="P1308" s="64"/>
      <c r="Q1308" s="64"/>
      <c r="R1308" s="64"/>
      <c r="S1308" s="64"/>
    </row>
    <row r="1309" spans="1:19" x14ac:dyDescent="0.25">
      <c r="A1309" s="63"/>
      <c r="B1309" s="64"/>
      <c r="C1309" s="64"/>
      <c r="D1309" s="64"/>
      <c r="E1309" s="64"/>
      <c r="F1309" s="64"/>
      <c r="G1309" s="64"/>
      <c r="H1309" s="64"/>
      <c r="I1309" s="64"/>
      <c r="J1309" s="64"/>
      <c r="K1309" s="64"/>
      <c r="L1309" s="64"/>
      <c r="M1309" s="64"/>
      <c r="N1309" s="64"/>
      <c r="O1309" s="64"/>
      <c r="P1309" s="64"/>
      <c r="Q1309" s="64"/>
      <c r="R1309" s="64"/>
      <c r="S1309" s="64"/>
    </row>
    <row r="1310" spans="1:19" x14ac:dyDescent="0.25">
      <c r="A1310" s="63"/>
      <c r="B1310" s="64"/>
      <c r="C1310" s="64"/>
      <c r="D1310" s="64"/>
      <c r="E1310" s="64"/>
      <c r="F1310" s="64"/>
      <c r="G1310" s="64"/>
      <c r="H1310" s="64"/>
      <c r="I1310" s="64"/>
      <c r="J1310" s="64"/>
      <c r="K1310" s="64"/>
      <c r="L1310" s="64"/>
      <c r="M1310" s="64"/>
      <c r="N1310" s="64"/>
      <c r="O1310" s="64"/>
      <c r="P1310" s="64"/>
      <c r="Q1310" s="64"/>
      <c r="R1310" s="64"/>
      <c r="S1310" s="64"/>
    </row>
    <row r="1311" spans="1:19" x14ac:dyDescent="0.25">
      <c r="A1311" s="63"/>
      <c r="B1311" s="64"/>
      <c r="C1311" s="64"/>
      <c r="D1311" s="64"/>
      <c r="E1311" s="64"/>
      <c r="F1311" s="64"/>
      <c r="G1311" s="64"/>
      <c r="H1311" s="64"/>
      <c r="I1311" s="64"/>
      <c r="J1311" s="64"/>
      <c r="K1311" s="64"/>
      <c r="L1311" s="64"/>
      <c r="M1311" s="64"/>
      <c r="N1311" s="64"/>
      <c r="O1311" s="64"/>
      <c r="P1311" s="64"/>
      <c r="Q1311" s="64"/>
      <c r="R1311" s="64"/>
      <c r="S1311" s="64"/>
    </row>
    <row r="1312" spans="1:19" x14ac:dyDescent="0.25">
      <c r="A1312" s="63"/>
      <c r="B1312" s="64"/>
      <c r="C1312" s="64"/>
      <c r="D1312" s="64"/>
      <c r="E1312" s="64"/>
      <c r="F1312" s="64"/>
      <c r="G1312" s="64"/>
      <c r="H1312" s="64"/>
      <c r="I1312" s="64"/>
      <c r="J1312" s="64"/>
      <c r="K1312" s="64"/>
      <c r="L1312" s="64"/>
      <c r="M1312" s="64"/>
      <c r="N1312" s="64"/>
      <c r="O1312" s="64"/>
      <c r="P1312" s="64"/>
      <c r="Q1312" s="64"/>
      <c r="R1312" s="64"/>
      <c r="S1312" s="64"/>
    </row>
    <row r="1313" spans="1:19" x14ac:dyDescent="0.25">
      <c r="A1313" s="63"/>
      <c r="B1313" s="64"/>
      <c r="C1313" s="64"/>
      <c r="D1313" s="64"/>
      <c r="E1313" s="64"/>
      <c r="F1313" s="64"/>
      <c r="G1313" s="64"/>
      <c r="H1313" s="64"/>
      <c r="I1313" s="64"/>
      <c r="J1313" s="64"/>
      <c r="K1313" s="64"/>
      <c r="L1313" s="64"/>
      <c r="M1313" s="64"/>
      <c r="N1313" s="64"/>
      <c r="O1313" s="64"/>
      <c r="P1313" s="64"/>
      <c r="Q1313" s="64"/>
      <c r="R1313" s="64"/>
      <c r="S1313" s="64"/>
    </row>
    <row r="1314" spans="1:19" x14ac:dyDescent="0.25">
      <c r="A1314" s="63"/>
      <c r="B1314" s="64"/>
      <c r="C1314" s="64"/>
      <c r="D1314" s="64"/>
      <c r="E1314" s="64"/>
      <c r="F1314" s="64"/>
      <c r="G1314" s="64"/>
      <c r="H1314" s="64"/>
      <c r="I1314" s="64"/>
      <c r="J1314" s="64"/>
      <c r="K1314" s="64"/>
      <c r="L1314" s="64"/>
      <c r="M1314" s="64"/>
      <c r="N1314" s="64"/>
      <c r="O1314" s="64"/>
      <c r="P1314" s="64"/>
      <c r="Q1314" s="64"/>
      <c r="R1314" s="64"/>
      <c r="S1314" s="64"/>
    </row>
    <row r="1315" spans="1:19" x14ac:dyDescent="0.25">
      <c r="A1315" s="63"/>
      <c r="B1315" s="64"/>
      <c r="C1315" s="64"/>
      <c r="D1315" s="64"/>
      <c r="E1315" s="64"/>
      <c r="F1315" s="64"/>
      <c r="G1315" s="64"/>
      <c r="H1315" s="64"/>
      <c r="I1315" s="64"/>
      <c r="J1315" s="64"/>
      <c r="K1315" s="64"/>
      <c r="L1315" s="64"/>
      <c r="M1315" s="64"/>
      <c r="N1315" s="64"/>
      <c r="O1315" s="64"/>
      <c r="P1315" s="64"/>
      <c r="Q1315" s="64"/>
      <c r="R1315" s="64"/>
      <c r="S1315" s="64"/>
    </row>
    <row r="1316" spans="1:19" x14ac:dyDescent="0.25">
      <c r="A1316" s="63"/>
      <c r="B1316" s="64"/>
      <c r="C1316" s="64"/>
      <c r="D1316" s="64"/>
      <c r="E1316" s="64"/>
      <c r="F1316" s="64"/>
      <c r="G1316" s="64"/>
      <c r="H1316" s="64"/>
      <c r="I1316" s="64"/>
      <c r="J1316" s="64"/>
      <c r="K1316" s="64"/>
      <c r="L1316" s="64"/>
      <c r="M1316" s="64"/>
      <c r="N1316" s="64"/>
      <c r="O1316" s="64"/>
      <c r="P1316" s="64"/>
      <c r="Q1316" s="64"/>
      <c r="R1316" s="64"/>
      <c r="S1316" s="64"/>
    </row>
    <row r="1317" spans="1:19" x14ac:dyDescent="0.25">
      <c r="A1317" s="63"/>
      <c r="B1317" s="64"/>
      <c r="C1317" s="64"/>
      <c r="D1317" s="64"/>
      <c r="E1317" s="64"/>
      <c r="F1317" s="64"/>
      <c r="G1317" s="64"/>
      <c r="H1317" s="64"/>
      <c r="I1317" s="64"/>
      <c r="J1317" s="64"/>
      <c r="K1317" s="64"/>
      <c r="L1317" s="64"/>
      <c r="M1317" s="64"/>
      <c r="N1317" s="64"/>
      <c r="O1317" s="64"/>
      <c r="P1317" s="64"/>
      <c r="Q1317" s="64"/>
      <c r="R1317" s="64"/>
      <c r="S1317" s="64"/>
    </row>
    <row r="1318" spans="1:19" x14ac:dyDescent="0.25">
      <c r="A1318" s="63"/>
      <c r="B1318" s="64"/>
      <c r="C1318" s="64"/>
      <c r="D1318" s="64"/>
      <c r="E1318" s="64"/>
      <c r="F1318" s="64"/>
      <c r="G1318" s="64"/>
      <c r="H1318" s="64"/>
      <c r="I1318" s="64"/>
      <c r="J1318" s="64"/>
      <c r="K1318" s="64"/>
      <c r="L1318" s="64"/>
      <c r="M1318" s="64"/>
      <c r="N1318" s="64"/>
      <c r="O1318" s="64"/>
      <c r="P1318" s="64"/>
      <c r="Q1318" s="64"/>
      <c r="R1318" s="64"/>
      <c r="S1318" s="64"/>
    </row>
    <row r="1319" spans="1:19" x14ac:dyDescent="0.25">
      <c r="A1319" s="63"/>
      <c r="B1319" s="64"/>
      <c r="C1319" s="64"/>
      <c r="D1319" s="64"/>
      <c r="E1319" s="64"/>
      <c r="F1319" s="64"/>
      <c r="G1319" s="64"/>
      <c r="H1319" s="64"/>
      <c r="I1319" s="64"/>
      <c r="J1319" s="64"/>
      <c r="K1319" s="64"/>
      <c r="L1319" s="64"/>
      <c r="M1319" s="64"/>
      <c r="N1319" s="64"/>
      <c r="O1319" s="64"/>
      <c r="P1319" s="64"/>
      <c r="Q1319" s="64"/>
      <c r="R1319" s="64"/>
      <c r="S1319" s="64"/>
    </row>
    <row r="1320" spans="1:19" x14ac:dyDescent="0.25">
      <c r="A1320" s="63"/>
      <c r="B1320" s="64"/>
      <c r="C1320" s="64"/>
      <c r="D1320" s="64"/>
      <c r="E1320" s="64"/>
      <c r="F1320" s="64"/>
      <c r="G1320" s="64"/>
      <c r="H1320" s="64"/>
      <c r="I1320" s="64"/>
      <c r="J1320" s="64"/>
      <c r="K1320" s="64"/>
      <c r="L1320" s="64"/>
      <c r="M1320" s="64"/>
      <c r="N1320" s="64"/>
      <c r="O1320" s="64"/>
      <c r="P1320" s="64"/>
      <c r="Q1320" s="64"/>
      <c r="R1320" s="64"/>
      <c r="S1320" s="64"/>
    </row>
    <row r="1321" spans="1:19" x14ac:dyDescent="0.25">
      <c r="A1321" s="63"/>
      <c r="B1321" s="64"/>
      <c r="C1321" s="64"/>
      <c r="D1321" s="64"/>
      <c r="E1321" s="64"/>
      <c r="F1321" s="64"/>
      <c r="G1321" s="64"/>
      <c r="H1321" s="64"/>
      <c r="I1321" s="64"/>
      <c r="J1321" s="64"/>
      <c r="K1321" s="64"/>
      <c r="L1321" s="64"/>
      <c r="M1321" s="64"/>
      <c r="N1321" s="64"/>
      <c r="O1321" s="64"/>
      <c r="P1321" s="64"/>
      <c r="Q1321" s="64"/>
      <c r="R1321" s="64"/>
      <c r="S1321" s="64"/>
    </row>
    <row r="1322" spans="1:19" x14ac:dyDescent="0.25">
      <c r="A1322" s="63"/>
      <c r="B1322" s="64"/>
      <c r="C1322" s="64"/>
      <c r="D1322" s="64"/>
      <c r="E1322" s="64"/>
      <c r="F1322" s="64"/>
      <c r="G1322" s="64"/>
      <c r="H1322" s="64"/>
      <c r="I1322" s="64"/>
      <c r="J1322" s="64"/>
      <c r="K1322" s="64"/>
      <c r="L1322" s="64"/>
      <c r="M1322" s="64"/>
      <c r="N1322" s="64"/>
      <c r="O1322" s="64"/>
      <c r="P1322" s="64"/>
      <c r="Q1322" s="64"/>
      <c r="R1322" s="64"/>
      <c r="S1322" s="64"/>
    </row>
    <row r="1323" spans="1:19" x14ac:dyDescent="0.25">
      <c r="A1323" s="63"/>
      <c r="B1323" s="64"/>
      <c r="C1323" s="64"/>
      <c r="D1323" s="64"/>
      <c r="E1323" s="64"/>
      <c r="F1323" s="64"/>
      <c r="G1323" s="64"/>
      <c r="H1323" s="64"/>
      <c r="I1323" s="64"/>
      <c r="J1323" s="64"/>
      <c r="K1323" s="64"/>
      <c r="L1323" s="64"/>
      <c r="M1323" s="64"/>
      <c r="N1323" s="64"/>
      <c r="O1323" s="64"/>
      <c r="P1323" s="64"/>
      <c r="Q1323" s="64"/>
      <c r="R1323" s="64"/>
      <c r="S1323" s="64"/>
    </row>
    <row r="1324" spans="1:19" x14ac:dyDescent="0.25">
      <c r="A1324" s="63"/>
      <c r="B1324" s="64"/>
      <c r="C1324" s="64"/>
      <c r="D1324" s="64"/>
      <c r="E1324" s="64"/>
      <c r="F1324" s="64"/>
      <c r="G1324" s="64"/>
      <c r="H1324" s="64"/>
      <c r="I1324" s="64"/>
      <c r="J1324" s="64"/>
      <c r="K1324" s="64"/>
      <c r="L1324" s="64"/>
      <c r="M1324" s="64"/>
      <c r="N1324" s="64"/>
      <c r="O1324" s="64"/>
      <c r="P1324" s="64"/>
      <c r="Q1324" s="64"/>
      <c r="R1324" s="64"/>
      <c r="S1324" s="64"/>
    </row>
    <row r="1325" spans="1:19" x14ac:dyDescent="0.25">
      <c r="A1325" s="63"/>
      <c r="B1325" s="64"/>
      <c r="C1325" s="64"/>
      <c r="D1325" s="64"/>
      <c r="E1325" s="64"/>
      <c r="F1325" s="64"/>
      <c r="G1325" s="64"/>
      <c r="H1325" s="64"/>
      <c r="I1325" s="64"/>
      <c r="J1325" s="64"/>
      <c r="K1325" s="64"/>
      <c r="L1325" s="64"/>
      <c r="M1325" s="64"/>
      <c r="N1325" s="64"/>
      <c r="O1325" s="64"/>
      <c r="P1325" s="64"/>
      <c r="Q1325" s="64"/>
      <c r="R1325" s="64"/>
      <c r="S1325" s="64"/>
    </row>
    <row r="1326" spans="1:19" x14ac:dyDescent="0.25">
      <c r="A1326" s="63"/>
      <c r="B1326" s="64"/>
      <c r="C1326" s="64"/>
      <c r="D1326" s="64"/>
      <c r="E1326" s="64"/>
      <c r="F1326" s="64"/>
      <c r="G1326" s="64"/>
      <c r="H1326" s="64"/>
      <c r="I1326" s="64"/>
      <c r="J1326" s="64"/>
      <c r="K1326" s="64"/>
      <c r="L1326" s="64"/>
      <c r="M1326" s="64"/>
      <c r="N1326" s="64"/>
      <c r="O1326" s="64"/>
      <c r="P1326" s="64"/>
      <c r="Q1326" s="64"/>
      <c r="R1326" s="64"/>
      <c r="S1326" s="64"/>
    </row>
    <row r="1327" spans="1:19" x14ac:dyDescent="0.25">
      <c r="A1327" s="63"/>
      <c r="B1327" s="64"/>
      <c r="C1327" s="64"/>
      <c r="D1327" s="64"/>
      <c r="E1327" s="64"/>
      <c r="F1327" s="64"/>
      <c r="G1327" s="64"/>
      <c r="H1327" s="64"/>
      <c r="I1327" s="64"/>
      <c r="J1327" s="64"/>
      <c r="K1327" s="64"/>
      <c r="L1327" s="64"/>
      <c r="M1327" s="64"/>
      <c r="N1327" s="64"/>
      <c r="O1327" s="64"/>
      <c r="P1327" s="64"/>
      <c r="Q1327" s="64"/>
      <c r="R1327" s="64"/>
      <c r="S1327" s="64"/>
    </row>
    <row r="1328" spans="1:19" x14ac:dyDescent="0.25">
      <c r="A1328" s="63"/>
      <c r="B1328" s="64"/>
      <c r="C1328" s="64"/>
      <c r="D1328" s="64"/>
      <c r="E1328" s="64"/>
      <c r="F1328" s="64"/>
      <c r="G1328" s="64"/>
      <c r="H1328" s="64"/>
      <c r="I1328" s="64"/>
      <c r="J1328" s="64"/>
      <c r="K1328" s="64"/>
      <c r="L1328" s="64"/>
      <c r="M1328" s="64"/>
      <c r="N1328" s="64"/>
      <c r="O1328" s="64"/>
      <c r="P1328" s="64"/>
      <c r="Q1328" s="64"/>
      <c r="R1328" s="64"/>
      <c r="S1328" s="64"/>
    </row>
    <row r="1329" spans="1:19" x14ac:dyDescent="0.25">
      <c r="A1329" s="63"/>
      <c r="B1329" s="64"/>
      <c r="C1329" s="64"/>
      <c r="D1329" s="64"/>
      <c r="E1329" s="64"/>
      <c r="F1329" s="64"/>
      <c r="G1329" s="64"/>
      <c r="H1329" s="64"/>
      <c r="I1329" s="64"/>
      <c r="J1329" s="64"/>
      <c r="K1329" s="64"/>
      <c r="L1329" s="64"/>
      <c r="M1329" s="64"/>
      <c r="N1329" s="64"/>
      <c r="O1329" s="64"/>
      <c r="P1329" s="64"/>
      <c r="Q1329" s="64"/>
      <c r="R1329" s="64"/>
      <c r="S1329" s="64"/>
    </row>
    <row r="1330" spans="1:19" x14ac:dyDescent="0.25">
      <c r="A1330" s="63"/>
      <c r="B1330" s="64"/>
      <c r="C1330" s="64"/>
      <c r="D1330" s="64"/>
      <c r="E1330" s="64"/>
      <c r="F1330" s="64"/>
      <c r="G1330" s="64"/>
      <c r="H1330" s="64"/>
      <c r="I1330" s="64"/>
      <c r="J1330" s="64"/>
      <c r="K1330" s="64"/>
      <c r="L1330" s="64"/>
      <c r="M1330" s="64"/>
      <c r="N1330" s="64"/>
      <c r="O1330" s="64"/>
      <c r="P1330" s="64"/>
      <c r="Q1330" s="64"/>
      <c r="R1330" s="64"/>
      <c r="S1330" s="64"/>
    </row>
    <row r="1331" spans="1:19" x14ac:dyDescent="0.25">
      <c r="A1331" s="63"/>
      <c r="B1331" s="64"/>
      <c r="C1331" s="64"/>
      <c r="D1331" s="64"/>
      <c r="E1331" s="64"/>
      <c r="F1331" s="64"/>
      <c r="G1331" s="64"/>
      <c r="H1331" s="64"/>
      <c r="I1331" s="64"/>
      <c r="J1331" s="64"/>
      <c r="K1331" s="64"/>
      <c r="L1331" s="64"/>
      <c r="M1331" s="64"/>
      <c r="N1331" s="64"/>
      <c r="O1331" s="64"/>
      <c r="P1331" s="64"/>
      <c r="Q1331" s="64"/>
      <c r="R1331" s="64"/>
      <c r="S1331" s="64"/>
    </row>
    <row r="1332" spans="1:19" x14ac:dyDescent="0.25">
      <c r="A1332" s="63"/>
      <c r="B1332" s="64"/>
      <c r="C1332" s="64"/>
      <c r="D1332" s="64"/>
      <c r="E1332" s="64"/>
      <c r="F1332" s="64"/>
      <c r="G1332" s="64"/>
      <c r="H1332" s="64"/>
      <c r="I1332" s="64"/>
      <c r="J1332" s="64"/>
      <c r="K1332" s="64"/>
      <c r="L1332" s="64"/>
      <c r="M1332" s="64"/>
      <c r="N1332" s="64"/>
      <c r="O1332" s="64"/>
      <c r="P1332" s="64"/>
      <c r="Q1332" s="64"/>
      <c r="R1332" s="64"/>
      <c r="S1332" s="64"/>
    </row>
    <row r="1333" spans="1:19" x14ac:dyDescent="0.25">
      <c r="A1333" s="63"/>
      <c r="B1333" s="64"/>
      <c r="C1333" s="64"/>
      <c r="D1333" s="64"/>
      <c r="E1333" s="64"/>
      <c r="F1333" s="64"/>
      <c r="G1333" s="64"/>
      <c r="H1333" s="64"/>
      <c r="I1333" s="64"/>
      <c r="J1333" s="64"/>
      <c r="K1333" s="64"/>
      <c r="L1333" s="64"/>
      <c r="M1333" s="64"/>
      <c r="N1333" s="64"/>
      <c r="O1333" s="64"/>
      <c r="P1333" s="64"/>
      <c r="Q1333" s="64"/>
      <c r="R1333" s="64"/>
      <c r="S1333" s="64"/>
    </row>
    <row r="1334" spans="1:19" x14ac:dyDescent="0.25">
      <c r="A1334" s="63"/>
      <c r="B1334" s="64"/>
      <c r="C1334" s="64"/>
      <c r="D1334" s="64"/>
      <c r="E1334" s="64"/>
      <c r="F1334" s="64"/>
      <c r="G1334" s="64"/>
      <c r="H1334" s="64"/>
      <c r="I1334" s="64"/>
      <c r="J1334" s="64"/>
      <c r="K1334" s="64"/>
      <c r="L1334" s="64"/>
      <c r="M1334" s="64"/>
      <c r="N1334" s="64"/>
      <c r="O1334" s="64"/>
      <c r="P1334" s="64"/>
      <c r="Q1334" s="64"/>
      <c r="R1334" s="64"/>
      <c r="S1334" s="64"/>
    </row>
    <row r="1335" spans="1:19" x14ac:dyDescent="0.25">
      <c r="A1335" s="63"/>
      <c r="B1335" s="64"/>
      <c r="C1335" s="64"/>
      <c r="D1335" s="64"/>
      <c r="E1335" s="64"/>
      <c r="F1335" s="64"/>
      <c r="G1335" s="64"/>
      <c r="H1335" s="64"/>
      <c r="I1335" s="64"/>
      <c r="J1335" s="64"/>
      <c r="K1335" s="64"/>
      <c r="L1335" s="64"/>
      <c r="M1335" s="64"/>
      <c r="N1335" s="64"/>
      <c r="O1335" s="64"/>
      <c r="P1335" s="64"/>
      <c r="Q1335" s="64"/>
      <c r="R1335" s="64"/>
      <c r="S1335" s="64"/>
    </row>
    <row r="1336" spans="1:19" x14ac:dyDescent="0.25">
      <c r="A1336" s="63"/>
      <c r="B1336" s="64"/>
      <c r="C1336" s="64"/>
      <c r="D1336" s="64"/>
      <c r="E1336" s="64"/>
      <c r="F1336" s="64"/>
      <c r="G1336" s="64"/>
      <c r="H1336" s="64"/>
      <c r="I1336" s="64"/>
      <c r="J1336" s="64"/>
      <c r="K1336" s="64"/>
      <c r="L1336" s="64"/>
      <c r="M1336" s="64"/>
      <c r="N1336" s="64"/>
      <c r="O1336" s="64"/>
      <c r="P1336" s="64"/>
      <c r="Q1336" s="64"/>
      <c r="R1336" s="64"/>
      <c r="S1336" s="64"/>
    </row>
    <row r="1337" spans="1:19" x14ac:dyDescent="0.25">
      <c r="A1337" s="63"/>
      <c r="B1337" s="64"/>
      <c r="C1337" s="64"/>
      <c r="D1337" s="64"/>
      <c r="E1337" s="64"/>
      <c r="F1337" s="64"/>
      <c r="G1337" s="64"/>
      <c r="H1337" s="64"/>
      <c r="I1337" s="64"/>
      <c r="J1337" s="64"/>
      <c r="K1337" s="64"/>
      <c r="L1337" s="64"/>
      <c r="M1337" s="64"/>
      <c r="N1337" s="64"/>
      <c r="O1337" s="64"/>
      <c r="P1337" s="64"/>
      <c r="Q1337" s="64"/>
      <c r="R1337" s="64"/>
      <c r="S1337" s="64"/>
    </row>
    <row r="1338" spans="1:19" x14ac:dyDescent="0.25">
      <c r="A1338" s="63"/>
      <c r="B1338" s="64"/>
      <c r="C1338" s="64"/>
      <c r="D1338" s="64"/>
      <c r="E1338" s="64"/>
      <c r="F1338" s="64"/>
      <c r="G1338" s="64"/>
      <c r="H1338" s="64"/>
      <c r="I1338" s="64"/>
      <c r="J1338" s="64"/>
      <c r="K1338" s="64"/>
      <c r="L1338" s="64"/>
      <c r="M1338" s="64"/>
      <c r="N1338" s="64"/>
      <c r="O1338" s="64"/>
      <c r="P1338" s="64"/>
      <c r="Q1338" s="64"/>
      <c r="R1338" s="64"/>
      <c r="S1338" s="64"/>
    </row>
    <row r="1339" spans="1:19" x14ac:dyDescent="0.25">
      <c r="A1339" s="63"/>
      <c r="B1339" s="64"/>
      <c r="C1339" s="64"/>
      <c r="D1339" s="64"/>
      <c r="E1339" s="64"/>
      <c r="F1339" s="64"/>
      <c r="G1339" s="64"/>
      <c r="H1339" s="64"/>
      <c r="I1339" s="64"/>
      <c r="J1339" s="64"/>
      <c r="K1339" s="64"/>
      <c r="L1339" s="64"/>
      <c r="M1339" s="64"/>
      <c r="N1339" s="64"/>
      <c r="O1339" s="64"/>
      <c r="P1339" s="64"/>
      <c r="Q1339" s="64"/>
      <c r="R1339" s="64"/>
      <c r="S1339" s="64"/>
    </row>
    <row r="1340" spans="1:19" x14ac:dyDescent="0.25">
      <c r="A1340" s="63"/>
      <c r="B1340" s="64"/>
      <c r="C1340" s="64"/>
      <c r="D1340" s="64"/>
      <c r="E1340" s="64"/>
      <c r="F1340" s="64"/>
      <c r="G1340" s="64"/>
      <c r="H1340" s="64"/>
      <c r="I1340" s="64"/>
      <c r="J1340" s="64"/>
      <c r="K1340" s="64"/>
      <c r="L1340" s="64"/>
      <c r="M1340" s="64"/>
      <c r="N1340" s="64"/>
      <c r="O1340" s="64"/>
      <c r="P1340" s="64"/>
      <c r="Q1340" s="64"/>
      <c r="R1340" s="64"/>
      <c r="S1340" s="64"/>
    </row>
    <row r="1341" spans="1:19" x14ac:dyDescent="0.25">
      <c r="A1341" s="63"/>
      <c r="B1341" s="64"/>
      <c r="C1341" s="64"/>
      <c r="D1341" s="64"/>
      <c r="E1341" s="64"/>
      <c r="F1341" s="64"/>
      <c r="G1341" s="64"/>
      <c r="H1341" s="64"/>
      <c r="I1341" s="64"/>
      <c r="J1341" s="64"/>
      <c r="K1341" s="64"/>
      <c r="L1341" s="64"/>
      <c r="M1341" s="64"/>
      <c r="N1341" s="64"/>
      <c r="O1341" s="64"/>
      <c r="P1341" s="64"/>
      <c r="Q1341" s="64"/>
      <c r="R1341" s="64"/>
      <c r="S1341" s="64"/>
    </row>
    <row r="1342" spans="1:19" x14ac:dyDescent="0.25">
      <c r="A1342" s="63"/>
      <c r="B1342" s="64"/>
      <c r="C1342" s="64"/>
      <c r="D1342" s="64"/>
      <c r="E1342" s="64"/>
      <c r="F1342" s="64"/>
      <c r="G1342" s="64"/>
      <c r="H1342" s="64"/>
      <c r="I1342" s="64"/>
      <c r="J1342" s="64"/>
      <c r="K1342" s="64"/>
      <c r="L1342" s="64"/>
      <c r="M1342" s="64"/>
      <c r="N1342" s="64"/>
      <c r="O1342" s="64"/>
      <c r="P1342" s="64"/>
      <c r="Q1342" s="64"/>
      <c r="R1342" s="64"/>
      <c r="S1342" s="64"/>
    </row>
    <row r="1343" spans="1:19" x14ac:dyDescent="0.25">
      <c r="A1343" s="63"/>
      <c r="B1343" s="64"/>
      <c r="C1343" s="64"/>
      <c r="D1343" s="64"/>
      <c r="E1343" s="64"/>
      <c r="F1343" s="64"/>
      <c r="G1343" s="64"/>
      <c r="H1343" s="64"/>
      <c r="I1343" s="64"/>
      <c r="J1343" s="64"/>
      <c r="K1343" s="64"/>
      <c r="L1343" s="64"/>
      <c r="M1343" s="64"/>
      <c r="N1343" s="64"/>
      <c r="O1343" s="64"/>
      <c r="P1343" s="64"/>
      <c r="Q1343" s="64"/>
      <c r="R1343" s="64"/>
      <c r="S1343" s="64"/>
    </row>
    <row r="1344" spans="1:19" x14ac:dyDescent="0.25">
      <c r="A1344" s="63"/>
      <c r="B1344" s="64"/>
      <c r="C1344" s="64"/>
      <c r="D1344" s="64"/>
      <c r="E1344" s="64"/>
      <c r="F1344" s="64"/>
      <c r="G1344" s="64"/>
      <c r="H1344" s="64"/>
      <c r="I1344" s="64"/>
      <c r="J1344" s="64"/>
      <c r="K1344" s="64"/>
      <c r="L1344" s="64"/>
      <c r="M1344" s="64"/>
      <c r="N1344" s="64"/>
      <c r="O1344" s="64"/>
      <c r="P1344" s="64"/>
      <c r="Q1344" s="64"/>
      <c r="R1344" s="64"/>
      <c r="S1344" s="64"/>
    </row>
    <row r="1345" spans="1:19" x14ac:dyDescent="0.25">
      <c r="A1345" s="63"/>
      <c r="B1345" s="64"/>
      <c r="C1345" s="64"/>
      <c r="D1345" s="64"/>
      <c r="E1345" s="64"/>
      <c r="F1345" s="64"/>
      <c r="G1345" s="64"/>
      <c r="H1345" s="64"/>
      <c r="I1345" s="64"/>
      <c r="J1345" s="64"/>
      <c r="K1345" s="64"/>
      <c r="L1345" s="64"/>
      <c r="M1345" s="64"/>
      <c r="N1345" s="64"/>
      <c r="O1345" s="64"/>
      <c r="P1345" s="64"/>
      <c r="Q1345" s="64"/>
      <c r="R1345" s="64"/>
      <c r="S1345" s="64"/>
    </row>
    <row r="1346" spans="1:19" x14ac:dyDescent="0.25">
      <c r="A1346" s="63"/>
      <c r="B1346" s="64"/>
      <c r="C1346" s="64"/>
      <c r="D1346" s="64"/>
      <c r="E1346" s="64"/>
      <c r="F1346" s="64"/>
      <c r="G1346" s="64"/>
      <c r="H1346" s="64"/>
      <c r="I1346" s="64"/>
      <c r="J1346" s="64"/>
      <c r="K1346" s="64"/>
      <c r="L1346" s="64"/>
      <c r="M1346" s="64"/>
      <c r="N1346" s="64"/>
      <c r="O1346" s="64"/>
      <c r="P1346" s="64"/>
      <c r="Q1346" s="64"/>
      <c r="R1346" s="64"/>
      <c r="S1346" s="64"/>
    </row>
    <row r="1347" spans="1:19" x14ac:dyDescent="0.25">
      <c r="A1347" s="63"/>
      <c r="B1347" s="64"/>
      <c r="C1347" s="64"/>
      <c r="D1347" s="64"/>
      <c r="E1347" s="64"/>
      <c r="F1347" s="64"/>
      <c r="G1347" s="64"/>
      <c r="H1347" s="64"/>
      <c r="I1347" s="64"/>
      <c r="J1347" s="64"/>
      <c r="K1347" s="64"/>
      <c r="L1347" s="64"/>
      <c r="M1347" s="64"/>
      <c r="N1347" s="64"/>
      <c r="O1347" s="64"/>
      <c r="P1347" s="64"/>
      <c r="Q1347" s="64"/>
      <c r="R1347" s="64"/>
      <c r="S1347" s="64"/>
    </row>
    <row r="1348" spans="1:19" x14ac:dyDescent="0.25">
      <c r="A1348" s="63"/>
      <c r="B1348" s="64"/>
      <c r="C1348" s="64"/>
      <c r="D1348" s="64"/>
      <c r="E1348" s="64"/>
      <c r="F1348" s="64"/>
      <c r="G1348" s="64"/>
      <c r="H1348" s="64"/>
      <c r="I1348" s="64"/>
      <c r="J1348" s="64"/>
      <c r="K1348" s="64"/>
      <c r="L1348" s="64"/>
      <c r="M1348" s="64"/>
      <c r="N1348" s="64"/>
      <c r="O1348" s="64"/>
      <c r="P1348" s="64"/>
      <c r="Q1348" s="64"/>
      <c r="R1348" s="64"/>
      <c r="S1348" s="64"/>
    </row>
    <row r="1349" spans="1:19" x14ac:dyDescent="0.25">
      <c r="A1349" s="63"/>
      <c r="B1349" s="64"/>
      <c r="C1349" s="64"/>
      <c r="D1349" s="64"/>
      <c r="E1349" s="64"/>
      <c r="F1349" s="64"/>
      <c r="G1349" s="64"/>
      <c r="H1349" s="64"/>
      <c r="I1349" s="64"/>
      <c r="J1349" s="64"/>
      <c r="K1349" s="64"/>
      <c r="L1349" s="64"/>
      <c r="M1349" s="64"/>
      <c r="N1349" s="64"/>
      <c r="O1349" s="64"/>
      <c r="P1349" s="64"/>
      <c r="Q1349" s="64"/>
      <c r="R1349" s="64"/>
      <c r="S1349" s="64"/>
    </row>
    <row r="1350" spans="1:19" x14ac:dyDescent="0.25">
      <c r="A1350" s="63"/>
      <c r="B1350" s="64"/>
      <c r="C1350" s="64"/>
      <c r="D1350" s="64"/>
      <c r="E1350" s="64"/>
      <c r="F1350" s="64"/>
      <c r="G1350" s="64"/>
      <c r="H1350" s="64"/>
      <c r="I1350" s="64"/>
      <c r="J1350" s="64"/>
      <c r="K1350" s="64"/>
      <c r="L1350" s="64"/>
      <c r="M1350" s="64"/>
      <c r="N1350" s="64"/>
      <c r="O1350" s="64"/>
      <c r="P1350" s="64"/>
      <c r="Q1350" s="64"/>
      <c r="R1350" s="64"/>
      <c r="S1350" s="64"/>
    </row>
    <row r="1351" spans="1:19" x14ac:dyDescent="0.25">
      <c r="A1351" s="63"/>
      <c r="B1351" s="64"/>
      <c r="C1351" s="64"/>
      <c r="D1351" s="64"/>
      <c r="E1351" s="64"/>
      <c r="F1351" s="64"/>
      <c r="G1351" s="64"/>
      <c r="H1351" s="64"/>
      <c r="I1351" s="64"/>
      <c r="J1351" s="64"/>
      <c r="K1351" s="64"/>
      <c r="L1351" s="64"/>
      <c r="M1351" s="64"/>
      <c r="N1351" s="64"/>
      <c r="O1351" s="64"/>
      <c r="P1351" s="64"/>
      <c r="Q1351" s="64"/>
      <c r="R1351" s="64"/>
      <c r="S1351" s="64"/>
    </row>
    <row r="1352" spans="1:19" x14ac:dyDescent="0.25">
      <c r="A1352" s="63"/>
      <c r="B1352" s="64"/>
      <c r="C1352" s="64"/>
      <c r="D1352" s="64"/>
      <c r="E1352" s="64"/>
      <c r="F1352" s="64"/>
      <c r="G1352" s="64"/>
      <c r="H1352" s="64"/>
      <c r="I1352" s="64"/>
      <c r="J1352" s="64"/>
      <c r="K1352" s="64"/>
      <c r="L1352" s="64"/>
      <c r="M1352" s="64"/>
      <c r="N1352" s="64"/>
      <c r="O1352" s="64"/>
      <c r="P1352" s="64"/>
      <c r="Q1352" s="64"/>
      <c r="R1352" s="64"/>
      <c r="S1352" s="64"/>
    </row>
    <row r="1353" spans="1:19" x14ac:dyDescent="0.25">
      <c r="A1353" s="63"/>
      <c r="B1353" s="64"/>
      <c r="C1353" s="64"/>
      <c r="D1353" s="64"/>
      <c r="E1353" s="64"/>
      <c r="F1353" s="64"/>
      <c r="G1353" s="64"/>
      <c r="H1353" s="64"/>
      <c r="I1353" s="64"/>
      <c r="J1353" s="64"/>
      <c r="K1353" s="64"/>
      <c r="L1353" s="64"/>
      <c r="M1353" s="64"/>
      <c r="N1353" s="64"/>
      <c r="O1353" s="64"/>
      <c r="P1353" s="64"/>
      <c r="Q1353" s="64"/>
      <c r="R1353" s="64"/>
      <c r="S1353" s="64"/>
    </row>
    <row r="1354" spans="1:19" x14ac:dyDescent="0.25">
      <c r="A1354" s="63"/>
      <c r="B1354" s="64"/>
      <c r="C1354" s="64"/>
      <c r="D1354" s="64"/>
      <c r="E1354" s="64"/>
      <c r="F1354" s="64"/>
      <c r="G1354" s="64"/>
      <c r="H1354" s="64"/>
      <c r="I1354" s="64"/>
      <c r="J1354" s="64"/>
      <c r="K1354" s="64"/>
      <c r="L1354" s="64"/>
      <c r="M1354" s="64"/>
      <c r="N1354" s="64"/>
      <c r="O1354" s="64"/>
      <c r="P1354" s="64"/>
      <c r="Q1354" s="64"/>
      <c r="R1354" s="64"/>
      <c r="S1354" s="64"/>
    </row>
    <row r="1355" spans="1:19" x14ac:dyDescent="0.25">
      <c r="A1355" s="63"/>
      <c r="B1355" s="64"/>
      <c r="C1355" s="64"/>
      <c r="D1355" s="64"/>
      <c r="E1355" s="64"/>
      <c r="F1355" s="64"/>
      <c r="G1355" s="64"/>
      <c r="H1355" s="64"/>
      <c r="I1355" s="64"/>
      <c r="J1355" s="64"/>
      <c r="K1355" s="64"/>
      <c r="L1355" s="64"/>
      <c r="M1355" s="64"/>
      <c r="N1355" s="64"/>
      <c r="O1355" s="64"/>
      <c r="P1355" s="64"/>
      <c r="Q1355" s="64"/>
      <c r="R1355" s="64"/>
      <c r="S1355" s="64"/>
    </row>
    <row r="1356" spans="1:19" x14ac:dyDescent="0.25">
      <c r="A1356" s="63"/>
      <c r="B1356" s="64"/>
      <c r="C1356" s="64"/>
      <c r="D1356" s="64"/>
      <c r="E1356" s="64"/>
      <c r="F1356" s="64"/>
      <c r="G1356" s="64"/>
      <c r="H1356" s="64"/>
      <c r="I1356" s="64"/>
      <c r="J1356" s="64"/>
      <c r="K1356" s="64"/>
      <c r="L1356" s="64"/>
      <c r="M1356" s="64"/>
      <c r="N1356" s="64"/>
      <c r="O1356" s="64"/>
      <c r="P1356" s="64"/>
      <c r="Q1356" s="64"/>
      <c r="R1356" s="64"/>
      <c r="S1356" s="64"/>
    </row>
    <row r="1357" spans="1:19" x14ac:dyDescent="0.25">
      <c r="A1357" s="63"/>
      <c r="B1357" s="64"/>
      <c r="C1357" s="64"/>
      <c r="D1357" s="64"/>
      <c r="E1357" s="64"/>
      <c r="F1357" s="64"/>
      <c r="G1357" s="64"/>
      <c r="H1357" s="64"/>
      <c r="I1357" s="64"/>
      <c r="J1357" s="64"/>
      <c r="K1357" s="64"/>
      <c r="L1357" s="64"/>
      <c r="M1357" s="64"/>
      <c r="N1357" s="64"/>
      <c r="O1357" s="64"/>
      <c r="P1357" s="64"/>
      <c r="Q1357" s="64"/>
      <c r="R1357" s="64"/>
      <c r="S1357" s="64"/>
    </row>
    <row r="1358" spans="1:19" x14ac:dyDescent="0.25">
      <c r="A1358" s="63"/>
      <c r="B1358" s="64"/>
      <c r="C1358" s="64"/>
      <c r="D1358" s="64"/>
      <c r="E1358" s="64"/>
      <c r="F1358" s="64"/>
      <c r="G1358" s="64"/>
      <c r="H1358" s="64"/>
      <c r="I1358" s="64"/>
      <c r="J1358" s="64"/>
      <c r="K1358" s="64"/>
      <c r="L1358" s="64"/>
      <c r="M1358" s="64"/>
      <c r="N1358" s="64"/>
      <c r="O1358" s="64"/>
      <c r="P1358" s="64"/>
      <c r="Q1358" s="64"/>
      <c r="R1358" s="64"/>
      <c r="S1358" s="64"/>
    </row>
    <row r="1359" spans="1:19" x14ac:dyDescent="0.25">
      <c r="A1359" s="63"/>
      <c r="B1359" s="64"/>
      <c r="C1359" s="64"/>
      <c r="D1359" s="64"/>
      <c r="E1359" s="64"/>
      <c r="F1359" s="64"/>
      <c r="G1359" s="64"/>
      <c r="H1359" s="64"/>
      <c r="I1359" s="64"/>
      <c r="J1359" s="64"/>
      <c r="K1359" s="64"/>
      <c r="L1359" s="64"/>
      <c r="M1359" s="64"/>
      <c r="N1359" s="64"/>
      <c r="O1359" s="64"/>
      <c r="P1359" s="64"/>
      <c r="Q1359" s="64"/>
      <c r="R1359" s="64"/>
      <c r="S1359" s="64"/>
    </row>
    <row r="1360" spans="1:19" x14ac:dyDescent="0.25">
      <c r="A1360" s="63"/>
      <c r="B1360" s="64"/>
      <c r="C1360" s="64"/>
      <c r="D1360" s="64"/>
      <c r="E1360" s="64"/>
      <c r="F1360" s="64"/>
      <c r="G1360" s="64"/>
      <c r="H1360" s="64"/>
      <c r="I1360" s="64"/>
      <c r="J1360" s="64"/>
      <c r="K1360" s="64"/>
      <c r="L1360" s="64"/>
      <c r="M1360" s="64"/>
      <c r="N1360" s="64"/>
      <c r="O1360" s="64"/>
      <c r="P1360" s="64"/>
      <c r="Q1360" s="64"/>
      <c r="R1360" s="64"/>
      <c r="S1360" s="64"/>
    </row>
    <row r="1361" spans="1:19" x14ac:dyDescent="0.25">
      <c r="A1361" s="63"/>
      <c r="B1361" s="64"/>
      <c r="C1361" s="64"/>
      <c r="D1361" s="64"/>
      <c r="E1361" s="64"/>
      <c r="F1361" s="64"/>
      <c r="G1361" s="64"/>
      <c r="H1361" s="64"/>
      <c r="I1361" s="64"/>
      <c r="J1361" s="64"/>
      <c r="K1361" s="64"/>
      <c r="L1361" s="64"/>
      <c r="M1361" s="64"/>
      <c r="N1361" s="64"/>
      <c r="O1361" s="64"/>
      <c r="P1361" s="64"/>
      <c r="Q1361" s="64"/>
      <c r="R1361" s="64"/>
      <c r="S1361" s="64"/>
    </row>
    <row r="1362" spans="1:19" x14ac:dyDescent="0.25">
      <c r="A1362" s="63"/>
      <c r="B1362" s="64"/>
      <c r="C1362" s="64"/>
      <c r="D1362" s="64"/>
      <c r="E1362" s="64"/>
      <c r="F1362" s="64"/>
      <c r="G1362" s="64"/>
      <c r="H1362" s="64"/>
      <c r="I1362" s="64"/>
      <c r="J1362" s="64"/>
      <c r="K1362" s="64"/>
      <c r="L1362" s="64"/>
      <c r="M1362" s="64"/>
      <c r="N1362" s="64"/>
      <c r="O1362" s="64"/>
      <c r="P1362" s="64"/>
      <c r="Q1362" s="64"/>
      <c r="R1362" s="64"/>
      <c r="S1362" s="64"/>
    </row>
    <row r="1363" spans="1:19" x14ac:dyDescent="0.25">
      <c r="A1363" s="63"/>
      <c r="B1363" s="64"/>
      <c r="C1363" s="64"/>
      <c r="D1363" s="64"/>
      <c r="E1363" s="64"/>
      <c r="F1363" s="64"/>
      <c r="G1363" s="64"/>
      <c r="H1363" s="64"/>
      <c r="I1363" s="64"/>
      <c r="J1363" s="64"/>
      <c r="K1363" s="64"/>
      <c r="L1363" s="64"/>
      <c r="M1363" s="64"/>
      <c r="N1363" s="64"/>
      <c r="O1363" s="64"/>
      <c r="P1363" s="64"/>
      <c r="Q1363" s="64"/>
      <c r="R1363" s="64"/>
      <c r="S1363" s="64"/>
    </row>
    <row r="1364" spans="1:19" x14ac:dyDescent="0.25">
      <c r="A1364" s="63"/>
      <c r="B1364" s="64"/>
      <c r="C1364" s="64"/>
      <c r="D1364" s="64"/>
      <c r="E1364" s="64"/>
      <c r="F1364" s="64"/>
      <c r="G1364" s="64"/>
      <c r="H1364" s="64"/>
      <c r="I1364" s="64"/>
      <c r="J1364" s="64"/>
      <c r="K1364" s="64"/>
      <c r="L1364" s="64"/>
      <c r="M1364" s="64"/>
      <c r="N1364" s="64"/>
      <c r="O1364" s="64"/>
      <c r="P1364" s="64"/>
      <c r="Q1364" s="64"/>
      <c r="R1364" s="64"/>
      <c r="S1364" s="64"/>
    </row>
    <row r="1365" spans="1:19" x14ac:dyDescent="0.25">
      <c r="A1365" s="63"/>
      <c r="B1365" s="64"/>
      <c r="C1365" s="64"/>
      <c r="D1365" s="64"/>
      <c r="E1365" s="64"/>
      <c r="F1365" s="64"/>
      <c r="G1365" s="64"/>
      <c r="H1365" s="64"/>
      <c r="I1365" s="64"/>
      <c r="J1365" s="64"/>
      <c r="K1365" s="64"/>
      <c r="L1365" s="64"/>
      <c r="M1365" s="64"/>
      <c r="N1365" s="64"/>
      <c r="O1365" s="64"/>
      <c r="P1365" s="64"/>
      <c r="Q1365" s="64"/>
      <c r="R1365" s="64"/>
      <c r="S1365" s="64"/>
    </row>
    <row r="1366" spans="1:19" x14ac:dyDescent="0.25">
      <c r="A1366" s="63"/>
      <c r="B1366" s="64"/>
      <c r="C1366" s="64"/>
      <c r="D1366" s="64"/>
      <c r="E1366" s="64"/>
      <c r="F1366" s="64"/>
      <c r="G1366" s="64"/>
      <c r="H1366" s="64"/>
      <c r="I1366" s="64"/>
      <c r="J1366" s="64"/>
      <c r="K1366" s="64"/>
      <c r="L1366" s="64"/>
      <c r="M1366" s="64"/>
      <c r="N1366" s="64"/>
      <c r="O1366" s="64"/>
      <c r="P1366" s="64"/>
      <c r="Q1366" s="64"/>
      <c r="R1366" s="64"/>
      <c r="S1366" s="64"/>
    </row>
    <row r="1367" spans="1:19" x14ac:dyDescent="0.25">
      <c r="A1367" s="63"/>
      <c r="B1367" s="64"/>
      <c r="C1367" s="64"/>
      <c r="D1367" s="64"/>
      <c r="E1367" s="64"/>
      <c r="F1367" s="64"/>
      <c r="G1367" s="64"/>
      <c r="H1367" s="64"/>
      <c r="I1367" s="64"/>
      <c r="J1367" s="64"/>
      <c r="K1367" s="64"/>
      <c r="L1367" s="64"/>
      <c r="M1367" s="64"/>
      <c r="N1367" s="64"/>
      <c r="O1367" s="64"/>
      <c r="P1367" s="64"/>
      <c r="Q1367" s="64"/>
      <c r="R1367" s="64"/>
      <c r="S1367" s="64"/>
    </row>
    <row r="1368" spans="1:19" x14ac:dyDescent="0.25">
      <c r="A1368" s="63"/>
      <c r="B1368" s="64"/>
      <c r="C1368" s="64"/>
      <c r="D1368" s="64"/>
      <c r="E1368" s="64"/>
      <c r="F1368" s="64"/>
      <c r="G1368" s="64"/>
      <c r="H1368" s="64"/>
      <c r="I1368" s="64"/>
      <c r="J1368" s="64"/>
      <c r="K1368" s="64"/>
      <c r="L1368" s="64"/>
      <c r="M1368" s="64"/>
      <c r="N1368" s="64"/>
      <c r="O1368" s="64"/>
      <c r="P1368" s="64"/>
      <c r="Q1368" s="64"/>
      <c r="R1368" s="64"/>
      <c r="S1368" s="64"/>
    </row>
    <row r="1369" spans="1:19" x14ac:dyDescent="0.25">
      <c r="A1369" s="63"/>
      <c r="B1369" s="64"/>
      <c r="C1369" s="64"/>
      <c r="D1369" s="64"/>
      <c r="E1369" s="64"/>
      <c r="F1369" s="64"/>
      <c r="G1369" s="64"/>
      <c r="H1369" s="64"/>
      <c r="I1369" s="64"/>
      <c r="J1369" s="64"/>
      <c r="K1369" s="64"/>
      <c r="L1369" s="64"/>
      <c r="M1369" s="64"/>
      <c r="N1369" s="64"/>
      <c r="O1369" s="64"/>
      <c r="P1369" s="64"/>
      <c r="Q1369" s="64"/>
      <c r="R1369" s="64"/>
      <c r="S1369" s="64"/>
    </row>
    <row r="1370" spans="1:19" x14ac:dyDescent="0.25">
      <c r="A1370" s="63"/>
      <c r="B1370" s="64"/>
      <c r="C1370" s="64"/>
      <c r="D1370" s="64"/>
      <c r="E1370" s="64"/>
      <c r="F1370" s="64"/>
      <c r="G1370" s="64"/>
      <c r="H1370" s="64"/>
      <c r="I1370" s="64"/>
      <c r="J1370" s="64"/>
      <c r="K1370" s="64"/>
      <c r="L1370" s="64"/>
      <c r="M1370" s="64"/>
      <c r="N1370" s="64"/>
      <c r="O1370" s="64"/>
      <c r="P1370" s="64"/>
      <c r="Q1370" s="64"/>
      <c r="R1370" s="64"/>
      <c r="S1370" s="64"/>
    </row>
    <row r="1371" spans="1:19" x14ac:dyDescent="0.25">
      <c r="A1371" s="63"/>
      <c r="B1371" s="64"/>
      <c r="C1371" s="64"/>
      <c r="D1371" s="64"/>
      <c r="E1371" s="64"/>
      <c r="F1371" s="64"/>
      <c r="G1371" s="64"/>
      <c r="H1371" s="64"/>
      <c r="I1371" s="64"/>
      <c r="J1371" s="64"/>
      <c r="K1371" s="64"/>
      <c r="L1371" s="64"/>
      <c r="M1371" s="64"/>
      <c r="N1371" s="64"/>
      <c r="O1371" s="64"/>
      <c r="P1371" s="64"/>
      <c r="Q1371" s="64"/>
      <c r="R1371" s="64"/>
      <c r="S1371" s="64"/>
    </row>
    <row r="1372" spans="1:19" x14ac:dyDescent="0.25">
      <c r="A1372" s="63"/>
      <c r="B1372" s="64"/>
      <c r="C1372" s="64"/>
      <c r="D1372" s="64"/>
      <c r="E1372" s="64"/>
      <c r="F1372" s="64"/>
      <c r="G1372" s="64"/>
      <c r="H1372" s="64"/>
      <c r="I1372" s="64"/>
      <c r="J1372" s="64"/>
      <c r="K1372" s="64"/>
      <c r="L1372" s="64"/>
      <c r="M1372" s="64"/>
      <c r="N1372" s="64"/>
      <c r="O1372" s="64"/>
      <c r="P1372" s="64"/>
      <c r="Q1372" s="64"/>
      <c r="R1372" s="64"/>
      <c r="S1372" s="64"/>
    </row>
    <row r="1373" spans="1:19" x14ac:dyDescent="0.25">
      <c r="A1373" s="63"/>
      <c r="B1373" s="64"/>
      <c r="C1373" s="64"/>
      <c r="D1373" s="64"/>
      <c r="E1373" s="64"/>
      <c r="F1373" s="64"/>
      <c r="G1373" s="64"/>
      <c r="H1373" s="64"/>
      <c r="I1373" s="64"/>
      <c r="J1373" s="64"/>
      <c r="K1373" s="64"/>
      <c r="L1373" s="64"/>
      <c r="M1373" s="64"/>
      <c r="N1373" s="64"/>
      <c r="O1373" s="64"/>
      <c r="P1373" s="64"/>
      <c r="Q1373" s="64"/>
      <c r="R1373" s="64"/>
      <c r="S1373" s="64"/>
    </row>
    <row r="1374" spans="1:19" x14ac:dyDescent="0.25">
      <c r="A1374" s="63"/>
      <c r="B1374" s="64"/>
      <c r="C1374" s="64"/>
      <c r="D1374" s="64"/>
      <c r="E1374" s="64"/>
      <c r="F1374" s="64"/>
      <c r="G1374" s="64"/>
      <c r="H1374" s="64"/>
      <c r="I1374" s="64"/>
      <c r="J1374" s="64"/>
      <c r="K1374" s="64"/>
      <c r="L1374" s="64"/>
      <c r="M1374" s="64"/>
      <c r="N1374" s="64"/>
      <c r="O1374" s="64"/>
      <c r="P1374" s="64"/>
      <c r="Q1374" s="64"/>
      <c r="R1374" s="64"/>
      <c r="S1374" s="64"/>
    </row>
    <row r="1375" spans="1:19" x14ac:dyDescent="0.25">
      <c r="A1375" s="63"/>
      <c r="B1375" s="64"/>
      <c r="C1375" s="64"/>
      <c r="D1375" s="64"/>
      <c r="E1375" s="64"/>
      <c r="F1375" s="64"/>
      <c r="G1375" s="64"/>
      <c r="H1375" s="64"/>
      <c r="I1375" s="64"/>
      <c r="J1375" s="64"/>
      <c r="K1375" s="64"/>
      <c r="L1375" s="64"/>
      <c r="M1375" s="64"/>
      <c r="N1375" s="64"/>
      <c r="O1375" s="64"/>
      <c r="P1375" s="64"/>
      <c r="Q1375" s="64"/>
      <c r="R1375" s="64"/>
      <c r="S1375" s="64"/>
    </row>
    <row r="1376" spans="1:19" x14ac:dyDescent="0.25">
      <c r="A1376" s="63"/>
      <c r="B1376" s="64"/>
      <c r="C1376" s="64"/>
      <c r="D1376" s="64"/>
      <c r="E1376" s="64"/>
      <c r="F1376" s="64"/>
      <c r="G1376" s="64"/>
      <c r="H1376" s="64"/>
      <c r="I1376" s="64"/>
      <c r="J1376" s="64"/>
      <c r="K1376" s="64"/>
      <c r="L1376" s="64"/>
      <c r="M1376" s="64"/>
      <c r="N1376" s="64"/>
      <c r="O1376" s="64"/>
      <c r="P1376" s="64"/>
      <c r="Q1376" s="64"/>
      <c r="R1376" s="64"/>
      <c r="S1376" s="64"/>
    </row>
    <row r="1377" spans="1:19" x14ac:dyDescent="0.25">
      <c r="A1377" s="63"/>
      <c r="B1377" s="64"/>
      <c r="C1377" s="64"/>
      <c r="D1377" s="64"/>
      <c r="E1377" s="64"/>
      <c r="F1377" s="64"/>
      <c r="G1377" s="64"/>
      <c r="H1377" s="64"/>
      <c r="I1377" s="64"/>
      <c r="J1377" s="64"/>
      <c r="K1377" s="64"/>
      <c r="L1377" s="64"/>
      <c r="M1377" s="64"/>
      <c r="N1377" s="64"/>
      <c r="O1377" s="64"/>
      <c r="P1377" s="64"/>
      <c r="Q1377" s="64"/>
      <c r="R1377" s="64"/>
      <c r="S1377" s="64"/>
    </row>
    <row r="1378" spans="1:19" x14ac:dyDescent="0.25">
      <c r="A1378" s="63"/>
      <c r="B1378" s="64"/>
      <c r="C1378" s="64"/>
      <c r="D1378" s="64"/>
      <c r="E1378" s="64"/>
      <c r="F1378" s="64"/>
      <c r="G1378" s="64"/>
      <c r="H1378" s="64"/>
      <c r="I1378" s="64"/>
      <c r="J1378" s="64"/>
      <c r="K1378" s="64"/>
      <c r="L1378" s="64"/>
      <c r="M1378" s="64"/>
      <c r="N1378" s="64"/>
      <c r="O1378" s="64"/>
      <c r="P1378" s="64"/>
      <c r="Q1378" s="64"/>
      <c r="R1378" s="64"/>
      <c r="S1378" s="64"/>
    </row>
    <row r="1379" spans="1:19" x14ac:dyDescent="0.25">
      <c r="A1379" s="63"/>
      <c r="B1379" s="64"/>
      <c r="C1379" s="64"/>
      <c r="D1379" s="64"/>
      <c r="E1379" s="64"/>
      <c r="F1379" s="64"/>
      <c r="G1379" s="64"/>
      <c r="H1379" s="64"/>
      <c r="I1379" s="64"/>
      <c r="J1379" s="64"/>
      <c r="K1379" s="64"/>
      <c r="L1379" s="64"/>
      <c r="M1379" s="64"/>
      <c r="N1379" s="64"/>
      <c r="O1379" s="64"/>
      <c r="P1379" s="64"/>
      <c r="Q1379" s="64"/>
      <c r="R1379" s="64"/>
      <c r="S1379" s="64"/>
    </row>
    <row r="1380" spans="1:19" x14ac:dyDescent="0.25">
      <c r="A1380" s="63"/>
      <c r="B1380" s="64"/>
      <c r="C1380" s="64"/>
      <c r="D1380" s="64"/>
      <c r="E1380" s="64"/>
      <c r="F1380" s="64"/>
      <c r="G1380" s="64"/>
      <c r="H1380" s="64"/>
      <c r="I1380" s="64"/>
      <c r="J1380" s="64"/>
      <c r="K1380" s="64"/>
      <c r="L1380" s="64"/>
      <c r="M1380" s="64"/>
      <c r="N1380" s="64"/>
      <c r="O1380" s="64"/>
      <c r="P1380" s="64"/>
      <c r="Q1380" s="64"/>
      <c r="R1380" s="64"/>
      <c r="S1380" s="64"/>
    </row>
    <row r="1381" spans="1:19" x14ac:dyDescent="0.25">
      <c r="A1381" s="63"/>
      <c r="B1381" s="64"/>
      <c r="C1381" s="64"/>
      <c r="D1381" s="64"/>
      <c r="E1381" s="64"/>
      <c r="F1381" s="64"/>
      <c r="G1381" s="64"/>
      <c r="H1381" s="64"/>
      <c r="I1381" s="64"/>
      <c r="J1381" s="64"/>
      <c r="K1381" s="64"/>
      <c r="L1381" s="64"/>
      <c r="M1381" s="64"/>
      <c r="N1381" s="64"/>
      <c r="O1381" s="64"/>
      <c r="P1381" s="64"/>
      <c r="Q1381" s="64"/>
      <c r="R1381" s="64"/>
      <c r="S1381" s="64"/>
    </row>
    <row r="1382" spans="1:19" x14ac:dyDescent="0.25">
      <c r="A1382" s="63"/>
      <c r="B1382" s="64"/>
      <c r="C1382" s="64"/>
      <c r="D1382" s="64"/>
      <c r="E1382" s="64"/>
      <c r="F1382" s="64"/>
      <c r="G1382" s="64"/>
      <c r="H1382" s="64"/>
      <c r="I1382" s="64"/>
      <c r="J1382" s="64"/>
      <c r="K1382" s="64"/>
      <c r="L1382" s="64"/>
      <c r="M1382" s="64"/>
      <c r="N1382" s="64"/>
      <c r="O1382" s="64"/>
      <c r="P1382" s="64"/>
      <c r="Q1382" s="64"/>
      <c r="R1382" s="64"/>
      <c r="S1382" s="64"/>
    </row>
    <row r="1383" spans="1:19" x14ac:dyDescent="0.25">
      <c r="A1383" s="63"/>
      <c r="B1383" s="64"/>
      <c r="C1383" s="64"/>
      <c r="D1383" s="64"/>
      <c r="E1383" s="64"/>
      <c r="F1383" s="64"/>
      <c r="G1383" s="64"/>
      <c r="H1383" s="64"/>
      <c r="I1383" s="64"/>
      <c r="J1383" s="64"/>
      <c r="K1383" s="64"/>
      <c r="L1383" s="64"/>
      <c r="M1383" s="64"/>
      <c r="N1383" s="64"/>
      <c r="O1383" s="64"/>
      <c r="P1383" s="64"/>
      <c r="Q1383" s="64"/>
      <c r="R1383" s="64"/>
      <c r="S1383" s="64"/>
    </row>
    <row r="1384" spans="1:19" x14ac:dyDescent="0.25">
      <c r="A1384" s="63"/>
      <c r="B1384" s="64"/>
      <c r="C1384" s="64"/>
      <c r="D1384" s="64"/>
      <c r="E1384" s="64"/>
      <c r="F1384" s="64"/>
      <c r="G1384" s="64"/>
      <c r="H1384" s="64"/>
      <c r="I1384" s="64"/>
      <c r="J1384" s="64"/>
      <c r="K1384" s="64"/>
      <c r="L1384" s="64"/>
      <c r="M1384" s="64"/>
      <c r="N1384" s="64"/>
      <c r="O1384" s="64"/>
      <c r="P1384" s="64"/>
      <c r="Q1384" s="64"/>
      <c r="R1384" s="64"/>
      <c r="S1384" s="64"/>
    </row>
    <row r="1385" spans="1:19" x14ac:dyDescent="0.25">
      <c r="A1385" s="63"/>
      <c r="B1385" s="64"/>
      <c r="C1385" s="64"/>
      <c r="D1385" s="64"/>
      <c r="E1385" s="64"/>
      <c r="F1385" s="64"/>
      <c r="G1385" s="64"/>
      <c r="H1385" s="64"/>
      <c r="I1385" s="64"/>
      <c r="J1385" s="64"/>
      <c r="K1385" s="64"/>
      <c r="L1385" s="64"/>
      <c r="M1385" s="64"/>
      <c r="N1385" s="64"/>
      <c r="O1385" s="64"/>
      <c r="P1385" s="64"/>
      <c r="Q1385" s="64"/>
      <c r="R1385" s="64"/>
      <c r="S1385" s="64"/>
    </row>
    <row r="1386" spans="1:19" x14ac:dyDescent="0.25">
      <c r="A1386" s="63"/>
      <c r="B1386" s="64"/>
      <c r="C1386" s="64"/>
      <c r="D1386" s="64"/>
      <c r="E1386" s="64"/>
      <c r="F1386" s="64"/>
      <c r="G1386" s="64"/>
      <c r="H1386" s="64"/>
      <c r="I1386" s="64"/>
      <c r="J1386" s="64"/>
      <c r="K1386" s="64"/>
      <c r="L1386" s="64"/>
      <c r="M1386" s="64"/>
      <c r="N1386" s="64"/>
      <c r="O1386" s="64"/>
      <c r="P1386" s="64"/>
      <c r="Q1386" s="64"/>
      <c r="R1386" s="64"/>
      <c r="S1386" s="64"/>
    </row>
    <row r="1387" spans="1:19" x14ac:dyDescent="0.25">
      <c r="A1387" s="63"/>
      <c r="B1387" s="64"/>
      <c r="C1387" s="64"/>
      <c r="D1387" s="64"/>
      <c r="E1387" s="64"/>
      <c r="F1387" s="64"/>
      <c r="G1387" s="64"/>
      <c r="H1387" s="64"/>
      <c r="I1387" s="64"/>
      <c r="J1387" s="64"/>
      <c r="K1387" s="64"/>
      <c r="L1387" s="64"/>
      <c r="M1387" s="64"/>
      <c r="N1387" s="64"/>
      <c r="O1387" s="64"/>
      <c r="P1387" s="64"/>
      <c r="Q1387" s="64"/>
      <c r="R1387" s="64"/>
      <c r="S1387" s="64"/>
    </row>
    <row r="1388" spans="1:19" x14ac:dyDescent="0.25">
      <c r="A1388" s="63"/>
      <c r="B1388" s="64"/>
      <c r="C1388" s="64"/>
      <c r="D1388" s="64"/>
      <c r="E1388" s="64"/>
      <c r="F1388" s="64"/>
      <c r="G1388" s="64"/>
      <c r="H1388" s="64"/>
      <c r="I1388" s="64"/>
      <c r="J1388" s="64"/>
      <c r="K1388" s="64"/>
      <c r="L1388" s="64"/>
      <c r="M1388" s="64"/>
      <c r="N1388" s="64"/>
      <c r="O1388" s="64"/>
      <c r="P1388" s="64"/>
      <c r="Q1388" s="64"/>
      <c r="R1388" s="64"/>
      <c r="S1388" s="64"/>
    </row>
    <row r="1389" spans="1:19" x14ac:dyDescent="0.25">
      <c r="A1389" s="63"/>
      <c r="B1389" s="64"/>
      <c r="C1389" s="64"/>
      <c r="D1389" s="64"/>
      <c r="E1389" s="64"/>
      <c r="F1389" s="64"/>
      <c r="G1389" s="64"/>
      <c r="H1389" s="64"/>
      <c r="I1389" s="64"/>
      <c r="J1389" s="64"/>
      <c r="K1389" s="64"/>
      <c r="L1389" s="64"/>
      <c r="M1389" s="64"/>
      <c r="N1389" s="64"/>
      <c r="O1389" s="64"/>
      <c r="P1389" s="64"/>
      <c r="Q1389" s="64"/>
      <c r="R1389" s="64"/>
      <c r="S1389" s="64"/>
    </row>
    <row r="1390" spans="1:19" x14ac:dyDescent="0.25">
      <c r="A1390" s="63"/>
      <c r="B1390" s="64"/>
      <c r="C1390" s="64"/>
      <c r="D1390" s="64"/>
      <c r="E1390" s="64"/>
      <c r="F1390" s="64"/>
      <c r="G1390" s="64"/>
      <c r="H1390" s="64"/>
      <c r="I1390" s="64"/>
      <c r="J1390" s="64"/>
      <c r="K1390" s="64"/>
      <c r="L1390" s="64"/>
      <c r="M1390" s="64"/>
      <c r="N1390" s="64"/>
      <c r="O1390" s="64"/>
      <c r="P1390" s="64"/>
      <c r="Q1390" s="64"/>
      <c r="R1390" s="64"/>
      <c r="S1390" s="64"/>
    </row>
    <row r="1391" spans="1:19" x14ac:dyDescent="0.25">
      <c r="A1391" s="63"/>
      <c r="B1391" s="64"/>
      <c r="C1391" s="64"/>
      <c r="D1391" s="64"/>
      <c r="E1391" s="64"/>
      <c r="F1391" s="64"/>
      <c r="G1391" s="64"/>
      <c r="H1391" s="64"/>
      <c r="I1391" s="64"/>
      <c r="J1391" s="64"/>
      <c r="K1391" s="64"/>
      <c r="L1391" s="64"/>
      <c r="M1391" s="64"/>
      <c r="N1391" s="64"/>
      <c r="O1391" s="64"/>
      <c r="P1391" s="64"/>
      <c r="Q1391" s="64"/>
      <c r="R1391" s="64"/>
      <c r="S1391" s="64"/>
    </row>
    <row r="1392" spans="1:19" x14ac:dyDescent="0.25">
      <c r="A1392" s="63"/>
      <c r="B1392" s="64"/>
      <c r="C1392" s="64"/>
      <c r="D1392" s="64"/>
      <c r="E1392" s="64"/>
      <c r="F1392" s="64"/>
      <c r="G1392" s="64"/>
      <c r="H1392" s="64"/>
      <c r="I1392" s="64"/>
      <c r="J1392" s="64"/>
      <c r="K1392" s="64"/>
      <c r="L1392" s="64"/>
      <c r="M1392" s="64"/>
      <c r="N1392" s="64"/>
      <c r="O1392" s="64"/>
      <c r="P1392" s="64"/>
      <c r="Q1392" s="64"/>
      <c r="R1392" s="64"/>
      <c r="S1392" s="64"/>
    </row>
    <row r="1393" spans="1:19" x14ac:dyDescent="0.25">
      <c r="A1393" s="63"/>
      <c r="B1393" s="64"/>
      <c r="C1393" s="64"/>
      <c r="D1393" s="64"/>
      <c r="E1393" s="64"/>
      <c r="F1393" s="64"/>
      <c r="G1393" s="64"/>
      <c r="H1393" s="64"/>
      <c r="I1393" s="64"/>
      <c r="J1393" s="64"/>
      <c r="K1393" s="64"/>
      <c r="L1393" s="64"/>
      <c r="M1393" s="64"/>
      <c r="N1393" s="64"/>
      <c r="O1393" s="64"/>
      <c r="P1393" s="64"/>
      <c r="Q1393" s="64"/>
      <c r="R1393" s="64"/>
      <c r="S1393" s="64"/>
    </row>
    <row r="1394" spans="1:19" x14ac:dyDescent="0.25">
      <c r="A1394" s="63"/>
      <c r="B1394" s="64"/>
      <c r="C1394" s="64"/>
      <c r="D1394" s="64"/>
      <c r="E1394" s="64"/>
      <c r="F1394" s="64"/>
      <c r="G1394" s="64"/>
      <c r="H1394" s="64"/>
      <c r="I1394" s="64"/>
      <c r="J1394" s="64"/>
      <c r="K1394" s="64"/>
      <c r="L1394" s="64"/>
      <c r="M1394" s="64"/>
      <c r="N1394" s="64"/>
      <c r="O1394" s="64"/>
      <c r="P1394" s="64"/>
      <c r="Q1394" s="64"/>
      <c r="R1394" s="64"/>
      <c r="S1394" s="64"/>
    </row>
    <row r="1395" spans="1:19" x14ac:dyDescent="0.25">
      <c r="A1395" s="63"/>
      <c r="B1395" s="64"/>
      <c r="C1395" s="64"/>
      <c r="D1395" s="64"/>
      <c r="E1395" s="64"/>
      <c r="F1395" s="64"/>
      <c r="G1395" s="64"/>
      <c r="H1395" s="64"/>
      <c r="I1395" s="64"/>
      <c r="J1395" s="64"/>
      <c r="K1395" s="64"/>
      <c r="L1395" s="64"/>
      <c r="M1395" s="64"/>
      <c r="N1395" s="64"/>
      <c r="O1395" s="64"/>
      <c r="P1395" s="64"/>
      <c r="Q1395" s="64"/>
      <c r="R1395" s="64"/>
      <c r="S1395" s="64"/>
    </row>
    <row r="1396" spans="1:19" x14ac:dyDescent="0.25">
      <c r="A1396" s="63"/>
      <c r="B1396" s="64"/>
      <c r="C1396" s="64"/>
      <c r="D1396" s="64"/>
      <c r="E1396" s="64"/>
      <c r="F1396" s="64"/>
      <c r="G1396" s="64"/>
      <c r="H1396" s="64"/>
      <c r="I1396" s="64"/>
      <c r="J1396" s="64"/>
      <c r="K1396" s="64"/>
      <c r="L1396" s="64"/>
      <c r="M1396" s="64"/>
      <c r="N1396" s="64"/>
      <c r="O1396" s="64"/>
      <c r="P1396" s="64"/>
      <c r="Q1396" s="64"/>
      <c r="R1396" s="64"/>
      <c r="S1396" s="64"/>
    </row>
    <row r="1397" spans="1:19" x14ac:dyDescent="0.25">
      <c r="A1397" s="63"/>
      <c r="B1397" s="64"/>
      <c r="C1397" s="64"/>
      <c r="D1397" s="64"/>
      <c r="E1397" s="64"/>
      <c r="F1397" s="64"/>
      <c r="G1397" s="64"/>
      <c r="H1397" s="64"/>
      <c r="I1397" s="64"/>
      <c r="J1397" s="64"/>
      <c r="K1397" s="64"/>
      <c r="L1397" s="64"/>
      <c r="M1397" s="64"/>
      <c r="N1397" s="64"/>
      <c r="O1397" s="64"/>
      <c r="P1397" s="64"/>
      <c r="Q1397" s="64"/>
      <c r="R1397" s="64"/>
      <c r="S1397" s="64"/>
    </row>
    <row r="1398" spans="1:19" x14ac:dyDescent="0.25">
      <c r="A1398" s="63"/>
      <c r="B1398" s="64"/>
      <c r="C1398" s="64"/>
      <c r="D1398" s="64"/>
      <c r="E1398" s="64"/>
      <c r="F1398" s="64"/>
      <c r="G1398" s="64"/>
      <c r="H1398" s="64"/>
      <c r="I1398" s="64"/>
      <c r="J1398" s="64"/>
      <c r="K1398" s="64"/>
      <c r="L1398" s="64"/>
      <c r="M1398" s="64"/>
      <c r="N1398" s="64"/>
      <c r="O1398" s="64"/>
      <c r="P1398" s="64"/>
      <c r="Q1398" s="64"/>
      <c r="R1398" s="64"/>
      <c r="S1398" s="64"/>
    </row>
    <row r="1399" spans="1:19" x14ac:dyDescent="0.25">
      <c r="A1399" s="63"/>
      <c r="B1399" s="64"/>
      <c r="C1399" s="64"/>
      <c r="D1399" s="64"/>
      <c r="E1399" s="64"/>
      <c r="F1399" s="64"/>
      <c r="G1399" s="64"/>
      <c r="H1399" s="64"/>
      <c r="I1399" s="64"/>
      <c r="J1399" s="64"/>
      <c r="K1399" s="64"/>
      <c r="L1399" s="64"/>
      <c r="M1399" s="64"/>
      <c r="N1399" s="64"/>
      <c r="O1399" s="64"/>
      <c r="P1399" s="64"/>
      <c r="Q1399" s="64"/>
      <c r="R1399" s="64"/>
      <c r="S1399" s="64"/>
    </row>
    <row r="1400" spans="1:19" x14ac:dyDescent="0.25">
      <c r="A1400" s="63"/>
      <c r="B1400" s="64"/>
      <c r="C1400" s="64"/>
      <c r="D1400" s="64"/>
      <c r="E1400" s="64"/>
      <c r="F1400" s="64"/>
      <c r="G1400" s="64"/>
      <c r="H1400" s="64"/>
      <c r="I1400" s="64"/>
      <c r="J1400" s="64"/>
      <c r="K1400" s="64"/>
      <c r="L1400" s="64"/>
      <c r="M1400" s="64"/>
      <c r="N1400" s="64"/>
      <c r="O1400" s="64"/>
      <c r="P1400" s="64"/>
      <c r="Q1400" s="64"/>
      <c r="R1400" s="64"/>
      <c r="S1400" s="64"/>
    </row>
    <row r="1401" spans="1:19" x14ac:dyDescent="0.25">
      <c r="A1401" s="63"/>
      <c r="B1401" s="64"/>
      <c r="C1401" s="64"/>
      <c r="D1401" s="64"/>
      <c r="E1401" s="64"/>
      <c r="F1401" s="64"/>
      <c r="G1401" s="64"/>
      <c r="H1401" s="64"/>
      <c r="I1401" s="64"/>
      <c r="J1401" s="64"/>
      <c r="K1401" s="64"/>
      <c r="L1401" s="64"/>
      <c r="M1401" s="64"/>
      <c r="N1401" s="64"/>
      <c r="O1401" s="64"/>
      <c r="P1401" s="64"/>
      <c r="Q1401" s="64"/>
      <c r="R1401" s="64"/>
      <c r="S1401" s="64"/>
    </row>
    <row r="1402" spans="1:19" x14ac:dyDescent="0.25">
      <c r="A1402" s="63"/>
      <c r="B1402" s="64"/>
      <c r="C1402" s="64"/>
      <c r="D1402" s="64"/>
      <c r="E1402" s="64"/>
      <c r="F1402" s="64"/>
      <c r="G1402" s="64"/>
      <c r="H1402" s="64"/>
      <c r="I1402" s="64"/>
      <c r="J1402" s="64"/>
      <c r="K1402" s="64"/>
      <c r="L1402" s="64"/>
      <c r="M1402" s="64"/>
      <c r="N1402" s="64"/>
      <c r="O1402" s="64"/>
      <c r="P1402" s="64"/>
      <c r="Q1402" s="64"/>
      <c r="R1402" s="64"/>
      <c r="S1402" s="64"/>
    </row>
    <row r="1403" spans="1:19" x14ac:dyDescent="0.25">
      <c r="A1403" s="63"/>
      <c r="B1403" s="64"/>
      <c r="C1403" s="64"/>
      <c r="D1403" s="64"/>
      <c r="E1403" s="64"/>
      <c r="F1403" s="64"/>
      <c r="G1403" s="64"/>
      <c r="H1403" s="64"/>
      <c r="I1403" s="64"/>
      <c r="J1403" s="64"/>
      <c r="K1403" s="64"/>
      <c r="L1403" s="64"/>
      <c r="M1403" s="64"/>
      <c r="N1403" s="64"/>
      <c r="O1403" s="64"/>
      <c r="P1403" s="64"/>
      <c r="Q1403" s="64"/>
      <c r="R1403" s="64"/>
      <c r="S1403" s="64"/>
    </row>
    <row r="1404" spans="1:19" x14ac:dyDescent="0.25">
      <c r="A1404" s="63"/>
      <c r="B1404" s="64"/>
      <c r="C1404" s="64"/>
      <c r="D1404" s="64"/>
      <c r="E1404" s="64"/>
      <c r="F1404" s="64"/>
      <c r="G1404" s="64"/>
      <c r="H1404" s="64"/>
      <c r="I1404" s="64"/>
      <c r="J1404" s="64"/>
      <c r="K1404" s="64"/>
      <c r="L1404" s="64"/>
      <c r="M1404" s="64"/>
      <c r="N1404" s="64"/>
      <c r="O1404" s="64"/>
      <c r="P1404" s="64"/>
      <c r="Q1404" s="64"/>
      <c r="R1404" s="64"/>
      <c r="S1404" s="64"/>
    </row>
    <row r="1405" spans="1:19" x14ac:dyDescent="0.25">
      <c r="A1405" s="63"/>
      <c r="B1405" s="64"/>
      <c r="C1405" s="64"/>
      <c r="D1405" s="64"/>
      <c r="E1405" s="64"/>
      <c r="F1405" s="64"/>
      <c r="G1405" s="64"/>
      <c r="H1405" s="64"/>
      <c r="I1405" s="64"/>
      <c r="J1405" s="64"/>
      <c r="K1405" s="64"/>
      <c r="L1405" s="64"/>
      <c r="M1405" s="64"/>
      <c r="N1405" s="64"/>
      <c r="O1405" s="64"/>
      <c r="P1405" s="64"/>
      <c r="Q1405" s="64"/>
      <c r="R1405" s="64"/>
      <c r="S1405" s="64"/>
    </row>
    <row r="1406" spans="1:19" x14ac:dyDescent="0.25">
      <c r="A1406" s="63"/>
      <c r="B1406" s="64"/>
      <c r="C1406" s="64"/>
      <c r="D1406" s="64"/>
      <c r="E1406" s="64"/>
      <c r="F1406" s="64"/>
      <c r="G1406" s="64"/>
      <c r="H1406" s="64"/>
      <c r="I1406" s="64"/>
      <c r="J1406" s="64"/>
      <c r="K1406" s="64"/>
      <c r="L1406" s="64"/>
      <c r="M1406" s="64"/>
      <c r="N1406" s="64"/>
      <c r="O1406" s="64"/>
      <c r="P1406" s="64"/>
      <c r="Q1406" s="64"/>
      <c r="R1406" s="64"/>
      <c r="S1406" s="64"/>
    </row>
    <row r="1407" spans="1:19" x14ac:dyDescent="0.25">
      <c r="A1407" s="63"/>
      <c r="B1407" s="64"/>
      <c r="C1407" s="64"/>
      <c r="D1407" s="64"/>
      <c r="E1407" s="64"/>
      <c r="F1407" s="64"/>
      <c r="G1407" s="64"/>
      <c r="H1407" s="64"/>
      <c r="I1407" s="64"/>
      <c r="J1407" s="64"/>
      <c r="K1407" s="64"/>
      <c r="L1407" s="64"/>
      <c r="M1407" s="64"/>
      <c r="N1407" s="64"/>
      <c r="O1407" s="64"/>
      <c r="P1407" s="64"/>
      <c r="Q1407" s="64"/>
      <c r="R1407" s="64"/>
      <c r="S1407" s="64"/>
    </row>
    <row r="1408" spans="1:19" x14ac:dyDescent="0.25">
      <c r="A1408" s="63"/>
      <c r="B1408" s="64"/>
      <c r="C1408" s="64"/>
      <c r="D1408" s="64"/>
      <c r="E1408" s="64"/>
      <c r="F1408" s="64"/>
      <c r="G1408" s="64"/>
      <c r="H1408" s="64"/>
      <c r="I1408" s="64"/>
      <c r="J1408" s="64"/>
      <c r="K1408" s="64"/>
      <c r="L1408" s="64"/>
      <c r="M1408" s="64"/>
      <c r="N1408" s="64"/>
      <c r="O1408" s="64"/>
      <c r="P1408" s="64"/>
      <c r="Q1408" s="64"/>
      <c r="R1408" s="64"/>
      <c r="S1408" s="64"/>
    </row>
    <row r="1409" spans="1:19" x14ac:dyDescent="0.25">
      <c r="A1409" s="63"/>
      <c r="B1409" s="64"/>
      <c r="C1409" s="64"/>
      <c r="D1409" s="64"/>
      <c r="E1409" s="64"/>
      <c r="F1409" s="64"/>
      <c r="G1409" s="64"/>
      <c r="H1409" s="64"/>
      <c r="I1409" s="64"/>
      <c r="J1409" s="64"/>
      <c r="K1409" s="64"/>
      <c r="L1409" s="64"/>
      <c r="M1409" s="64"/>
      <c r="N1409" s="64"/>
      <c r="O1409" s="64"/>
      <c r="P1409" s="64"/>
      <c r="Q1409" s="64"/>
      <c r="R1409" s="64"/>
      <c r="S1409" s="64"/>
    </row>
    <row r="1410" spans="1:19" x14ac:dyDescent="0.25">
      <c r="A1410" s="63"/>
      <c r="B1410" s="64"/>
      <c r="C1410" s="64"/>
      <c r="D1410" s="64"/>
      <c r="E1410" s="64"/>
      <c r="F1410" s="64"/>
      <c r="G1410" s="64"/>
      <c r="H1410" s="64"/>
      <c r="I1410" s="64"/>
      <c r="J1410" s="64"/>
      <c r="K1410" s="64"/>
      <c r="L1410" s="64"/>
      <c r="M1410" s="64"/>
      <c r="N1410" s="64"/>
      <c r="O1410" s="64"/>
      <c r="P1410" s="64"/>
      <c r="Q1410" s="64"/>
      <c r="R1410" s="64"/>
      <c r="S1410" s="64"/>
    </row>
    <row r="1411" spans="1:19" x14ac:dyDescent="0.25">
      <c r="A1411" s="63"/>
      <c r="B1411" s="64"/>
      <c r="C1411" s="64"/>
      <c r="D1411" s="64"/>
      <c r="E1411" s="64"/>
      <c r="F1411" s="64"/>
      <c r="G1411" s="64"/>
      <c r="H1411" s="64"/>
      <c r="I1411" s="64"/>
      <c r="J1411" s="64"/>
      <c r="K1411" s="64"/>
      <c r="L1411" s="64"/>
      <c r="M1411" s="64"/>
      <c r="N1411" s="64"/>
      <c r="O1411" s="64"/>
      <c r="P1411" s="64"/>
      <c r="Q1411" s="64"/>
      <c r="R1411" s="64"/>
      <c r="S1411" s="64"/>
    </row>
    <row r="1412" spans="1:19" x14ac:dyDescent="0.25">
      <c r="A1412" s="63"/>
      <c r="B1412" s="64"/>
      <c r="C1412" s="64"/>
      <c r="D1412" s="64"/>
      <c r="E1412" s="64"/>
      <c r="F1412" s="64"/>
      <c r="G1412" s="64"/>
      <c r="H1412" s="64"/>
      <c r="I1412" s="64"/>
      <c r="J1412" s="64"/>
      <c r="K1412" s="64"/>
      <c r="L1412" s="64"/>
      <c r="M1412" s="64"/>
      <c r="N1412" s="64"/>
      <c r="O1412" s="64"/>
      <c r="P1412" s="64"/>
      <c r="Q1412" s="64"/>
      <c r="R1412" s="64"/>
      <c r="S1412" s="64"/>
    </row>
    <row r="1413" spans="1:19" x14ac:dyDescent="0.25">
      <c r="A1413" s="63"/>
      <c r="B1413" s="64"/>
      <c r="C1413" s="64"/>
      <c r="D1413" s="64"/>
      <c r="E1413" s="64"/>
      <c r="F1413" s="64"/>
      <c r="G1413" s="64"/>
      <c r="H1413" s="64"/>
      <c r="I1413" s="64"/>
      <c r="J1413" s="64"/>
      <c r="K1413" s="64"/>
      <c r="L1413" s="64"/>
      <c r="M1413" s="64"/>
      <c r="N1413" s="64"/>
      <c r="O1413" s="64"/>
      <c r="P1413" s="64"/>
      <c r="Q1413" s="64"/>
      <c r="R1413" s="64"/>
      <c r="S1413" s="64"/>
    </row>
    <row r="1414" spans="1:19" x14ac:dyDescent="0.25">
      <c r="A1414" s="63"/>
      <c r="B1414" s="64"/>
      <c r="C1414" s="64"/>
      <c r="D1414" s="64"/>
      <c r="E1414" s="64"/>
      <c r="F1414" s="64"/>
      <c r="G1414" s="64"/>
      <c r="H1414" s="64"/>
      <c r="I1414" s="64"/>
      <c r="J1414" s="64"/>
      <c r="K1414" s="64"/>
      <c r="L1414" s="64"/>
      <c r="M1414" s="64"/>
      <c r="N1414" s="64"/>
      <c r="O1414" s="64"/>
      <c r="P1414" s="64"/>
      <c r="Q1414" s="64"/>
      <c r="R1414" s="64"/>
      <c r="S1414" s="64"/>
    </row>
    <row r="1415" spans="1:19" x14ac:dyDescent="0.25">
      <c r="A1415" s="63"/>
      <c r="B1415" s="64"/>
      <c r="C1415" s="64"/>
      <c r="D1415" s="64"/>
      <c r="E1415" s="64"/>
      <c r="F1415" s="64"/>
      <c r="G1415" s="64"/>
      <c r="H1415" s="64"/>
      <c r="I1415" s="64"/>
      <c r="J1415" s="64"/>
      <c r="K1415" s="64"/>
      <c r="L1415" s="64"/>
      <c r="M1415" s="64"/>
      <c r="N1415" s="64"/>
      <c r="O1415" s="64"/>
      <c r="P1415" s="64"/>
      <c r="Q1415" s="64"/>
      <c r="R1415" s="64"/>
      <c r="S1415" s="64"/>
    </row>
    <row r="1416" spans="1:19" x14ac:dyDescent="0.25">
      <c r="A1416" s="63"/>
      <c r="B1416" s="64"/>
      <c r="C1416" s="64"/>
      <c r="D1416" s="64"/>
      <c r="E1416" s="64"/>
      <c r="F1416" s="64"/>
      <c r="G1416" s="64"/>
      <c r="H1416" s="64"/>
      <c r="I1416" s="64"/>
      <c r="J1416" s="64"/>
      <c r="K1416" s="64"/>
      <c r="L1416" s="64"/>
      <c r="M1416" s="64"/>
      <c r="N1416" s="64"/>
      <c r="O1416" s="64"/>
      <c r="P1416" s="64"/>
      <c r="Q1416" s="64"/>
      <c r="R1416" s="64"/>
      <c r="S1416" s="64"/>
    </row>
    <row r="1417" spans="1:19" x14ac:dyDescent="0.25">
      <c r="A1417" s="63"/>
      <c r="B1417" s="64"/>
      <c r="C1417" s="64"/>
      <c r="D1417" s="64"/>
      <c r="E1417" s="64"/>
      <c r="F1417" s="64"/>
      <c r="G1417" s="64"/>
      <c r="H1417" s="64"/>
      <c r="I1417" s="64"/>
      <c r="J1417" s="64"/>
      <c r="K1417" s="64"/>
      <c r="L1417" s="64"/>
      <c r="M1417" s="64"/>
      <c r="N1417" s="64"/>
      <c r="O1417" s="64"/>
      <c r="P1417" s="64"/>
      <c r="Q1417" s="64"/>
      <c r="R1417" s="64"/>
      <c r="S1417" s="64"/>
    </row>
    <row r="1418" spans="1:19" x14ac:dyDescent="0.25">
      <c r="A1418" s="63"/>
      <c r="B1418" s="64"/>
      <c r="C1418" s="64"/>
      <c r="D1418" s="64"/>
      <c r="E1418" s="64"/>
      <c r="F1418" s="64"/>
      <c r="G1418" s="64"/>
      <c r="H1418" s="64"/>
      <c r="I1418" s="64"/>
      <c r="J1418" s="64"/>
      <c r="K1418" s="64"/>
      <c r="L1418" s="64"/>
      <c r="M1418" s="64"/>
      <c r="N1418" s="64"/>
      <c r="O1418" s="64"/>
      <c r="P1418" s="64"/>
      <c r="Q1418" s="64"/>
      <c r="R1418" s="64"/>
      <c r="S1418" s="64"/>
    </row>
    <row r="1419" spans="1:19" x14ac:dyDescent="0.25">
      <c r="A1419" s="63"/>
      <c r="B1419" s="64"/>
      <c r="C1419" s="64"/>
      <c r="D1419" s="64"/>
      <c r="E1419" s="64"/>
      <c r="F1419" s="64"/>
      <c r="G1419" s="64"/>
      <c r="H1419" s="64"/>
      <c r="I1419" s="64"/>
      <c r="J1419" s="64"/>
      <c r="K1419" s="64"/>
      <c r="L1419" s="64"/>
      <c r="M1419" s="64"/>
      <c r="N1419" s="64"/>
      <c r="O1419" s="64"/>
      <c r="P1419" s="64"/>
      <c r="Q1419" s="64"/>
      <c r="R1419" s="64"/>
      <c r="S1419" s="64"/>
    </row>
    <row r="1420" spans="1:19" x14ac:dyDescent="0.25">
      <c r="A1420" s="63"/>
      <c r="B1420" s="64"/>
      <c r="C1420" s="64"/>
      <c r="D1420" s="64"/>
      <c r="E1420" s="64"/>
      <c r="F1420" s="64"/>
      <c r="G1420" s="64"/>
      <c r="H1420" s="64"/>
      <c r="I1420" s="64"/>
      <c r="J1420" s="64"/>
      <c r="K1420" s="64"/>
      <c r="L1420" s="64"/>
      <c r="M1420" s="64"/>
      <c r="N1420" s="64"/>
      <c r="O1420" s="64"/>
      <c r="P1420" s="64"/>
      <c r="Q1420" s="64"/>
      <c r="R1420" s="64"/>
      <c r="S1420" s="64"/>
    </row>
    <row r="1421" spans="1:19" x14ac:dyDescent="0.25">
      <c r="A1421" s="63"/>
      <c r="B1421" s="64"/>
      <c r="C1421" s="64"/>
      <c r="D1421" s="64"/>
      <c r="E1421" s="64"/>
      <c r="F1421" s="64"/>
      <c r="G1421" s="64"/>
      <c r="H1421" s="64"/>
      <c r="I1421" s="64"/>
      <c r="J1421" s="64"/>
      <c r="K1421" s="64"/>
      <c r="L1421" s="64"/>
      <c r="M1421" s="64"/>
      <c r="N1421" s="64"/>
      <c r="O1421" s="64"/>
      <c r="P1421" s="64"/>
      <c r="Q1421" s="64"/>
      <c r="R1421" s="64"/>
      <c r="S1421" s="64"/>
    </row>
    <row r="1422" spans="1:19" x14ac:dyDescent="0.25">
      <c r="A1422" s="63"/>
      <c r="B1422" s="64"/>
      <c r="C1422" s="64"/>
      <c r="D1422" s="64"/>
      <c r="E1422" s="64"/>
      <c r="F1422" s="64"/>
      <c r="G1422" s="64"/>
      <c r="H1422" s="64"/>
      <c r="I1422" s="64"/>
      <c r="J1422" s="64"/>
      <c r="K1422" s="64"/>
      <c r="L1422" s="64"/>
      <c r="M1422" s="64"/>
      <c r="N1422" s="64"/>
      <c r="O1422" s="64"/>
      <c r="P1422" s="64"/>
      <c r="Q1422" s="64"/>
      <c r="R1422" s="64"/>
      <c r="S1422" s="64"/>
    </row>
    <row r="1423" spans="1:19" x14ac:dyDescent="0.25">
      <c r="A1423" s="63"/>
      <c r="B1423" s="64"/>
      <c r="C1423" s="64"/>
      <c r="D1423" s="64"/>
      <c r="E1423" s="64"/>
      <c r="F1423" s="64"/>
      <c r="G1423" s="64"/>
      <c r="H1423" s="64"/>
      <c r="I1423" s="64"/>
      <c r="J1423" s="64"/>
      <c r="K1423" s="64"/>
      <c r="L1423" s="64"/>
      <c r="M1423" s="64"/>
      <c r="N1423" s="64"/>
      <c r="O1423" s="64"/>
      <c r="P1423" s="64"/>
      <c r="Q1423" s="64"/>
      <c r="R1423" s="64"/>
      <c r="S1423" s="64"/>
    </row>
    <row r="1424" spans="1:19" x14ac:dyDescent="0.25">
      <c r="A1424" s="63"/>
      <c r="B1424" s="64"/>
      <c r="C1424" s="64"/>
      <c r="D1424" s="64"/>
      <c r="E1424" s="64"/>
      <c r="F1424" s="64"/>
      <c r="G1424" s="64"/>
      <c r="H1424" s="64"/>
      <c r="I1424" s="64"/>
      <c r="J1424" s="64"/>
      <c r="K1424" s="64"/>
      <c r="L1424" s="64"/>
      <c r="M1424" s="64"/>
      <c r="N1424" s="64"/>
      <c r="O1424" s="64"/>
      <c r="P1424" s="64"/>
      <c r="Q1424" s="64"/>
      <c r="R1424" s="64"/>
      <c r="S1424" s="64"/>
    </row>
    <row r="1425" spans="1:19" x14ac:dyDescent="0.25">
      <c r="A1425" s="63"/>
      <c r="B1425" s="64"/>
      <c r="C1425" s="64"/>
      <c r="D1425" s="64"/>
      <c r="E1425" s="64"/>
      <c r="F1425" s="64"/>
      <c r="G1425" s="64"/>
      <c r="H1425" s="64"/>
      <c r="I1425" s="64"/>
      <c r="J1425" s="64"/>
      <c r="K1425" s="64"/>
      <c r="L1425" s="64"/>
      <c r="M1425" s="64"/>
      <c r="N1425" s="64"/>
      <c r="O1425" s="64"/>
      <c r="P1425" s="64"/>
      <c r="Q1425" s="64"/>
      <c r="R1425" s="64"/>
      <c r="S1425" s="64"/>
    </row>
    <row r="1426" spans="1:19" x14ac:dyDescent="0.25">
      <c r="A1426" s="63"/>
      <c r="B1426" s="64"/>
      <c r="C1426" s="64"/>
      <c r="D1426" s="64"/>
      <c r="E1426" s="64"/>
      <c r="F1426" s="64"/>
      <c r="G1426" s="64"/>
      <c r="H1426" s="64"/>
      <c r="I1426" s="64"/>
      <c r="J1426" s="64"/>
      <c r="K1426" s="64"/>
      <c r="L1426" s="64"/>
      <c r="M1426" s="64"/>
      <c r="N1426" s="64"/>
      <c r="O1426" s="64"/>
      <c r="P1426" s="64"/>
      <c r="Q1426" s="64"/>
      <c r="R1426" s="64"/>
      <c r="S1426" s="64"/>
    </row>
    <row r="1427" spans="1:19" x14ac:dyDescent="0.25">
      <c r="A1427" s="63"/>
      <c r="B1427" s="64"/>
      <c r="C1427" s="64"/>
      <c r="D1427" s="64"/>
      <c r="E1427" s="64"/>
      <c r="F1427" s="64"/>
      <c r="G1427" s="64"/>
      <c r="H1427" s="64"/>
      <c r="I1427" s="64"/>
      <c r="J1427" s="64"/>
      <c r="K1427" s="64"/>
      <c r="L1427" s="64"/>
      <c r="M1427" s="64"/>
      <c r="N1427" s="64"/>
      <c r="O1427" s="64"/>
      <c r="P1427" s="64"/>
      <c r="Q1427" s="64"/>
      <c r="R1427" s="64"/>
      <c r="S1427" s="64"/>
    </row>
    <row r="1428" spans="1:19" x14ac:dyDescent="0.25">
      <c r="A1428" s="63"/>
      <c r="B1428" s="64"/>
      <c r="C1428" s="64"/>
      <c r="D1428" s="64"/>
      <c r="E1428" s="64"/>
      <c r="F1428" s="64"/>
      <c r="G1428" s="64"/>
      <c r="H1428" s="64"/>
      <c r="I1428" s="64"/>
      <c r="J1428" s="64"/>
      <c r="K1428" s="64"/>
      <c r="L1428" s="64"/>
      <c r="M1428" s="64"/>
      <c r="N1428" s="64"/>
      <c r="O1428" s="64"/>
      <c r="P1428" s="64"/>
      <c r="Q1428" s="64"/>
      <c r="R1428" s="64"/>
      <c r="S1428" s="64"/>
    </row>
    <row r="1429" spans="1:19" x14ac:dyDescent="0.25">
      <c r="A1429" s="63"/>
      <c r="B1429" s="64"/>
      <c r="C1429" s="64"/>
      <c r="D1429" s="64"/>
      <c r="E1429" s="64"/>
      <c r="F1429" s="64"/>
      <c r="G1429" s="64"/>
      <c r="H1429" s="64"/>
      <c r="I1429" s="64"/>
      <c r="J1429" s="64"/>
      <c r="K1429" s="64"/>
      <c r="L1429" s="64"/>
      <c r="M1429" s="64"/>
      <c r="N1429" s="64"/>
      <c r="O1429" s="64"/>
      <c r="P1429" s="64"/>
      <c r="Q1429" s="64"/>
      <c r="R1429" s="64"/>
      <c r="S1429" s="64"/>
    </row>
    <row r="1430" spans="1:19" x14ac:dyDescent="0.25">
      <c r="A1430" s="63"/>
      <c r="B1430" s="64"/>
      <c r="C1430" s="64"/>
      <c r="D1430" s="64"/>
      <c r="E1430" s="64"/>
      <c r="F1430" s="64"/>
      <c r="G1430" s="64"/>
      <c r="H1430" s="64"/>
      <c r="I1430" s="64"/>
      <c r="J1430" s="64"/>
      <c r="K1430" s="64"/>
      <c r="L1430" s="64"/>
      <c r="M1430" s="64"/>
      <c r="N1430" s="64"/>
      <c r="O1430" s="64"/>
      <c r="P1430" s="64"/>
      <c r="Q1430" s="64"/>
      <c r="R1430" s="64"/>
      <c r="S1430" s="64"/>
    </row>
    <row r="1431" spans="1:19" x14ac:dyDescent="0.25">
      <c r="A1431" s="63"/>
      <c r="B1431" s="64"/>
      <c r="C1431" s="64"/>
      <c r="D1431" s="64"/>
      <c r="E1431" s="64"/>
      <c r="F1431" s="64"/>
      <c r="G1431" s="64"/>
      <c r="H1431" s="64"/>
      <c r="I1431" s="64"/>
      <c r="J1431" s="64"/>
      <c r="K1431" s="64"/>
      <c r="L1431" s="64"/>
      <c r="M1431" s="64"/>
      <c r="N1431" s="64"/>
      <c r="O1431" s="64"/>
      <c r="P1431" s="64"/>
      <c r="Q1431" s="64"/>
      <c r="R1431" s="64"/>
      <c r="S1431" s="64"/>
    </row>
    <row r="1432" spans="1:19" x14ac:dyDescent="0.25">
      <c r="A1432" s="63"/>
      <c r="B1432" s="64"/>
      <c r="C1432" s="64"/>
      <c r="D1432" s="64"/>
      <c r="E1432" s="64"/>
      <c r="F1432" s="64"/>
      <c r="G1432" s="64"/>
      <c r="H1432" s="64"/>
      <c r="I1432" s="64"/>
      <c r="J1432" s="64"/>
      <c r="K1432" s="64"/>
      <c r="L1432" s="64"/>
      <c r="M1432" s="64"/>
      <c r="N1432" s="64"/>
      <c r="O1432" s="64"/>
      <c r="P1432" s="64"/>
      <c r="Q1432" s="64"/>
      <c r="R1432" s="64"/>
      <c r="S1432" s="64"/>
    </row>
    <row r="1433" spans="1:19" x14ac:dyDescent="0.25">
      <c r="A1433" s="63"/>
      <c r="B1433" s="64"/>
      <c r="C1433" s="64"/>
      <c r="D1433" s="64"/>
      <c r="E1433" s="64"/>
      <c r="F1433" s="64"/>
      <c r="G1433" s="64"/>
      <c r="H1433" s="64"/>
      <c r="I1433" s="64"/>
      <c r="J1433" s="64"/>
      <c r="K1433" s="64"/>
      <c r="L1433" s="64"/>
      <c r="M1433" s="64"/>
      <c r="N1433" s="64"/>
      <c r="O1433" s="64"/>
      <c r="P1433" s="64"/>
      <c r="Q1433" s="64"/>
      <c r="R1433" s="64"/>
      <c r="S1433" s="64"/>
    </row>
    <row r="1434" spans="1:19" x14ac:dyDescent="0.25">
      <c r="A1434" s="63"/>
      <c r="B1434" s="64"/>
      <c r="C1434" s="64"/>
      <c r="D1434" s="64"/>
      <c r="E1434" s="64"/>
      <c r="F1434" s="64"/>
      <c r="G1434" s="64"/>
      <c r="H1434" s="64"/>
      <c r="I1434" s="64"/>
      <c r="J1434" s="64"/>
      <c r="K1434" s="64"/>
      <c r="L1434" s="64"/>
      <c r="M1434" s="64"/>
      <c r="N1434" s="64"/>
      <c r="O1434" s="64"/>
      <c r="P1434" s="64"/>
      <c r="Q1434" s="64"/>
      <c r="R1434" s="64"/>
      <c r="S1434" s="64"/>
    </row>
    <row r="1435" spans="1:19" x14ac:dyDescent="0.25">
      <c r="A1435" s="63"/>
      <c r="B1435" s="64"/>
      <c r="C1435" s="64"/>
      <c r="D1435" s="64"/>
      <c r="E1435" s="64"/>
      <c r="F1435" s="64"/>
      <c r="G1435" s="64"/>
      <c r="H1435" s="64"/>
      <c r="I1435" s="64"/>
      <c r="J1435" s="64"/>
      <c r="K1435" s="64"/>
      <c r="L1435" s="64"/>
      <c r="M1435" s="64"/>
      <c r="N1435" s="64"/>
      <c r="O1435" s="64"/>
      <c r="P1435" s="64"/>
      <c r="Q1435" s="64"/>
      <c r="R1435" s="64"/>
      <c r="S1435" s="64"/>
    </row>
    <row r="1436" spans="1:19" x14ac:dyDescent="0.25">
      <c r="A1436" s="63"/>
      <c r="B1436" s="64"/>
      <c r="C1436" s="64"/>
      <c r="D1436" s="64"/>
      <c r="E1436" s="64"/>
      <c r="F1436" s="64"/>
      <c r="G1436" s="64"/>
      <c r="H1436" s="64"/>
      <c r="I1436" s="64"/>
      <c r="J1436" s="64"/>
      <c r="K1436" s="64"/>
      <c r="L1436" s="64"/>
      <c r="M1436" s="64"/>
      <c r="N1436" s="64"/>
      <c r="O1436" s="64"/>
      <c r="P1436" s="64"/>
      <c r="Q1436" s="64"/>
      <c r="R1436" s="64"/>
      <c r="S1436" s="64"/>
    </row>
    <row r="1437" spans="1:19" x14ac:dyDescent="0.25">
      <c r="A1437" s="63"/>
      <c r="B1437" s="64"/>
      <c r="C1437" s="64"/>
      <c r="D1437" s="64"/>
      <c r="E1437" s="64"/>
      <c r="F1437" s="64"/>
      <c r="G1437" s="64"/>
      <c r="H1437" s="64"/>
      <c r="I1437" s="64"/>
      <c r="J1437" s="64"/>
      <c r="K1437" s="64"/>
      <c r="L1437" s="64"/>
      <c r="M1437" s="64"/>
      <c r="N1437" s="64"/>
      <c r="O1437" s="64"/>
      <c r="P1437" s="64"/>
      <c r="Q1437" s="64"/>
      <c r="R1437" s="64"/>
      <c r="S1437" s="64"/>
    </row>
    <row r="1438" spans="1:19" x14ac:dyDescent="0.25">
      <c r="A1438" s="63"/>
      <c r="B1438" s="64"/>
      <c r="C1438" s="64"/>
      <c r="D1438" s="64"/>
      <c r="E1438" s="64"/>
      <c r="F1438" s="64"/>
      <c r="G1438" s="64"/>
      <c r="H1438" s="64"/>
      <c r="I1438" s="64"/>
      <c r="J1438" s="64"/>
      <c r="K1438" s="64"/>
      <c r="L1438" s="64"/>
      <c r="M1438" s="64"/>
      <c r="N1438" s="64"/>
      <c r="O1438" s="64"/>
      <c r="P1438" s="64"/>
      <c r="Q1438" s="64"/>
      <c r="R1438" s="64"/>
      <c r="S1438" s="64"/>
    </row>
    <row r="1439" spans="1:19" x14ac:dyDescent="0.25">
      <c r="A1439" s="63"/>
      <c r="B1439" s="64"/>
      <c r="C1439" s="64"/>
      <c r="D1439" s="64"/>
      <c r="E1439" s="64"/>
      <c r="F1439" s="64"/>
      <c r="G1439" s="64"/>
      <c r="H1439" s="64"/>
      <c r="I1439" s="64"/>
      <c r="J1439" s="64"/>
      <c r="K1439" s="64"/>
      <c r="L1439" s="64"/>
      <c r="M1439" s="64"/>
      <c r="N1439" s="64"/>
      <c r="O1439" s="64"/>
      <c r="P1439" s="64"/>
      <c r="Q1439" s="64"/>
      <c r="R1439" s="64"/>
      <c r="S1439" s="64"/>
    </row>
    <row r="1440" spans="1:19" x14ac:dyDescent="0.25">
      <c r="A1440" s="63"/>
      <c r="B1440" s="64"/>
      <c r="C1440" s="64"/>
      <c r="D1440" s="64"/>
      <c r="E1440" s="64"/>
      <c r="F1440" s="64"/>
      <c r="G1440" s="64"/>
      <c r="H1440" s="64"/>
      <c r="I1440" s="64"/>
      <c r="J1440" s="64"/>
      <c r="K1440" s="64"/>
      <c r="L1440" s="64"/>
      <c r="M1440" s="64"/>
      <c r="N1440" s="64"/>
      <c r="O1440" s="64"/>
      <c r="P1440" s="64"/>
      <c r="Q1440" s="64"/>
      <c r="R1440" s="64"/>
      <c r="S1440" s="64"/>
    </row>
    <row r="1441" spans="1:19" x14ac:dyDescent="0.25">
      <c r="A1441" s="63"/>
      <c r="B1441" s="64"/>
      <c r="C1441" s="64"/>
      <c r="D1441" s="64"/>
      <c r="E1441" s="64"/>
      <c r="F1441" s="64"/>
      <c r="G1441" s="64"/>
      <c r="H1441" s="64"/>
      <c r="I1441" s="64"/>
      <c r="J1441" s="64"/>
      <c r="K1441" s="64"/>
      <c r="L1441" s="64"/>
      <c r="M1441" s="64"/>
      <c r="N1441" s="64"/>
      <c r="O1441" s="64"/>
      <c r="P1441" s="64"/>
      <c r="Q1441" s="64"/>
      <c r="R1441" s="64"/>
      <c r="S1441" s="64"/>
    </row>
    <row r="1442" spans="1:19" x14ac:dyDescent="0.25">
      <c r="A1442" s="63"/>
      <c r="B1442" s="64"/>
      <c r="C1442" s="64"/>
      <c r="D1442" s="64"/>
      <c r="E1442" s="64"/>
      <c r="F1442" s="64"/>
      <c r="G1442" s="64"/>
      <c r="H1442" s="64"/>
      <c r="I1442" s="64"/>
      <c r="J1442" s="64"/>
      <c r="K1442" s="64"/>
      <c r="L1442" s="64"/>
      <c r="M1442" s="64"/>
      <c r="N1442" s="64"/>
      <c r="O1442" s="64"/>
      <c r="P1442" s="64"/>
      <c r="Q1442" s="64"/>
      <c r="R1442" s="64"/>
      <c r="S1442" s="64"/>
    </row>
    <row r="1443" spans="1:19" x14ac:dyDescent="0.25">
      <c r="A1443" s="63"/>
      <c r="B1443" s="64"/>
      <c r="C1443" s="64"/>
      <c r="D1443" s="64"/>
      <c r="E1443" s="64"/>
      <c r="F1443" s="64"/>
      <c r="G1443" s="64"/>
      <c r="H1443" s="64"/>
      <c r="I1443" s="64"/>
      <c r="J1443" s="64"/>
      <c r="K1443" s="64"/>
      <c r="L1443" s="64"/>
      <c r="M1443" s="64"/>
      <c r="N1443" s="64"/>
      <c r="O1443" s="64"/>
      <c r="P1443" s="64"/>
      <c r="Q1443" s="64"/>
      <c r="R1443" s="64"/>
      <c r="S1443" s="64"/>
    </row>
    <row r="1444" spans="1:19" x14ac:dyDescent="0.25">
      <c r="A1444" s="63"/>
      <c r="B1444" s="64"/>
      <c r="C1444" s="64"/>
      <c r="D1444" s="64"/>
      <c r="E1444" s="64"/>
      <c r="F1444" s="64"/>
      <c r="G1444" s="64"/>
      <c r="H1444" s="64"/>
      <c r="I1444" s="64"/>
      <c r="J1444" s="64"/>
      <c r="K1444" s="64"/>
      <c r="L1444" s="64"/>
      <c r="M1444" s="64"/>
      <c r="N1444" s="64"/>
      <c r="O1444" s="64"/>
      <c r="P1444" s="64"/>
      <c r="Q1444" s="64"/>
      <c r="R1444" s="64"/>
      <c r="S1444" s="64"/>
    </row>
    <row r="1445" spans="1:19" x14ac:dyDescent="0.25">
      <c r="A1445" s="63"/>
      <c r="B1445" s="64"/>
      <c r="C1445" s="64"/>
      <c r="D1445" s="64"/>
      <c r="E1445" s="64"/>
      <c r="F1445" s="64"/>
      <c r="G1445" s="64"/>
      <c r="H1445" s="64"/>
      <c r="I1445" s="64"/>
      <c r="J1445" s="64"/>
      <c r="K1445" s="64"/>
      <c r="L1445" s="64"/>
      <c r="M1445" s="64"/>
      <c r="N1445" s="64"/>
      <c r="O1445" s="64"/>
      <c r="P1445" s="64"/>
      <c r="Q1445" s="64"/>
      <c r="R1445" s="64"/>
      <c r="S1445" s="64"/>
    </row>
    <row r="1446" spans="1:19" x14ac:dyDescent="0.25">
      <c r="A1446" s="63"/>
      <c r="B1446" s="64"/>
      <c r="C1446" s="64"/>
      <c r="D1446" s="64"/>
      <c r="E1446" s="64"/>
      <c r="F1446" s="64"/>
      <c r="G1446" s="64"/>
      <c r="H1446" s="64"/>
      <c r="I1446" s="64"/>
      <c r="J1446" s="64"/>
      <c r="K1446" s="64"/>
      <c r="L1446" s="64"/>
      <c r="M1446" s="64"/>
      <c r="N1446" s="64"/>
      <c r="O1446" s="64"/>
      <c r="P1446" s="64"/>
      <c r="Q1446" s="64"/>
      <c r="R1446" s="64"/>
      <c r="S1446" s="64"/>
    </row>
    <row r="1447" spans="1:19" x14ac:dyDescent="0.25">
      <c r="A1447" s="63"/>
      <c r="B1447" s="64"/>
      <c r="C1447" s="64"/>
      <c r="D1447" s="64"/>
      <c r="E1447" s="64"/>
      <c r="F1447" s="64"/>
      <c r="G1447" s="64"/>
      <c r="H1447" s="64"/>
      <c r="I1447" s="64"/>
      <c r="J1447" s="64"/>
      <c r="K1447" s="64"/>
      <c r="L1447" s="64"/>
      <c r="M1447" s="64"/>
      <c r="N1447" s="64"/>
      <c r="O1447" s="64"/>
      <c r="P1447" s="64"/>
      <c r="Q1447" s="64"/>
      <c r="R1447" s="64"/>
      <c r="S1447" s="64"/>
    </row>
    <row r="1448" spans="1:19" x14ac:dyDescent="0.25">
      <c r="A1448" s="63"/>
      <c r="B1448" s="64"/>
      <c r="C1448" s="64"/>
      <c r="D1448" s="64"/>
      <c r="E1448" s="64"/>
      <c r="F1448" s="64"/>
      <c r="G1448" s="64"/>
      <c r="H1448" s="64"/>
      <c r="I1448" s="64"/>
      <c r="J1448" s="64"/>
      <c r="K1448" s="64"/>
      <c r="L1448" s="64"/>
      <c r="M1448" s="64"/>
      <c r="N1448" s="64"/>
      <c r="O1448" s="64"/>
      <c r="P1448" s="64"/>
      <c r="Q1448" s="64"/>
      <c r="R1448" s="64"/>
      <c r="S1448" s="64"/>
    </row>
    <row r="1449" spans="1:19" x14ac:dyDescent="0.25">
      <c r="A1449" s="63"/>
      <c r="B1449" s="64"/>
      <c r="C1449" s="64"/>
      <c r="D1449" s="64"/>
      <c r="E1449" s="64"/>
      <c r="F1449" s="64"/>
      <c r="G1449" s="64"/>
      <c r="H1449" s="64"/>
      <c r="I1449" s="64"/>
      <c r="J1449" s="64"/>
      <c r="K1449" s="64"/>
      <c r="L1449" s="64"/>
      <c r="M1449" s="64"/>
      <c r="N1449" s="64"/>
      <c r="O1449" s="64"/>
      <c r="P1449" s="64"/>
      <c r="Q1449" s="64"/>
      <c r="R1449" s="64"/>
      <c r="S1449" s="64"/>
    </row>
    <row r="1450" spans="1:19" x14ac:dyDescent="0.25">
      <c r="A1450" s="63"/>
      <c r="B1450" s="64"/>
      <c r="C1450" s="64"/>
      <c r="D1450" s="64"/>
      <c r="E1450" s="64"/>
      <c r="F1450" s="64"/>
      <c r="G1450" s="64"/>
      <c r="H1450" s="64"/>
      <c r="I1450" s="64"/>
      <c r="J1450" s="64"/>
      <c r="K1450" s="64"/>
      <c r="L1450" s="64"/>
      <c r="M1450" s="64"/>
      <c r="N1450" s="64"/>
      <c r="O1450" s="64"/>
      <c r="P1450" s="64"/>
      <c r="Q1450" s="64"/>
      <c r="R1450" s="64"/>
      <c r="S1450" s="64"/>
    </row>
    <row r="1451" spans="1:19" x14ac:dyDescent="0.25">
      <c r="A1451" s="63"/>
      <c r="B1451" s="64"/>
      <c r="C1451" s="64"/>
      <c r="D1451" s="64"/>
      <c r="E1451" s="64"/>
      <c r="F1451" s="64"/>
      <c r="G1451" s="64"/>
      <c r="H1451" s="64"/>
      <c r="I1451" s="64"/>
      <c r="J1451" s="64"/>
      <c r="K1451" s="64"/>
      <c r="L1451" s="64"/>
      <c r="M1451" s="64"/>
      <c r="N1451" s="64"/>
      <c r="O1451" s="64"/>
      <c r="P1451" s="64"/>
      <c r="Q1451" s="64"/>
      <c r="R1451" s="64"/>
      <c r="S1451" s="64"/>
    </row>
    <row r="1452" spans="1:19" x14ac:dyDescent="0.25">
      <c r="A1452" s="63"/>
      <c r="B1452" s="64"/>
      <c r="C1452" s="64"/>
      <c r="D1452" s="64"/>
      <c r="E1452" s="64"/>
      <c r="F1452" s="64"/>
      <c r="G1452" s="64"/>
      <c r="H1452" s="64"/>
      <c r="I1452" s="64"/>
      <c r="J1452" s="64"/>
      <c r="K1452" s="64"/>
      <c r="L1452" s="64"/>
      <c r="M1452" s="64"/>
      <c r="N1452" s="64"/>
      <c r="O1452" s="64"/>
      <c r="P1452" s="64"/>
      <c r="Q1452" s="64"/>
      <c r="R1452" s="64"/>
      <c r="S1452" s="64"/>
    </row>
    <row r="1453" spans="1:19" x14ac:dyDescent="0.25">
      <c r="A1453" s="63"/>
      <c r="B1453" s="64"/>
      <c r="C1453" s="64"/>
      <c r="D1453" s="64"/>
      <c r="E1453" s="64"/>
      <c r="F1453" s="64"/>
      <c r="G1453" s="64"/>
      <c r="H1453" s="64"/>
      <c r="I1453" s="64"/>
      <c r="J1453" s="64"/>
      <c r="K1453" s="64"/>
      <c r="L1453" s="64"/>
      <c r="M1453" s="64"/>
      <c r="N1453" s="64"/>
      <c r="O1453" s="64"/>
      <c r="P1453" s="64"/>
      <c r="Q1453" s="64"/>
      <c r="R1453" s="64"/>
      <c r="S1453" s="64"/>
    </row>
    <row r="1454" spans="1:19" x14ac:dyDescent="0.25">
      <c r="A1454" s="63"/>
      <c r="B1454" s="64"/>
      <c r="C1454" s="64"/>
      <c r="D1454" s="64"/>
      <c r="E1454" s="64"/>
      <c r="F1454" s="64"/>
      <c r="G1454" s="64"/>
      <c r="H1454" s="64"/>
      <c r="I1454" s="64"/>
      <c r="J1454" s="64"/>
      <c r="K1454" s="64"/>
      <c r="L1454" s="64"/>
      <c r="M1454" s="64"/>
      <c r="N1454" s="64"/>
      <c r="O1454" s="64"/>
      <c r="P1454" s="64"/>
      <c r="Q1454" s="64"/>
      <c r="R1454" s="64"/>
      <c r="S1454" s="64"/>
    </row>
    <row r="1455" spans="1:19" x14ac:dyDescent="0.25">
      <c r="A1455" s="63"/>
      <c r="B1455" s="64"/>
      <c r="C1455" s="64"/>
      <c r="D1455" s="64"/>
      <c r="E1455" s="64"/>
      <c r="F1455" s="64"/>
      <c r="G1455" s="64"/>
      <c r="H1455" s="64"/>
      <c r="I1455" s="64"/>
      <c r="J1455" s="64"/>
      <c r="K1455" s="64"/>
      <c r="L1455" s="64"/>
      <c r="M1455" s="64"/>
      <c r="N1455" s="64"/>
      <c r="O1455" s="64"/>
      <c r="P1455" s="64"/>
      <c r="Q1455" s="64"/>
      <c r="R1455" s="64"/>
      <c r="S1455" s="64"/>
    </row>
    <row r="1456" spans="1:19" x14ac:dyDescent="0.25">
      <c r="A1456" s="63"/>
      <c r="B1456" s="64"/>
      <c r="C1456" s="64"/>
      <c r="D1456" s="64"/>
      <c r="E1456" s="64"/>
      <c r="F1456" s="64"/>
      <c r="G1456" s="64"/>
      <c r="H1456" s="64"/>
      <c r="I1456" s="64"/>
      <c r="J1456" s="64"/>
      <c r="K1456" s="64"/>
      <c r="L1456" s="64"/>
      <c r="M1456" s="64"/>
      <c r="N1456" s="64"/>
      <c r="O1456" s="64"/>
      <c r="P1456" s="64"/>
      <c r="Q1456" s="64"/>
      <c r="R1456" s="64"/>
      <c r="S1456" s="64"/>
    </row>
    <row r="1457" spans="1:19" x14ac:dyDescent="0.25">
      <c r="A1457" s="63"/>
      <c r="B1457" s="64"/>
      <c r="C1457" s="64"/>
      <c r="D1457" s="64"/>
      <c r="E1457" s="64"/>
      <c r="F1457" s="64"/>
      <c r="G1457" s="64"/>
      <c r="H1457" s="64"/>
      <c r="I1457" s="64"/>
      <c r="J1457" s="64"/>
      <c r="K1457" s="64"/>
      <c r="L1457" s="64"/>
      <c r="M1457" s="64"/>
      <c r="N1457" s="64"/>
      <c r="O1457" s="64"/>
      <c r="P1457" s="64"/>
      <c r="Q1457" s="64"/>
      <c r="R1457" s="64"/>
      <c r="S1457" s="64"/>
    </row>
    <row r="1458" spans="1:19" x14ac:dyDescent="0.25">
      <c r="A1458" s="63"/>
      <c r="B1458" s="64"/>
      <c r="C1458" s="64"/>
      <c r="D1458" s="64"/>
      <c r="E1458" s="64"/>
      <c r="F1458" s="64"/>
      <c r="G1458" s="64"/>
      <c r="H1458" s="64"/>
      <c r="I1458" s="64"/>
      <c r="J1458" s="64"/>
      <c r="K1458" s="64"/>
      <c r="L1458" s="64"/>
      <c r="M1458" s="64"/>
      <c r="N1458" s="64"/>
      <c r="O1458" s="64"/>
      <c r="P1458" s="64"/>
      <c r="Q1458" s="64"/>
      <c r="R1458" s="64"/>
      <c r="S1458" s="64"/>
    </row>
    <row r="1459" spans="1:19" x14ac:dyDescent="0.25">
      <c r="A1459" s="63"/>
      <c r="B1459" s="64"/>
      <c r="C1459" s="64"/>
      <c r="D1459" s="64"/>
      <c r="E1459" s="64"/>
      <c r="F1459" s="64"/>
      <c r="G1459" s="64"/>
      <c r="H1459" s="64"/>
      <c r="I1459" s="64"/>
      <c r="J1459" s="64"/>
      <c r="K1459" s="64"/>
      <c r="L1459" s="64"/>
      <c r="M1459" s="64"/>
      <c r="N1459" s="64"/>
      <c r="O1459" s="64"/>
      <c r="P1459" s="64"/>
      <c r="Q1459" s="64"/>
      <c r="R1459" s="64"/>
      <c r="S1459" s="64"/>
    </row>
    <row r="1460" spans="1:19" x14ac:dyDescent="0.25">
      <c r="A1460" s="63"/>
      <c r="B1460" s="64"/>
      <c r="C1460" s="64"/>
      <c r="D1460" s="64"/>
      <c r="E1460" s="64"/>
      <c r="F1460" s="64"/>
      <c r="G1460" s="64"/>
      <c r="H1460" s="64"/>
      <c r="I1460" s="64"/>
      <c r="J1460" s="64"/>
      <c r="K1460" s="64"/>
      <c r="L1460" s="64"/>
      <c r="M1460" s="64"/>
      <c r="N1460" s="64"/>
      <c r="O1460" s="64"/>
      <c r="P1460" s="64"/>
      <c r="Q1460" s="64"/>
      <c r="R1460" s="64"/>
      <c r="S1460" s="64"/>
    </row>
    <row r="1461" spans="1:19" x14ac:dyDescent="0.25">
      <c r="A1461" s="63"/>
      <c r="B1461" s="64"/>
      <c r="C1461" s="64"/>
      <c r="D1461" s="64"/>
      <c r="E1461" s="64"/>
      <c r="F1461" s="64"/>
      <c r="G1461" s="64"/>
      <c r="H1461" s="64"/>
      <c r="I1461" s="64"/>
      <c r="J1461" s="64"/>
      <c r="K1461" s="64"/>
      <c r="L1461" s="64"/>
      <c r="M1461" s="64"/>
      <c r="N1461" s="64"/>
      <c r="O1461" s="64"/>
      <c r="P1461" s="64"/>
      <c r="Q1461" s="64"/>
      <c r="R1461" s="64"/>
      <c r="S1461" s="64"/>
    </row>
    <row r="1462" spans="1:19" x14ac:dyDescent="0.25">
      <c r="A1462" s="63"/>
      <c r="B1462" s="64"/>
      <c r="C1462" s="64"/>
      <c r="D1462" s="64"/>
      <c r="E1462" s="64"/>
      <c r="F1462" s="64"/>
      <c r="G1462" s="64"/>
      <c r="H1462" s="64"/>
      <c r="I1462" s="64"/>
      <c r="J1462" s="64"/>
      <c r="K1462" s="64"/>
      <c r="L1462" s="64"/>
      <c r="M1462" s="64"/>
      <c r="N1462" s="64"/>
      <c r="O1462" s="64"/>
      <c r="P1462" s="64"/>
      <c r="Q1462" s="64"/>
      <c r="R1462" s="64"/>
      <c r="S1462" s="64"/>
    </row>
    <row r="1463" spans="1:19" x14ac:dyDescent="0.25">
      <c r="A1463" s="63"/>
      <c r="B1463" s="64"/>
      <c r="C1463" s="64"/>
      <c r="D1463" s="64"/>
      <c r="E1463" s="64"/>
      <c r="F1463" s="64"/>
      <c r="G1463" s="64"/>
      <c r="H1463" s="64"/>
      <c r="I1463" s="64"/>
      <c r="J1463" s="64"/>
      <c r="K1463" s="64"/>
      <c r="L1463" s="64"/>
      <c r="M1463" s="64"/>
      <c r="N1463" s="64"/>
      <c r="O1463" s="64"/>
      <c r="P1463" s="64"/>
      <c r="Q1463" s="64"/>
      <c r="R1463" s="64"/>
      <c r="S1463" s="64"/>
    </row>
    <row r="1464" spans="1:19" x14ac:dyDescent="0.25">
      <c r="A1464" s="63"/>
      <c r="B1464" s="64"/>
      <c r="C1464" s="64"/>
      <c r="D1464" s="64"/>
      <c r="E1464" s="64"/>
      <c r="F1464" s="64"/>
      <c r="G1464" s="64"/>
      <c r="H1464" s="64"/>
      <c r="I1464" s="64"/>
      <c r="J1464" s="64"/>
      <c r="K1464" s="64"/>
      <c r="L1464" s="64"/>
      <c r="M1464" s="64"/>
      <c r="N1464" s="64"/>
      <c r="O1464" s="64"/>
      <c r="P1464" s="64"/>
      <c r="Q1464" s="64"/>
      <c r="R1464" s="64"/>
      <c r="S1464" s="64"/>
    </row>
    <row r="1465" spans="1:19" x14ac:dyDescent="0.25">
      <c r="A1465" s="63"/>
      <c r="B1465" s="64"/>
      <c r="C1465" s="64"/>
      <c r="D1465" s="64"/>
      <c r="E1465" s="64"/>
      <c r="F1465" s="64"/>
      <c r="G1465" s="64"/>
      <c r="H1465" s="64"/>
      <c r="I1465" s="64"/>
      <c r="J1465" s="64"/>
      <c r="K1465" s="64"/>
      <c r="L1465" s="64"/>
      <c r="M1465" s="64"/>
      <c r="N1465" s="64"/>
      <c r="O1465" s="64"/>
      <c r="P1465" s="64"/>
      <c r="Q1465" s="64"/>
      <c r="R1465" s="64"/>
      <c r="S1465" s="64"/>
    </row>
    <row r="1466" spans="1:19" x14ac:dyDescent="0.25">
      <c r="A1466" s="63"/>
      <c r="B1466" s="64"/>
      <c r="C1466" s="64"/>
      <c r="D1466" s="64"/>
      <c r="E1466" s="64"/>
      <c r="F1466" s="64"/>
      <c r="G1466" s="64"/>
      <c r="H1466" s="64"/>
      <c r="I1466" s="64"/>
      <c r="J1466" s="64"/>
      <c r="K1466" s="64"/>
      <c r="L1466" s="64"/>
      <c r="M1466" s="64"/>
      <c r="N1466" s="64"/>
      <c r="O1466" s="64"/>
      <c r="P1466" s="64"/>
      <c r="Q1466" s="64"/>
      <c r="R1466" s="64"/>
      <c r="S1466" s="64"/>
    </row>
    <row r="1467" spans="1:19" x14ac:dyDescent="0.25">
      <c r="A1467" s="63"/>
      <c r="B1467" s="64"/>
      <c r="C1467" s="64"/>
      <c r="D1467" s="64"/>
      <c r="E1467" s="64"/>
      <c r="F1467" s="64"/>
      <c r="G1467" s="64"/>
      <c r="H1467" s="64"/>
      <c r="I1467" s="64"/>
      <c r="J1467" s="64"/>
      <c r="K1467" s="64"/>
      <c r="L1467" s="64"/>
      <c r="M1467" s="64"/>
      <c r="N1467" s="64"/>
      <c r="O1467" s="64"/>
      <c r="P1467" s="64"/>
      <c r="Q1467" s="64"/>
      <c r="R1467" s="64"/>
      <c r="S1467" s="64"/>
    </row>
    <row r="1468" spans="1:19" x14ac:dyDescent="0.25">
      <c r="A1468" s="63"/>
      <c r="B1468" s="64"/>
      <c r="C1468" s="64"/>
      <c r="D1468" s="64"/>
      <c r="E1468" s="64"/>
      <c r="F1468" s="64"/>
      <c r="G1468" s="64"/>
      <c r="H1468" s="64"/>
      <c r="I1468" s="64"/>
      <c r="J1468" s="64"/>
      <c r="K1468" s="64"/>
      <c r="L1468" s="64"/>
      <c r="M1468" s="64"/>
      <c r="N1468" s="64"/>
      <c r="O1468" s="64"/>
      <c r="P1468" s="64"/>
      <c r="Q1468" s="64"/>
      <c r="R1468" s="64"/>
      <c r="S1468" s="64"/>
    </row>
    <row r="1469" spans="1:19" x14ac:dyDescent="0.25">
      <c r="A1469" s="63"/>
      <c r="B1469" s="64"/>
      <c r="C1469" s="64"/>
      <c r="D1469" s="64"/>
      <c r="E1469" s="64"/>
      <c r="F1469" s="64"/>
      <c r="G1469" s="64"/>
      <c r="H1469" s="64"/>
      <c r="I1469" s="64"/>
      <c r="J1469" s="64"/>
      <c r="K1469" s="64"/>
      <c r="L1469" s="64"/>
      <c r="M1469" s="64"/>
      <c r="N1469" s="64"/>
      <c r="O1469" s="64"/>
      <c r="P1469" s="64"/>
      <c r="Q1469" s="64"/>
      <c r="R1469" s="64"/>
      <c r="S1469" s="64"/>
    </row>
    <row r="1470" spans="1:19" x14ac:dyDescent="0.25">
      <c r="A1470" s="63"/>
      <c r="B1470" s="64"/>
      <c r="C1470" s="64"/>
      <c r="D1470" s="64"/>
      <c r="E1470" s="64"/>
      <c r="F1470" s="64"/>
      <c r="G1470" s="64"/>
      <c r="H1470" s="64"/>
      <c r="I1470" s="64"/>
      <c r="J1470" s="64"/>
      <c r="K1470" s="64"/>
      <c r="L1470" s="64"/>
      <c r="M1470" s="64"/>
      <c r="N1470" s="64"/>
      <c r="O1470" s="64"/>
      <c r="P1470" s="64"/>
      <c r="Q1470" s="64"/>
      <c r="R1470" s="64"/>
      <c r="S1470" s="64"/>
    </row>
    <row r="1471" spans="1:19" x14ac:dyDescent="0.25">
      <c r="A1471" s="63"/>
      <c r="B1471" s="64"/>
      <c r="C1471" s="64"/>
      <c r="D1471" s="64"/>
      <c r="E1471" s="64"/>
      <c r="F1471" s="64"/>
      <c r="G1471" s="64"/>
      <c r="H1471" s="64"/>
      <c r="I1471" s="64"/>
      <c r="J1471" s="64"/>
      <c r="K1471" s="64"/>
      <c r="L1471" s="64"/>
      <c r="M1471" s="64"/>
      <c r="N1471" s="64"/>
      <c r="O1471" s="64"/>
      <c r="P1471" s="64"/>
      <c r="Q1471" s="64"/>
      <c r="R1471" s="64"/>
      <c r="S1471" s="64"/>
    </row>
    <row r="1472" spans="1:19" x14ac:dyDescent="0.25">
      <c r="A1472" s="63"/>
      <c r="B1472" s="64"/>
      <c r="C1472" s="64"/>
      <c r="D1472" s="64"/>
      <c r="E1472" s="64"/>
      <c r="F1472" s="64"/>
      <c r="G1472" s="64"/>
      <c r="H1472" s="64"/>
      <c r="I1472" s="64"/>
      <c r="J1472" s="64"/>
      <c r="K1472" s="64"/>
      <c r="L1472" s="64"/>
      <c r="M1472" s="64"/>
      <c r="N1472" s="64"/>
      <c r="O1472" s="64"/>
      <c r="P1472" s="64"/>
      <c r="Q1472" s="64"/>
      <c r="R1472" s="64"/>
      <c r="S1472" s="64"/>
    </row>
    <row r="1473" spans="1:19" x14ac:dyDescent="0.25">
      <c r="A1473" s="63"/>
      <c r="B1473" s="64"/>
      <c r="C1473" s="64"/>
      <c r="D1473" s="64"/>
      <c r="E1473" s="64"/>
      <c r="F1473" s="64"/>
      <c r="G1473" s="64"/>
      <c r="H1473" s="64"/>
      <c r="I1473" s="64"/>
      <c r="J1473" s="64"/>
      <c r="K1473" s="64"/>
      <c r="L1473" s="64"/>
      <c r="M1473" s="64"/>
      <c r="N1473" s="64"/>
      <c r="O1473" s="64"/>
      <c r="P1473" s="64"/>
      <c r="Q1473" s="64"/>
      <c r="R1473" s="64"/>
      <c r="S1473" s="64"/>
    </row>
    <row r="1474" spans="1:19" x14ac:dyDescent="0.25">
      <c r="A1474" s="63"/>
      <c r="B1474" s="64"/>
      <c r="C1474" s="64"/>
      <c r="D1474" s="64"/>
      <c r="E1474" s="64"/>
      <c r="F1474" s="64"/>
      <c r="G1474" s="64"/>
      <c r="H1474" s="64"/>
      <c r="I1474" s="64"/>
      <c r="J1474" s="64"/>
      <c r="K1474" s="64"/>
      <c r="L1474" s="64"/>
      <c r="M1474" s="64"/>
      <c r="N1474" s="64"/>
      <c r="O1474" s="64"/>
      <c r="P1474" s="64"/>
      <c r="Q1474" s="64"/>
      <c r="R1474" s="64"/>
      <c r="S1474" s="64"/>
    </row>
    <row r="1475" spans="1:19" x14ac:dyDescent="0.25">
      <c r="A1475" s="63"/>
      <c r="B1475" s="64"/>
      <c r="C1475" s="64"/>
      <c r="D1475" s="64"/>
      <c r="E1475" s="64"/>
      <c r="F1475" s="64"/>
      <c r="G1475" s="64"/>
      <c r="H1475" s="64"/>
      <c r="I1475" s="64"/>
      <c r="J1475" s="64"/>
      <c r="K1475" s="64"/>
      <c r="L1475" s="64"/>
      <c r="M1475" s="64"/>
      <c r="N1475" s="64"/>
      <c r="O1475" s="64"/>
      <c r="P1475" s="64"/>
      <c r="Q1475" s="64"/>
      <c r="R1475" s="64"/>
      <c r="S1475" s="64"/>
    </row>
    <row r="1476" spans="1:19" x14ac:dyDescent="0.25">
      <c r="A1476" s="63"/>
      <c r="B1476" s="64"/>
      <c r="C1476" s="64"/>
      <c r="D1476" s="64"/>
      <c r="E1476" s="64"/>
      <c r="F1476" s="64"/>
      <c r="G1476" s="64"/>
      <c r="H1476" s="64"/>
      <c r="I1476" s="64"/>
      <c r="J1476" s="64"/>
      <c r="K1476" s="64"/>
      <c r="L1476" s="64"/>
      <c r="M1476" s="64"/>
      <c r="N1476" s="64"/>
      <c r="O1476" s="64"/>
      <c r="P1476" s="64"/>
      <c r="Q1476" s="64"/>
      <c r="R1476" s="64"/>
      <c r="S1476" s="64"/>
    </row>
    <row r="1477" spans="1:19" x14ac:dyDescent="0.25">
      <c r="A1477" s="63"/>
      <c r="B1477" s="64"/>
      <c r="C1477" s="64"/>
      <c r="D1477" s="64"/>
      <c r="E1477" s="64"/>
      <c r="F1477" s="64"/>
      <c r="G1477" s="64"/>
      <c r="H1477" s="64"/>
      <c r="I1477" s="64"/>
      <c r="J1477" s="64"/>
      <c r="K1477" s="64"/>
      <c r="L1477" s="64"/>
      <c r="M1477" s="64"/>
      <c r="N1477" s="64"/>
      <c r="O1477" s="64"/>
      <c r="P1477" s="64"/>
      <c r="Q1477" s="64"/>
      <c r="R1477" s="64"/>
      <c r="S1477" s="64"/>
    </row>
    <row r="1478" spans="1:19" x14ac:dyDescent="0.25">
      <c r="A1478" s="63"/>
      <c r="B1478" s="64"/>
      <c r="C1478" s="64"/>
      <c r="D1478" s="64"/>
      <c r="E1478" s="64"/>
      <c r="F1478" s="64"/>
      <c r="G1478" s="64"/>
      <c r="H1478" s="64"/>
      <c r="I1478" s="64"/>
      <c r="J1478" s="64"/>
      <c r="K1478" s="64"/>
      <c r="L1478" s="64"/>
      <c r="M1478" s="64"/>
      <c r="N1478" s="64"/>
      <c r="O1478" s="64"/>
      <c r="P1478" s="64"/>
      <c r="Q1478" s="64"/>
      <c r="R1478" s="64"/>
      <c r="S1478" s="64"/>
    </row>
    <row r="1479" spans="1:19" x14ac:dyDescent="0.25">
      <c r="A1479" s="63"/>
      <c r="B1479" s="64"/>
      <c r="C1479" s="64"/>
      <c r="D1479" s="64"/>
      <c r="E1479" s="64"/>
      <c r="F1479" s="64"/>
      <c r="G1479" s="64"/>
      <c r="H1479" s="64"/>
      <c r="I1479" s="64"/>
      <c r="J1479" s="64"/>
      <c r="K1479" s="64"/>
      <c r="L1479" s="64"/>
      <c r="M1479" s="64"/>
      <c r="N1479" s="64"/>
      <c r="O1479" s="64"/>
      <c r="P1479" s="64"/>
      <c r="Q1479" s="64"/>
      <c r="R1479" s="64"/>
      <c r="S1479" s="64"/>
    </row>
    <row r="1480" spans="1:19" x14ac:dyDescent="0.25">
      <c r="A1480" s="63"/>
      <c r="B1480" s="64"/>
      <c r="C1480" s="64"/>
      <c r="D1480" s="64"/>
      <c r="E1480" s="64"/>
      <c r="F1480" s="64"/>
      <c r="G1480" s="64"/>
      <c r="H1480" s="64"/>
      <c r="I1480" s="64"/>
      <c r="J1480" s="64"/>
      <c r="K1480" s="64"/>
      <c r="L1480" s="64"/>
      <c r="M1480" s="64"/>
      <c r="N1480" s="64"/>
      <c r="O1480" s="64"/>
      <c r="P1480" s="64"/>
      <c r="Q1480" s="64"/>
      <c r="R1480" s="64"/>
      <c r="S1480" s="64"/>
    </row>
    <row r="1481" spans="1:19" x14ac:dyDescent="0.25">
      <c r="A1481" s="63"/>
      <c r="B1481" s="64"/>
      <c r="C1481" s="64"/>
      <c r="D1481" s="64"/>
      <c r="E1481" s="64"/>
      <c r="F1481" s="64"/>
      <c r="G1481" s="64"/>
      <c r="H1481" s="64"/>
      <c r="I1481" s="64"/>
      <c r="J1481" s="64"/>
      <c r="K1481" s="64"/>
      <c r="L1481" s="64"/>
      <c r="M1481" s="64"/>
      <c r="N1481" s="64"/>
      <c r="O1481" s="64"/>
      <c r="P1481" s="64"/>
      <c r="Q1481" s="64"/>
      <c r="R1481" s="64"/>
      <c r="S1481" s="64"/>
    </row>
    <row r="1482" spans="1:19" x14ac:dyDescent="0.25">
      <c r="A1482" s="63"/>
      <c r="B1482" s="64"/>
      <c r="C1482" s="64"/>
      <c r="D1482" s="64"/>
      <c r="E1482" s="64"/>
      <c r="F1482" s="64"/>
      <c r="G1482" s="64"/>
      <c r="H1482" s="64"/>
      <c r="I1482" s="64"/>
      <c r="J1482" s="64"/>
      <c r="K1482" s="64"/>
      <c r="L1482" s="64"/>
      <c r="M1482" s="64"/>
      <c r="N1482" s="64"/>
      <c r="O1482" s="64"/>
      <c r="P1482" s="64"/>
      <c r="Q1482" s="64"/>
      <c r="R1482" s="64"/>
      <c r="S1482" s="64"/>
    </row>
    <row r="1483" spans="1:19" x14ac:dyDescent="0.25">
      <c r="A1483" s="63"/>
      <c r="B1483" s="64"/>
      <c r="C1483" s="64"/>
      <c r="D1483" s="64"/>
      <c r="E1483" s="64"/>
      <c r="F1483" s="64"/>
      <c r="G1483" s="64"/>
      <c r="H1483" s="64"/>
      <c r="I1483" s="64"/>
      <c r="J1483" s="64"/>
      <c r="K1483" s="64"/>
      <c r="L1483" s="64"/>
      <c r="M1483" s="64"/>
      <c r="N1483" s="64"/>
      <c r="O1483" s="64"/>
      <c r="P1483" s="64"/>
      <c r="Q1483" s="64"/>
      <c r="R1483" s="64"/>
      <c r="S1483" s="64"/>
    </row>
    <row r="1484" spans="1:19" x14ac:dyDescent="0.25">
      <c r="A1484" s="63"/>
      <c r="B1484" s="64"/>
      <c r="C1484" s="64"/>
      <c r="D1484" s="64"/>
      <c r="E1484" s="64"/>
      <c r="F1484" s="64"/>
      <c r="G1484" s="64"/>
      <c r="H1484" s="64"/>
      <c r="I1484" s="64"/>
      <c r="J1484" s="64"/>
      <c r="K1484" s="64"/>
      <c r="L1484" s="64"/>
      <c r="M1484" s="64"/>
      <c r="N1484" s="64"/>
      <c r="O1484" s="64"/>
      <c r="P1484" s="64"/>
      <c r="Q1484" s="64"/>
      <c r="R1484" s="64"/>
      <c r="S1484" s="64"/>
    </row>
    <row r="1485" spans="1:19" x14ac:dyDescent="0.25">
      <c r="A1485" s="63"/>
      <c r="B1485" s="64"/>
      <c r="C1485" s="64"/>
      <c r="D1485" s="64"/>
      <c r="E1485" s="64"/>
      <c r="F1485" s="64"/>
      <c r="G1485" s="64"/>
      <c r="H1485" s="64"/>
      <c r="I1485" s="64"/>
      <c r="J1485" s="64"/>
      <c r="K1485" s="64"/>
      <c r="L1485" s="64"/>
      <c r="M1485" s="64"/>
      <c r="N1485" s="64"/>
      <c r="O1485" s="64"/>
      <c r="P1485" s="64"/>
      <c r="Q1485" s="64"/>
      <c r="R1485" s="64"/>
      <c r="S1485" s="64"/>
    </row>
    <row r="1486" spans="1:19" x14ac:dyDescent="0.25">
      <c r="A1486" s="63"/>
      <c r="B1486" s="64"/>
      <c r="C1486" s="64"/>
      <c r="D1486" s="64"/>
      <c r="E1486" s="64"/>
      <c r="F1486" s="64"/>
      <c r="G1486" s="64"/>
      <c r="H1486" s="64"/>
      <c r="I1486" s="64"/>
      <c r="J1486" s="64"/>
      <c r="K1486" s="64"/>
      <c r="L1486" s="64"/>
      <c r="M1486" s="64"/>
      <c r="N1486" s="64"/>
      <c r="O1486" s="64"/>
      <c r="P1486" s="64"/>
      <c r="Q1486" s="64"/>
      <c r="R1486" s="64"/>
      <c r="S1486" s="64"/>
    </row>
    <row r="1487" spans="1:19" x14ac:dyDescent="0.25">
      <c r="A1487" s="63"/>
      <c r="B1487" s="64"/>
      <c r="C1487" s="64"/>
      <c r="D1487" s="64"/>
      <c r="E1487" s="64"/>
      <c r="F1487" s="64"/>
      <c r="G1487" s="64"/>
      <c r="H1487" s="64"/>
      <c r="I1487" s="64"/>
      <c r="J1487" s="64"/>
      <c r="K1487" s="64"/>
      <c r="L1487" s="64"/>
      <c r="M1487" s="64"/>
      <c r="N1487" s="64"/>
      <c r="O1487" s="64"/>
      <c r="P1487" s="64"/>
      <c r="Q1487" s="64"/>
      <c r="R1487" s="64"/>
      <c r="S1487" s="64"/>
    </row>
    <row r="1488" spans="1:19" x14ac:dyDescent="0.25">
      <c r="A1488" s="63"/>
      <c r="B1488" s="64"/>
      <c r="C1488" s="64"/>
      <c r="D1488" s="64"/>
      <c r="E1488" s="64"/>
      <c r="F1488" s="64"/>
      <c r="G1488" s="64"/>
      <c r="H1488" s="64"/>
      <c r="I1488" s="64"/>
      <c r="J1488" s="64"/>
      <c r="K1488" s="64"/>
      <c r="L1488" s="64"/>
      <c r="M1488" s="64"/>
      <c r="N1488" s="64"/>
      <c r="O1488" s="64"/>
      <c r="P1488" s="64"/>
      <c r="Q1488" s="64"/>
      <c r="R1488" s="64"/>
      <c r="S1488" s="64"/>
    </row>
    <row r="1489" spans="1:19" x14ac:dyDescent="0.25">
      <c r="A1489" s="63"/>
      <c r="B1489" s="64"/>
      <c r="C1489" s="64"/>
      <c r="D1489" s="64"/>
      <c r="E1489" s="64"/>
      <c r="F1489" s="64"/>
      <c r="G1489" s="64"/>
      <c r="H1489" s="64"/>
      <c r="I1489" s="64"/>
      <c r="J1489" s="64"/>
      <c r="K1489" s="64"/>
      <c r="L1489" s="64"/>
      <c r="M1489" s="64"/>
      <c r="N1489" s="64"/>
      <c r="O1489" s="64"/>
      <c r="P1489" s="64"/>
      <c r="Q1489" s="64"/>
      <c r="R1489" s="64"/>
      <c r="S1489" s="64"/>
    </row>
    <row r="1490" spans="1:19" x14ac:dyDescent="0.25">
      <c r="A1490" s="63"/>
      <c r="B1490" s="64"/>
      <c r="C1490" s="64"/>
      <c r="D1490" s="64"/>
      <c r="E1490" s="64"/>
      <c r="F1490" s="64"/>
      <c r="G1490" s="64"/>
      <c r="H1490" s="64"/>
      <c r="I1490" s="64"/>
      <c r="J1490" s="64"/>
      <c r="K1490" s="64"/>
      <c r="L1490" s="64"/>
      <c r="M1490" s="64"/>
      <c r="N1490" s="64"/>
      <c r="O1490" s="64"/>
      <c r="P1490" s="64"/>
      <c r="Q1490" s="64"/>
      <c r="R1490" s="64"/>
      <c r="S1490" s="64"/>
    </row>
    <row r="1491" spans="1:19" x14ac:dyDescent="0.25">
      <c r="A1491" s="63"/>
      <c r="B1491" s="64"/>
      <c r="C1491" s="64"/>
      <c r="D1491" s="64"/>
      <c r="E1491" s="64"/>
      <c r="F1491" s="64"/>
      <c r="G1491" s="64"/>
      <c r="H1491" s="64"/>
      <c r="I1491" s="64"/>
      <c r="J1491" s="64"/>
      <c r="K1491" s="64"/>
      <c r="L1491" s="64"/>
      <c r="M1491" s="64"/>
      <c r="N1491" s="64"/>
      <c r="O1491" s="64"/>
      <c r="P1491" s="64"/>
      <c r="Q1491" s="64"/>
      <c r="R1491" s="64"/>
      <c r="S1491" s="64"/>
    </row>
    <row r="1492" spans="1:19" x14ac:dyDescent="0.25">
      <c r="A1492" s="63"/>
      <c r="B1492" s="64"/>
      <c r="C1492" s="64"/>
      <c r="D1492" s="64"/>
      <c r="E1492" s="64"/>
      <c r="F1492" s="64"/>
      <c r="G1492" s="64"/>
      <c r="H1492" s="64"/>
      <c r="I1492" s="64"/>
      <c r="J1492" s="64"/>
      <c r="K1492" s="64"/>
      <c r="L1492" s="64"/>
      <c r="M1492" s="64"/>
      <c r="N1492" s="64"/>
      <c r="O1492" s="64"/>
      <c r="P1492" s="64"/>
      <c r="Q1492" s="64"/>
      <c r="R1492" s="64"/>
      <c r="S1492" s="64"/>
    </row>
    <row r="1493" spans="1:19" x14ac:dyDescent="0.25">
      <c r="A1493" s="63"/>
      <c r="B1493" s="64"/>
      <c r="C1493" s="64"/>
      <c r="D1493" s="64"/>
      <c r="E1493" s="64"/>
      <c r="F1493" s="64"/>
      <c r="G1493" s="64"/>
      <c r="H1493" s="64"/>
      <c r="I1493" s="64"/>
      <c r="J1493" s="64"/>
      <c r="K1493" s="64"/>
      <c r="L1493" s="64"/>
      <c r="M1493" s="64"/>
      <c r="N1493" s="64"/>
      <c r="O1493" s="64"/>
      <c r="P1493" s="64"/>
      <c r="Q1493" s="64"/>
      <c r="R1493" s="64"/>
      <c r="S1493" s="64"/>
    </row>
    <row r="1494" spans="1:19" x14ac:dyDescent="0.25">
      <c r="A1494" s="63"/>
      <c r="B1494" s="64"/>
      <c r="C1494" s="64"/>
      <c r="D1494" s="64"/>
      <c r="E1494" s="64"/>
      <c r="F1494" s="64"/>
      <c r="G1494" s="64"/>
      <c r="H1494" s="64"/>
      <c r="I1494" s="64"/>
      <c r="J1494" s="64"/>
      <c r="K1494" s="64"/>
      <c r="L1494" s="64"/>
      <c r="M1494" s="64"/>
      <c r="N1494" s="64"/>
      <c r="O1494" s="64"/>
      <c r="P1494" s="64"/>
      <c r="Q1494" s="64"/>
      <c r="R1494" s="64"/>
      <c r="S1494" s="64"/>
    </row>
    <row r="1495" spans="1:19" x14ac:dyDescent="0.25">
      <c r="A1495" s="63"/>
      <c r="B1495" s="64"/>
      <c r="C1495" s="64"/>
      <c r="D1495" s="64"/>
      <c r="E1495" s="64"/>
      <c r="F1495" s="64"/>
      <c r="G1495" s="64"/>
      <c r="H1495" s="64"/>
      <c r="I1495" s="64"/>
      <c r="J1495" s="64"/>
      <c r="K1495" s="64"/>
      <c r="L1495" s="64"/>
      <c r="M1495" s="64"/>
      <c r="N1495" s="64"/>
      <c r="O1495" s="64"/>
      <c r="P1495" s="64"/>
      <c r="Q1495" s="64"/>
      <c r="R1495" s="64"/>
      <c r="S1495" s="64"/>
    </row>
    <row r="1496" spans="1:19" x14ac:dyDescent="0.25">
      <c r="A1496" s="63"/>
      <c r="B1496" s="64"/>
      <c r="C1496" s="64"/>
      <c r="D1496" s="64"/>
      <c r="E1496" s="64"/>
      <c r="F1496" s="64"/>
      <c r="G1496" s="64"/>
      <c r="H1496" s="64"/>
      <c r="I1496" s="64"/>
      <c r="J1496" s="64"/>
      <c r="K1496" s="64"/>
      <c r="L1496" s="64"/>
      <c r="M1496" s="64"/>
      <c r="N1496" s="64"/>
      <c r="O1496" s="64"/>
      <c r="P1496" s="64"/>
      <c r="Q1496" s="64"/>
      <c r="R1496" s="64"/>
      <c r="S1496" s="64"/>
    </row>
    <row r="1497" spans="1:19" x14ac:dyDescent="0.25">
      <c r="A1497" s="63"/>
      <c r="B1497" s="64"/>
      <c r="C1497" s="64"/>
      <c r="D1497" s="64"/>
      <c r="E1497" s="64"/>
      <c r="F1497" s="64"/>
      <c r="G1497" s="64"/>
      <c r="H1497" s="64"/>
      <c r="I1497" s="64"/>
      <c r="J1497" s="64"/>
      <c r="K1497" s="64"/>
      <c r="L1497" s="64"/>
      <c r="M1497" s="64"/>
      <c r="N1497" s="64"/>
      <c r="O1497" s="64"/>
      <c r="P1497" s="64"/>
      <c r="Q1497" s="64"/>
      <c r="R1497" s="64"/>
      <c r="S1497" s="64"/>
    </row>
    <row r="1498" spans="1:19" x14ac:dyDescent="0.25">
      <c r="A1498" s="63"/>
      <c r="B1498" s="64"/>
      <c r="C1498" s="64"/>
      <c r="D1498" s="64"/>
      <c r="E1498" s="64"/>
      <c r="F1498" s="64"/>
      <c r="G1498" s="64"/>
      <c r="H1498" s="64"/>
      <c r="I1498" s="64"/>
      <c r="J1498" s="64"/>
      <c r="K1498" s="64"/>
      <c r="L1498" s="64"/>
      <c r="M1498" s="64"/>
      <c r="N1498" s="64"/>
      <c r="O1498" s="64"/>
      <c r="P1498" s="64"/>
      <c r="Q1498" s="64"/>
      <c r="R1498" s="64"/>
      <c r="S1498" s="64"/>
    </row>
    <row r="1499" spans="1:19" x14ac:dyDescent="0.25">
      <c r="A1499" s="63"/>
      <c r="B1499" s="64"/>
      <c r="C1499" s="64"/>
      <c r="D1499" s="64"/>
      <c r="E1499" s="64"/>
      <c r="F1499" s="64"/>
      <c r="G1499" s="64"/>
      <c r="H1499" s="64"/>
      <c r="I1499" s="64"/>
      <c r="J1499" s="64"/>
      <c r="K1499" s="64"/>
      <c r="L1499" s="64"/>
      <c r="M1499" s="64"/>
      <c r="N1499" s="64"/>
      <c r="O1499" s="64"/>
      <c r="P1499" s="64"/>
      <c r="Q1499" s="64"/>
      <c r="R1499" s="64"/>
      <c r="S1499" s="64"/>
    </row>
    <row r="1500" spans="1:19" x14ac:dyDescent="0.25">
      <c r="A1500" s="63"/>
      <c r="B1500" s="64"/>
      <c r="C1500" s="64"/>
      <c r="D1500" s="64"/>
      <c r="E1500" s="64"/>
      <c r="F1500" s="64"/>
      <c r="G1500" s="64"/>
      <c r="H1500" s="64"/>
      <c r="I1500" s="64"/>
      <c r="J1500" s="64"/>
      <c r="K1500" s="64"/>
      <c r="L1500" s="64"/>
      <c r="M1500" s="64"/>
      <c r="N1500" s="64"/>
      <c r="O1500" s="64"/>
      <c r="P1500" s="64"/>
      <c r="Q1500" s="64"/>
      <c r="R1500" s="64"/>
      <c r="S1500" s="64"/>
    </row>
    <row r="1501" spans="1:19" x14ac:dyDescent="0.25">
      <c r="A1501" s="63"/>
      <c r="B1501" s="64"/>
      <c r="C1501" s="64"/>
      <c r="D1501" s="64"/>
      <c r="E1501" s="64"/>
      <c r="F1501" s="64"/>
      <c r="G1501" s="64"/>
      <c r="H1501" s="64"/>
      <c r="I1501" s="64"/>
      <c r="J1501" s="64"/>
      <c r="K1501" s="64"/>
      <c r="L1501" s="64"/>
      <c r="M1501" s="64"/>
      <c r="N1501" s="64"/>
      <c r="O1501" s="64"/>
      <c r="P1501" s="64"/>
      <c r="Q1501" s="64"/>
      <c r="R1501" s="64"/>
      <c r="S1501" s="64"/>
    </row>
    <row r="1502" spans="1:19" x14ac:dyDescent="0.25">
      <c r="A1502" s="63"/>
      <c r="B1502" s="64"/>
      <c r="C1502" s="64"/>
      <c r="D1502" s="64"/>
      <c r="E1502" s="64"/>
      <c r="F1502" s="64"/>
      <c r="G1502" s="64"/>
      <c r="H1502" s="64"/>
      <c r="I1502" s="64"/>
      <c r="J1502" s="64"/>
      <c r="K1502" s="64"/>
      <c r="L1502" s="64"/>
      <c r="M1502" s="64"/>
      <c r="N1502" s="64"/>
      <c r="O1502" s="64"/>
      <c r="P1502" s="64"/>
      <c r="Q1502" s="64"/>
      <c r="R1502" s="64"/>
      <c r="S1502" s="64"/>
    </row>
    <row r="1503" spans="1:19" x14ac:dyDescent="0.25">
      <c r="A1503" s="63"/>
      <c r="B1503" s="64"/>
      <c r="C1503" s="64"/>
      <c r="D1503" s="64"/>
      <c r="E1503" s="64"/>
      <c r="F1503" s="64"/>
      <c r="G1503" s="64"/>
      <c r="H1503" s="64"/>
      <c r="I1503" s="64"/>
      <c r="J1503" s="64"/>
      <c r="K1503" s="64"/>
      <c r="L1503" s="64"/>
      <c r="M1503" s="64"/>
      <c r="N1503" s="64"/>
      <c r="O1503" s="64"/>
      <c r="P1503" s="64"/>
      <c r="Q1503" s="64"/>
      <c r="R1503" s="64"/>
      <c r="S1503" s="64"/>
    </row>
    <row r="1504" spans="1:19" x14ac:dyDescent="0.25">
      <c r="A1504" s="63"/>
      <c r="B1504" s="64"/>
      <c r="C1504" s="64"/>
      <c r="D1504" s="64"/>
      <c r="E1504" s="64"/>
      <c r="F1504" s="64"/>
      <c r="G1504" s="64"/>
      <c r="H1504" s="64"/>
      <c r="I1504" s="64"/>
      <c r="J1504" s="64"/>
      <c r="K1504" s="64"/>
      <c r="L1504" s="64"/>
      <c r="M1504" s="64"/>
      <c r="N1504" s="64"/>
      <c r="O1504" s="64"/>
      <c r="P1504" s="64"/>
      <c r="Q1504" s="64"/>
      <c r="R1504" s="64"/>
      <c r="S1504" s="64"/>
    </row>
    <row r="1505" spans="1:19" x14ac:dyDescent="0.25">
      <c r="A1505" s="63"/>
      <c r="B1505" s="64"/>
      <c r="C1505" s="64"/>
      <c r="D1505" s="64"/>
      <c r="E1505" s="64"/>
      <c r="F1505" s="64"/>
      <c r="G1505" s="64"/>
      <c r="H1505" s="64"/>
      <c r="I1505" s="64"/>
      <c r="J1505" s="64"/>
      <c r="K1505" s="64"/>
      <c r="L1505" s="64"/>
      <c r="M1505" s="64"/>
      <c r="N1505" s="64"/>
      <c r="O1505" s="64"/>
      <c r="P1505" s="64"/>
      <c r="Q1505" s="64"/>
      <c r="R1505" s="64"/>
      <c r="S1505" s="64"/>
    </row>
    <row r="1506" spans="1:19" x14ac:dyDescent="0.25">
      <c r="A1506" s="63"/>
      <c r="B1506" s="64"/>
      <c r="C1506" s="64"/>
      <c r="D1506" s="64"/>
      <c r="E1506" s="64"/>
      <c r="F1506" s="64"/>
      <c r="G1506" s="64"/>
      <c r="H1506" s="64"/>
      <c r="I1506" s="64"/>
      <c r="J1506" s="64"/>
      <c r="K1506" s="64"/>
      <c r="L1506" s="64"/>
      <c r="M1506" s="64"/>
      <c r="N1506" s="64"/>
      <c r="O1506" s="64"/>
      <c r="P1506" s="64"/>
      <c r="Q1506" s="64"/>
      <c r="R1506" s="64"/>
      <c r="S1506" s="64"/>
    </row>
    <row r="1507" spans="1:19" x14ac:dyDescent="0.25">
      <c r="A1507" s="63"/>
      <c r="B1507" s="64"/>
      <c r="C1507" s="64"/>
      <c r="D1507" s="64"/>
      <c r="E1507" s="64"/>
      <c r="F1507" s="64"/>
      <c r="G1507" s="64"/>
      <c r="H1507" s="64"/>
      <c r="I1507" s="64"/>
      <c r="J1507" s="64"/>
      <c r="K1507" s="64"/>
      <c r="L1507" s="64"/>
      <c r="M1507" s="64"/>
      <c r="N1507" s="64"/>
      <c r="O1507" s="64"/>
      <c r="P1507" s="64"/>
      <c r="Q1507" s="64"/>
      <c r="R1507" s="64"/>
      <c r="S1507" s="64"/>
    </row>
    <row r="1508" spans="1:19" x14ac:dyDescent="0.25">
      <c r="A1508" s="63"/>
      <c r="B1508" s="64"/>
      <c r="C1508" s="64"/>
      <c r="D1508" s="64"/>
      <c r="E1508" s="64"/>
      <c r="F1508" s="64"/>
      <c r="G1508" s="64"/>
      <c r="H1508" s="64"/>
      <c r="I1508" s="64"/>
      <c r="J1508" s="64"/>
      <c r="K1508" s="64"/>
      <c r="L1508" s="64"/>
      <c r="M1508" s="64"/>
      <c r="N1508" s="64"/>
      <c r="O1508" s="64"/>
      <c r="P1508" s="64"/>
      <c r="Q1508" s="64"/>
      <c r="R1508" s="64"/>
      <c r="S1508" s="64"/>
    </row>
    <row r="1509" spans="1:19" x14ac:dyDescent="0.25">
      <c r="A1509" s="63"/>
      <c r="B1509" s="64"/>
      <c r="C1509" s="64"/>
      <c r="D1509" s="64"/>
      <c r="E1509" s="64"/>
      <c r="F1509" s="64"/>
      <c r="G1509" s="64"/>
      <c r="H1509" s="64"/>
      <c r="I1509" s="64"/>
      <c r="J1509" s="64"/>
      <c r="K1509" s="64"/>
      <c r="L1509" s="64"/>
      <c r="M1509" s="64"/>
      <c r="N1509" s="64"/>
      <c r="O1509" s="64"/>
      <c r="P1509" s="64"/>
      <c r="Q1509" s="64"/>
      <c r="R1509" s="64"/>
      <c r="S1509" s="64"/>
    </row>
    <row r="1510" spans="1:19" x14ac:dyDescent="0.25">
      <c r="A1510" s="63"/>
      <c r="B1510" s="64"/>
      <c r="C1510" s="64"/>
      <c r="D1510" s="64"/>
      <c r="E1510" s="64"/>
      <c r="F1510" s="64"/>
      <c r="G1510" s="64"/>
      <c r="H1510" s="64"/>
      <c r="I1510" s="64"/>
      <c r="J1510" s="64"/>
      <c r="K1510" s="64"/>
      <c r="L1510" s="64"/>
      <c r="M1510" s="64"/>
      <c r="N1510" s="64"/>
      <c r="O1510" s="64"/>
      <c r="P1510" s="64"/>
      <c r="Q1510" s="64"/>
      <c r="R1510" s="64"/>
      <c r="S1510" s="64"/>
    </row>
    <row r="1511" spans="1:19" x14ac:dyDescent="0.25">
      <c r="A1511" s="63"/>
      <c r="B1511" s="64"/>
      <c r="C1511" s="64"/>
      <c r="D1511" s="64"/>
      <c r="E1511" s="64"/>
      <c r="F1511" s="64"/>
      <c r="G1511" s="64"/>
      <c r="H1511" s="64"/>
      <c r="I1511" s="64"/>
      <c r="J1511" s="64"/>
      <c r="K1511" s="64"/>
      <c r="L1511" s="64"/>
      <c r="M1511" s="64"/>
      <c r="N1511" s="64"/>
      <c r="O1511" s="64"/>
      <c r="P1511" s="64"/>
      <c r="Q1511" s="64"/>
      <c r="R1511" s="64"/>
      <c r="S1511" s="64"/>
    </row>
    <row r="1512" spans="1:19" x14ac:dyDescent="0.25">
      <c r="A1512" s="63"/>
      <c r="B1512" s="64"/>
      <c r="C1512" s="64"/>
      <c r="D1512" s="64"/>
      <c r="E1512" s="64"/>
      <c r="F1512" s="64"/>
      <c r="G1512" s="64"/>
      <c r="H1512" s="64"/>
      <c r="I1512" s="64"/>
      <c r="J1512" s="64"/>
      <c r="K1512" s="64"/>
      <c r="L1512" s="64"/>
      <c r="M1512" s="64"/>
      <c r="N1512" s="64"/>
      <c r="O1512" s="64"/>
      <c r="P1512" s="64"/>
      <c r="Q1512" s="64"/>
      <c r="R1512" s="64"/>
      <c r="S1512" s="64"/>
    </row>
    <row r="1513" spans="1:19" x14ac:dyDescent="0.25">
      <c r="A1513" s="63"/>
      <c r="B1513" s="64"/>
      <c r="C1513" s="64"/>
      <c r="D1513" s="64"/>
      <c r="E1513" s="64"/>
      <c r="F1513" s="64"/>
      <c r="G1513" s="64"/>
      <c r="H1513" s="64"/>
      <c r="I1513" s="64"/>
      <c r="J1513" s="64"/>
      <c r="K1513" s="64"/>
      <c r="L1513" s="64"/>
      <c r="M1513" s="64"/>
      <c r="N1513" s="64"/>
      <c r="O1513" s="64"/>
      <c r="P1513" s="64"/>
      <c r="Q1513" s="64"/>
      <c r="R1513" s="64"/>
      <c r="S1513" s="64"/>
    </row>
    <row r="1514" spans="1:19" x14ac:dyDescent="0.25">
      <c r="A1514" s="63"/>
      <c r="B1514" s="64"/>
      <c r="C1514" s="64"/>
      <c r="D1514" s="64"/>
      <c r="E1514" s="64"/>
      <c r="F1514" s="64"/>
      <c r="G1514" s="64"/>
      <c r="H1514" s="64"/>
      <c r="I1514" s="64"/>
      <c r="J1514" s="64"/>
      <c r="K1514" s="64"/>
      <c r="L1514" s="64"/>
      <c r="M1514" s="64"/>
      <c r="N1514" s="64"/>
      <c r="O1514" s="64"/>
      <c r="P1514" s="64"/>
      <c r="Q1514" s="64"/>
      <c r="R1514" s="64"/>
      <c r="S1514" s="64"/>
    </row>
    <row r="1515" spans="1:19" x14ac:dyDescent="0.25">
      <c r="A1515" s="63"/>
      <c r="B1515" s="64"/>
      <c r="C1515" s="64"/>
      <c r="D1515" s="64"/>
      <c r="E1515" s="64"/>
      <c r="F1515" s="64"/>
      <c r="G1515" s="64"/>
      <c r="H1515" s="64"/>
      <c r="I1515" s="64"/>
      <c r="J1515" s="64"/>
      <c r="K1515" s="64"/>
      <c r="L1515" s="64"/>
      <c r="M1515" s="64"/>
      <c r="N1515" s="64"/>
      <c r="O1515" s="64"/>
      <c r="P1515" s="64"/>
      <c r="Q1515" s="64"/>
      <c r="R1515" s="64"/>
      <c r="S1515" s="64"/>
    </row>
    <row r="1516" spans="1:19" x14ac:dyDescent="0.25">
      <c r="A1516" s="63"/>
      <c r="B1516" s="64"/>
      <c r="C1516" s="64"/>
      <c r="D1516" s="64"/>
      <c r="E1516" s="64"/>
      <c r="F1516" s="64"/>
      <c r="G1516" s="64"/>
      <c r="H1516" s="64"/>
      <c r="I1516" s="64"/>
      <c r="J1516" s="64"/>
      <c r="K1516" s="64"/>
      <c r="L1516" s="64"/>
      <c r="M1516" s="64"/>
      <c r="N1516" s="64"/>
      <c r="O1516" s="64"/>
      <c r="P1516" s="64"/>
      <c r="Q1516" s="64"/>
      <c r="R1516" s="64"/>
      <c r="S1516" s="64"/>
    </row>
    <row r="1517" spans="1:19" x14ac:dyDescent="0.25">
      <c r="A1517" s="63"/>
      <c r="B1517" s="64"/>
      <c r="C1517" s="64"/>
      <c r="D1517" s="64"/>
      <c r="E1517" s="64"/>
      <c r="F1517" s="64"/>
      <c r="G1517" s="64"/>
      <c r="H1517" s="64"/>
      <c r="I1517" s="64"/>
      <c r="J1517" s="64"/>
      <c r="K1517" s="64"/>
      <c r="L1517" s="64"/>
      <c r="M1517" s="64"/>
      <c r="N1517" s="64"/>
      <c r="O1517" s="64"/>
      <c r="P1517" s="64"/>
      <c r="Q1517" s="64"/>
      <c r="R1517" s="64"/>
      <c r="S1517" s="64"/>
    </row>
    <row r="1518" spans="1:19" x14ac:dyDescent="0.25">
      <c r="A1518" s="63"/>
      <c r="B1518" s="64"/>
      <c r="C1518" s="64"/>
      <c r="D1518" s="64"/>
      <c r="E1518" s="64"/>
      <c r="F1518" s="64"/>
      <c r="G1518" s="64"/>
      <c r="H1518" s="64"/>
      <c r="I1518" s="64"/>
      <c r="J1518" s="64"/>
      <c r="K1518" s="64"/>
      <c r="L1518" s="64"/>
      <c r="M1518" s="64"/>
      <c r="N1518" s="64"/>
      <c r="O1518" s="64"/>
      <c r="P1518" s="64"/>
      <c r="Q1518" s="64"/>
      <c r="R1518" s="64"/>
      <c r="S1518" s="64"/>
    </row>
    <row r="1519" spans="1:19" x14ac:dyDescent="0.25">
      <c r="A1519" s="63"/>
      <c r="B1519" s="64"/>
      <c r="C1519" s="64"/>
      <c r="D1519" s="64"/>
      <c r="E1519" s="64"/>
      <c r="F1519" s="64"/>
      <c r="G1519" s="64"/>
      <c r="H1519" s="64"/>
      <c r="I1519" s="64"/>
      <c r="J1519" s="64"/>
      <c r="K1519" s="64"/>
      <c r="L1519" s="64"/>
      <c r="M1519" s="64"/>
      <c r="N1519" s="64"/>
      <c r="O1519" s="64"/>
      <c r="P1519" s="64"/>
      <c r="Q1519" s="64"/>
      <c r="R1519" s="64"/>
      <c r="S1519" s="64"/>
    </row>
    <row r="1520" spans="1:19" x14ac:dyDescent="0.25">
      <c r="A1520" s="63"/>
      <c r="B1520" s="64"/>
      <c r="C1520" s="64"/>
      <c r="D1520" s="64"/>
      <c r="E1520" s="64"/>
      <c r="F1520" s="64"/>
      <c r="G1520" s="64"/>
      <c r="H1520" s="64"/>
      <c r="I1520" s="64"/>
      <c r="J1520" s="64"/>
      <c r="K1520" s="64"/>
      <c r="L1520" s="64"/>
      <c r="M1520" s="64"/>
      <c r="N1520" s="64"/>
      <c r="O1520" s="64"/>
      <c r="P1520" s="64"/>
      <c r="Q1520" s="64"/>
      <c r="R1520" s="64"/>
      <c r="S1520" s="64"/>
    </row>
    <row r="1521" spans="1:19" x14ac:dyDescent="0.25">
      <c r="A1521" s="63"/>
      <c r="B1521" s="64"/>
      <c r="C1521" s="64"/>
      <c r="D1521" s="64"/>
      <c r="E1521" s="64"/>
      <c r="F1521" s="64"/>
      <c r="G1521" s="64"/>
      <c r="H1521" s="64"/>
      <c r="I1521" s="64"/>
      <c r="J1521" s="64"/>
      <c r="K1521" s="64"/>
      <c r="L1521" s="64"/>
      <c r="M1521" s="64"/>
      <c r="N1521" s="64"/>
      <c r="O1521" s="64"/>
      <c r="P1521" s="64"/>
      <c r="Q1521" s="64"/>
      <c r="R1521" s="64"/>
      <c r="S1521" s="64"/>
    </row>
    <row r="1522" spans="1:19" x14ac:dyDescent="0.25">
      <c r="A1522" s="63"/>
      <c r="B1522" s="64"/>
      <c r="C1522" s="64"/>
      <c r="D1522" s="64"/>
      <c r="E1522" s="64"/>
      <c r="F1522" s="64"/>
      <c r="G1522" s="64"/>
      <c r="H1522" s="64"/>
      <c r="I1522" s="64"/>
      <c r="J1522" s="64"/>
      <c r="K1522" s="64"/>
      <c r="L1522" s="64"/>
      <c r="M1522" s="64"/>
      <c r="N1522" s="64"/>
      <c r="O1522" s="64"/>
      <c r="P1522" s="64"/>
      <c r="Q1522" s="64"/>
      <c r="R1522" s="64"/>
      <c r="S1522" s="64"/>
    </row>
    <row r="1523" spans="1:19" x14ac:dyDescent="0.25">
      <c r="A1523" s="63"/>
      <c r="B1523" s="64"/>
      <c r="C1523" s="64"/>
      <c r="D1523" s="64"/>
      <c r="E1523" s="64"/>
      <c r="F1523" s="64"/>
      <c r="G1523" s="64"/>
      <c r="H1523" s="64"/>
      <c r="I1523" s="64"/>
      <c r="J1523" s="64"/>
      <c r="K1523" s="64"/>
      <c r="L1523" s="64"/>
      <c r="M1523" s="64"/>
      <c r="N1523" s="64"/>
      <c r="O1523" s="64"/>
      <c r="P1523" s="64"/>
      <c r="Q1523" s="64"/>
      <c r="R1523" s="64"/>
      <c r="S1523" s="64"/>
    </row>
    <row r="1524" spans="1:19" x14ac:dyDescent="0.25">
      <c r="A1524" s="63"/>
      <c r="B1524" s="64"/>
      <c r="C1524" s="64"/>
      <c r="D1524" s="64"/>
      <c r="E1524" s="64"/>
      <c r="F1524" s="64"/>
      <c r="G1524" s="64"/>
      <c r="H1524" s="64"/>
      <c r="I1524" s="64"/>
      <c r="J1524" s="64"/>
      <c r="K1524" s="64"/>
      <c r="L1524" s="64"/>
      <c r="M1524" s="64"/>
      <c r="N1524" s="64"/>
      <c r="O1524" s="64"/>
      <c r="P1524" s="64"/>
      <c r="Q1524" s="64"/>
      <c r="R1524" s="64"/>
      <c r="S1524" s="64"/>
    </row>
    <row r="1525" spans="1:19" x14ac:dyDescent="0.25">
      <c r="A1525" s="63"/>
      <c r="B1525" s="64"/>
      <c r="C1525" s="64"/>
      <c r="D1525" s="64"/>
      <c r="E1525" s="64"/>
      <c r="F1525" s="64"/>
      <c r="G1525" s="64"/>
      <c r="H1525" s="64"/>
      <c r="I1525" s="64"/>
      <c r="J1525" s="64"/>
      <c r="K1525" s="64"/>
      <c r="L1525" s="64"/>
      <c r="M1525" s="64"/>
      <c r="N1525" s="64"/>
      <c r="O1525" s="64"/>
      <c r="P1525" s="64"/>
      <c r="Q1525" s="64"/>
      <c r="R1525" s="64"/>
      <c r="S1525" s="64"/>
    </row>
    <row r="1526" spans="1:19" x14ac:dyDescent="0.25">
      <c r="A1526" s="63"/>
      <c r="B1526" s="64"/>
      <c r="C1526" s="64"/>
      <c r="D1526" s="64"/>
      <c r="E1526" s="64"/>
      <c r="F1526" s="64"/>
      <c r="G1526" s="64"/>
      <c r="H1526" s="64"/>
      <c r="I1526" s="64"/>
      <c r="J1526" s="64"/>
      <c r="K1526" s="64"/>
      <c r="L1526" s="64"/>
      <c r="M1526" s="64"/>
      <c r="N1526" s="64"/>
      <c r="O1526" s="64"/>
      <c r="P1526" s="64"/>
      <c r="Q1526" s="64"/>
      <c r="R1526" s="64"/>
      <c r="S1526" s="64"/>
    </row>
    <row r="1527" spans="1:19" x14ac:dyDescent="0.25">
      <c r="A1527" s="63"/>
      <c r="B1527" s="64"/>
      <c r="C1527" s="64"/>
      <c r="D1527" s="64"/>
      <c r="E1527" s="64"/>
      <c r="F1527" s="64"/>
      <c r="G1527" s="64"/>
      <c r="H1527" s="64"/>
      <c r="I1527" s="64"/>
      <c r="J1527" s="64"/>
      <c r="K1527" s="64"/>
      <c r="L1527" s="64"/>
      <c r="M1527" s="64"/>
      <c r="N1527" s="64"/>
      <c r="O1527" s="64"/>
      <c r="P1527" s="64"/>
      <c r="Q1527" s="64"/>
      <c r="R1527" s="64"/>
      <c r="S1527" s="64"/>
    </row>
    <row r="1528" spans="1:19" x14ac:dyDescent="0.25">
      <c r="A1528" s="63"/>
      <c r="B1528" s="64"/>
      <c r="C1528" s="64"/>
      <c r="D1528" s="64"/>
      <c r="E1528" s="64"/>
      <c r="F1528" s="64"/>
      <c r="G1528" s="64"/>
      <c r="H1528" s="64"/>
      <c r="I1528" s="64"/>
      <c r="J1528" s="64"/>
      <c r="K1528" s="64"/>
      <c r="L1528" s="64"/>
      <c r="M1528" s="64"/>
      <c r="N1528" s="64"/>
      <c r="O1528" s="64"/>
      <c r="P1528" s="64"/>
      <c r="Q1528" s="64"/>
      <c r="R1528" s="64"/>
      <c r="S1528" s="64"/>
    </row>
    <row r="1529" spans="1:19" x14ac:dyDescent="0.25">
      <c r="A1529" s="63"/>
      <c r="B1529" s="64"/>
      <c r="C1529" s="64"/>
      <c r="D1529" s="64"/>
      <c r="E1529" s="64"/>
      <c r="F1529" s="64"/>
      <c r="G1529" s="64"/>
      <c r="H1529" s="64"/>
      <c r="I1529" s="64"/>
      <c r="J1529" s="64"/>
      <c r="K1529" s="64"/>
      <c r="L1529" s="64"/>
      <c r="M1529" s="64"/>
      <c r="N1529" s="64"/>
      <c r="O1529" s="64"/>
      <c r="P1529" s="64"/>
      <c r="Q1529" s="64"/>
      <c r="R1529" s="64"/>
      <c r="S1529" s="64"/>
    </row>
    <row r="1530" spans="1:19" x14ac:dyDescent="0.25">
      <c r="A1530" s="63"/>
      <c r="B1530" s="64"/>
      <c r="C1530" s="64"/>
      <c r="D1530" s="64"/>
      <c r="E1530" s="64"/>
      <c r="F1530" s="64"/>
      <c r="G1530" s="64"/>
      <c r="H1530" s="64"/>
      <c r="I1530" s="64"/>
      <c r="J1530" s="64"/>
      <c r="K1530" s="64"/>
      <c r="L1530" s="64"/>
      <c r="M1530" s="64"/>
      <c r="N1530" s="64"/>
      <c r="O1530" s="64"/>
      <c r="P1530" s="64"/>
      <c r="Q1530" s="64"/>
      <c r="R1530" s="64"/>
      <c r="S1530" s="64"/>
    </row>
    <row r="1531" spans="1:19" x14ac:dyDescent="0.25">
      <c r="A1531" s="63"/>
      <c r="B1531" s="64"/>
      <c r="C1531" s="64"/>
      <c r="D1531" s="64"/>
      <c r="E1531" s="64"/>
      <c r="F1531" s="64"/>
      <c r="G1531" s="64"/>
      <c r="H1531" s="64"/>
      <c r="I1531" s="64"/>
      <c r="J1531" s="64"/>
      <c r="K1531" s="64"/>
      <c r="L1531" s="64"/>
      <c r="M1531" s="64"/>
      <c r="N1531" s="64"/>
      <c r="O1531" s="64"/>
      <c r="P1531" s="64"/>
      <c r="Q1531" s="64"/>
      <c r="R1531" s="64"/>
      <c r="S1531" s="64"/>
    </row>
    <row r="1532" spans="1:19" x14ac:dyDescent="0.25">
      <c r="A1532" s="63"/>
      <c r="B1532" s="64"/>
      <c r="C1532" s="64"/>
      <c r="D1532" s="64"/>
      <c r="E1532" s="64"/>
      <c r="F1532" s="64"/>
      <c r="G1532" s="64"/>
      <c r="H1532" s="64"/>
      <c r="I1532" s="64"/>
      <c r="J1532" s="64"/>
      <c r="K1532" s="64"/>
      <c r="L1532" s="64"/>
      <c r="M1532" s="64"/>
      <c r="N1532" s="64"/>
      <c r="O1532" s="64"/>
      <c r="P1532" s="64"/>
      <c r="Q1532" s="64"/>
      <c r="R1532" s="64"/>
      <c r="S1532" s="64"/>
    </row>
    <row r="1533" spans="1:19" x14ac:dyDescent="0.25">
      <c r="A1533" s="63"/>
      <c r="B1533" s="64"/>
      <c r="C1533" s="64"/>
      <c r="D1533" s="64"/>
      <c r="E1533" s="64"/>
      <c r="F1533" s="64"/>
      <c r="G1533" s="64"/>
      <c r="H1533" s="64"/>
      <c r="I1533" s="64"/>
      <c r="J1533" s="64"/>
      <c r="K1533" s="64"/>
      <c r="L1533" s="64"/>
      <c r="M1533" s="64"/>
      <c r="N1533" s="64"/>
      <c r="O1533" s="64"/>
      <c r="P1533" s="64"/>
      <c r="Q1533" s="64"/>
      <c r="R1533" s="64"/>
      <c r="S1533" s="64"/>
    </row>
    <row r="1534" spans="1:19" x14ac:dyDescent="0.25">
      <c r="A1534" s="63"/>
      <c r="B1534" s="64"/>
      <c r="C1534" s="64"/>
      <c r="D1534" s="64"/>
      <c r="E1534" s="64"/>
      <c r="F1534" s="64"/>
      <c r="G1534" s="64"/>
      <c r="H1534" s="64"/>
      <c r="I1534" s="64"/>
      <c r="J1534" s="64"/>
      <c r="K1534" s="64"/>
      <c r="L1534" s="64"/>
      <c r="M1534" s="64"/>
      <c r="N1534" s="64"/>
      <c r="O1534" s="64"/>
      <c r="P1534" s="64"/>
      <c r="Q1534" s="64"/>
      <c r="R1534" s="64"/>
      <c r="S1534" s="64"/>
    </row>
    <row r="1535" spans="1:19" x14ac:dyDescent="0.25">
      <c r="A1535" s="63"/>
      <c r="B1535" s="64"/>
      <c r="C1535" s="64"/>
      <c r="D1535" s="64"/>
      <c r="E1535" s="64"/>
      <c r="F1535" s="64"/>
      <c r="G1535" s="64"/>
      <c r="H1535" s="64"/>
      <c r="I1535" s="64"/>
      <c r="J1535" s="64"/>
      <c r="K1535" s="64"/>
      <c r="L1535" s="64"/>
      <c r="M1535" s="64"/>
      <c r="N1535" s="64"/>
      <c r="O1535" s="64"/>
      <c r="P1535" s="64"/>
      <c r="Q1535" s="64"/>
      <c r="R1535" s="64"/>
      <c r="S1535" s="64"/>
    </row>
    <row r="1536" spans="1:19" x14ac:dyDescent="0.25">
      <c r="A1536" s="63"/>
      <c r="B1536" s="64"/>
      <c r="C1536" s="64"/>
      <c r="D1536" s="64"/>
      <c r="E1536" s="64"/>
      <c r="F1536" s="64"/>
      <c r="G1536" s="64"/>
      <c r="H1536" s="64"/>
      <c r="I1536" s="64"/>
      <c r="J1536" s="64"/>
      <c r="K1536" s="64"/>
      <c r="L1536" s="64"/>
      <c r="M1536" s="64"/>
      <c r="N1536" s="64"/>
      <c r="O1536" s="64"/>
      <c r="P1536" s="64"/>
      <c r="Q1536" s="64"/>
      <c r="R1536" s="64"/>
      <c r="S1536" s="64"/>
    </row>
    <row r="1537" spans="1:19" x14ac:dyDescent="0.25">
      <c r="A1537" s="63"/>
      <c r="B1537" s="64"/>
      <c r="C1537" s="64"/>
      <c r="D1537" s="64"/>
      <c r="E1537" s="64"/>
      <c r="F1537" s="64"/>
      <c r="G1537" s="64"/>
      <c r="H1537" s="64"/>
      <c r="I1537" s="64"/>
      <c r="J1537" s="64"/>
      <c r="K1537" s="64"/>
      <c r="L1537" s="64"/>
      <c r="M1537" s="64"/>
      <c r="N1537" s="64"/>
      <c r="O1537" s="64"/>
      <c r="P1537" s="64"/>
      <c r="Q1537" s="64"/>
      <c r="R1537" s="64"/>
      <c r="S1537" s="64"/>
    </row>
    <row r="1538" spans="1:19" x14ac:dyDescent="0.25">
      <c r="A1538" s="63"/>
      <c r="B1538" s="64"/>
      <c r="C1538" s="64"/>
      <c r="D1538" s="64"/>
      <c r="E1538" s="64"/>
      <c r="F1538" s="64"/>
      <c r="G1538" s="64"/>
      <c r="H1538" s="64"/>
      <c r="I1538" s="64"/>
      <c r="J1538" s="64"/>
      <c r="K1538" s="64"/>
      <c r="L1538" s="64"/>
      <c r="M1538" s="64"/>
      <c r="N1538" s="64"/>
      <c r="O1538" s="64"/>
      <c r="P1538" s="64"/>
      <c r="Q1538" s="64"/>
      <c r="R1538" s="64"/>
      <c r="S1538" s="64"/>
    </row>
    <row r="1539" spans="1:19" x14ac:dyDescent="0.25">
      <c r="A1539" s="63"/>
      <c r="B1539" s="64"/>
      <c r="C1539" s="64"/>
      <c r="D1539" s="64"/>
      <c r="E1539" s="64"/>
      <c r="F1539" s="64"/>
      <c r="G1539" s="64"/>
      <c r="H1539" s="64"/>
      <c r="I1539" s="64"/>
      <c r="J1539" s="64"/>
      <c r="K1539" s="64"/>
      <c r="L1539" s="64"/>
      <c r="M1539" s="64"/>
      <c r="N1539" s="64"/>
      <c r="O1539" s="64"/>
      <c r="P1539" s="64"/>
      <c r="Q1539" s="64"/>
      <c r="R1539" s="64"/>
      <c r="S1539" s="64"/>
    </row>
    <row r="1540" spans="1:19" x14ac:dyDescent="0.25">
      <c r="A1540" s="63"/>
      <c r="B1540" s="64"/>
      <c r="C1540" s="64"/>
      <c r="D1540" s="64"/>
      <c r="E1540" s="64"/>
      <c r="F1540" s="64"/>
      <c r="G1540" s="64"/>
      <c r="H1540" s="64"/>
      <c r="I1540" s="64"/>
      <c r="J1540" s="64"/>
      <c r="K1540" s="64"/>
      <c r="L1540" s="64"/>
      <c r="M1540" s="64"/>
      <c r="N1540" s="64"/>
      <c r="O1540" s="64"/>
      <c r="P1540" s="64"/>
      <c r="Q1540" s="64"/>
      <c r="R1540" s="64"/>
      <c r="S1540" s="64"/>
    </row>
    <row r="1541" spans="1:19" x14ac:dyDescent="0.25">
      <c r="A1541" s="63"/>
      <c r="B1541" s="64"/>
      <c r="C1541" s="64"/>
      <c r="D1541" s="64"/>
      <c r="E1541" s="64"/>
      <c r="F1541" s="64"/>
      <c r="G1541" s="64"/>
      <c r="H1541" s="64"/>
      <c r="I1541" s="64"/>
      <c r="J1541" s="64"/>
      <c r="K1541" s="64"/>
      <c r="L1541" s="64"/>
      <c r="M1541" s="64"/>
      <c r="N1541" s="64"/>
      <c r="O1541" s="64"/>
      <c r="P1541" s="64"/>
      <c r="Q1541" s="64"/>
      <c r="R1541" s="64"/>
      <c r="S1541" s="64"/>
    </row>
    <row r="1542" spans="1:19" x14ac:dyDescent="0.25">
      <c r="A1542" s="63"/>
      <c r="B1542" s="64"/>
      <c r="C1542" s="64"/>
      <c r="D1542" s="64"/>
      <c r="E1542" s="64"/>
      <c r="F1542" s="64"/>
      <c r="G1542" s="64"/>
      <c r="H1542" s="64"/>
      <c r="I1542" s="64"/>
      <c r="J1542" s="64"/>
      <c r="K1542" s="64"/>
      <c r="L1542" s="64"/>
      <c r="M1542" s="64"/>
      <c r="N1542" s="64"/>
      <c r="O1542" s="64"/>
      <c r="P1542" s="64"/>
      <c r="Q1542" s="64"/>
      <c r="R1542" s="64"/>
      <c r="S1542" s="64"/>
    </row>
    <row r="1543" spans="1:19" x14ac:dyDescent="0.25">
      <c r="A1543" s="63"/>
      <c r="B1543" s="64"/>
      <c r="C1543" s="64"/>
      <c r="D1543" s="64"/>
      <c r="E1543" s="64"/>
      <c r="F1543" s="64"/>
      <c r="G1543" s="64"/>
      <c r="H1543" s="64"/>
      <c r="I1543" s="64"/>
      <c r="J1543" s="64"/>
      <c r="K1543" s="64"/>
      <c r="L1543" s="64"/>
      <c r="M1543" s="64"/>
      <c r="N1543" s="64"/>
      <c r="O1543" s="64"/>
      <c r="P1543" s="64"/>
      <c r="Q1543" s="64"/>
      <c r="R1543" s="64"/>
      <c r="S1543" s="64"/>
    </row>
    <row r="1544" spans="1:19" x14ac:dyDescent="0.25">
      <c r="A1544" s="63"/>
      <c r="B1544" s="64"/>
      <c r="C1544" s="64"/>
      <c r="D1544" s="64"/>
      <c r="E1544" s="64"/>
      <c r="F1544" s="64"/>
      <c r="G1544" s="64"/>
      <c r="H1544" s="64"/>
      <c r="I1544" s="64"/>
      <c r="J1544" s="64"/>
      <c r="K1544" s="64"/>
      <c r="L1544" s="64"/>
      <c r="M1544" s="64"/>
      <c r="N1544" s="64"/>
      <c r="O1544" s="64"/>
      <c r="P1544" s="64"/>
      <c r="Q1544" s="64"/>
      <c r="R1544" s="64"/>
      <c r="S1544" s="64"/>
    </row>
    <row r="1545" spans="1:19" x14ac:dyDescent="0.25">
      <c r="A1545" s="63"/>
      <c r="B1545" s="64"/>
      <c r="C1545" s="64"/>
      <c r="D1545" s="64"/>
      <c r="E1545" s="64"/>
      <c r="F1545" s="64"/>
      <c r="G1545" s="64"/>
      <c r="H1545" s="64"/>
      <c r="I1545" s="64"/>
      <c r="J1545" s="64"/>
      <c r="K1545" s="64"/>
      <c r="L1545" s="64"/>
      <c r="M1545" s="64"/>
      <c r="N1545" s="64"/>
      <c r="O1545" s="64"/>
      <c r="P1545" s="64"/>
      <c r="Q1545" s="64"/>
      <c r="R1545" s="64"/>
      <c r="S1545" s="64"/>
    </row>
    <row r="1546" spans="1:19" x14ac:dyDescent="0.25">
      <c r="A1546" s="63"/>
      <c r="B1546" s="64"/>
      <c r="C1546" s="64"/>
      <c r="D1546" s="64"/>
      <c r="E1546" s="64"/>
      <c r="F1546" s="64"/>
      <c r="G1546" s="64"/>
      <c r="H1546" s="64"/>
      <c r="I1546" s="64"/>
      <c r="J1546" s="64"/>
      <c r="K1546" s="64"/>
      <c r="L1546" s="64"/>
      <c r="M1546" s="64"/>
      <c r="N1546" s="64"/>
      <c r="O1546" s="64"/>
      <c r="P1546" s="64"/>
      <c r="Q1546" s="64"/>
      <c r="R1546" s="64"/>
      <c r="S1546" s="64"/>
    </row>
    <row r="1547" spans="1:19" x14ac:dyDescent="0.25">
      <c r="A1547" s="63"/>
      <c r="B1547" s="64"/>
      <c r="C1547" s="64"/>
      <c r="D1547" s="64"/>
      <c r="E1547" s="64"/>
      <c r="F1547" s="64"/>
      <c r="G1547" s="64"/>
      <c r="H1547" s="64"/>
      <c r="I1547" s="64"/>
      <c r="J1547" s="64"/>
      <c r="K1547" s="64"/>
      <c r="L1547" s="64"/>
      <c r="M1547" s="64"/>
      <c r="N1547" s="64"/>
      <c r="O1547" s="64"/>
      <c r="P1547" s="64"/>
      <c r="Q1547" s="64"/>
      <c r="R1547" s="64"/>
      <c r="S1547" s="64"/>
    </row>
    <row r="1548" spans="1:19" x14ac:dyDescent="0.25">
      <c r="A1548" s="63"/>
      <c r="B1548" s="64"/>
      <c r="C1548" s="64"/>
      <c r="D1548" s="64"/>
      <c r="E1548" s="64"/>
      <c r="F1548" s="64"/>
      <c r="G1548" s="64"/>
      <c r="H1548" s="64"/>
      <c r="I1548" s="64"/>
      <c r="J1548" s="64"/>
      <c r="K1548" s="64"/>
      <c r="L1548" s="64"/>
      <c r="M1548" s="64"/>
      <c r="N1548" s="64"/>
      <c r="O1548" s="64"/>
      <c r="P1548" s="64"/>
      <c r="Q1548" s="64"/>
      <c r="R1548" s="64"/>
      <c r="S1548" s="64"/>
    </row>
    <row r="1549" spans="1:19" x14ac:dyDescent="0.25">
      <c r="A1549" s="63"/>
      <c r="B1549" s="64"/>
      <c r="C1549" s="64"/>
      <c r="D1549" s="64"/>
      <c r="E1549" s="64"/>
      <c r="F1549" s="64"/>
      <c r="G1549" s="64"/>
      <c r="H1549" s="64"/>
      <c r="I1549" s="64"/>
      <c r="J1549" s="64"/>
      <c r="K1549" s="64"/>
      <c r="L1549" s="64"/>
      <c r="M1549" s="64"/>
      <c r="N1549" s="64"/>
      <c r="O1549" s="64"/>
      <c r="P1549" s="64"/>
      <c r="Q1549" s="64"/>
      <c r="R1549" s="64"/>
      <c r="S1549" s="64"/>
    </row>
    <row r="1550" spans="1:19" x14ac:dyDescent="0.25">
      <c r="A1550" s="63"/>
      <c r="B1550" s="64"/>
      <c r="C1550" s="64"/>
      <c r="D1550" s="64"/>
      <c r="E1550" s="64"/>
      <c r="F1550" s="64"/>
      <c r="G1550" s="64"/>
      <c r="H1550" s="64"/>
      <c r="I1550" s="64"/>
      <c r="J1550" s="64"/>
      <c r="K1550" s="64"/>
      <c r="L1550" s="64"/>
      <c r="M1550" s="64"/>
      <c r="N1550" s="64"/>
      <c r="O1550" s="64"/>
      <c r="P1550" s="64"/>
      <c r="Q1550" s="64"/>
      <c r="R1550" s="64"/>
      <c r="S1550" s="64"/>
    </row>
    <row r="1551" spans="1:19" x14ac:dyDescent="0.25">
      <c r="A1551" s="63"/>
      <c r="B1551" s="64"/>
      <c r="C1551" s="64"/>
      <c r="D1551" s="64"/>
      <c r="E1551" s="64"/>
      <c r="F1551" s="64"/>
      <c r="G1551" s="64"/>
      <c r="H1551" s="64"/>
      <c r="I1551" s="64"/>
      <c r="J1551" s="64"/>
      <c r="K1551" s="64"/>
      <c r="L1551" s="64"/>
      <c r="M1551" s="64"/>
      <c r="N1551" s="64"/>
      <c r="O1551" s="64"/>
      <c r="P1551" s="64"/>
      <c r="Q1551" s="64"/>
      <c r="R1551" s="64"/>
      <c r="S1551" s="64"/>
    </row>
    <row r="1552" spans="1:19" x14ac:dyDescent="0.25">
      <c r="A1552" s="63"/>
      <c r="B1552" s="64"/>
      <c r="C1552" s="64"/>
      <c r="D1552" s="64"/>
      <c r="E1552" s="64"/>
      <c r="F1552" s="64"/>
      <c r="G1552" s="64"/>
      <c r="H1552" s="64"/>
      <c r="I1552" s="64"/>
      <c r="J1552" s="64"/>
      <c r="K1552" s="64"/>
      <c r="L1552" s="64"/>
      <c r="M1552" s="64"/>
      <c r="N1552" s="64"/>
      <c r="O1552" s="64"/>
      <c r="P1552" s="64"/>
      <c r="Q1552" s="64"/>
      <c r="R1552" s="64"/>
      <c r="S1552" s="64"/>
    </row>
    <row r="1553" spans="1:19" x14ac:dyDescent="0.25">
      <c r="A1553" s="63"/>
      <c r="B1553" s="64"/>
      <c r="C1553" s="64"/>
      <c r="D1553" s="64"/>
      <c r="E1553" s="64"/>
      <c r="F1553" s="64"/>
      <c r="G1553" s="64"/>
      <c r="H1553" s="64"/>
      <c r="I1553" s="64"/>
      <c r="J1553" s="64"/>
      <c r="K1553" s="64"/>
      <c r="L1553" s="64"/>
      <c r="M1553" s="64"/>
      <c r="N1553" s="64"/>
      <c r="O1553" s="64"/>
      <c r="P1553" s="64"/>
      <c r="Q1553" s="64"/>
      <c r="R1553" s="64"/>
      <c r="S1553" s="64"/>
    </row>
    <row r="1554" spans="1:19" x14ac:dyDescent="0.25">
      <c r="A1554" s="63"/>
      <c r="B1554" s="64"/>
      <c r="C1554" s="64"/>
      <c r="D1554" s="64"/>
      <c r="E1554" s="64"/>
      <c r="F1554" s="64"/>
      <c r="G1554" s="64"/>
      <c r="H1554" s="64"/>
      <c r="I1554" s="64"/>
      <c r="J1554" s="64"/>
      <c r="K1554" s="64"/>
      <c r="L1554" s="64"/>
      <c r="M1554" s="64"/>
      <c r="N1554" s="64"/>
      <c r="O1554" s="64"/>
      <c r="P1554" s="64"/>
      <c r="Q1554" s="64"/>
      <c r="R1554" s="64"/>
      <c r="S1554" s="64"/>
    </row>
    <row r="1555" spans="1:19" x14ac:dyDescent="0.25">
      <c r="A1555" s="63"/>
      <c r="B1555" s="64"/>
      <c r="C1555" s="64"/>
      <c r="D1555" s="64"/>
      <c r="E1555" s="64"/>
      <c r="F1555" s="64"/>
      <c r="G1555" s="64"/>
      <c r="H1555" s="64"/>
      <c r="I1555" s="64"/>
      <c r="J1555" s="64"/>
      <c r="K1555" s="64"/>
      <c r="L1555" s="64"/>
      <c r="M1555" s="64"/>
      <c r="N1555" s="64"/>
      <c r="O1555" s="64"/>
      <c r="P1555" s="64"/>
      <c r="Q1555" s="64"/>
      <c r="R1555" s="64"/>
      <c r="S1555" s="64"/>
    </row>
    <row r="1556" spans="1:19" x14ac:dyDescent="0.25">
      <c r="A1556" s="63"/>
      <c r="B1556" s="64"/>
      <c r="C1556" s="64"/>
      <c r="D1556" s="64"/>
      <c r="E1556" s="64"/>
      <c r="F1556" s="64"/>
      <c r="G1556" s="64"/>
      <c r="H1556" s="64"/>
      <c r="I1556" s="64"/>
      <c r="J1556" s="64"/>
      <c r="K1556" s="64"/>
      <c r="L1556" s="64"/>
      <c r="M1556" s="64"/>
      <c r="N1556" s="64"/>
      <c r="O1556" s="64"/>
      <c r="P1556" s="64"/>
      <c r="Q1556" s="64"/>
      <c r="R1556" s="64"/>
      <c r="S1556" s="64"/>
    </row>
    <row r="1557" spans="1:19" x14ac:dyDescent="0.25">
      <c r="A1557" s="63"/>
      <c r="B1557" s="64"/>
      <c r="C1557" s="64"/>
      <c r="D1557" s="64"/>
      <c r="E1557" s="64"/>
      <c r="F1557" s="64"/>
      <c r="G1557" s="64"/>
      <c r="H1557" s="64"/>
      <c r="I1557" s="64"/>
      <c r="J1557" s="64"/>
      <c r="K1557" s="64"/>
      <c r="L1557" s="64"/>
      <c r="M1557" s="64"/>
      <c r="N1557" s="64"/>
      <c r="O1557" s="64"/>
      <c r="P1557" s="64"/>
      <c r="Q1557" s="64"/>
      <c r="R1557" s="64"/>
      <c r="S1557" s="64"/>
    </row>
    <row r="1558" spans="1:19" x14ac:dyDescent="0.25">
      <c r="A1558" s="63"/>
      <c r="B1558" s="64"/>
      <c r="C1558" s="64"/>
      <c r="D1558" s="64"/>
      <c r="E1558" s="64"/>
      <c r="F1558" s="64"/>
      <c r="G1558" s="64"/>
      <c r="H1558" s="64"/>
      <c r="I1558" s="64"/>
      <c r="J1558" s="64"/>
      <c r="K1558" s="64"/>
      <c r="L1558" s="64"/>
      <c r="M1558" s="64"/>
      <c r="N1558" s="64"/>
      <c r="O1558" s="64"/>
      <c r="P1558" s="64"/>
      <c r="Q1558" s="64"/>
      <c r="R1558" s="64"/>
      <c r="S1558" s="64"/>
    </row>
    <row r="1559" spans="1:19" x14ac:dyDescent="0.25">
      <c r="A1559" s="63"/>
      <c r="B1559" s="64"/>
      <c r="C1559" s="64"/>
      <c r="D1559" s="64"/>
      <c r="E1559" s="64"/>
      <c r="F1559" s="64"/>
      <c r="G1559" s="64"/>
      <c r="H1559" s="64"/>
      <c r="I1559" s="64"/>
      <c r="J1559" s="64"/>
      <c r="K1559" s="64"/>
      <c r="L1559" s="64"/>
      <c r="M1559" s="64"/>
      <c r="N1559" s="64"/>
      <c r="O1559" s="64"/>
      <c r="P1559" s="64"/>
      <c r="Q1559" s="64"/>
      <c r="R1559" s="64"/>
      <c r="S1559" s="64"/>
    </row>
    <row r="1560" spans="1:19" x14ac:dyDescent="0.25">
      <c r="A1560" s="63"/>
      <c r="B1560" s="64"/>
      <c r="C1560" s="64"/>
      <c r="D1560" s="64"/>
      <c r="E1560" s="64"/>
      <c r="F1560" s="64"/>
      <c r="G1560" s="64"/>
      <c r="H1560" s="64"/>
      <c r="I1560" s="64"/>
      <c r="J1560" s="64"/>
      <c r="K1560" s="64"/>
      <c r="L1560" s="64"/>
      <c r="M1560" s="64"/>
      <c r="N1560" s="64"/>
      <c r="O1560" s="64"/>
      <c r="P1560" s="64"/>
      <c r="Q1560" s="64"/>
      <c r="R1560" s="64"/>
      <c r="S1560" s="64"/>
    </row>
    <row r="1561" spans="1:19" x14ac:dyDescent="0.25">
      <c r="A1561" s="63"/>
      <c r="B1561" s="64"/>
      <c r="C1561" s="64"/>
      <c r="D1561" s="64"/>
      <c r="E1561" s="64"/>
      <c r="F1561" s="64"/>
      <c r="G1561" s="64"/>
      <c r="H1561" s="64"/>
      <c r="I1561" s="64"/>
      <c r="J1561" s="64"/>
      <c r="K1561" s="64"/>
      <c r="L1561" s="64"/>
      <c r="M1561" s="64"/>
      <c r="N1561" s="64"/>
      <c r="O1561" s="64"/>
      <c r="P1561" s="64"/>
      <c r="Q1561" s="64"/>
      <c r="R1561" s="64"/>
      <c r="S1561" s="64"/>
    </row>
    <row r="1562" spans="1:19" x14ac:dyDescent="0.25">
      <c r="A1562" s="63"/>
      <c r="B1562" s="64"/>
      <c r="C1562" s="64"/>
      <c r="D1562" s="64"/>
      <c r="E1562" s="64"/>
      <c r="F1562" s="64"/>
      <c r="G1562" s="64"/>
      <c r="H1562" s="64"/>
      <c r="I1562" s="64"/>
      <c r="J1562" s="64"/>
      <c r="K1562" s="64"/>
      <c r="L1562" s="64"/>
      <c r="M1562" s="64"/>
      <c r="N1562" s="64"/>
      <c r="O1562" s="64"/>
      <c r="P1562" s="64"/>
      <c r="Q1562" s="64"/>
      <c r="R1562" s="64"/>
      <c r="S1562" s="64"/>
    </row>
    <row r="1563" spans="1:19" x14ac:dyDescent="0.25">
      <c r="A1563" s="63"/>
      <c r="B1563" s="64"/>
      <c r="C1563" s="64"/>
      <c r="D1563" s="64"/>
      <c r="E1563" s="64"/>
      <c r="F1563" s="64"/>
      <c r="G1563" s="64"/>
      <c r="H1563" s="64"/>
      <c r="I1563" s="64"/>
      <c r="J1563" s="64"/>
      <c r="K1563" s="64"/>
      <c r="L1563" s="64"/>
      <c r="M1563" s="64"/>
      <c r="N1563" s="64"/>
      <c r="O1563" s="64"/>
      <c r="P1563" s="64"/>
      <c r="Q1563" s="64"/>
      <c r="R1563" s="64"/>
      <c r="S1563" s="64"/>
    </row>
    <row r="1564" spans="1:19" x14ac:dyDescent="0.25">
      <c r="A1564" s="63"/>
      <c r="B1564" s="64"/>
      <c r="C1564" s="64"/>
      <c r="D1564" s="64"/>
      <c r="E1564" s="64"/>
      <c r="F1564" s="64"/>
      <c r="G1564" s="64"/>
      <c r="H1564" s="64"/>
      <c r="I1564" s="64"/>
      <c r="J1564" s="64"/>
      <c r="K1564" s="64"/>
      <c r="L1564" s="64"/>
      <c r="M1564" s="64"/>
      <c r="N1564" s="64"/>
      <c r="O1564" s="64"/>
      <c r="P1564" s="64"/>
      <c r="Q1564" s="64"/>
      <c r="R1564" s="64"/>
      <c r="S1564" s="64"/>
    </row>
    <row r="1565" spans="1:19" x14ac:dyDescent="0.25">
      <c r="A1565" s="63"/>
      <c r="B1565" s="64"/>
      <c r="C1565" s="64"/>
      <c r="D1565" s="64"/>
      <c r="E1565" s="64"/>
      <c r="F1565" s="64"/>
      <c r="G1565" s="64"/>
      <c r="H1565" s="64"/>
      <c r="I1565" s="64"/>
      <c r="J1565" s="64"/>
      <c r="K1565" s="64"/>
      <c r="L1565" s="64"/>
      <c r="M1565" s="64"/>
      <c r="N1565" s="64"/>
      <c r="O1565" s="64"/>
      <c r="P1565" s="64"/>
      <c r="Q1565" s="64"/>
      <c r="R1565" s="64"/>
      <c r="S1565" s="64"/>
    </row>
    <row r="1566" spans="1:19" x14ac:dyDescent="0.25">
      <c r="A1566" s="63"/>
      <c r="B1566" s="64"/>
      <c r="C1566" s="64"/>
      <c r="D1566" s="64"/>
      <c r="E1566" s="64"/>
      <c r="F1566" s="64"/>
      <c r="G1566" s="64"/>
      <c r="H1566" s="64"/>
      <c r="I1566" s="64"/>
      <c r="J1566" s="64"/>
      <c r="K1566" s="64"/>
      <c r="L1566" s="64"/>
      <c r="M1566" s="64"/>
      <c r="N1566" s="64"/>
      <c r="O1566" s="64"/>
      <c r="P1566" s="64"/>
      <c r="Q1566" s="64"/>
      <c r="R1566" s="64"/>
      <c r="S1566" s="64"/>
    </row>
    <row r="1567" spans="1:19" x14ac:dyDescent="0.25">
      <c r="A1567" s="63"/>
      <c r="B1567" s="64"/>
      <c r="C1567" s="64"/>
      <c r="D1567" s="64"/>
      <c r="E1567" s="64"/>
      <c r="F1567" s="64"/>
      <c r="G1567" s="64"/>
      <c r="H1567" s="64"/>
      <c r="I1567" s="64"/>
      <c r="J1567" s="64"/>
      <c r="K1567" s="64"/>
      <c r="L1567" s="64"/>
      <c r="M1567" s="64"/>
      <c r="N1567" s="64"/>
      <c r="O1567" s="64"/>
      <c r="P1567" s="64"/>
      <c r="Q1567" s="64"/>
      <c r="R1567" s="64"/>
      <c r="S1567" s="64"/>
    </row>
    <row r="1568" spans="1:19" x14ac:dyDescent="0.25">
      <c r="A1568" s="63"/>
      <c r="B1568" s="64"/>
      <c r="C1568" s="64"/>
      <c r="D1568" s="64"/>
      <c r="E1568" s="64"/>
      <c r="F1568" s="64"/>
      <c r="G1568" s="64"/>
      <c r="H1568" s="64"/>
      <c r="I1568" s="64"/>
      <c r="J1568" s="64"/>
      <c r="K1568" s="64"/>
      <c r="L1568" s="64"/>
      <c r="M1568" s="64"/>
      <c r="N1568" s="64"/>
      <c r="O1568" s="64"/>
      <c r="P1568" s="64"/>
      <c r="Q1568" s="64"/>
      <c r="R1568" s="64"/>
      <c r="S1568" s="64"/>
    </row>
    <row r="1569" spans="1:19" x14ac:dyDescent="0.25">
      <c r="A1569" s="63"/>
      <c r="B1569" s="64"/>
      <c r="C1569" s="64"/>
      <c r="D1569" s="64"/>
      <c r="E1569" s="64"/>
      <c r="F1569" s="64"/>
      <c r="G1569" s="64"/>
      <c r="H1569" s="64"/>
      <c r="I1569" s="64"/>
      <c r="J1569" s="64"/>
      <c r="K1569" s="64"/>
      <c r="L1569" s="64"/>
      <c r="M1569" s="64"/>
      <c r="N1569" s="64"/>
      <c r="O1569" s="64"/>
      <c r="P1569" s="64"/>
      <c r="Q1569" s="64"/>
      <c r="R1569" s="64"/>
      <c r="S1569" s="64"/>
    </row>
    <row r="1570" spans="1:19" x14ac:dyDescent="0.25">
      <c r="A1570" s="63"/>
      <c r="B1570" s="64"/>
      <c r="C1570" s="64"/>
      <c r="D1570" s="64"/>
      <c r="E1570" s="64"/>
      <c r="F1570" s="64"/>
      <c r="G1570" s="64"/>
      <c r="H1570" s="64"/>
      <c r="I1570" s="64"/>
      <c r="J1570" s="64"/>
      <c r="K1570" s="64"/>
      <c r="L1570" s="64"/>
      <c r="M1570" s="64"/>
      <c r="N1570" s="64"/>
      <c r="O1570" s="64"/>
      <c r="P1570" s="64"/>
      <c r="Q1570" s="64"/>
      <c r="R1570" s="64"/>
      <c r="S1570" s="64"/>
    </row>
    <row r="1571" spans="1:19" x14ac:dyDescent="0.25">
      <c r="A1571" s="63"/>
      <c r="B1571" s="64"/>
      <c r="C1571" s="64"/>
      <c r="D1571" s="64"/>
      <c r="E1571" s="64"/>
      <c r="F1571" s="64"/>
      <c r="G1571" s="64"/>
      <c r="H1571" s="64"/>
      <c r="I1571" s="64"/>
      <c r="J1571" s="64"/>
      <c r="K1571" s="64"/>
      <c r="L1571" s="64"/>
      <c r="M1571" s="64"/>
      <c r="N1571" s="64"/>
      <c r="O1571" s="64"/>
      <c r="P1571" s="64"/>
      <c r="Q1571" s="64"/>
      <c r="R1571" s="64"/>
      <c r="S1571" s="64"/>
    </row>
    <row r="1572" spans="1:19" x14ac:dyDescent="0.25">
      <c r="A1572" s="63"/>
      <c r="B1572" s="64"/>
      <c r="C1572" s="64"/>
      <c r="D1572" s="64"/>
      <c r="E1572" s="64"/>
      <c r="F1572" s="64"/>
      <c r="G1572" s="64"/>
      <c r="H1572" s="64"/>
      <c r="I1572" s="64"/>
      <c r="J1572" s="64"/>
      <c r="K1572" s="64"/>
      <c r="L1572" s="64"/>
      <c r="M1572" s="64"/>
      <c r="N1572" s="64"/>
      <c r="O1572" s="64"/>
      <c r="P1572" s="64"/>
      <c r="Q1572" s="64"/>
      <c r="R1572" s="64"/>
      <c r="S1572" s="64"/>
    </row>
    <row r="1573" spans="1:19" x14ac:dyDescent="0.25">
      <c r="A1573" s="63"/>
      <c r="B1573" s="64"/>
      <c r="C1573" s="64"/>
      <c r="D1573" s="64"/>
      <c r="E1573" s="64"/>
      <c r="F1573" s="64"/>
      <c r="G1573" s="64"/>
      <c r="H1573" s="64"/>
      <c r="I1573" s="64"/>
      <c r="J1573" s="64"/>
      <c r="K1573" s="64"/>
      <c r="L1573" s="64"/>
      <c r="M1573" s="64"/>
      <c r="N1573" s="64"/>
      <c r="O1573" s="64"/>
      <c r="P1573" s="64"/>
      <c r="Q1573" s="64"/>
      <c r="R1573" s="64"/>
      <c r="S1573" s="64"/>
    </row>
    <row r="1574" spans="1:19" x14ac:dyDescent="0.25">
      <c r="A1574" s="63"/>
      <c r="B1574" s="64"/>
      <c r="C1574" s="64"/>
      <c r="D1574" s="64"/>
      <c r="E1574" s="64"/>
      <c r="F1574" s="64"/>
      <c r="G1574" s="64"/>
      <c r="H1574" s="64"/>
      <c r="I1574" s="64"/>
      <c r="J1574" s="64"/>
      <c r="K1574" s="64"/>
      <c r="L1574" s="64"/>
      <c r="M1574" s="64"/>
      <c r="N1574" s="64"/>
      <c r="O1574" s="64"/>
      <c r="P1574" s="64"/>
      <c r="Q1574" s="64"/>
      <c r="R1574" s="64"/>
      <c r="S1574" s="64"/>
    </row>
    <row r="1575" spans="1:19" x14ac:dyDescent="0.25">
      <c r="A1575" s="63"/>
      <c r="B1575" s="64"/>
      <c r="C1575" s="64"/>
      <c r="D1575" s="64"/>
      <c r="E1575" s="64"/>
      <c r="F1575" s="64"/>
      <c r="G1575" s="64"/>
      <c r="H1575" s="64"/>
      <c r="I1575" s="64"/>
      <c r="J1575" s="64"/>
      <c r="K1575" s="64"/>
      <c r="L1575" s="64"/>
      <c r="M1575" s="64"/>
      <c r="N1575" s="64"/>
      <c r="O1575" s="64"/>
      <c r="P1575" s="64"/>
      <c r="Q1575" s="64"/>
      <c r="R1575" s="64"/>
      <c r="S1575" s="64"/>
    </row>
    <row r="1576" spans="1:19" x14ac:dyDescent="0.25">
      <c r="A1576" s="63"/>
      <c r="B1576" s="64"/>
      <c r="C1576" s="64"/>
      <c r="D1576" s="64"/>
      <c r="E1576" s="64"/>
      <c r="F1576" s="64"/>
      <c r="G1576" s="64"/>
      <c r="H1576" s="64"/>
      <c r="I1576" s="64"/>
      <c r="J1576" s="64"/>
      <c r="K1576" s="64"/>
      <c r="L1576" s="64"/>
      <c r="M1576" s="64"/>
      <c r="N1576" s="64"/>
      <c r="O1576" s="64"/>
      <c r="P1576" s="64"/>
      <c r="Q1576" s="64"/>
      <c r="R1576" s="64"/>
      <c r="S1576" s="64"/>
    </row>
    <row r="1577" spans="1:19" x14ac:dyDescent="0.25">
      <c r="A1577" s="63"/>
      <c r="B1577" s="64"/>
      <c r="C1577" s="64"/>
      <c r="D1577" s="64"/>
      <c r="E1577" s="64"/>
      <c r="F1577" s="64"/>
      <c r="G1577" s="64"/>
      <c r="H1577" s="64"/>
      <c r="I1577" s="64"/>
      <c r="J1577" s="64"/>
      <c r="K1577" s="64"/>
      <c r="L1577" s="64"/>
      <c r="M1577" s="64"/>
      <c r="N1577" s="64"/>
      <c r="O1577" s="64"/>
      <c r="P1577" s="64"/>
      <c r="Q1577" s="64"/>
      <c r="R1577" s="64"/>
      <c r="S1577" s="64"/>
    </row>
    <row r="1578" spans="1:19" x14ac:dyDescent="0.25">
      <c r="A1578" s="63"/>
      <c r="B1578" s="64"/>
      <c r="C1578" s="64"/>
      <c r="D1578" s="64"/>
      <c r="E1578" s="64"/>
      <c r="F1578" s="64"/>
      <c r="G1578" s="64"/>
      <c r="H1578" s="64"/>
      <c r="I1578" s="64"/>
      <c r="J1578" s="64"/>
      <c r="K1578" s="64"/>
      <c r="L1578" s="64"/>
      <c r="M1578" s="64"/>
      <c r="N1578" s="64"/>
      <c r="O1578" s="64"/>
      <c r="P1578" s="64"/>
      <c r="Q1578" s="64"/>
      <c r="R1578" s="64"/>
      <c r="S1578" s="64"/>
    </row>
    <row r="1579" spans="1:19" x14ac:dyDescent="0.25">
      <c r="A1579" s="63"/>
      <c r="B1579" s="64"/>
      <c r="C1579" s="64"/>
      <c r="D1579" s="64"/>
      <c r="E1579" s="64"/>
      <c r="F1579" s="64"/>
      <c r="G1579" s="64"/>
      <c r="H1579" s="64"/>
      <c r="I1579" s="64"/>
      <c r="J1579" s="64"/>
      <c r="K1579" s="64"/>
      <c r="L1579" s="64"/>
      <c r="M1579" s="64"/>
      <c r="N1579" s="64"/>
      <c r="O1579" s="64"/>
      <c r="P1579" s="64"/>
      <c r="Q1579" s="64"/>
      <c r="R1579" s="64"/>
      <c r="S1579" s="64"/>
    </row>
    <row r="1580" spans="1:19" x14ac:dyDescent="0.25">
      <c r="A1580" s="63"/>
      <c r="B1580" s="64"/>
      <c r="C1580" s="64"/>
      <c r="D1580" s="64"/>
      <c r="E1580" s="64"/>
      <c r="F1580" s="64"/>
      <c r="G1580" s="64"/>
      <c r="H1580" s="64"/>
      <c r="I1580" s="64"/>
      <c r="J1580" s="64"/>
      <c r="K1580" s="64"/>
      <c r="L1580" s="64"/>
      <c r="M1580" s="64"/>
      <c r="N1580" s="64"/>
      <c r="O1580" s="64"/>
      <c r="P1580" s="64"/>
      <c r="Q1580" s="64"/>
      <c r="R1580" s="64"/>
      <c r="S1580" s="64"/>
    </row>
    <row r="1581" spans="1:19" x14ac:dyDescent="0.25">
      <c r="A1581" s="63"/>
      <c r="B1581" s="64"/>
      <c r="C1581" s="64"/>
      <c r="D1581" s="64"/>
      <c r="E1581" s="64"/>
      <c r="F1581" s="64"/>
      <c r="G1581" s="64"/>
      <c r="H1581" s="64"/>
      <c r="I1581" s="64"/>
      <c r="J1581" s="64"/>
      <c r="K1581" s="64"/>
      <c r="L1581" s="64"/>
      <c r="M1581" s="64"/>
      <c r="N1581" s="64"/>
      <c r="O1581" s="64"/>
      <c r="P1581" s="64"/>
      <c r="Q1581" s="64"/>
      <c r="R1581" s="64"/>
      <c r="S1581" s="64"/>
    </row>
    <row r="1582" spans="1:19" x14ac:dyDescent="0.25">
      <c r="A1582" s="63"/>
      <c r="B1582" s="64"/>
      <c r="C1582" s="64"/>
      <c r="D1582" s="64"/>
      <c r="E1582" s="64"/>
      <c r="F1582" s="64"/>
      <c r="G1582" s="64"/>
      <c r="H1582" s="64"/>
      <c r="I1582" s="64"/>
      <c r="J1582" s="64"/>
      <c r="K1582" s="64"/>
      <c r="L1582" s="64"/>
      <c r="M1582" s="64"/>
      <c r="N1582" s="64"/>
      <c r="O1582" s="64"/>
      <c r="P1582" s="64"/>
      <c r="Q1582" s="64"/>
      <c r="R1582" s="64"/>
      <c r="S1582" s="64"/>
    </row>
    <row r="1583" spans="1:19" x14ac:dyDescent="0.25">
      <c r="A1583" s="63"/>
      <c r="B1583" s="64"/>
      <c r="C1583" s="64"/>
      <c r="D1583" s="64"/>
      <c r="E1583" s="64"/>
      <c r="F1583" s="64"/>
      <c r="G1583" s="64"/>
      <c r="H1583" s="64"/>
      <c r="I1583" s="64"/>
      <c r="J1583" s="64"/>
      <c r="K1583" s="64"/>
      <c r="L1583" s="64"/>
      <c r="M1583" s="64"/>
      <c r="N1583" s="64"/>
      <c r="O1583" s="64"/>
      <c r="P1583" s="64"/>
      <c r="Q1583" s="64"/>
      <c r="R1583" s="64"/>
      <c r="S1583" s="64"/>
    </row>
    <row r="1584" spans="1:19" x14ac:dyDescent="0.25">
      <c r="A1584" s="63"/>
      <c r="B1584" s="64"/>
      <c r="C1584" s="64"/>
      <c r="D1584" s="64"/>
      <c r="E1584" s="64"/>
      <c r="F1584" s="64"/>
      <c r="G1584" s="64"/>
      <c r="H1584" s="64"/>
      <c r="I1584" s="64"/>
      <c r="J1584" s="64"/>
      <c r="K1584" s="64"/>
      <c r="L1584" s="64"/>
      <c r="M1584" s="64"/>
      <c r="N1584" s="64"/>
      <c r="O1584" s="64"/>
      <c r="P1584" s="64"/>
      <c r="Q1584" s="64"/>
      <c r="R1584" s="64"/>
      <c r="S1584" s="64"/>
    </row>
    <row r="1585" spans="1:19" x14ac:dyDescent="0.25">
      <c r="A1585" s="63"/>
      <c r="B1585" s="64"/>
      <c r="C1585" s="64"/>
      <c r="D1585" s="64"/>
      <c r="E1585" s="64"/>
      <c r="F1585" s="64"/>
      <c r="G1585" s="64"/>
      <c r="H1585" s="64"/>
      <c r="I1585" s="64"/>
      <c r="J1585" s="64"/>
      <c r="K1585" s="64"/>
      <c r="L1585" s="64"/>
      <c r="M1585" s="64"/>
      <c r="N1585" s="64"/>
      <c r="O1585" s="64"/>
      <c r="P1585" s="64"/>
      <c r="Q1585" s="64"/>
      <c r="R1585" s="64"/>
      <c r="S1585" s="64"/>
    </row>
    <row r="1586" spans="1:19" x14ac:dyDescent="0.25">
      <c r="A1586" s="63"/>
      <c r="B1586" s="64"/>
      <c r="C1586" s="64"/>
      <c r="D1586" s="64"/>
      <c r="E1586" s="64"/>
      <c r="F1586" s="64"/>
      <c r="G1586" s="64"/>
      <c r="H1586" s="64"/>
      <c r="I1586" s="64"/>
      <c r="J1586" s="64"/>
      <c r="K1586" s="64"/>
      <c r="L1586" s="64"/>
      <c r="M1586" s="64"/>
      <c r="N1586" s="64"/>
      <c r="O1586" s="64"/>
      <c r="P1586" s="64"/>
      <c r="Q1586" s="64"/>
      <c r="R1586" s="64"/>
      <c r="S1586" s="64"/>
    </row>
    <row r="1587" spans="1:19" x14ac:dyDescent="0.25">
      <c r="A1587" s="63"/>
      <c r="B1587" s="64"/>
      <c r="C1587" s="64"/>
      <c r="D1587" s="64"/>
      <c r="E1587" s="64"/>
      <c r="F1587" s="64"/>
      <c r="G1587" s="64"/>
      <c r="H1587" s="64"/>
      <c r="I1587" s="64"/>
      <c r="J1587" s="64"/>
      <c r="K1587" s="64"/>
      <c r="L1587" s="64"/>
      <c r="M1587" s="64"/>
      <c r="N1587" s="64"/>
      <c r="O1587" s="64"/>
      <c r="P1587" s="64"/>
      <c r="Q1587" s="64"/>
      <c r="R1587" s="64"/>
      <c r="S1587" s="64"/>
    </row>
    <row r="1588" spans="1:19" x14ac:dyDescent="0.25">
      <c r="A1588" s="63"/>
      <c r="B1588" s="64"/>
      <c r="C1588" s="64"/>
      <c r="D1588" s="64"/>
      <c r="E1588" s="64"/>
      <c r="F1588" s="64"/>
      <c r="G1588" s="64"/>
      <c r="H1588" s="64"/>
      <c r="I1588" s="64"/>
      <c r="J1588" s="64"/>
      <c r="K1588" s="64"/>
      <c r="L1588" s="64"/>
      <c r="M1588" s="64"/>
      <c r="N1588" s="64"/>
      <c r="O1588" s="64"/>
      <c r="P1588" s="64"/>
      <c r="Q1588" s="64"/>
      <c r="R1588" s="64"/>
      <c r="S1588" s="64"/>
    </row>
    <row r="1589" spans="1:19" x14ac:dyDescent="0.25">
      <c r="A1589" s="63"/>
      <c r="B1589" s="64"/>
      <c r="C1589" s="64"/>
      <c r="D1589" s="64"/>
      <c r="E1589" s="64"/>
      <c r="F1589" s="64"/>
      <c r="G1589" s="64"/>
      <c r="H1589" s="64"/>
      <c r="I1589" s="64"/>
      <c r="J1589" s="64"/>
      <c r="K1589" s="64"/>
      <c r="L1589" s="64"/>
      <c r="M1589" s="64"/>
      <c r="N1589" s="64"/>
      <c r="O1589" s="64"/>
      <c r="P1589" s="64"/>
      <c r="Q1589" s="64"/>
      <c r="R1589" s="64"/>
      <c r="S1589" s="64"/>
    </row>
    <row r="1590" spans="1:19" x14ac:dyDescent="0.25">
      <c r="A1590" s="63"/>
      <c r="B1590" s="64"/>
      <c r="C1590" s="64"/>
      <c r="D1590" s="64"/>
      <c r="E1590" s="64"/>
      <c r="F1590" s="64"/>
      <c r="G1590" s="64"/>
      <c r="H1590" s="64"/>
      <c r="I1590" s="64"/>
      <c r="J1590" s="64"/>
      <c r="K1590" s="64"/>
      <c r="L1590" s="64"/>
      <c r="M1590" s="64"/>
      <c r="N1590" s="64"/>
      <c r="O1590" s="64"/>
      <c r="P1590" s="64"/>
      <c r="Q1590" s="64"/>
      <c r="R1590" s="64"/>
      <c r="S1590" s="64"/>
    </row>
    <row r="1591" spans="1:19" x14ac:dyDescent="0.25">
      <c r="A1591" s="63"/>
      <c r="B1591" s="64"/>
      <c r="C1591" s="64"/>
      <c r="D1591" s="64"/>
      <c r="E1591" s="64"/>
      <c r="F1591" s="64"/>
      <c r="G1591" s="64"/>
      <c r="H1591" s="64"/>
      <c r="I1591" s="64"/>
      <c r="J1591" s="64"/>
      <c r="K1591" s="64"/>
      <c r="L1591" s="64"/>
      <c r="M1591" s="64"/>
      <c r="N1591" s="64"/>
      <c r="O1591" s="64"/>
      <c r="P1591" s="64"/>
      <c r="Q1591" s="64"/>
      <c r="R1591" s="64"/>
      <c r="S1591" s="64"/>
    </row>
    <row r="1592" spans="1:19" x14ac:dyDescent="0.25">
      <c r="A1592" s="63"/>
      <c r="B1592" s="64"/>
      <c r="C1592" s="64"/>
      <c r="D1592" s="64"/>
      <c r="E1592" s="64"/>
      <c r="F1592" s="64"/>
      <c r="G1592" s="64"/>
      <c r="H1592" s="64"/>
      <c r="I1592" s="64"/>
      <c r="J1592" s="64"/>
      <c r="K1592" s="64"/>
      <c r="L1592" s="64"/>
      <c r="M1592" s="64"/>
      <c r="N1592" s="64"/>
      <c r="O1592" s="64"/>
      <c r="P1592" s="64"/>
      <c r="Q1592" s="64"/>
      <c r="R1592" s="64"/>
      <c r="S1592" s="64"/>
    </row>
    <row r="1593" spans="1:19" x14ac:dyDescent="0.25">
      <c r="A1593" s="63"/>
      <c r="B1593" s="64"/>
      <c r="C1593" s="64"/>
      <c r="D1593" s="64"/>
      <c r="E1593" s="64"/>
      <c r="F1593" s="64"/>
      <c r="G1593" s="64"/>
      <c r="H1593" s="64"/>
      <c r="I1593" s="64"/>
      <c r="J1593" s="64"/>
      <c r="K1593" s="64"/>
      <c r="L1593" s="64"/>
      <c r="M1593" s="64"/>
      <c r="N1593" s="64"/>
      <c r="O1593" s="64"/>
      <c r="P1593" s="64"/>
      <c r="Q1593" s="64"/>
      <c r="R1593" s="64"/>
      <c r="S1593" s="64"/>
    </row>
    <row r="1594" spans="1:19" x14ac:dyDescent="0.25">
      <c r="A1594" s="63"/>
      <c r="B1594" s="64"/>
      <c r="C1594" s="64"/>
      <c r="D1594" s="64"/>
      <c r="E1594" s="64"/>
      <c r="F1594" s="64"/>
      <c r="G1594" s="64"/>
      <c r="H1594" s="64"/>
      <c r="I1594" s="64"/>
      <c r="J1594" s="64"/>
      <c r="K1594" s="64"/>
      <c r="L1594" s="64"/>
      <c r="M1594" s="64"/>
      <c r="N1594" s="64"/>
      <c r="O1594" s="64"/>
      <c r="P1594" s="64"/>
      <c r="Q1594" s="64"/>
      <c r="R1594" s="64"/>
      <c r="S1594" s="64"/>
    </row>
    <row r="1595" spans="1:19" x14ac:dyDescent="0.25">
      <c r="A1595" s="63"/>
      <c r="B1595" s="64"/>
      <c r="C1595" s="64"/>
      <c r="D1595" s="64"/>
      <c r="E1595" s="64"/>
      <c r="F1595" s="64"/>
      <c r="G1595" s="64"/>
      <c r="H1595" s="64"/>
      <c r="I1595" s="64"/>
      <c r="J1595" s="64"/>
      <c r="K1595" s="64"/>
      <c r="L1595" s="64"/>
      <c r="M1595" s="64"/>
      <c r="N1595" s="64"/>
      <c r="O1595" s="64"/>
      <c r="P1595" s="64"/>
      <c r="Q1595" s="64"/>
      <c r="R1595" s="64"/>
      <c r="S1595" s="64"/>
    </row>
    <row r="1596" spans="1:19" x14ac:dyDescent="0.25">
      <c r="A1596" s="63"/>
      <c r="B1596" s="64"/>
      <c r="C1596" s="64"/>
      <c r="D1596" s="64"/>
      <c r="E1596" s="64"/>
      <c r="F1596" s="64"/>
      <c r="G1596" s="64"/>
      <c r="H1596" s="64"/>
      <c r="I1596" s="64"/>
      <c r="J1596" s="64"/>
      <c r="K1596" s="64"/>
      <c r="L1596" s="64"/>
      <c r="M1596" s="64"/>
      <c r="N1596" s="64"/>
      <c r="O1596" s="64"/>
      <c r="P1596" s="64"/>
      <c r="Q1596" s="64"/>
      <c r="R1596" s="64"/>
      <c r="S1596" s="64"/>
    </row>
    <row r="1597" spans="1:19" x14ac:dyDescent="0.25">
      <c r="A1597" s="63"/>
      <c r="B1597" s="64"/>
      <c r="C1597" s="64"/>
      <c r="D1597" s="64"/>
      <c r="E1597" s="64"/>
      <c r="F1597" s="64"/>
      <c r="G1597" s="64"/>
      <c r="H1597" s="64"/>
      <c r="I1597" s="64"/>
      <c r="J1597" s="64"/>
      <c r="K1597" s="64"/>
      <c r="L1597" s="64"/>
      <c r="M1597" s="64"/>
      <c r="N1597" s="64"/>
      <c r="O1597" s="64"/>
      <c r="P1597" s="64"/>
      <c r="Q1597" s="64"/>
      <c r="R1597" s="64"/>
      <c r="S1597" s="64"/>
    </row>
    <row r="1598" spans="1:19" x14ac:dyDescent="0.25">
      <c r="A1598" s="63"/>
      <c r="B1598" s="64"/>
      <c r="C1598" s="64"/>
      <c r="D1598" s="64"/>
      <c r="E1598" s="64"/>
      <c r="F1598" s="64"/>
      <c r="G1598" s="64"/>
      <c r="H1598" s="64"/>
      <c r="I1598" s="64"/>
      <c r="J1598" s="64"/>
      <c r="K1598" s="64"/>
      <c r="L1598" s="64"/>
      <c r="M1598" s="64"/>
      <c r="N1598" s="64"/>
      <c r="O1598" s="64"/>
      <c r="P1598" s="64"/>
      <c r="Q1598" s="64"/>
      <c r="R1598" s="64"/>
      <c r="S1598" s="64"/>
    </row>
    <row r="1599" spans="1:19" x14ac:dyDescent="0.25">
      <c r="A1599" s="63"/>
      <c r="B1599" s="64"/>
      <c r="C1599" s="64"/>
      <c r="D1599" s="64"/>
      <c r="E1599" s="64"/>
      <c r="F1599" s="64"/>
      <c r="G1599" s="64"/>
      <c r="H1599" s="64"/>
      <c r="I1599" s="64"/>
      <c r="J1599" s="64"/>
      <c r="K1599" s="64"/>
      <c r="L1599" s="64"/>
      <c r="M1599" s="64"/>
      <c r="N1599" s="64"/>
      <c r="O1599" s="64"/>
      <c r="P1599" s="64"/>
      <c r="Q1599" s="64"/>
      <c r="R1599" s="64"/>
      <c r="S1599" s="64"/>
    </row>
    <row r="1600" spans="1:19" x14ac:dyDescent="0.25">
      <c r="A1600" s="63"/>
      <c r="B1600" s="64"/>
      <c r="C1600" s="64"/>
      <c r="D1600" s="64"/>
      <c r="E1600" s="64"/>
      <c r="F1600" s="64"/>
      <c r="G1600" s="64"/>
      <c r="H1600" s="64"/>
      <c r="I1600" s="64"/>
      <c r="J1600" s="64"/>
      <c r="K1600" s="64"/>
      <c r="L1600" s="64"/>
      <c r="M1600" s="64"/>
      <c r="N1600" s="64"/>
      <c r="O1600" s="64"/>
      <c r="P1600" s="64"/>
      <c r="Q1600" s="64"/>
      <c r="R1600" s="64"/>
      <c r="S1600" s="64"/>
    </row>
    <row r="1601" spans="1:19" x14ac:dyDescent="0.25">
      <c r="A1601" s="63"/>
      <c r="B1601" s="64"/>
      <c r="C1601" s="64"/>
      <c r="D1601" s="64"/>
      <c r="E1601" s="64"/>
      <c r="F1601" s="64"/>
      <c r="G1601" s="64"/>
      <c r="H1601" s="64"/>
      <c r="I1601" s="64"/>
      <c r="J1601" s="64"/>
      <c r="K1601" s="64"/>
      <c r="L1601" s="64"/>
      <c r="M1601" s="64"/>
      <c r="N1601" s="64"/>
      <c r="O1601" s="64"/>
      <c r="P1601" s="64"/>
      <c r="Q1601" s="64"/>
      <c r="R1601" s="64"/>
      <c r="S1601" s="64"/>
    </row>
    <row r="1602" spans="1:19" x14ac:dyDescent="0.25">
      <c r="A1602" s="63"/>
      <c r="B1602" s="64"/>
      <c r="C1602" s="64"/>
      <c r="D1602" s="64"/>
      <c r="E1602" s="64"/>
      <c r="F1602" s="64"/>
      <c r="G1602" s="64"/>
      <c r="H1602" s="64"/>
      <c r="I1602" s="64"/>
      <c r="J1602" s="64"/>
      <c r="K1602" s="64"/>
      <c r="L1602" s="64"/>
      <c r="M1602" s="64"/>
      <c r="N1602" s="64"/>
      <c r="O1602" s="64"/>
      <c r="P1602" s="64"/>
      <c r="Q1602" s="64"/>
      <c r="R1602" s="64"/>
      <c r="S1602" s="64"/>
    </row>
    <row r="1603" spans="1:19" x14ac:dyDescent="0.25">
      <c r="A1603" s="63"/>
      <c r="B1603" s="64"/>
      <c r="C1603" s="64"/>
      <c r="D1603" s="64"/>
      <c r="E1603" s="64"/>
      <c r="F1603" s="64"/>
      <c r="G1603" s="64"/>
      <c r="H1603" s="64"/>
      <c r="I1603" s="64"/>
      <c r="J1603" s="64"/>
      <c r="K1603" s="64"/>
      <c r="L1603" s="64"/>
      <c r="M1603" s="64"/>
      <c r="N1603" s="64"/>
      <c r="O1603" s="64"/>
      <c r="P1603" s="64"/>
      <c r="Q1603" s="64"/>
      <c r="R1603" s="64"/>
      <c r="S1603" s="64"/>
    </row>
    <row r="1604" spans="1:19" x14ac:dyDescent="0.25">
      <c r="A1604" s="63"/>
      <c r="B1604" s="64"/>
      <c r="C1604" s="64"/>
      <c r="D1604" s="64"/>
      <c r="E1604" s="64"/>
      <c r="F1604" s="64"/>
      <c r="G1604" s="64"/>
      <c r="H1604" s="64"/>
      <c r="I1604" s="64"/>
      <c r="J1604" s="64"/>
      <c r="K1604" s="64"/>
      <c r="L1604" s="64"/>
      <c r="M1604" s="64"/>
      <c r="N1604" s="64"/>
      <c r="O1604" s="64"/>
      <c r="P1604" s="64"/>
      <c r="Q1604" s="64"/>
      <c r="R1604" s="64"/>
      <c r="S1604" s="64"/>
    </row>
    <row r="1605" spans="1:19" x14ac:dyDescent="0.25">
      <c r="A1605" s="63"/>
      <c r="B1605" s="64"/>
      <c r="C1605" s="64"/>
      <c r="D1605" s="64"/>
      <c r="E1605" s="64"/>
      <c r="F1605" s="64"/>
      <c r="G1605" s="64"/>
      <c r="H1605" s="64"/>
      <c r="I1605" s="64"/>
      <c r="J1605" s="64"/>
      <c r="K1605" s="64"/>
      <c r="L1605" s="64"/>
      <c r="M1605" s="64"/>
      <c r="N1605" s="64"/>
      <c r="O1605" s="64"/>
      <c r="P1605" s="64"/>
      <c r="Q1605" s="64"/>
      <c r="R1605" s="64"/>
      <c r="S1605" s="64"/>
    </row>
    <row r="1606" spans="1:19" x14ac:dyDescent="0.25">
      <c r="A1606" s="63"/>
      <c r="B1606" s="64"/>
      <c r="C1606" s="64"/>
      <c r="D1606" s="64"/>
      <c r="E1606" s="64"/>
      <c r="F1606" s="64"/>
      <c r="G1606" s="64"/>
      <c r="H1606" s="64"/>
      <c r="I1606" s="64"/>
      <c r="J1606" s="64"/>
      <c r="K1606" s="64"/>
      <c r="L1606" s="64"/>
      <c r="M1606" s="64"/>
      <c r="N1606" s="64"/>
      <c r="O1606" s="64"/>
      <c r="P1606" s="64"/>
      <c r="Q1606" s="64"/>
      <c r="R1606" s="64"/>
      <c r="S1606" s="64"/>
    </row>
    <row r="1607" spans="1:19" x14ac:dyDescent="0.25">
      <c r="A1607" s="63"/>
      <c r="B1607" s="64"/>
      <c r="C1607" s="64"/>
      <c r="D1607" s="64"/>
      <c r="E1607" s="64"/>
      <c r="F1607" s="64"/>
      <c r="G1607" s="64"/>
      <c r="H1607" s="64"/>
      <c r="I1607" s="64"/>
      <c r="J1607" s="64"/>
      <c r="K1607" s="64"/>
      <c r="L1607" s="64"/>
      <c r="M1607" s="64"/>
      <c r="N1607" s="64"/>
      <c r="O1607" s="64"/>
      <c r="P1607" s="64"/>
      <c r="Q1607" s="64"/>
      <c r="R1607" s="64"/>
      <c r="S1607" s="64"/>
    </row>
    <row r="1608" spans="1:19" x14ac:dyDescent="0.25">
      <c r="A1608" s="63"/>
      <c r="B1608" s="64"/>
      <c r="C1608" s="64"/>
      <c r="D1608" s="64"/>
      <c r="E1608" s="64"/>
      <c r="F1608" s="64"/>
      <c r="G1608" s="64"/>
      <c r="H1608" s="64"/>
      <c r="I1608" s="64"/>
      <c r="J1608" s="64"/>
      <c r="K1608" s="64"/>
      <c r="L1608" s="64"/>
      <c r="M1608" s="64"/>
      <c r="N1608" s="64"/>
      <c r="O1608" s="64"/>
      <c r="P1608" s="64"/>
      <c r="Q1608" s="64"/>
      <c r="R1608" s="64"/>
      <c r="S1608" s="64"/>
    </row>
    <row r="1609" spans="1:19" x14ac:dyDescent="0.25">
      <c r="A1609" s="63"/>
      <c r="B1609" s="64"/>
      <c r="C1609" s="64"/>
      <c r="D1609" s="64"/>
      <c r="E1609" s="64"/>
      <c r="F1609" s="64"/>
      <c r="G1609" s="64"/>
      <c r="H1609" s="64"/>
      <c r="I1609" s="64"/>
      <c r="J1609" s="64"/>
      <c r="K1609" s="64"/>
      <c r="L1609" s="64"/>
      <c r="M1609" s="64"/>
      <c r="N1609" s="64"/>
      <c r="O1609" s="64"/>
      <c r="P1609" s="64"/>
      <c r="Q1609" s="64"/>
      <c r="R1609" s="64"/>
      <c r="S1609" s="64"/>
    </row>
    <row r="1610" spans="1:19" x14ac:dyDescent="0.25">
      <c r="A1610" s="63"/>
      <c r="B1610" s="64"/>
      <c r="C1610" s="64"/>
      <c r="D1610" s="64"/>
      <c r="E1610" s="64"/>
      <c r="F1610" s="64"/>
      <c r="G1610" s="64"/>
      <c r="H1610" s="64"/>
      <c r="I1610" s="64"/>
      <c r="J1610" s="64"/>
      <c r="K1610" s="64"/>
      <c r="L1610" s="64"/>
      <c r="M1610" s="64"/>
      <c r="N1610" s="64"/>
      <c r="O1610" s="64"/>
      <c r="P1610" s="64"/>
      <c r="Q1610" s="64"/>
      <c r="R1610" s="64"/>
      <c r="S1610" s="64"/>
    </row>
    <row r="1611" spans="1:19" x14ac:dyDescent="0.25">
      <c r="A1611" s="63"/>
      <c r="B1611" s="64"/>
      <c r="C1611" s="64"/>
      <c r="D1611" s="64"/>
      <c r="E1611" s="64"/>
      <c r="F1611" s="64"/>
      <c r="G1611" s="64"/>
      <c r="H1611" s="64"/>
      <c r="I1611" s="64"/>
      <c r="J1611" s="64"/>
      <c r="K1611" s="64"/>
      <c r="L1611" s="64"/>
      <c r="M1611" s="64"/>
      <c r="N1611" s="64"/>
      <c r="O1611" s="64"/>
      <c r="P1611" s="64"/>
      <c r="Q1611" s="64"/>
      <c r="R1611" s="64"/>
      <c r="S1611" s="64"/>
    </row>
    <row r="1612" spans="1:19" x14ac:dyDescent="0.25">
      <c r="A1612" s="63"/>
      <c r="B1612" s="64"/>
      <c r="C1612" s="64"/>
      <c r="D1612" s="64"/>
      <c r="E1612" s="64"/>
      <c r="F1612" s="64"/>
      <c r="G1612" s="64"/>
      <c r="H1612" s="64"/>
      <c r="I1612" s="64"/>
      <c r="J1612" s="64"/>
      <c r="K1612" s="64"/>
      <c r="L1612" s="64"/>
      <c r="M1612" s="64"/>
      <c r="N1612" s="64"/>
      <c r="O1612" s="64"/>
      <c r="P1612" s="64"/>
      <c r="Q1612" s="64"/>
      <c r="R1612" s="64"/>
      <c r="S1612" s="64"/>
    </row>
    <row r="1613" spans="1:19" x14ac:dyDescent="0.25">
      <c r="A1613" s="63"/>
      <c r="B1613" s="64"/>
      <c r="C1613" s="64"/>
      <c r="D1613" s="64"/>
      <c r="E1613" s="64"/>
      <c r="F1613" s="64"/>
      <c r="G1613" s="64"/>
      <c r="H1613" s="64"/>
      <c r="I1613" s="64"/>
      <c r="J1613" s="64"/>
      <c r="K1613" s="64"/>
      <c r="L1613" s="64"/>
      <c r="M1613" s="64"/>
      <c r="N1613" s="64"/>
      <c r="O1613" s="64"/>
      <c r="P1613" s="64"/>
      <c r="Q1613" s="64"/>
      <c r="R1613" s="64"/>
      <c r="S1613" s="64"/>
    </row>
    <row r="1614" spans="1:19" x14ac:dyDescent="0.25">
      <c r="A1614" s="63"/>
      <c r="B1614" s="64"/>
      <c r="C1614" s="64"/>
      <c r="D1614" s="64"/>
      <c r="E1614" s="64"/>
      <c r="F1614" s="64"/>
      <c r="G1614" s="64"/>
      <c r="H1614" s="64"/>
      <c r="I1614" s="64"/>
      <c r="J1614" s="64"/>
      <c r="K1614" s="64"/>
      <c r="L1614" s="64"/>
      <c r="M1614" s="64"/>
      <c r="N1614" s="64"/>
      <c r="O1614" s="64"/>
      <c r="P1614" s="64"/>
      <c r="Q1614" s="64"/>
      <c r="R1614" s="64"/>
      <c r="S1614" s="64"/>
    </row>
    <row r="1615" spans="1:19" x14ac:dyDescent="0.25">
      <c r="A1615" s="63"/>
      <c r="B1615" s="64"/>
      <c r="C1615" s="64"/>
      <c r="D1615" s="64"/>
      <c r="E1615" s="64"/>
      <c r="F1615" s="64"/>
      <c r="G1615" s="64"/>
      <c r="H1615" s="64"/>
      <c r="I1615" s="64"/>
      <c r="J1615" s="64"/>
      <c r="K1615" s="64"/>
      <c r="L1615" s="64"/>
      <c r="M1615" s="64"/>
      <c r="N1615" s="64"/>
      <c r="O1615" s="64"/>
      <c r="P1615" s="64"/>
      <c r="Q1615" s="64"/>
      <c r="R1615" s="64"/>
      <c r="S1615" s="64"/>
    </row>
    <row r="1616" spans="1:19" x14ac:dyDescent="0.25">
      <c r="A1616" s="63"/>
      <c r="B1616" s="64"/>
      <c r="C1616" s="64"/>
      <c r="D1616" s="64"/>
      <c r="E1616" s="64"/>
      <c r="F1616" s="64"/>
      <c r="G1616" s="64"/>
      <c r="H1616" s="64"/>
      <c r="I1616" s="64"/>
      <c r="J1616" s="64"/>
      <c r="K1616" s="64"/>
      <c r="L1616" s="64"/>
      <c r="M1616" s="64"/>
      <c r="N1616" s="64"/>
      <c r="O1616" s="64"/>
      <c r="P1616" s="64"/>
      <c r="Q1616" s="64"/>
      <c r="R1616" s="64"/>
      <c r="S1616" s="64"/>
    </row>
    <row r="1617" spans="1:19" x14ac:dyDescent="0.25">
      <c r="A1617" s="63"/>
      <c r="B1617" s="64"/>
      <c r="C1617" s="64"/>
      <c r="D1617" s="64"/>
      <c r="E1617" s="64"/>
      <c r="F1617" s="64"/>
      <c r="G1617" s="64"/>
      <c r="H1617" s="64"/>
      <c r="I1617" s="64"/>
      <c r="J1617" s="64"/>
      <c r="K1617" s="64"/>
      <c r="L1617" s="64"/>
      <c r="M1617" s="64"/>
      <c r="N1617" s="64"/>
      <c r="O1617" s="64"/>
      <c r="P1617" s="64"/>
      <c r="Q1617" s="64"/>
      <c r="R1617" s="64"/>
      <c r="S1617" s="64"/>
    </row>
    <row r="1618" spans="1:19" x14ac:dyDescent="0.25">
      <c r="A1618" s="63"/>
      <c r="B1618" s="64"/>
      <c r="C1618" s="64"/>
      <c r="D1618" s="64"/>
      <c r="E1618" s="64"/>
      <c r="F1618" s="64"/>
      <c r="G1618" s="64"/>
      <c r="H1618" s="64"/>
      <c r="I1618" s="64"/>
      <c r="J1618" s="64"/>
      <c r="K1618" s="64"/>
      <c r="L1618" s="64"/>
      <c r="M1618" s="64"/>
      <c r="N1618" s="64"/>
      <c r="O1618" s="64"/>
      <c r="P1618" s="64"/>
      <c r="Q1618" s="64"/>
      <c r="R1618" s="64"/>
      <c r="S1618" s="64"/>
    </row>
    <row r="1619" spans="1:19" x14ac:dyDescent="0.25">
      <c r="A1619" s="63"/>
      <c r="B1619" s="64"/>
      <c r="C1619" s="64"/>
      <c r="D1619" s="64"/>
      <c r="E1619" s="64"/>
      <c r="F1619" s="64"/>
      <c r="G1619" s="64"/>
      <c r="H1619" s="64"/>
      <c r="I1619" s="64"/>
      <c r="J1619" s="64"/>
      <c r="K1619" s="64"/>
      <c r="L1619" s="64"/>
      <c r="M1619" s="64"/>
      <c r="N1619" s="64"/>
      <c r="O1619" s="64"/>
      <c r="P1619" s="64"/>
      <c r="Q1619" s="64"/>
      <c r="R1619" s="64"/>
      <c r="S1619" s="64"/>
    </row>
    <row r="1620" spans="1:19" x14ac:dyDescent="0.25">
      <c r="A1620" s="63"/>
      <c r="B1620" s="64"/>
      <c r="C1620" s="64"/>
      <c r="D1620" s="64"/>
      <c r="E1620" s="64"/>
      <c r="F1620" s="64"/>
      <c r="G1620" s="64"/>
      <c r="H1620" s="64"/>
      <c r="I1620" s="64"/>
      <c r="J1620" s="64"/>
      <c r="K1620" s="64"/>
      <c r="L1620" s="64"/>
      <c r="M1620" s="64"/>
      <c r="N1620" s="64"/>
      <c r="O1620" s="64"/>
      <c r="P1620" s="64"/>
      <c r="Q1620" s="64"/>
      <c r="R1620" s="64"/>
      <c r="S1620" s="64"/>
    </row>
    <row r="1621" spans="1:19" x14ac:dyDescent="0.25">
      <c r="A1621" s="63"/>
      <c r="B1621" s="64"/>
      <c r="C1621" s="64"/>
      <c r="D1621" s="64"/>
      <c r="E1621" s="64"/>
      <c r="F1621" s="64"/>
      <c r="G1621" s="64"/>
      <c r="H1621" s="64"/>
      <c r="I1621" s="64"/>
      <c r="J1621" s="64"/>
      <c r="K1621" s="64"/>
      <c r="L1621" s="64"/>
      <c r="M1621" s="64"/>
      <c r="N1621" s="64"/>
      <c r="O1621" s="64"/>
      <c r="P1621" s="64"/>
      <c r="Q1621" s="64"/>
      <c r="R1621" s="64"/>
      <c r="S1621" s="64"/>
    </row>
    <row r="1622" spans="1:19" x14ac:dyDescent="0.25">
      <c r="A1622" s="63"/>
      <c r="B1622" s="64"/>
      <c r="C1622" s="64"/>
      <c r="D1622" s="64"/>
      <c r="E1622" s="64"/>
      <c r="F1622" s="64"/>
      <c r="G1622" s="64"/>
      <c r="H1622" s="64"/>
      <c r="I1622" s="64"/>
      <c r="J1622" s="64"/>
      <c r="K1622" s="64"/>
      <c r="L1622" s="64"/>
      <c r="M1622" s="64"/>
      <c r="N1622" s="64"/>
      <c r="O1622" s="64"/>
      <c r="P1622" s="64"/>
      <c r="Q1622" s="64"/>
      <c r="R1622" s="64"/>
      <c r="S1622" s="64"/>
    </row>
    <row r="1623" spans="1:19" x14ac:dyDescent="0.25">
      <c r="A1623" s="63"/>
      <c r="B1623" s="64"/>
      <c r="C1623" s="64"/>
      <c r="D1623" s="64"/>
      <c r="E1623" s="64"/>
      <c r="F1623" s="64"/>
      <c r="G1623" s="64"/>
      <c r="H1623" s="64"/>
      <c r="I1623" s="64"/>
      <c r="J1623" s="64"/>
      <c r="K1623" s="64"/>
      <c r="L1623" s="64"/>
      <c r="M1623" s="64"/>
      <c r="N1623" s="64"/>
      <c r="O1623" s="64"/>
      <c r="P1623" s="64"/>
      <c r="Q1623" s="64"/>
      <c r="R1623" s="64"/>
      <c r="S1623" s="64"/>
    </row>
    <row r="1624" spans="1:19" x14ac:dyDescent="0.25">
      <c r="A1624" s="63"/>
      <c r="B1624" s="64"/>
      <c r="C1624" s="64"/>
      <c r="D1624" s="64"/>
      <c r="E1624" s="64"/>
      <c r="F1624" s="64"/>
      <c r="G1624" s="64"/>
      <c r="H1624" s="64"/>
      <c r="I1624" s="64"/>
      <c r="J1624" s="64"/>
      <c r="K1624" s="64"/>
      <c r="L1624" s="64"/>
      <c r="M1624" s="64"/>
      <c r="N1624" s="64"/>
      <c r="O1624" s="64"/>
      <c r="P1624" s="64"/>
      <c r="Q1624" s="64"/>
      <c r="R1624" s="64"/>
      <c r="S1624" s="64"/>
    </row>
    <row r="1625" spans="1:19" x14ac:dyDescent="0.25">
      <c r="A1625" s="63"/>
      <c r="B1625" s="64"/>
      <c r="C1625" s="64"/>
      <c r="D1625" s="64"/>
      <c r="E1625" s="64"/>
      <c r="F1625" s="64"/>
      <c r="G1625" s="64"/>
      <c r="H1625" s="64"/>
      <c r="I1625" s="64"/>
      <c r="J1625" s="64"/>
      <c r="K1625" s="64"/>
      <c r="L1625" s="64"/>
      <c r="M1625" s="64"/>
      <c r="N1625" s="64"/>
      <c r="O1625" s="64"/>
      <c r="P1625" s="64"/>
      <c r="Q1625" s="64"/>
      <c r="R1625" s="64"/>
      <c r="S1625" s="64"/>
    </row>
    <row r="1626" spans="1:19" x14ac:dyDescent="0.25">
      <c r="A1626" s="63"/>
      <c r="B1626" s="64"/>
      <c r="C1626" s="64"/>
      <c r="D1626" s="64"/>
      <c r="E1626" s="64"/>
      <c r="F1626" s="64"/>
      <c r="G1626" s="64"/>
      <c r="H1626" s="64"/>
      <c r="I1626" s="64"/>
      <c r="J1626" s="64"/>
      <c r="K1626" s="64"/>
      <c r="L1626" s="64"/>
      <c r="M1626" s="64"/>
      <c r="N1626" s="64"/>
      <c r="O1626" s="64"/>
      <c r="P1626" s="64"/>
      <c r="Q1626" s="64"/>
      <c r="R1626" s="64"/>
      <c r="S1626" s="64"/>
    </row>
    <row r="1627" spans="1:19" x14ac:dyDescent="0.25">
      <c r="A1627" s="63"/>
      <c r="B1627" s="64"/>
      <c r="C1627" s="64"/>
      <c r="D1627" s="64"/>
      <c r="E1627" s="64"/>
      <c r="F1627" s="64"/>
      <c r="G1627" s="64"/>
      <c r="H1627" s="64"/>
      <c r="I1627" s="64"/>
      <c r="J1627" s="64"/>
      <c r="K1627" s="64"/>
      <c r="L1627" s="64"/>
      <c r="M1627" s="64"/>
      <c r="N1627" s="64"/>
      <c r="O1627" s="64"/>
      <c r="P1627" s="64"/>
      <c r="Q1627" s="64"/>
      <c r="R1627" s="64"/>
      <c r="S1627" s="64"/>
    </row>
    <row r="1628" spans="1:19" x14ac:dyDescent="0.25">
      <c r="A1628" s="63"/>
      <c r="B1628" s="64"/>
      <c r="C1628" s="64"/>
      <c r="D1628" s="64"/>
      <c r="E1628" s="64"/>
      <c r="F1628" s="64"/>
      <c r="G1628" s="64"/>
      <c r="H1628" s="64"/>
      <c r="I1628" s="64"/>
      <c r="J1628" s="64"/>
      <c r="K1628" s="64"/>
      <c r="L1628" s="64"/>
      <c r="M1628" s="64"/>
      <c r="N1628" s="64"/>
      <c r="O1628" s="64"/>
      <c r="P1628" s="64"/>
      <c r="Q1628" s="64"/>
      <c r="R1628" s="64"/>
      <c r="S1628" s="64"/>
    </row>
    <row r="1629" spans="1:19" x14ac:dyDescent="0.25">
      <c r="A1629" s="63"/>
      <c r="B1629" s="64"/>
      <c r="C1629" s="64"/>
      <c r="D1629" s="64"/>
      <c r="E1629" s="64"/>
      <c r="F1629" s="64"/>
      <c r="G1629" s="64"/>
      <c r="H1629" s="64"/>
      <c r="I1629" s="64"/>
      <c r="J1629" s="64"/>
      <c r="K1629" s="64"/>
      <c r="L1629" s="64"/>
      <c r="M1629" s="64"/>
      <c r="N1629" s="64"/>
      <c r="O1629" s="64"/>
      <c r="P1629" s="64"/>
      <c r="Q1629" s="64"/>
      <c r="R1629" s="64"/>
      <c r="S1629" s="64"/>
    </row>
    <row r="1630" spans="1:19" x14ac:dyDescent="0.25">
      <c r="A1630" s="63"/>
      <c r="B1630" s="64"/>
      <c r="C1630" s="64"/>
      <c r="D1630" s="64"/>
      <c r="E1630" s="64"/>
      <c r="F1630" s="64"/>
      <c r="G1630" s="64"/>
      <c r="H1630" s="64"/>
      <c r="I1630" s="64"/>
      <c r="J1630" s="64"/>
      <c r="K1630" s="64"/>
      <c r="L1630" s="64"/>
      <c r="M1630" s="64"/>
      <c r="N1630" s="64"/>
      <c r="O1630" s="64"/>
      <c r="P1630" s="64"/>
      <c r="Q1630" s="64"/>
      <c r="R1630" s="64"/>
      <c r="S1630" s="64"/>
    </row>
    <row r="1631" spans="1:19" x14ac:dyDescent="0.25">
      <c r="A1631" s="63"/>
      <c r="B1631" s="64"/>
      <c r="C1631" s="64"/>
      <c r="D1631" s="64"/>
      <c r="E1631" s="64"/>
      <c r="F1631" s="64"/>
      <c r="G1631" s="64"/>
      <c r="H1631" s="64"/>
      <c r="I1631" s="64"/>
      <c r="J1631" s="64"/>
      <c r="K1631" s="64"/>
      <c r="L1631" s="64"/>
      <c r="M1631" s="64"/>
      <c r="N1631" s="64"/>
      <c r="O1631" s="64"/>
      <c r="P1631" s="64"/>
      <c r="Q1631" s="64"/>
      <c r="R1631" s="64"/>
      <c r="S1631" s="64"/>
    </row>
    <row r="1632" spans="1:19" x14ac:dyDescent="0.25">
      <c r="A1632" s="63"/>
      <c r="B1632" s="64"/>
      <c r="C1632" s="64"/>
      <c r="D1632" s="64"/>
      <c r="E1632" s="64"/>
      <c r="F1632" s="64"/>
      <c r="G1632" s="64"/>
      <c r="H1632" s="64"/>
      <c r="I1632" s="64"/>
      <c r="J1632" s="64"/>
      <c r="K1632" s="64"/>
      <c r="L1632" s="64"/>
      <c r="M1632" s="64"/>
      <c r="N1632" s="64"/>
      <c r="O1632" s="64"/>
      <c r="P1632" s="64"/>
      <c r="Q1632" s="64"/>
      <c r="R1632" s="64"/>
      <c r="S1632" s="64"/>
    </row>
    <row r="1633" spans="1:19" x14ac:dyDescent="0.25">
      <c r="A1633" s="63"/>
      <c r="B1633" s="64"/>
      <c r="C1633" s="64"/>
      <c r="D1633" s="64"/>
      <c r="E1633" s="64"/>
      <c r="F1633" s="64"/>
      <c r="G1633" s="64"/>
      <c r="H1633" s="64"/>
      <c r="I1633" s="64"/>
      <c r="J1633" s="64"/>
      <c r="K1633" s="64"/>
      <c r="L1633" s="64"/>
      <c r="M1633" s="64"/>
      <c r="N1633" s="64"/>
      <c r="O1633" s="64"/>
      <c r="P1633" s="64"/>
      <c r="Q1633" s="64"/>
      <c r="R1633" s="64"/>
      <c r="S1633" s="64"/>
    </row>
    <row r="1634" spans="1:19" x14ac:dyDescent="0.25">
      <c r="A1634" s="63"/>
      <c r="B1634" s="64"/>
      <c r="C1634" s="64"/>
      <c r="D1634" s="64"/>
      <c r="E1634" s="64"/>
      <c r="F1634" s="64"/>
      <c r="G1634" s="64"/>
      <c r="H1634" s="64"/>
      <c r="I1634" s="64"/>
      <c r="J1634" s="64"/>
      <c r="K1634" s="64"/>
      <c r="L1634" s="64"/>
      <c r="M1634" s="64"/>
      <c r="N1634" s="64"/>
      <c r="O1634" s="64"/>
      <c r="P1634" s="64"/>
      <c r="Q1634" s="64"/>
      <c r="R1634" s="64"/>
      <c r="S1634" s="64"/>
    </row>
    <row r="1635" spans="1:19" x14ac:dyDescent="0.25">
      <c r="A1635" s="63"/>
      <c r="B1635" s="64"/>
      <c r="C1635" s="64"/>
      <c r="D1635" s="64"/>
      <c r="E1635" s="64"/>
      <c r="F1635" s="64"/>
      <c r="G1635" s="64"/>
      <c r="H1635" s="64"/>
      <c r="I1635" s="64"/>
      <c r="J1635" s="64"/>
      <c r="K1635" s="64"/>
      <c r="L1635" s="64"/>
      <c r="M1635" s="64"/>
      <c r="N1635" s="64"/>
      <c r="O1635" s="64"/>
      <c r="P1635" s="64"/>
      <c r="Q1635" s="64"/>
      <c r="R1635" s="64"/>
      <c r="S1635" s="64"/>
    </row>
    <row r="1636" spans="1:19" x14ac:dyDescent="0.25">
      <c r="A1636" s="63"/>
      <c r="B1636" s="64"/>
      <c r="C1636" s="64"/>
      <c r="D1636" s="64"/>
      <c r="E1636" s="64"/>
      <c r="F1636" s="64"/>
      <c r="G1636" s="64"/>
      <c r="H1636" s="64"/>
      <c r="I1636" s="64"/>
      <c r="J1636" s="64"/>
      <c r="K1636" s="64"/>
      <c r="L1636" s="64"/>
      <c r="M1636" s="64"/>
      <c r="N1636" s="64"/>
      <c r="O1636" s="64"/>
      <c r="P1636" s="64"/>
      <c r="Q1636" s="64"/>
      <c r="R1636" s="64"/>
      <c r="S1636" s="64"/>
    </row>
    <row r="1637" spans="1:19" x14ac:dyDescent="0.25">
      <c r="A1637" s="63"/>
      <c r="B1637" s="64"/>
      <c r="C1637" s="64"/>
      <c r="D1637" s="64"/>
      <c r="E1637" s="64"/>
      <c r="F1637" s="64"/>
      <c r="G1637" s="64"/>
      <c r="H1637" s="64"/>
      <c r="I1637" s="64"/>
      <c r="J1637" s="64"/>
      <c r="K1637" s="64"/>
      <c r="L1637" s="64"/>
      <c r="M1637" s="64"/>
      <c r="N1637" s="64"/>
      <c r="O1637" s="64"/>
      <c r="P1637" s="64"/>
      <c r="Q1637" s="64"/>
      <c r="R1637" s="64"/>
      <c r="S1637" s="64"/>
    </row>
    <row r="1638" spans="1:19" x14ac:dyDescent="0.25">
      <c r="A1638" s="63"/>
      <c r="B1638" s="64"/>
      <c r="C1638" s="64"/>
      <c r="D1638" s="64"/>
      <c r="E1638" s="64"/>
      <c r="F1638" s="64"/>
      <c r="G1638" s="64"/>
      <c r="H1638" s="64"/>
      <c r="I1638" s="64"/>
      <c r="J1638" s="64"/>
      <c r="K1638" s="64"/>
      <c r="L1638" s="64"/>
      <c r="M1638" s="64"/>
      <c r="N1638" s="64"/>
      <c r="O1638" s="64"/>
      <c r="P1638" s="64"/>
      <c r="Q1638" s="64"/>
      <c r="R1638" s="64"/>
      <c r="S1638" s="64"/>
    </row>
    <row r="1639" spans="1:19" x14ac:dyDescent="0.25">
      <c r="A1639" s="63"/>
      <c r="B1639" s="64"/>
      <c r="C1639" s="64"/>
      <c r="D1639" s="64"/>
      <c r="E1639" s="64"/>
      <c r="F1639" s="64"/>
      <c r="G1639" s="64"/>
      <c r="H1639" s="64"/>
      <c r="I1639" s="64"/>
      <c r="J1639" s="64"/>
      <c r="K1639" s="64"/>
      <c r="L1639" s="64"/>
      <c r="M1639" s="64"/>
      <c r="N1639" s="64"/>
      <c r="O1639" s="64"/>
      <c r="P1639" s="64"/>
      <c r="Q1639" s="64"/>
      <c r="R1639" s="64"/>
      <c r="S1639" s="64"/>
    </row>
    <row r="1640" spans="1:19" x14ac:dyDescent="0.25">
      <c r="A1640" s="63"/>
      <c r="B1640" s="64"/>
      <c r="C1640" s="64"/>
      <c r="D1640" s="64"/>
      <c r="E1640" s="64"/>
      <c r="F1640" s="64"/>
      <c r="G1640" s="64"/>
      <c r="H1640" s="64"/>
      <c r="I1640" s="64"/>
      <c r="J1640" s="64"/>
      <c r="K1640" s="64"/>
      <c r="L1640" s="64"/>
      <c r="M1640" s="64"/>
      <c r="N1640" s="64"/>
      <c r="O1640" s="64"/>
      <c r="P1640" s="64"/>
      <c r="Q1640" s="64"/>
      <c r="R1640" s="64"/>
      <c r="S1640" s="64"/>
    </row>
    <row r="1641" spans="1:19" x14ac:dyDescent="0.25">
      <c r="A1641" s="63"/>
      <c r="B1641" s="64"/>
      <c r="C1641" s="64"/>
      <c r="D1641" s="64"/>
      <c r="E1641" s="64"/>
      <c r="F1641" s="64"/>
      <c r="G1641" s="64"/>
      <c r="H1641" s="64"/>
      <c r="I1641" s="64"/>
      <c r="J1641" s="64"/>
      <c r="K1641" s="64"/>
      <c r="L1641" s="64"/>
      <c r="M1641" s="64"/>
      <c r="N1641" s="64"/>
      <c r="O1641" s="64"/>
      <c r="P1641" s="64"/>
      <c r="Q1641" s="64"/>
      <c r="R1641" s="64"/>
      <c r="S1641" s="64"/>
    </row>
    <row r="1642" spans="1:19" x14ac:dyDescent="0.25">
      <c r="A1642" s="63"/>
      <c r="B1642" s="64"/>
      <c r="C1642" s="64"/>
      <c r="D1642" s="64"/>
      <c r="E1642" s="64"/>
      <c r="F1642" s="64"/>
      <c r="G1642" s="64"/>
      <c r="H1642" s="64"/>
      <c r="I1642" s="64"/>
      <c r="J1642" s="64"/>
      <c r="K1642" s="64"/>
      <c r="L1642" s="64"/>
      <c r="M1642" s="64"/>
      <c r="N1642" s="64"/>
      <c r="O1642" s="64"/>
      <c r="P1642" s="64"/>
      <c r="Q1642" s="64"/>
      <c r="R1642" s="64"/>
      <c r="S1642" s="64"/>
    </row>
    <row r="1643" spans="1:19" x14ac:dyDescent="0.25">
      <c r="A1643" s="63"/>
      <c r="B1643" s="64"/>
      <c r="C1643" s="64"/>
      <c r="D1643" s="64"/>
      <c r="E1643" s="64"/>
      <c r="F1643" s="64"/>
      <c r="G1643" s="64"/>
      <c r="H1643" s="64"/>
      <c r="I1643" s="64"/>
      <c r="J1643" s="64"/>
      <c r="K1643" s="64"/>
      <c r="L1643" s="64"/>
      <c r="M1643" s="64"/>
      <c r="N1643" s="64"/>
      <c r="O1643" s="64"/>
      <c r="P1643" s="64"/>
      <c r="Q1643" s="64"/>
      <c r="R1643" s="64"/>
      <c r="S1643" s="64"/>
    </row>
    <row r="1644" spans="1:19" x14ac:dyDescent="0.25">
      <c r="A1644" s="63"/>
      <c r="B1644" s="64"/>
      <c r="C1644" s="64"/>
      <c r="D1644" s="64"/>
      <c r="E1644" s="64"/>
      <c r="F1644" s="64"/>
      <c r="G1644" s="64"/>
      <c r="H1644" s="64"/>
      <c r="I1644" s="64"/>
      <c r="J1644" s="64"/>
      <c r="K1644" s="64"/>
      <c r="L1644" s="64"/>
      <c r="M1644" s="64"/>
      <c r="N1644" s="64"/>
      <c r="O1644" s="64"/>
      <c r="P1644" s="64"/>
      <c r="Q1644" s="64"/>
      <c r="R1644" s="64"/>
      <c r="S1644" s="64"/>
    </row>
    <row r="1645" spans="1:19" x14ac:dyDescent="0.25">
      <c r="A1645" s="63"/>
      <c r="B1645" s="64"/>
      <c r="C1645" s="64"/>
      <c r="D1645" s="64"/>
      <c r="E1645" s="64"/>
      <c r="F1645" s="64"/>
      <c r="G1645" s="64"/>
      <c r="H1645" s="64"/>
      <c r="I1645" s="64"/>
      <c r="J1645" s="64"/>
      <c r="K1645" s="64"/>
      <c r="L1645" s="64"/>
      <c r="M1645" s="64"/>
      <c r="N1645" s="64"/>
      <c r="O1645" s="64"/>
      <c r="P1645" s="64"/>
      <c r="Q1645" s="64"/>
      <c r="R1645" s="64"/>
      <c r="S1645" s="64"/>
    </row>
    <row r="1646" spans="1:19" x14ac:dyDescent="0.25">
      <c r="A1646" s="63"/>
      <c r="B1646" s="64"/>
      <c r="C1646" s="64"/>
      <c r="D1646" s="64"/>
      <c r="E1646" s="64"/>
      <c r="F1646" s="64"/>
      <c r="G1646" s="64"/>
      <c r="H1646" s="64"/>
      <c r="I1646" s="64"/>
      <c r="J1646" s="64"/>
      <c r="K1646" s="64"/>
      <c r="L1646" s="64"/>
      <c r="M1646" s="64"/>
      <c r="N1646" s="64"/>
      <c r="O1646" s="64"/>
      <c r="P1646" s="64"/>
      <c r="Q1646" s="64"/>
      <c r="R1646" s="64"/>
      <c r="S1646" s="64"/>
    </row>
    <row r="1647" spans="1:19" x14ac:dyDescent="0.25">
      <c r="A1647" s="63"/>
      <c r="B1647" s="64"/>
      <c r="C1647" s="64"/>
      <c r="D1647" s="64"/>
      <c r="E1647" s="64"/>
      <c r="F1647" s="64"/>
      <c r="G1647" s="64"/>
      <c r="H1647" s="64"/>
      <c r="I1647" s="64"/>
      <c r="J1647" s="64"/>
      <c r="K1647" s="64"/>
      <c r="L1647" s="64"/>
      <c r="M1647" s="64"/>
      <c r="N1647" s="64"/>
      <c r="O1647" s="64"/>
      <c r="P1647" s="64"/>
      <c r="Q1647" s="64"/>
      <c r="R1647" s="64"/>
      <c r="S1647" s="64"/>
    </row>
    <row r="1648" spans="1:19" x14ac:dyDescent="0.25">
      <c r="A1648" s="63"/>
      <c r="B1648" s="64"/>
      <c r="C1648" s="64"/>
      <c r="D1648" s="64"/>
      <c r="E1648" s="64"/>
      <c r="F1648" s="64"/>
      <c r="G1648" s="64"/>
      <c r="H1648" s="64"/>
      <c r="I1648" s="64"/>
      <c r="J1648" s="64"/>
      <c r="K1648" s="64"/>
      <c r="L1648" s="64"/>
      <c r="M1648" s="64"/>
      <c r="N1648" s="64"/>
      <c r="O1648" s="64"/>
      <c r="P1648" s="64"/>
      <c r="Q1648" s="64"/>
      <c r="R1648" s="64"/>
      <c r="S1648" s="64"/>
    </row>
    <row r="1649" spans="1:19" x14ac:dyDescent="0.25">
      <c r="A1649" s="63"/>
      <c r="B1649" s="64"/>
      <c r="C1649" s="64"/>
      <c r="D1649" s="64"/>
      <c r="E1649" s="64"/>
      <c r="F1649" s="64"/>
      <c r="G1649" s="64"/>
      <c r="H1649" s="64"/>
      <c r="I1649" s="64"/>
      <c r="J1649" s="64"/>
      <c r="K1649" s="64"/>
      <c r="L1649" s="64"/>
      <c r="M1649" s="64"/>
      <c r="N1649" s="64"/>
      <c r="O1649" s="64"/>
      <c r="P1649" s="64"/>
      <c r="Q1649" s="64"/>
      <c r="R1649" s="64"/>
      <c r="S1649" s="64"/>
    </row>
    <row r="1650" spans="1:19" x14ac:dyDescent="0.25">
      <c r="A1650" s="63"/>
      <c r="B1650" s="64"/>
      <c r="C1650" s="64"/>
      <c r="D1650" s="64"/>
      <c r="E1650" s="64"/>
      <c r="F1650" s="64"/>
      <c r="G1650" s="64"/>
      <c r="H1650" s="64"/>
      <c r="I1650" s="64"/>
      <c r="J1650" s="64"/>
      <c r="K1650" s="64"/>
      <c r="L1650" s="64"/>
      <c r="M1650" s="64"/>
      <c r="N1650" s="64"/>
      <c r="O1650" s="64"/>
      <c r="P1650" s="64"/>
      <c r="Q1650" s="64"/>
      <c r="R1650" s="64"/>
      <c r="S1650" s="64"/>
    </row>
    <row r="1651" spans="1:19" x14ac:dyDescent="0.25">
      <c r="A1651" s="63"/>
      <c r="B1651" s="64"/>
      <c r="C1651" s="64"/>
      <c r="D1651" s="64"/>
      <c r="E1651" s="64"/>
      <c r="F1651" s="64"/>
      <c r="G1651" s="64"/>
      <c r="H1651" s="64"/>
      <c r="I1651" s="64"/>
      <c r="J1651" s="64"/>
      <c r="K1651" s="64"/>
      <c r="L1651" s="64"/>
      <c r="M1651" s="64"/>
      <c r="N1651" s="64"/>
      <c r="O1651" s="64"/>
      <c r="P1651" s="64"/>
      <c r="Q1651" s="64"/>
      <c r="R1651" s="64"/>
      <c r="S1651" s="64"/>
    </row>
    <row r="1652" spans="1:19" x14ac:dyDescent="0.25">
      <c r="A1652" s="63"/>
      <c r="B1652" s="64"/>
      <c r="C1652" s="64"/>
      <c r="D1652" s="64"/>
      <c r="E1652" s="64"/>
      <c r="F1652" s="64"/>
      <c r="G1652" s="64"/>
      <c r="H1652" s="64"/>
      <c r="I1652" s="64"/>
      <c r="J1652" s="64"/>
      <c r="K1652" s="64"/>
      <c r="L1652" s="64"/>
      <c r="M1652" s="64"/>
      <c r="N1652" s="64"/>
      <c r="O1652" s="64"/>
      <c r="P1652" s="64"/>
      <c r="Q1652" s="64"/>
      <c r="R1652" s="64"/>
      <c r="S1652" s="64"/>
    </row>
    <row r="1653" spans="1:19" x14ac:dyDescent="0.25">
      <c r="A1653" s="63"/>
      <c r="B1653" s="64"/>
      <c r="C1653" s="64"/>
      <c r="D1653" s="64"/>
      <c r="E1653" s="64"/>
      <c r="F1653" s="64"/>
      <c r="G1653" s="64"/>
      <c r="H1653" s="64"/>
      <c r="I1653" s="64"/>
      <c r="J1653" s="64"/>
      <c r="K1653" s="64"/>
      <c r="L1653" s="64"/>
      <c r="M1653" s="64"/>
      <c r="N1653" s="64"/>
      <c r="O1653" s="64"/>
      <c r="P1653" s="64"/>
      <c r="Q1653" s="64"/>
      <c r="R1653" s="64"/>
      <c r="S1653" s="64"/>
    </row>
    <row r="1654" spans="1:19" x14ac:dyDescent="0.25">
      <c r="A1654" s="63"/>
      <c r="B1654" s="64"/>
      <c r="C1654" s="64"/>
      <c r="D1654" s="64"/>
      <c r="E1654" s="64"/>
      <c r="F1654" s="64"/>
      <c r="G1654" s="64"/>
      <c r="H1654" s="64"/>
      <c r="I1654" s="64"/>
      <c r="J1654" s="64"/>
      <c r="K1654" s="64"/>
      <c r="L1654" s="64"/>
      <c r="M1654" s="64"/>
      <c r="N1654" s="64"/>
      <c r="O1654" s="64"/>
      <c r="P1654" s="64"/>
      <c r="Q1654" s="64"/>
      <c r="R1654" s="64"/>
      <c r="S1654" s="64"/>
    </row>
    <row r="1655" spans="1:19" x14ac:dyDescent="0.25">
      <c r="A1655" s="63"/>
      <c r="B1655" s="64"/>
      <c r="C1655" s="64"/>
      <c r="D1655" s="64"/>
      <c r="E1655" s="64"/>
      <c r="F1655" s="64"/>
      <c r="G1655" s="64"/>
      <c r="H1655" s="64"/>
      <c r="I1655" s="64"/>
      <c r="J1655" s="64"/>
      <c r="K1655" s="64"/>
      <c r="L1655" s="64"/>
      <c r="M1655" s="64"/>
      <c r="N1655" s="64"/>
      <c r="O1655" s="64"/>
      <c r="P1655" s="64"/>
      <c r="Q1655" s="64"/>
      <c r="R1655" s="64"/>
      <c r="S1655" s="64"/>
    </row>
    <row r="1656" spans="1:19" x14ac:dyDescent="0.25">
      <c r="A1656" s="63"/>
      <c r="B1656" s="64"/>
      <c r="C1656" s="64"/>
      <c r="D1656" s="64"/>
      <c r="E1656" s="64"/>
      <c r="F1656" s="64"/>
      <c r="G1656" s="64"/>
      <c r="H1656" s="64"/>
      <c r="I1656" s="64"/>
      <c r="J1656" s="64"/>
      <c r="K1656" s="64"/>
      <c r="L1656" s="64"/>
      <c r="M1656" s="64"/>
      <c r="N1656" s="64"/>
      <c r="O1656" s="64"/>
      <c r="P1656" s="64"/>
      <c r="Q1656" s="64"/>
      <c r="R1656" s="64"/>
      <c r="S1656" s="64"/>
    </row>
    <row r="1657" spans="1:19" x14ac:dyDescent="0.25">
      <c r="A1657" s="63"/>
      <c r="B1657" s="64"/>
      <c r="C1657" s="64"/>
      <c r="D1657" s="64"/>
      <c r="E1657" s="64"/>
      <c r="F1657" s="64"/>
      <c r="G1657" s="64"/>
      <c r="H1657" s="64"/>
      <c r="I1657" s="64"/>
      <c r="J1657" s="64"/>
      <c r="K1657" s="64"/>
      <c r="L1657" s="64"/>
      <c r="M1657" s="64"/>
      <c r="N1657" s="64"/>
      <c r="O1657" s="64"/>
      <c r="P1657" s="64"/>
      <c r="Q1657" s="64"/>
      <c r="R1657" s="64"/>
      <c r="S1657" s="64"/>
    </row>
    <row r="1658" spans="1:19" x14ac:dyDescent="0.25">
      <c r="A1658" s="63"/>
      <c r="B1658" s="64"/>
      <c r="C1658" s="64"/>
      <c r="D1658" s="64"/>
      <c r="E1658" s="64"/>
      <c r="F1658" s="64"/>
      <c r="G1658" s="64"/>
      <c r="H1658" s="64"/>
      <c r="I1658" s="64"/>
      <c r="J1658" s="64"/>
      <c r="K1658" s="64"/>
      <c r="L1658" s="64"/>
      <c r="M1658" s="64"/>
      <c r="N1658" s="64"/>
      <c r="O1658" s="64"/>
      <c r="P1658" s="64"/>
      <c r="Q1658" s="64"/>
      <c r="R1658" s="64"/>
      <c r="S1658" s="64"/>
    </row>
    <row r="1659" spans="1:19" x14ac:dyDescent="0.25">
      <c r="A1659" s="63"/>
      <c r="B1659" s="64"/>
      <c r="C1659" s="64"/>
      <c r="D1659" s="64"/>
      <c r="E1659" s="64"/>
      <c r="F1659" s="64"/>
      <c r="G1659" s="64"/>
      <c r="H1659" s="64"/>
      <c r="I1659" s="64"/>
      <c r="J1659" s="64"/>
      <c r="K1659" s="64"/>
      <c r="L1659" s="64"/>
      <c r="M1659" s="64"/>
      <c r="N1659" s="64"/>
      <c r="O1659" s="64"/>
      <c r="P1659" s="64"/>
      <c r="Q1659" s="64"/>
      <c r="R1659" s="64"/>
      <c r="S1659" s="64"/>
    </row>
    <row r="1660" spans="1:19" x14ac:dyDescent="0.25">
      <c r="A1660" s="63"/>
      <c r="B1660" s="64"/>
      <c r="C1660" s="64"/>
      <c r="D1660" s="64"/>
      <c r="E1660" s="64"/>
      <c r="F1660" s="64"/>
      <c r="G1660" s="64"/>
      <c r="H1660" s="64"/>
      <c r="I1660" s="64"/>
      <c r="J1660" s="64"/>
      <c r="K1660" s="64"/>
      <c r="L1660" s="64"/>
      <c r="M1660" s="64"/>
      <c r="N1660" s="64"/>
      <c r="O1660" s="64"/>
      <c r="P1660" s="64"/>
      <c r="Q1660" s="64"/>
      <c r="R1660" s="64"/>
      <c r="S1660" s="64"/>
    </row>
    <row r="1661" spans="1:19" x14ac:dyDescent="0.25">
      <c r="A1661" s="63"/>
      <c r="B1661" s="64"/>
      <c r="C1661" s="64"/>
      <c r="D1661" s="64"/>
      <c r="E1661" s="64"/>
      <c r="F1661" s="64"/>
      <c r="G1661" s="64"/>
      <c r="H1661" s="64"/>
      <c r="I1661" s="64"/>
      <c r="J1661" s="64"/>
      <c r="K1661" s="64"/>
      <c r="L1661" s="64"/>
      <c r="M1661" s="64"/>
      <c r="N1661" s="64"/>
      <c r="O1661" s="64"/>
      <c r="P1661" s="64"/>
      <c r="Q1661" s="64"/>
      <c r="R1661" s="64"/>
      <c r="S1661" s="64"/>
    </row>
    <row r="1662" spans="1:19" x14ac:dyDescent="0.25">
      <c r="A1662" s="63"/>
      <c r="B1662" s="64"/>
      <c r="C1662" s="64"/>
      <c r="D1662" s="64"/>
      <c r="E1662" s="64"/>
      <c r="F1662" s="64"/>
      <c r="G1662" s="64"/>
      <c r="H1662" s="64"/>
      <c r="I1662" s="64"/>
      <c r="J1662" s="64"/>
      <c r="K1662" s="64"/>
      <c r="L1662" s="64"/>
      <c r="M1662" s="64"/>
      <c r="N1662" s="64"/>
      <c r="O1662" s="64"/>
      <c r="P1662" s="64"/>
      <c r="Q1662" s="64"/>
      <c r="R1662" s="64"/>
      <c r="S1662" s="64"/>
    </row>
    <row r="1663" spans="1:19" x14ac:dyDescent="0.25">
      <c r="S1663" s="64"/>
    </row>
  </sheetData>
  <conditionalFormatting sqref="A118:S125 T127:U646 A21:S116 S126:T126 A126:R1654 S127:S1655 AR601:XFD645 Z347:AQ646 AW21:XFD600 V21:X645 T21:T125 Y21:Y70 U21:U600 AR21:AV21 AV22:AV99 AR22:AU600">
    <cfRule type="expression" dxfId="197" priority="36">
      <formula>MOD(ROW(),2)=0</formula>
    </cfRule>
  </conditionalFormatting>
  <conditionalFormatting sqref="Y72:Y100 Y102:Y645">
    <cfRule type="expression" dxfId="196" priority="35">
      <formula>MOD(ROW(),2)=0</formula>
    </cfRule>
  </conditionalFormatting>
  <conditionalFormatting sqref="Y20 AS21:AS99 U21:U600">
    <cfRule type="containsText" dxfId="195" priority="33" operator="containsText" text="Exclude">
      <formula>NOT(ISERROR(SEARCH("Exclude",U20)))</formula>
    </cfRule>
  </conditionalFormatting>
  <conditionalFormatting sqref="AV100:AV600">
    <cfRule type="expression" dxfId="194" priority="32">
      <formula>MOD(ROW(),2)=0</formula>
    </cfRule>
  </conditionalFormatting>
  <conditionalFormatting sqref="AV100:AV600">
    <cfRule type="containsText" dxfId="193" priority="31" operator="containsText" text="Exclude">
      <formula>NOT(ISERROR(SEARCH("Exclude",AV100)))</formula>
    </cfRule>
  </conditionalFormatting>
  <conditionalFormatting sqref="AV20">
    <cfRule type="containsText" dxfId="192" priority="30" operator="containsText" text="Exclude">
      <formula>NOT(ISERROR(SEARCH("Exclude",AV20)))</formula>
    </cfRule>
  </conditionalFormatting>
  <conditionalFormatting sqref="AT18:AT20 AT100:AT1048576 AT1:AT2">
    <cfRule type="containsText" dxfId="191" priority="29" operator="containsText" text="Pant">
      <formula>NOT(ISERROR(SEARCH("Pant",AT1)))</formula>
    </cfRule>
  </conditionalFormatting>
  <conditionalFormatting sqref="U20">
    <cfRule type="containsText" dxfId="190" priority="28" operator="containsText" text="Exclude">
      <formula>NOT(ISERROR(SEARCH("Exclude",U20)))</formula>
    </cfRule>
  </conditionalFormatting>
  <conditionalFormatting sqref="Y71">
    <cfRule type="expression" dxfId="189" priority="27">
      <formula>MOD(ROW(),2)=0</formula>
    </cfRule>
  </conditionalFormatting>
  <conditionalFormatting sqref="Y71">
    <cfRule type="containsText" dxfId="188" priority="26" operator="containsText" text="Exclude">
      <formula>NOT(ISERROR(SEARCH("Exclude",Y71)))</formula>
    </cfRule>
  </conditionalFormatting>
  <conditionalFormatting sqref="Y101">
    <cfRule type="expression" dxfId="187" priority="25">
      <formula>MOD(ROW(),2)=0</formula>
    </cfRule>
  </conditionalFormatting>
  <conditionalFormatting sqref="Y101">
    <cfRule type="containsText" dxfId="186" priority="24" operator="containsText" text="Exclude">
      <formula>NOT(ISERROR(SEARCH("Exclude",Y101)))</formula>
    </cfRule>
  </conditionalFormatting>
  <conditionalFormatting sqref="AS21:AS99 V1:V2 V7:V11 U17:U1048576 V14:V16">
    <cfRule type="containsText" dxfId="185" priority="22" operator="containsText" text="False">
      <formula>NOT(ISERROR(SEARCH("False",U1)))</formula>
    </cfRule>
  </conditionalFormatting>
  <conditionalFormatting sqref="AT21:AV21 V17:X1048576 W1:X2 W7:X11 X3:X6 W14:X16 X12:X13 AT22:AT99 AV22:AV99 AU22:AU600">
    <cfRule type="containsText" dxfId="184" priority="21" operator="containsText" text="FALSE">
      <formula>NOT(ISERROR(SEARCH("FALSE",V1)))</formula>
    </cfRule>
  </conditionalFormatting>
  <conditionalFormatting sqref="AS17">
    <cfRule type="containsText" dxfId="183" priority="15" operator="containsText" text="False">
      <formula>NOT(ISERROR(SEARCH("False",AS17)))</formula>
    </cfRule>
  </conditionalFormatting>
  <conditionalFormatting sqref="AT17">
    <cfRule type="containsText" dxfId="182" priority="14" operator="containsText" text="FALSE">
      <formula>NOT(ISERROR(SEARCH("FALSE",AT17)))</formula>
    </cfRule>
  </conditionalFormatting>
  <conditionalFormatting sqref="AU17">
    <cfRule type="containsText" dxfId="181" priority="13" operator="containsText" text="FALSE">
      <formula>NOT(ISERROR(SEARCH("FALSE",AU17)))</formula>
    </cfRule>
  </conditionalFormatting>
  <conditionalFormatting sqref="AV17">
    <cfRule type="containsText" dxfId="180" priority="12" operator="containsText" text="FALSE">
      <formula>NOT(ISERROR(SEARCH("FALSE",AV17)))</formula>
    </cfRule>
  </conditionalFormatting>
  <conditionalFormatting sqref="R12:R13">
    <cfRule type="containsText" dxfId="179" priority="7" operator="containsText" text="False">
      <formula>NOT(ISERROR(SEARCH("False",R12)))</formula>
    </cfRule>
  </conditionalFormatting>
  <conditionalFormatting sqref="AU7:AU11 AU14:AU16">
    <cfRule type="containsText" dxfId="178" priority="6" operator="containsText" text="False">
      <formula>NOT(ISERROR(SEARCH("False",AU7)))</formula>
    </cfRule>
  </conditionalFormatting>
  <conditionalFormatting sqref="AV7:AV11 AV14:AV16">
    <cfRule type="containsText" dxfId="177" priority="5" operator="containsText" text="FALSE">
      <formula>NOT(ISERROR(SEARCH("FALSE",AV7)))</formula>
    </cfRule>
  </conditionalFormatting>
  <conditionalFormatting sqref="AQ12:AQ13">
    <cfRule type="containsText" dxfId="176" priority="4" operator="containsText" text="False">
      <formula>NOT(ISERROR(SEARCH("False",AQ12)))</formula>
    </cfRule>
  </conditionalFormatting>
  <conditionalFormatting sqref="Z21:AQ116 Z118:AQ346">
    <cfRule type="expression" dxfId="175" priority="3">
      <formula>MOD(ROW(),2)=0</formula>
    </cfRule>
  </conditionalFormatting>
  <conditionalFormatting sqref="AU21:AU600">
    <cfRule type="containsText" dxfId="174" priority="2" operator="containsText" text="Exclude">
      <formula>NOT(ISERROR(SEARCH("Exclude",AU21)))</formula>
    </cfRule>
  </conditionalFormatting>
  <conditionalFormatting sqref="AU21:AU600">
    <cfRule type="containsText" dxfId="173" priority="1" operator="containsText" text="False">
      <formula>NOT(ISERROR(SEARCH("False",AU21)))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TextToColumns">
                <anchor moveWithCells="1" sizeWithCells="1">
                  <from>
                    <xdr:col>9</xdr:col>
                    <xdr:colOff>857250</xdr:colOff>
                    <xdr:row>0</xdr:row>
                    <xdr:rowOff>19050</xdr:rowOff>
                  </from>
                  <to>
                    <xdr:col>14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AS1663"/>
  <sheetViews>
    <sheetView zoomScale="90" zoomScaleNormal="90" workbookViewId="0">
      <pane ySplit="17" topLeftCell="A18" activePane="bottomLeft" state="frozen"/>
      <selection pane="bottomLeft" activeCell="W21" sqref="W21:AN76"/>
    </sheetView>
  </sheetViews>
  <sheetFormatPr defaultColWidth="9.140625" defaultRowHeight="15" x14ac:dyDescent="0.25"/>
  <cols>
    <col min="1" max="1" width="20" style="65" customWidth="1"/>
    <col min="2" max="2" width="17.42578125" style="65" customWidth="1"/>
    <col min="3" max="3" width="17.140625" style="65" customWidth="1"/>
    <col min="4" max="4" width="16.85546875" style="65" customWidth="1"/>
    <col min="5" max="6" width="17" style="65" customWidth="1"/>
    <col min="7" max="7" width="20.7109375" style="65" customWidth="1"/>
    <col min="8" max="8" width="19.28515625" style="65" bestFit="1" customWidth="1"/>
    <col min="9" max="9" width="16.7109375" style="65" customWidth="1"/>
    <col min="10" max="11" width="14.85546875" style="65" bestFit="1" customWidth="1"/>
    <col min="12" max="12" width="15" style="65" bestFit="1" customWidth="1"/>
    <col min="13" max="13" width="15.28515625" style="65" bestFit="1" customWidth="1"/>
    <col min="14" max="14" width="13.85546875" style="65" bestFit="1" customWidth="1"/>
    <col min="15" max="15" width="18.7109375" style="65" bestFit="1" customWidth="1"/>
    <col min="16" max="16" width="15.42578125" style="65" customWidth="1"/>
    <col min="17" max="17" width="12" style="65" customWidth="1"/>
    <col min="18" max="18" width="18.7109375" style="65" customWidth="1"/>
    <col min="19" max="19" width="20.28515625" style="65" customWidth="1"/>
    <col min="20" max="20" width="14.5703125" style="65" customWidth="1"/>
    <col min="21" max="21" width="15.28515625" style="65" bestFit="1" customWidth="1"/>
    <col min="22" max="22" width="9.42578125" style="65" customWidth="1"/>
    <col min="23" max="23" width="14.85546875" style="63" bestFit="1" customWidth="1"/>
    <col min="24" max="24" width="14.85546875" style="65" bestFit="1" customWidth="1"/>
    <col min="25" max="25" width="16.5703125" style="65" bestFit="1" customWidth="1"/>
    <col min="26" max="26" width="10.7109375" style="65" bestFit="1" customWidth="1"/>
    <col min="27" max="27" width="15" style="65" bestFit="1" customWidth="1"/>
    <col min="28" max="28" width="17" style="65" customWidth="1"/>
    <col min="29" max="29" width="19.28515625" style="65" bestFit="1" customWidth="1"/>
    <col min="30" max="31" width="14.85546875" style="65" bestFit="1" customWidth="1"/>
    <col min="32" max="32" width="18.42578125" style="65" bestFit="1" customWidth="1"/>
    <col min="33" max="33" width="16.5703125" style="65" bestFit="1" customWidth="1"/>
    <col min="34" max="34" width="10.7109375" style="65" bestFit="1" customWidth="1"/>
    <col min="35" max="35" width="15.28515625" style="65" bestFit="1" customWidth="1"/>
    <col min="36" max="36" width="13.85546875" style="65" bestFit="1" customWidth="1"/>
    <col min="37" max="37" width="18.7109375" style="65" bestFit="1" customWidth="1"/>
    <col min="38" max="38" width="10.5703125" style="65" customWidth="1"/>
    <col min="39" max="39" width="13.5703125" style="65" bestFit="1" customWidth="1"/>
    <col min="40" max="40" width="20.140625" style="65" bestFit="1" customWidth="1"/>
    <col min="41" max="41" width="19.28515625" style="65" bestFit="1" customWidth="1"/>
    <col min="42" max="42" width="20.28515625" style="65" bestFit="1" customWidth="1"/>
    <col min="43" max="43" width="15.28515625" style="65" bestFit="1" customWidth="1"/>
    <col min="44" max="44" width="14.85546875" style="65" bestFit="1" customWidth="1"/>
    <col min="45" max="45" width="18.7109375" style="65" bestFit="1" customWidth="1"/>
    <col min="46" max="16384" width="9.140625" style="65"/>
  </cols>
  <sheetData>
    <row r="1" spans="1:45" s="28" customFormat="1" ht="22.5" x14ac:dyDescent="0.3">
      <c r="C1" s="1" t="s">
        <v>145</v>
      </c>
      <c r="K1" s="30"/>
      <c r="L1" s="30"/>
      <c r="M1" s="30"/>
      <c r="N1" s="30"/>
      <c r="O1" s="33"/>
      <c r="P1" s="33"/>
      <c r="Q1" s="33"/>
      <c r="R1" s="33"/>
      <c r="S1" s="33"/>
      <c r="T1" s="33"/>
      <c r="U1" s="33"/>
      <c r="W1" s="95"/>
      <c r="X1" s="23"/>
    </row>
    <row r="2" spans="1:45" s="28" customFormat="1" x14ac:dyDescent="0.25">
      <c r="D2" s="29"/>
      <c r="K2" s="30"/>
      <c r="L2" s="30"/>
      <c r="M2" s="30"/>
      <c r="N2" s="30"/>
      <c r="O2" s="33"/>
      <c r="P2" s="33"/>
      <c r="Q2" s="33"/>
      <c r="R2" s="33"/>
      <c r="S2" s="33"/>
      <c r="T2" s="33"/>
      <c r="U2" s="33"/>
      <c r="W2" s="24"/>
      <c r="X2" s="23"/>
    </row>
    <row r="3" spans="1:45" s="28" customFormat="1" ht="18.75" x14ac:dyDescent="0.3">
      <c r="A3" s="69" t="s">
        <v>88</v>
      </c>
      <c r="D3" s="29"/>
      <c r="I3" s="69"/>
      <c r="L3" s="29"/>
      <c r="N3" s="33"/>
      <c r="O3" s="33"/>
      <c r="P3" s="33"/>
      <c r="Q3" s="69"/>
      <c r="T3" s="29"/>
      <c r="W3" s="79" t="s">
        <v>88</v>
      </c>
      <c r="Z3" s="29"/>
      <c r="AE3" s="69"/>
      <c r="AH3" s="29"/>
      <c r="AJ3" s="33"/>
      <c r="AK3" s="33"/>
      <c r="AL3" s="33"/>
      <c r="AM3" s="69"/>
      <c r="AP3" s="29"/>
    </row>
    <row r="4" spans="1:45" s="28" customFormat="1" x14ac:dyDescent="0.25">
      <c r="D4" s="29"/>
      <c r="L4" s="29"/>
      <c r="N4" s="33"/>
      <c r="O4" s="33"/>
      <c r="P4" s="33"/>
      <c r="T4" s="29"/>
      <c r="W4" s="24"/>
      <c r="Z4" s="29"/>
      <c r="AH4" s="29"/>
      <c r="AJ4" s="33"/>
      <c r="AK4" s="33"/>
      <c r="AL4" s="33"/>
      <c r="AP4" s="29"/>
    </row>
    <row r="5" spans="1:45" s="28" customFormat="1" x14ac:dyDescent="0.25">
      <c r="A5" s="40" t="s">
        <v>3</v>
      </c>
      <c r="B5" s="40" t="s">
        <v>84</v>
      </c>
      <c r="C5" s="40" t="s">
        <v>140</v>
      </c>
      <c r="D5" s="40" t="s">
        <v>141</v>
      </c>
      <c r="E5" s="40" t="s">
        <v>52</v>
      </c>
      <c r="F5" s="40" t="s">
        <v>139</v>
      </c>
      <c r="G5" s="40" t="s">
        <v>142</v>
      </c>
      <c r="H5" s="33"/>
      <c r="I5" s="40"/>
      <c r="J5" s="40"/>
      <c r="K5" s="40"/>
      <c r="L5" s="40"/>
      <c r="M5" s="40"/>
      <c r="N5" s="40"/>
      <c r="O5" s="40"/>
      <c r="P5" s="33"/>
      <c r="Q5" s="40"/>
      <c r="R5" s="40"/>
      <c r="S5" s="40"/>
      <c r="T5" s="40"/>
      <c r="U5" s="40"/>
      <c r="W5" s="41" t="s">
        <v>3</v>
      </c>
      <c r="X5" s="40" t="s">
        <v>84</v>
      </c>
      <c r="Y5" s="40" t="s">
        <v>140</v>
      </c>
      <c r="Z5" s="40" t="s">
        <v>141</v>
      </c>
      <c r="AA5" s="40" t="s">
        <v>52</v>
      </c>
      <c r="AB5" s="40" t="s">
        <v>139</v>
      </c>
      <c r="AC5" s="40" t="s">
        <v>142</v>
      </c>
      <c r="AD5" s="33"/>
      <c r="AE5" s="40"/>
      <c r="AF5" s="40"/>
      <c r="AG5" s="40"/>
      <c r="AH5" s="40"/>
      <c r="AI5" s="40"/>
      <c r="AJ5" s="40"/>
      <c r="AK5" s="40"/>
      <c r="AL5" s="33"/>
      <c r="AM5" s="40"/>
      <c r="AN5" s="40"/>
      <c r="AO5" s="40"/>
      <c r="AP5" s="40"/>
      <c r="AQ5" s="40"/>
      <c r="AR5" s="40"/>
      <c r="AS5" s="40"/>
    </row>
    <row r="6" spans="1:45" s="28" customFormat="1" x14ac:dyDescent="0.25">
      <c r="A6" s="33">
        <f>COUNTIFS($B$21:$B$600,1,$R$21:$R$600,"TruePositive")-1</f>
        <v>-1</v>
      </c>
      <c r="B6" s="33">
        <f>SUMIF($B$21:$B$600,1,$U$21:$U$600)</f>
        <v>0</v>
      </c>
      <c r="C6" s="33" t="e">
        <f>SUM(A6/B6)*1000</f>
        <v>#DIV/0!</v>
      </c>
      <c r="D6" s="33">
        <f>COUNTIFS($B$21:$B$600,1,$R$21:$R$600,"Exploratory")</f>
        <v>0</v>
      </c>
      <c r="E6" s="33">
        <f>COUNTIFS($B$21:$B$600,1,$R$21:$R$600,"Diagonal")+COUNTIFS($B$21:$B$600,1,$R$21:$R$600,"FailureReturnToHead")+COUNTIFS($B$21:$B$600,1,$R$21:$R$600,"Jump")+COUNTIFS($B$21:$B$600,1,$R$21:$R$600,"Backwards")+COUNTIFS($B$21:$B$600,1,$R$21:$R$600,"OutsideGrid")+COUNTIFS($B$21:$B$600,1,$R$21:$R$600,"BetweenBox")</f>
        <v>0</v>
      </c>
      <c r="F6" s="28">
        <f>COUNTIFS($B$21:$B$600,1,$R$21:$R$600,"ReturnToHead")</f>
        <v>0</v>
      </c>
      <c r="G6" s="33">
        <f>COUNTIFS($B$21:$B$600,1,$R$21:$R$600,"Perseverative")</f>
        <v>0</v>
      </c>
      <c r="H6" s="33"/>
      <c r="I6" s="33"/>
      <c r="J6" s="33"/>
      <c r="K6" s="33"/>
      <c r="L6" s="33"/>
      <c r="M6" s="33"/>
      <c r="O6" s="33"/>
      <c r="P6" s="33"/>
      <c r="Q6" s="33"/>
      <c r="R6" s="33"/>
      <c r="S6" s="33"/>
      <c r="T6" s="33"/>
      <c r="U6" s="33"/>
      <c r="W6" s="44">
        <f>COUNTIFS($X$21:X$600,1,$AN$21:$AN$600,"TruePositive")-1</f>
        <v>-1</v>
      </c>
      <c r="X6" s="33">
        <f>SUMIF($X$21:$X$600,1,$AR$21:$AR$600)</f>
        <v>0</v>
      </c>
      <c r="Y6" s="33" t="e">
        <f>SUM(W6/X6)*1000</f>
        <v>#DIV/0!</v>
      </c>
      <c r="Z6" s="33">
        <f>COUNTIFS($X$21:$X$600,1,$AN$21:$AN$600,"Exploratory")</f>
        <v>0</v>
      </c>
      <c r="AA6" s="33">
        <f>COUNTIFS($X$21:$X$600,1,$AN$21:$AN$600,"Diagonal")+COUNTIFS($X$21:$X$600,1,$AN$21:$AN$600,"FailureReturnToHead")+COUNTIFS($X$21:$X$600,1,$AN$21:$AN$600,"Jump")+COUNTIFS($X$21:$X$600,1,$AN$21:$AN$600,"Backwards")+COUNTIFS($X$21:$X$600,1,$AN$21:$AN$600,"OutsideGrid")+COUNTIFS($X$21:$X$600,1,$AN$21:$AN$600,"BetweenBox")</f>
        <v>0</v>
      </c>
      <c r="AB6" s="28">
        <f>COUNTIFS($X$21:$X$600,1,$AN$21:$AN$600,"ReturnToHead")</f>
        <v>0</v>
      </c>
      <c r="AC6" s="33">
        <f>COUNTIFS($X$21:$X$600,1,$AN$21:$AN$600,"Perseverative")</f>
        <v>0</v>
      </c>
      <c r="AD6" s="33"/>
      <c r="AE6" s="33"/>
      <c r="AF6" s="33"/>
      <c r="AG6" s="33"/>
      <c r="AH6" s="33"/>
      <c r="AI6" s="33"/>
      <c r="AK6" s="33"/>
      <c r="AL6" s="33"/>
      <c r="AM6" s="33"/>
      <c r="AN6" s="33"/>
      <c r="AO6" s="33"/>
      <c r="AP6" s="33"/>
      <c r="AQ6" s="33"/>
      <c r="AS6" s="33"/>
    </row>
    <row r="7" spans="1:45" s="28" customFormat="1" x14ac:dyDescent="0.25">
      <c r="A7" s="40" t="s">
        <v>4</v>
      </c>
      <c r="B7" s="40" t="s">
        <v>144</v>
      </c>
      <c r="C7" s="40" t="s">
        <v>63</v>
      </c>
      <c r="D7" s="40" t="s">
        <v>65</v>
      </c>
      <c r="E7" s="40" t="s">
        <v>68</v>
      </c>
      <c r="F7" s="33"/>
      <c r="G7" s="33"/>
      <c r="H7" s="33"/>
      <c r="I7" s="40"/>
      <c r="J7" s="40"/>
      <c r="K7" s="33"/>
      <c r="L7" s="33"/>
      <c r="M7" s="33"/>
      <c r="N7" s="33"/>
      <c r="O7" s="33"/>
      <c r="P7" s="33"/>
      <c r="Q7" s="40"/>
      <c r="R7" s="40"/>
      <c r="S7" s="33"/>
      <c r="T7" s="33"/>
      <c r="U7" s="33"/>
      <c r="W7" s="41" t="s">
        <v>4</v>
      </c>
      <c r="X7" s="40" t="s">
        <v>144</v>
      </c>
      <c r="Y7" s="40" t="s">
        <v>63</v>
      </c>
      <c r="Z7" s="40" t="s">
        <v>65</v>
      </c>
      <c r="AA7" s="40" t="s">
        <v>68</v>
      </c>
      <c r="AB7" s="40" t="s">
        <v>62</v>
      </c>
      <c r="AC7" s="33"/>
      <c r="AD7" s="33"/>
      <c r="AE7" s="40"/>
      <c r="AF7" s="40"/>
      <c r="AG7" s="33"/>
      <c r="AH7" s="33"/>
      <c r="AI7" s="33"/>
      <c r="AJ7" s="33"/>
      <c r="AK7" s="33"/>
      <c r="AL7" s="33"/>
      <c r="AM7" s="40"/>
      <c r="AN7" s="40"/>
      <c r="AO7" s="33"/>
      <c r="AP7" s="33"/>
      <c r="AQ7" s="33"/>
    </row>
    <row r="8" spans="1:45" s="28" customFormat="1" x14ac:dyDescent="0.25">
      <c r="A8" s="101">
        <f>SUM(B8+D6+E6+G6)</f>
        <v>0</v>
      </c>
      <c r="B8" s="101">
        <f>COUNTIFS($B$21:$B$600,1,$R$21:$R$600,"WithinSearch")</f>
        <v>0</v>
      </c>
      <c r="C8" s="33" t="str">
        <f>IF(GMLT!S16="Yes",IF((A6/28)*100=100,"Yes","No"),"No")</f>
        <v>No</v>
      </c>
      <c r="D8" s="33" t="str">
        <f>IF($C$8="No","",(A8-VLOOKUP(Detection!$E$2,Norms!A127:D133,2,TRUE))*-1/VLOOKUP(Detection!$E$2,Norms!A127:D133,3,TRUE))</f>
        <v/>
      </c>
      <c r="E8" s="33" t="str">
        <f>IF($C$8="No","",SUM(D8*10)+100)</f>
        <v/>
      </c>
      <c r="F8" s="40"/>
      <c r="G8" s="40"/>
      <c r="H8" s="40"/>
      <c r="I8" s="101"/>
      <c r="J8" s="101"/>
      <c r="K8" s="33"/>
      <c r="L8" s="33"/>
      <c r="M8" s="40"/>
      <c r="N8" s="33"/>
      <c r="O8" s="33"/>
      <c r="P8" s="33"/>
      <c r="Q8" s="101"/>
      <c r="R8" s="101"/>
      <c r="S8" s="33"/>
      <c r="T8" s="33"/>
      <c r="U8" s="33"/>
      <c r="W8" s="45">
        <f>SUM(X8+Z6+AA6+AC6)</f>
        <v>0</v>
      </c>
      <c r="X8" s="101">
        <f>COUNTIFS($X$21:$X$600,1,$AN$21:$AN$600,"WithinSearch")</f>
        <v>0</v>
      </c>
      <c r="Y8" s="33" t="str">
        <f>IF(GMLT!AO16="Yes",IF((W6/28)*100=100,"Yes","No"),"No")</f>
        <v>No</v>
      </c>
      <c r="Z8" s="33" t="str">
        <f>IF($Y$8="No","",(W8-VLOOKUP(Detection!$E$2,Norms!A127:D133,2,TRUE))*-1/VLOOKUP(Detection!$E$2,Norms!A127:D133,3,TRUE))</f>
        <v/>
      </c>
      <c r="AA8" s="33" t="str">
        <f>IF($Y$8="No","",SUM(Z8*10)+100)</f>
        <v/>
      </c>
      <c r="AB8" s="33" t="b">
        <f>IF(X8="Yes",IF(#REF!="Yes",SUM((V8-#REF!)*-1/(VLOOKUP(Detection!#REF!,Norms!#REF!,4)*SQRT(2)))))</f>
        <v>0</v>
      </c>
      <c r="AC8" s="40"/>
      <c r="AD8" s="40"/>
      <c r="AE8" s="101"/>
      <c r="AF8" s="101"/>
      <c r="AG8" s="33"/>
      <c r="AH8" s="33"/>
      <c r="AI8" s="40"/>
      <c r="AJ8" s="33"/>
      <c r="AK8" s="33"/>
      <c r="AL8" s="33"/>
      <c r="AM8" s="101"/>
      <c r="AN8" s="101"/>
      <c r="AO8" s="33"/>
      <c r="AP8" s="33"/>
      <c r="AQ8" s="33"/>
    </row>
    <row r="9" spans="1:45" s="28" customForma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W9" s="44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</row>
    <row r="10" spans="1:45" s="28" customFormat="1" ht="18.75" x14ac:dyDescent="0.3">
      <c r="A10" s="81"/>
      <c r="B10" s="33"/>
      <c r="C10" s="33"/>
      <c r="D10" s="40"/>
      <c r="E10" s="33"/>
      <c r="F10" s="33"/>
      <c r="G10" s="33"/>
      <c r="H10" s="33"/>
      <c r="I10" s="69"/>
      <c r="L10" s="29"/>
      <c r="P10" s="33"/>
      <c r="Q10" s="81"/>
      <c r="R10" s="33"/>
      <c r="S10" s="33"/>
      <c r="T10" s="40"/>
      <c r="U10" s="33"/>
      <c r="W10" s="82"/>
      <c r="X10" s="33"/>
      <c r="Y10" s="33"/>
      <c r="Z10" s="40"/>
      <c r="AA10" s="33"/>
      <c r="AB10" s="33"/>
      <c r="AC10" s="33"/>
      <c r="AD10" s="33"/>
      <c r="AE10" s="69"/>
      <c r="AH10" s="29"/>
      <c r="AL10" s="33"/>
      <c r="AM10" s="81"/>
      <c r="AN10" s="33"/>
      <c r="AO10" s="33"/>
      <c r="AP10" s="40"/>
      <c r="AQ10" s="33"/>
      <c r="AR10" s="33"/>
      <c r="AS10" s="33"/>
    </row>
    <row r="11" spans="1:45" s="28" customFormat="1" x14ac:dyDescent="0.25">
      <c r="A11" s="33"/>
      <c r="B11" s="33"/>
      <c r="C11" s="33"/>
      <c r="D11" s="40"/>
      <c r="E11" s="33"/>
      <c r="F11" s="33"/>
      <c r="G11" s="33"/>
      <c r="H11" s="33"/>
      <c r="L11" s="29"/>
      <c r="P11" s="33"/>
      <c r="Q11" s="33"/>
      <c r="R11" s="33"/>
      <c r="S11" s="33"/>
      <c r="T11" s="40"/>
      <c r="U11" s="33"/>
      <c r="W11" s="44"/>
      <c r="X11" s="33"/>
      <c r="Y11" s="33"/>
      <c r="Z11" s="40"/>
      <c r="AA11" s="33"/>
      <c r="AB11" s="33"/>
      <c r="AC11" s="33"/>
      <c r="AD11" s="33"/>
      <c r="AH11" s="29"/>
      <c r="AL11" s="33"/>
      <c r="AM11" s="33"/>
      <c r="AN11" s="33"/>
      <c r="AO11" s="33"/>
      <c r="AP11" s="40"/>
      <c r="AQ11" s="33"/>
      <c r="AR11" s="33"/>
      <c r="AS11" s="33"/>
    </row>
    <row r="12" spans="1:45" s="28" customFormat="1" x14ac:dyDescent="0.25">
      <c r="A12" s="40"/>
      <c r="B12" s="40"/>
      <c r="C12" s="40"/>
      <c r="D12" s="40"/>
      <c r="E12" s="40"/>
      <c r="F12" s="40"/>
      <c r="G12" s="40"/>
      <c r="H12" s="33"/>
      <c r="I12" s="40"/>
      <c r="J12" s="40"/>
      <c r="K12" s="40"/>
      <c r="L12" s="40"/>
      <c r="M12" s="40"/>
      <c r="N12" s="40"/>
      <c r="O12" s="40"/>
      <c r="P12" s="33"/>
      <c r="Q12" s="40"/>
      <c r="R12" s="40"/>
      <c r="S12" s="40"/>
      <c r="T12" s="40"/>
      <c r="U12" s="40"/>
      <c r="W12" s="41"/>
      <c r="X12" s="40"/>
      <c r="Y12" s="40"/>
      <c r="Z12" s="40"/>
      <c r="AA12" s="40"/>
      <c r="AB12" s="40"/>
      <c r="AC12" s="40"/>
      <c r="AD12" s="33"/>
      <c r="AE12" s="40"/>
      <c r="AF12" s="40"/>
      <c r="AG12" s="40"/>
      <c r="AH12" s="40"/>
      <c r="AI12" s="40"/>
      <c r="AJ12" s="40"/>
      <c r="AK12" s="40"/>
      <c r="AL12" s="33"/>
      <c r="AM12" s="40"/>
      <c r="AN12" s="40"/>
      <c r="AO12" s="40"/>
      <c r="AP12" s="40"/>
      <c r="AQ12" s="40"/>
      <c r="AR12" s="40"/>
      <c r="AS12" s="40"/>
    </row>
    <row r="13" spans="1:45" s="28" customFormat="1" x14ac:dyDescent="0.25">
      <c r="A13" s="33"/>
      <c r="B13" s="33"/>
      <c r="C13" s="33"/>
      <c r="D13" s="33"/>
      <c r="E13" s="33"/>
      <c r="G13" s="33"/>
      <c r="H13" s="33"/>
      <c r="I13" s="33"/>
      <c r="J13" s="33"/>
      <c r="K13" s="33"/>
      <c r="L13" s="33"/>
      <c r="M13" s="33"/>
      <c r="O13" s="33"/>
      <c r="P13" s="33"/>
      <c r="Q13" s="33"/>
      <c r="R13" s="33"/>
      <c r="S13" s="33"/>
      <c r="T13" s="33"/>
      <c r="U13" s="33"/>
      <c r="W13" s="44"/>
      <c r="X13" s="33"/>
      <c r="Y13" s="33"/>
      <c r="Z13" s="33"/>
      <c r="AA13" s="33"/>
      <c r="AC13" s="33"/>
      <c r="AD13" s="33"/>
      <c r="AE13" s="33"/>
      <c r="AF13" s="33"/>
      <c r="AG13" s="33"/>
      <c r="AH13" s="33"/>
      <c r="AI13" s="33"/>
      <c r="AK13" s="33"/>
      <c r="AL13" s="33"/>
      <c r="AM13" s="33"/>
      <c r="AN13" s="33"/>
      <c r="AO13" s="33"/>
      <c r="AP13" s="33"/>
      <c r="AQ13" s="33"/>
      <c r="AS13" s="33"/>
    </row>
    <row r="14" spans="1:45" s="28" customFormat="1" x14ac:dyDescent="0.25">
      <c r="A14" s="40"/>
      <c r="B14" s="40"/>
      <c r="C14" s="33"/>
      <c r="D14" s="33"/>
      <c r="E14" s="33"/>
      <c r="F14" s="33"/>
      <c r="G14" s="68"/>
      <c r="H14" s="68"/>
      <c r="I14" s="40"/>
      <c r="J14" s="40"/>
      <c r="P14" s="33"/>
      <c r="Q14" s="33"/>
      <c r="R14" s="33"/>
      <c r="S14" s="33"/>
      <c r="T14" s="33"/>
      <c r="U14" s="33"/>
      <c r="W14" s="41"/>
      <c r="X14" s="40"/>
      <c r="Y14" s="33"/>
      <c r="Z14" s="33"/>
      <c r="AA14" s="33"/>
      <c r="AB14" s="33"/>
      <c r="AC14" s="68"/>
      <c r="AD14" s="68"/>
      <c r="AE14" s="40"/>
      <c r="AF14" s="40"/>
      <c r="AL14" s="33"/>
      <c r="AM14" s="33"/>
      <c r="AN14" s="33"/>
      <c r="AO14" s="33"/>
      <c r="AP14" s="33"/>
      <c r="AQ14" s="33"/>
      <c r="AR14" s="33"/>
      <c r="AS14" s="33"/>
    </row>
    <row r="15" spans="1:45" s="28" customFormat="1" x14ac:dyDescent="0.25">
      <c r="A15" s="101"/>
      <c r="B15" s="101"/>
      <c r="C15" s="40"/>
      <c r="D15" s="40"/>
      <c r="E15" s="40"/>
      <c r="F15" s="40"/>
      <c r="G15" s="33"/>
      <c r="H15" s="33"/>
      <c r="I15" s="101"/>
      <c r="J15" s="101"/>
      <c r="P15" s="33"/>
      <c r="Q15" s="40"/>
      <c r="R15" s="40"/>
      <c r="S15" s="40"/>
      <c r="T15" s="29"/>
      <c r="U15" s="40"/>
      <c r="W15" s="45"/>
      <c r="X15" s="101"/>
      <c r="Y15" s="40"/>
      <c r="Z15" s="40"/>
      <c r="AA15" s="40"/>
      <c r="AB15" s="40"/>
      <c r="AC15" s="33"/>
      <c r="AD15" s="33"/>
      <c r="AE15" s="101"/>
      <c r="AF15" s="101"/>
      <c r="AL15" s="33"/>
      <c r="AM15" s="40"/>
      <c r="AN15" s="40"/>
      <c r="AO15" s="40"/>
      <c r="AP15" s="29"/>
      <c r="AQ15" s="40"/>
      <c r="AR15" s="40"/>
      <c r="AS15" s="33"/>
    </row>
    <row r="16" spans="1:45" s="28" customFormat="1" x14ac:dyDescent="0.25">
      <c r="A16" s="33"/>
      <c r="B16" s="33"/>
      <c r="C16" s="33"/>
      <c r="D16" s="33"/>
      <c r="E16" s="33"/>
      <c r="F16" s="33"/>
      <c r="G16" s="33"/>
      <c r="H16" s="33"/>
      <c r="P16" s="33"/>
      <c r="Q16" s="101"/>
      <c r="R16" s="101"/>
      <c r="S16" s="33"/>
      <c r="U16" s="33"/>
      <c r="W16" s="44"/>
      <c r="X16" s="33"/>
      <c r="Y16" s="33"/>
      <c r="Z16" s="33"/>
      <c r="AA16" s="33"/>
      <c r="AB16" s="33"/>
      <c r="AC16" s="33"/>
      <c r="AD16" s="33"/>
      <c r="AL16" s="33"/>
      <c r="AM16" s="101"/>
      <c r="AN16" s="101"/>
      <c r="AO16" s="33"/>
      <c r="AQ16" s="33"/>
      <c r="AR16" s="33"/>
      <c r="AS16" s="33"/>
    </row>
    <row r="17" spans="1:45" s="28" customFormat="1" x14ac:dyDescent="0.25">
      <c r="M17" s="33"/>
      <c r="N17" s="33"/>
      <c r="O17" s="33"/>
      <c r="P17" s="33"/>
      <c r="Q17" s="33"/>
      <c r="R17" s="33"/>
      <c r="S17" s="33"/>
      <c r="T17" s="33"/>
      <c r="U17" s="78"/>
      <c r="V17" s="29"/>
      <c r="W17" s="80"/>
      <c r="X17" s="2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P17" s="78"/>
      <c r="AQ17" s="29"/>
      <c r="AR17" s="29"/>
      <c r="AS17" s="29"/>
    </row>
    <row r="18" spans="1:45" s="76" customFormat="1" x14ac:dyDescent="0.25">
      <c r="W18" s="77"/>
      <c r="X18" s="75"/>
    </row>
    <row r="19" spans="1:45" s="75" customFormat="1" x14ac:dyDescent="0.25">
      <c r="W19" s="36"/>
    </row>
    <row r="20" spans="1:45" s="74" customFormat="1" ht="18.75" x14ac:dyDescent="0.3">
      <c r="A20" s="73" t="s">
        <v>60</v>
      </c>
      <c r="U20" s="19"/>
      <c r="V20" s="19"/>
      <c r="W20" s="73" t="s">
        <v>61</v>
      </c>
      <c r="AR20" s="19"/>
    </row>
    <row r="21" spans="1:45" s="28" customFormat="1" x14ac:dyDescent="0.25">
      <c r="U21" s="102">
        <f>IF(R21="TruePositive",IF(D21&lt;&gt;1,N21,0),0)</f>
        <v>0</v>
      </c>
      <c r="V21" s="97"/>
      <c r="AR21" s="102">
        <f>IF(AN21="TruePositive",IF(Z21&lt;&gt;1,AJ21,0),0)</f>
        <v>0</v>
      </c>
    </row>
    <row r="22" spans="1:45" s="28" customFormat="1" x14ac:dyDescent="0.25">
      <c r="U22" s="103">
        <f t="shared" ref="U22:U85" si="0">IF(R22="TruePositive",IF(D22&lt;&gt;1,N22,0),0)</f>
        <v>0</v>
      </c>
      <c r="V22" s="98"/>
      <c r="AR22" s="103">
        <f t="shared" ref="AR22:AR85" si="1">IF(AN22="TruePositive",IF(Z22&lt;&gt;1,AJ22,0),0)</f>
        <v>0</v>
      </c>
    </row>
    <row r="23" spans="1:45" s="28" customFormat="1" x14ac:dyDescent="0.25">
      <c r="U23" s="103">
        <f t="shared" si="0"/>
        <v>0</v>
      </c>
      <c r="V23" s="98"/>
      <c r="AR23" s="103">
        <f t="shared" si="1"/>
        <v>0</v>
      </c>
    </row>
    <row r="24" spans="1:45" s="28" customFormat="1" x14ac:dyDescent="0.25">
      <c r="U24" s="103">
        <f t="shared" si="0"/>
        <v>0</v>
      </c>
      <c r="V24" s="98"/>
      <c r="AR24" s="103">
        <f t="shared" si="1"/>
        <v>0</v>
      </c>
    </row>
    <row r="25" spans="1:45" s="28" customFormat="1" x14ac:dyDescent="0.25">
      <c r="U25" s="103">
        <f t="shared" si="0"/>
        <v>0</v>
      </c>
      <c r="V25" s="98"/>
      <c r="AR25" s="103">
        <f t="shared" si="1"/>
        <v>0</v>
      </c>
    </row>
    <row r="26" spans="1:45" s="28" customFormat="1" x14ac:dyDescent="0.25">
      <c r="U26" s="103">
        <f t="shared" si="0"/>
        <v>0</v>
      </c>
      <c r="V26" s="98"/>
      <c r="AR26" s="103">
        <f t="shared" si="1"/>
        <v>0</v>
      </c>
    </row>
    <row r="27" spans="1:45" s="28" customFormat="1" x14ac:dyDescent="0.25">
      <c r="U27" s="103">
        <f t="shared" si="0"/>
        <v>0</v>
      </c>
      <c r="V27" s="98"/>
      <c r="AR27" s="103">
        <f t="shared" si="1"/>
        <v>0</v>
      </c>
    </row>
    <row r="28" spans="1:45" s="28" customFormat="1" x14ac:dyDescent="0.25">
      <c r="U28" s="103">
        <f t="shared" si="0"/>
        <v>0</v>
      </c>
      <c r="V28" s="98"/>
      <c r="AR28" s="103">
        <f t="shared" si="1"/>
        <v>0</v>
      </c>
    </row>
    <row r="29" spans="1:45" s="28" customFormat="1" x14ac:dyDescent="0.25">
      <c r="U29" s="103">
        <f t="shared" si="0"/>
        <v>0</v>
      </c>
      <c r="V29" s="98"/>
      <c r="AR29" s="103">
        <f t="shared" si="1"/>
        <v>0</v>
      </c>
    </row>
    <row r="30" spans="1:45" s="28" customFormat="1" x14ac:dyDescent="0.25">
      <c r="U30" s="103">
        <f t="shared" si="0"/>
        <v>0</v>
      </c>
      <c r="V30" s="98"/>
      <c r="AR30" s="103">
        <f t="shared" si="1"/>
        <v>0</v>
      </c>
    </row>
    <row r="31" spans="1:45" s="28" customFormat="1" x14ac:dyDescent="0.25">
      <c r="U31" s="103">
        <f t="shared" si="0"/>
        <v>0</v>
      </c>
      <c r="V31" s="98"/>
      <c r="AR31" s="103">
        <f t="shared" si="1"/>
        <v>0</v>
      </c>
    </row>
    <row r="32" spans="1:45" s="28" customFormat="1" ht="15.75" customHeight="1" x14ac:dyDescent="0.25">
      <c r="U32" s="103">
        <f t="shared" si="0"/>
        <v>0</v>
      </c>
      <c r="V32" s="98"/>
      <c r="AR32" s="103">
        <f t="shared" si="1"/>
        <v>0</v>
      </c>
    </row>
    <row r="33" spans="21:44" s="28" customFormat="1" x14ac:dyDescent="0.25">
      <c r="U33" s="103">
        <f t="shared" si="0"/>
        <v>0</v>
      </c>
      <c r="V33" s="98"/>
      <c r="AR33" s="103">
        <f t="shared" si="1"/>
        <v>0</v>
      </c>
    </row>
    <row r="34" spans="21:44" s="28" customFormat="1" x14ac:dyDescent="0.25">
      <c r="U34" s="103">
        <f t="shared" si="0"/>
        <v>0</v>
      </c>
      <c r="V34" s="98"/>
      <c r="AR34" s="103">
        <f t="shared" si="1"/>
        <v>0</v>
      </c>
    </row>
    <row r="35" spans="21:44" s="28" customFormat="1" x14ac:dyDescent="0.25">
      <c r="U35" s="103">
        <f t="shared" si="0"/>
        <v>0</v>
      </c>
      <c r="V35" s="98"/>
      <c r="AR35" s="103">
        <f t="shared" si="1"/>
        <v>0</v>
      </c>
    </row>
    <row r="36" spans="21:44" s="28" customFormat="1" x14ac:dyDescent="0.25">
      <c r="U36" s="103">
        <f t="shared" si="0"/>
        <v>0</v>
      </c>
      <c r="V36" s="98"/>
      <c r="AR36" s="103">
        <f t="shared" si="1"/>
        <v>0</v>
      </c>
    </row>
    <row r="37" spans="21:44" s="28" customFormat="1" x14ac:dyDescent="0.25">
      <c r="U37" s="103">
        <f t="shared" si="0"/>
        <v>0</v>
      </c>
      <c r="V37" s="98"/>
      <c r="AR37" s="103">
        <f t="shared" si="1"/>
        <v>0</v>
      </c>
    </row>
    <row r="38" spans="21:44" s="28" customFormat="1" x14ac:dyDescent="0.25">
      <c r="U38" s="103">
        <f t="shared" si="0"/>
        <v>0</v>
      </c>
      <c r="V38" s="98"/>
      <c r="AR38" s="103">
        <f t="shared" si="1"/>
        <v>0</v>
      </c>
    </row>
    <row r="39" spans="21:44" s="28" customFormat="1" x14ac:dyDescent="0.25">
      <c r="U39" s="103">
        <f t="shared" si="0"/>
        <v>0</v>
      </c>
      <c r="V39" s="98"/>
      <c r="AR39" s="103">
        <f t="shared" si="1"/>
        <v>0</v>
      </c>
    </row>
    <row r="40" spans="21:44" s="28" customFormat="1" x14ac:dyDescent="0.25">
      <c r="U40" s="103">
        <f t="shared" si="0"/>
        <v>0</v>
      </c>
      <c r="V40" s="98"/>
      <c r="AR40" s="103">
        <f t="shared" si="1"/>
        <v>0</v>
      </c>
    </row>
    <row r="41" spans="21:44" s="28" customFormat="1" x14ac:dyDescent="0.25">
      <c r="U41" s="103">
        <f t="shared" si="0"/>
        <v>0</v>
      </c>
      <c r="V41" s="98"/>
      <c r="AR41" s="103">
        <f t="shared" si="1"/>
        <v>0</v>
      </c>
    </row>
    <row r="42" spans="21:44" s="28" customFormat="1" x14ac:dyDescent="0.25">
      <c r="U42" s="103">
        <f t="shared" si="0"/>
        <v>0</v>
      </c>
      <c r="V42" s="98"/>
      <c r="AR42" s="103">
        <f t="shared" si="1"/>
        <v>0</v>
      </c>
    </row>
    <row r="43" spans="21:44" s="28" customFormat="1" x14ac:dyDescent="0.25">
      <c r="U43" s="103">
        <f t="shared" si="0"/>
        <v>0</v>
      </c>
      <c r="V43" s="98"/>
      <c r="AR43" s="103">
        <f t="shared" si="1"/>
        <v>0</v>
      </c>
    </row>
    <row r="44" spans="21:44" s="28" customFormat="1" x14ac:dyDescent="0.25">
      <c r="U44" s="103">
        <f t="shared" si="0"/>
        <v>0</v>
      </c>
      <c r="V44" s="98"/>
      <c r="AR44" s="103">
        <f t="shared" si="1"/>
        <v>0</v>
      </c>
    </row>
    <row r="45" spans="21:44" s="28" customFormat="1" x14ac:dyDescent="0.25">
      <c r="U45" s="103">
        <f t="shared" si="0"/>
        <v>0</v>
      </c>
      <c r="V45" s="98"/>
      <c r="AR45" s="103">
        <f t="shared" si="1"/>
        <v>0</v>
      </c>
    </row>
    <row r="46" spans="21:44" s="28" customFormat="1" x14ac:dyDescent="0.25">
      <c r="U46" s="103">
        <f t="shared" si="0"/>
        <v>0</v>
      </c>
      <c r="V46" s="98"/>
      <c r="AR46" s="103">
        <f t="shared" si="1"/>
        <v>0</v>
      </c>
    </row>
    <row r="47" spans="21:44" s="28" customFormat="1" x14ac:dyDescent="0.25">
      <c r="U47" s="103">
        <f t="shared" si="0"/>
        <v>0</v>
      </c>
      <c r="V47" s="98"/>
      <c r="AR47" s="103">
        <f t="shared" si="1"/>
        <v>0</v>
      </c>
    </row>
    <row r="48" spans="21:44" s="28" customFormat="1" x14ac:dyDescent="0.25">
      <c r="U48" s="103">
        <f t="shared" si="0"/>
        <v>0</v>
      </c>
      <c r="V48" s="98"/>
      <c r="AR48" s="103">
        <f t="shared" si="1"/>
        <v>0</v>
      </c>
    </row>
    <row r="49" spans="21:44" s="28" customFormat="1" x14ac:dyDescent="0.25">
      <c r="U49" s="103">
        <f t="shared" si="0"/>
        <v>0</v>
      </c>
      <c r="V49" s="98"/>
      <c r="AR49" s="103">
        <f t="shared" si="1"/>
        <v>0</v>
      </c>
    </row>
    <row r="50" spans="21:44" s="28" customFormat="1" x14ac:dyDescent="0.25">
      <c r="U50" s="103">
        <f t="shared" si="0"/>
        <v>0</v>
      </c>
      <c r="V50" s="98"/>
      <c r="AR50" s="103">
        <f t="shared" si="1"/>
        <v>0</v>
      </c>
    </row>
    <row r="51" spans="21:44" s="28" customFormat="1" x14ac:dyDescent="0.25">
      <c r="U51" s="103">
        <f t="shared" si="0"/>
        <v>0</v>
      </c>
      <c r="V51" s="98"/>
      <c r="AR51" s="103">
        <f t="shared" si="1"/>
        <v>0</v>
      </c>
    </row>
    <row r="52" spans="21:44" s="28" customFormat="1" x14ac:dyDescent="0.25">
      <c r="U52" s="103">
        <f t="shared" si="0"/>
        <v>0</v>
      </c>
      <c r="V52" s="98"/>
      <c r="AR52" s="103">
        <f t="shared" si="1"/>
        <v>0</v>
      </c>
    </row>
    <row r="53" spans="21:44" s="28" customFormat="1" x14ac:dyDescent="0.25">
      <c r="U53" s="103">
        <f t="shared" si="0"/>
        <v>0</v>
      </c>
      <c r="V53" s="98"/>
      <c r="AR53" s="103">
        <f t="shared" si="1"/>
        <v>0</v>
      </c>
    </row>
    <row r="54" spans="21:44" s="28" customFormat="1" x14ac:dyDescent="0.25">
      <c r="U54" s="103">
        <f t="shared" si="0"/>
        <v>0</v>
      </c>
      <c r="V54" s="98"/>
      <c r="AR54" s="103">
        <f t="shared" si="1"/>
        <v>0</v>
      </c>
    </row>
    <row r="55" spans="21:44" s="28" customFormat="1" x14ac:dyDescent="0.25">
      <c r="U55" s="103">
        <f t="shared" si="0"/>
        <v>0</v>
      </c>
      <c r="V55" s="98"/>
      <c r="AR55" s="103">
        <f t="shared" si="1"/>
        <v>0</v>
      </c>
    </row>
    <row r="56" spans="21:44" s="28" customFormat="1" x14ac:dyDescent="0.25">
      <c r="U56" s="103">
        <f t="shared" si="0"/>
        <v>0</v>
      </c>
      <c r="V56" s="98"/>
      <c r="AR56" s="103">
        <f t="shared" si="1"/>
        <v>0</v>
      </c>
    </row>
    <row r="57" spans="21:44" s="28" customFormat="1" x14ac:dyDescent="0.25">
      <c r="U57" s="103">
        <f t="shared" si="0"/>
        <v>0</v>
      </c>
      <c r="V57" s="98"/>
      <c r="AR57" s="103">
        <f t="shared" si="1"/>
        <v>0</v>
      </c>
    </row>
    <row r="58" spans="21:44" s="28" customFormat="1" x14ac:dyDescent="0.25">
      <c r="U58" s="103">
        <f t="shared" si="0"/>
        <v>0</v>
      </c>
      <c r="V58" s="98"/>
      <c r="AR58" s="103">
        <f t="shared" si="1"/>
        <v>0</v>
      </c>
    </row>
    <row r="59" spans="21:44" s="28" customFormat="1" x14ac:dyDescent="0.25">
      <c r="U59" s="103">
        <f t="shared" si="0"/>
        <v>0</v>
      </c>
      <c r="V59" s="98"/>
      <c r="AR59" s="103">
        <f t="shared" si="1"/>
        <v>0</v>
      </c>
    </row>
    <row r="60" spans="21:44" s="28" customFormat="1" x14ac:dyDescent="0.25">
      <c r="U60" s="103">
        <f t="shared" si="0"/>
        <v>0</v>
      </c>
      <c r="V60" s="98"/>
      <c r="AR60" s="103">
        <f t="shared" si="1"/>
        <v>0</v>
      </c>
    </row>
    <row r="61" spans="21:44" s="28" customFormat="1" x14ac:dyDescent="0.25">
      <c r="U61" s="103">
        <f t="shared" si="0"/>
        <v>0</v>
      </c>
      <c r="V61" s="98"/>
      <c r="AR61" s="103">
        <f t="shared" si="1"/>
        <v>0</v>
      </c>
    </row>
    <row r="62" spans="21:44" s="28" customFormat="1" x14ac:dyDescent="0.25">
      <c r="U62" s="103">
        <f t="shared" si="0"/>
        <v>0</v>
      </c>
      <c r="V62" s="98"/>
      <c r="AR62" s="103">
        <f t="shared" si="1"/>
        <v>0</v>
      </c>
    </row>
    <row r="63" spans="21:44" s="28" customFormat="1" x14ac:dyDescent="0.25">
      <c r="U63" s="103">
        <f t="shared" si="0"/>
        <v>0</v>
      </c>
      <c r="V63" s="98"/>
      <c r="AR63" s="103">
        <f t="shared" si="1"/>
        <v>0</v>
      </c>
    </row>
    <row r="64" spans="21:44" s="28" customFormat="1" x14ac:dyDescent="0.25">
      <c r="U64" s="103">
        <f t="shared" si="0"/>
        <v>0</v>
      </c>
      <c r="V64" s="98"/>
      <c r="AR64" s="103">
        <f t="shared" si="1"/>
        <v>0</v>
      </c>
    </row>
    <row r="65" spans="21:44" s="28" customFormat="1" x14ac:dyDescent="0.25">
      <c r="U65" s="103">
        <f t="shared" si="0"/>
        <v>0</v>
      </c>
      <c r="V65" s="98"/>
      <c r="AR65" s="103">
        <f t="shared" si="1"/>
        <v>0</v>
      </c>
    </row>
    <row r="66" spans="21:44" s="28" customFormat="1" x14ac:dyDescent="0.25">
      <c r="U66" s="103">
        <f t="shared" si="0"/>
        <v>0</v>
      </c>
      <c r="V66" s="98"/>
      <c r="AR66" s="103">
        <f t="shared" si="1"/>
        <v>0</v>
      </c>
    </row>
    <row r="67" spans="21:44" s="28" customFormat="1" x14ac:dyDescent="0.25">
      <c r="U67" s="103">
        <f t="shared" si="0"/>
        <v>0</v>
      </c>
      <c r="V67" s="98"/>
      <c r="AR67" s="103">
        <f t="shared" si="1"/>
        <v>0</v>
      </c>
    </row>
    <row r="68" spans="21:44" s="28" customFormat="1" x14ac:dyDescent="0.25">
      <c r="U68" s="103">
        <f t="shared" si="0"/>
        <v>0</v>
      </c>
      <c r="V68" s="98"/>
      <c r="AR68" s="103">
        <f t="shared" si="1"/>
        <v>0</v>
      </c>
    </row>
    <row r="69" spans="21:44" s="28" customFormat="1" x14ac:dyDescent="0.25">
      <c r="U69" s="103">
        <f t="shared" si="0"/>
        <v>0</v>
      </c>
      <c r="V69" s="98"/>
      <c r="AR69" s="103">
        <f t="shared" si="1"/>
        <v>0</v>
      </c>
    </row>
    <row r="70" spans="21:44" s="28" customFormat="1" x14ac:dyDescent="0.25">
      <c r="U70" s="103">
        <f t="shared" si="0"/>
        <v>0</v>
      </c>
      <c r="V70" s="98"/>
      <c r="AR70" s="103">
        <f t="shared" si="1"/>
        <v>0</v>
      </c>
    </row>
    <row r="71" spans="21:44" s="28" customFormat="1" x14ac:dyDescent="0.25">
      <c r="U71" s="103">
        <f t="shared" si="0"/>
        <v>0</v>
      </c>
      <c r="V71" s="98"/>
      <c r="AR71" s="103">
        <f t="shared" si="1"/>
        <v>0</v>
      </c>
    </row>
    <row r="72" spans="21:44" s="28" customFormat="1" x14ac:dyDescent="0.25">
      <c r="U72" s="103">
        <f t="shared" si="0"/>
        <v>0</v>
      </c>
      <c r="V72" s="98"/>
      <c r="AR72" s="103">
        <f t="shared" si="1"/>
        <v>0</v>
      </c>
    </row>
    <row r="73" spans="21:44" s="28" customFormat="1" x14ac:dyDescent="0.25">
      <c r="U73" s="103">
        <f t="shared" si="0"/>
        <v>0</v>
      </c>
      <c r="V73" s="98"/>
      <c r="AR73" s="103">
        <f t="shared" si="1"/>
        <v>0</v>
      </c>
    </row>
    <row r="74" spans="21:44" s="28" customFormat="1" x14ac:dyDescent="0.25">
      <c r="U74" s="103">
        <f t="shared" si="0"/>
        <v>0</v>
      </c>
      <c r="V74" s="98"/>
      <c r="AR74" s="103">
        <f t="shared" si="1"/>
        <v>0</v>
      </c>
    </row>
    <row r="75" spans="21:44" s="28" customFormat="1" x14ac:dyDescent="0.25">
      <c r="U75" s="103">
        <f t="shared" si="0"/>
        <v>0</v>
      </c>
      <c r="V75" s="98"/>
      <c r="AR75" s="103">
        <f t="shared" si="1"/>
        <v>0</v>
      </c>
    </row>
    <row r="76" spans="21:44" s="28" customFormat="1" x14ac:dyDescent="0.25">
      <c r="U76" s="103">
        <f t="shared" si="0"/>
        <v>0</v>
      </c>
      <c r="V76" s="98"/>
      <c r="AR76" s="103">
        <f t="shared" si="1"/>
        <v>0</v>
      </c>
    </row>
    <row r="77" spans="21:44" s="28" customFormat="1" x14ac:dyDescent="0.25">
      <c r="U77" s="103">
        <f t="shared" si="0"/>
        <v>0</v>
      </c>
      <c r="V77" s="98"/>
      <c r="AR77" s="103">
        <f t="shared" si="1"/>
        <v>0</v>
      </c>
    </row>
    <row r="78" spans="21:44" s="28" customFormat="1" x14ac:dyDescent="0.25">
      <c r="U78" s="103">
        <f t="shared" si="0"/>
        <v>0</v>
      </c>
      <c r="V78" s="98"/>
      <c r="AR78" s="103">
        <f t="shared" si="1"/>
        <v>0</v>
      </c>
    </row>
    <row r="79" spans="21:44" s="28" customFormat="1" x14ac:dyDescent="0.25">
      <c r="U79" s="103">
        <f t="shared" si="0"/>
        <v>0</v>
      </c>
      <c r="V79" s="98"/>
      <c r="AR79" s="103">
        <f t="shared" si="1"/>
        <v>0</v>
      </c>
    </row>
    <row r="80" spans="21:44" s="28" customFormat="1" x14ac:dyDescent="0.25">
      <c r="U80" s="103">
        <f t="shared" si="0"/>
        <v>0</v>
      </c>
      <c r="V80" s="98"/>
      <c r="AR80" s="103">
        <f t="shared" si="1"/>
        <v>0</v>
      </c>
    </row>
    <row r="81" spans="21:44" s="28" customFormat="1" x14ac:dyDescent="0.25">
      <c r="U81" s="103">
        <f t="shared" si="0"/>
        <v>0</v>
      </c>
      <c r="V81" s="98"/>
      <c r="AR81" s="103">
        <f t="shared" si="1"/>
        <v>0</v>
      </c>
    </row>
    <row r="82" spans="21:44" s="28" customFormat="1" x14ac:dyDescent="0.25">
      <c r="U82" s="103">
        <f t="shared" si="0"/>
        <v>0</v>
      </c>
      <c r="V82" s="98"/>
      <c r="AR82" s="103">
        <f t="shared" si="1"/>
        <v>0</v>
      </c>
    </row>
    <row r="83" spans="21:44" s="28" customFormat="1" x14ac:dyDescent="0.25">
      <c r="U83" s="103">
        <f t="shared" si="0"/>
        <v>0</v>
      </c>
      <c r="V83" s="98"/>
      <c r="AR83" s="103">
        <f t="shared" si="1"/>
        <v>0</v>
      </c>
    </row>
    <row r="84" spans="21:44" s="28" customFormat="1" x14ac:dyDescent="0.25">
      <c r="U84" s="103">
        <f t="shared" si="0"/>
        <v>0</v>
      </c>
      <c r="V84" s="98"/>
      <c r="AR84" s="103">
        <f t="shared" si="1"/>
        <v>0</v>
      </c>
    </row>
    <row r="85" spans="21:44" s="28" customFormat="1" x14ac:dyDescent="0.25">
      <c r="U85" s="103">
        <f t="shared" si="0"/>
        <v>0</v>
      </c>
      <c r="V85" s="98"/>
      <c r="AR85" s="103">
        <f t="shared" si="1"/>
        <v>0</v>
      </c>
    </row>
    <row r="86" spans="21:44" s="28" customFormat="1" x14ac:dyDescent="0.25">
      <c r="U86" s="103">
        <f t="shared" ref="U86:U149" si="2">IF(R86="TruePositive",IF(D86&lt;&gt;1,N86,0),0)</f>
        <v>0</v>
      </c>
      <c r="V86" s="98"/>
      <c r="AR86" s="103">
        <f t="shared" ref="AR86:AR149" si="3">IF(AN86="TruePositive",IF(Z86&lt;&gt;1,AJ86,0),0)</f>
        <v>0</v>
      </c>
    </row>
    <row r="87" spans="21:44" s="28" customFormat="1" x14ac:dyDescent="0.25">
      <c r="U87" s="103">
        <f t="shared" si="2"/>
        <v>0</v>
      </c>
      <c r="V87" s="98"/>
      <c r="AR87" s="103">
        <f t="shared" si="3"/>
        <v>0</v>
      </c>
    </row>
    <row r="88" spans="21:44" s="28" customFormat="1" x14ac:dyDescent="0.25">
      <c r="U88" s="103">
        <f t="shared" si="2"/>
        <v>0</v>
      </c>
      <c r="V88" s="98"/>
      <c r="AR88" s="103">
        <f t="shared" si="3"/>
        <v>0</v>
      </c>
    </row>
    <row r="89" spans="21:44" s="28" customFormat="1" x14ac:dyDescent="0.25">
      <c r="U89" s="103">
        <f t="shared" si="2"/>
        <v>0</v>
      </c>
      <c r="V89" s="98"/>
      <c r="AR89" s="103">
        <f t="shared" si="3"/>
        <v>0</v>
      </c>
    </row>
    <row r="90" spans="21:44" s="28" customFormat="1" x14ac:dyDescent="0.25">
      <c r="U90" s="103">
        <f t="shared" si="2"/>
        <v>0</v>
      </c>
      <c r="V90" s="98"/>
      <c r="AR90" s="103">
        <f t="shared" si="3"/>
        <v>0</v>
      </c>
    </row>
    <row r="91" spans="21:44" s="28" customFormat="1" x14ac:dyDescent="0.25">
      <c r="U91" s="103">
        <f t="shared" si="2"/>
        <v>0</v>
      </c>
      <c r="V91" s="98"/>
      <c r="AR91" s="103">
        <f t="shared" si="3"/>
        <v>0</v>
      </c>
    </row>
    <row r="92" spans="21:44" s="28" customFormat="1" x14ac:dyDescent="0.25">
      <c r="U92" s="103">
        <f t="shared" si="2"/>
        <v>0</v>
      </c>
      <c r="V92" s="98"/>
      <c r="AR92" s="103">
        <f t="shared" si="3"/>
        <v>0</v>
      </c>
    </row>
    <row r="93" spans="21:44" s="28" customFormat="1" x14ac:dyDescent="0.25">
      <c r="U93" s="103">
        <f t="shared" si="2"/>
        <v>0</v>
      </c>
      <c r="V93" s="98"/>
      <c r="AR93" s="103">
        <f t="shared" si="3"/>
        <v>0</v>
      </c>
    </row>
    <row r="94" spans="21:44" s="28" customFormat="1" x14ac:dyDescent="0.25">
      <c r="U94" s="103">
        <f t="shared" si="2"/>
        <v>0</v>
      </c>
      <c r="V94" s="98"/>
      <c r="AR94" s="103">
        <f t="shared" si="3"/>
        <v>0</v>
      </c>
    </row>
    <row r="95" spans="21:44" s="28" customFormat="1" x14ac:dyDescent="0.25">
      <c r="U95" s="103">
        <f t="shared" si="2"/>
        <v>0</v>
      </c>
      <c r="V95" s="98"/>
      <c r="AR95" s="103">
        <f t="shared" si="3"/>
        <v>0</v>
      </c>
    </row>
    <row r="96" spans="21:44" s="28" customFormat="1" x14ac:dyDescent="0.25">
      <c r="U96" s="103">
        <f t="shared" si="2"/>
        <v>0</v>
      </c>
      <c r="V96" s="98"/>
      <c r="AR96" s="103">
        <f t="shared" si="3"/>
        <v>0</v>
      </c>
    </row>
    <row r="97" spans="21:44" s="28" customFormat="1" x14ac:dyDescent="0.25">
      <c r="U97" s="103">
        <f t="shared" si="2"/>
        <v>0</v>
      </c>
      <c r="V97" s="98"/>
      <c r="AR97" s="103">
        <f t="shared" si="3"/>
        <v>0</v>
      </c>
    </row>
    <row r="98" spans="21:44" s="28" customFormat="1" x14ac:dyDescent="0.25">
      <c r="U98" s="103">
        <f t="shared" si="2"/>
        <v>0</v>
      </c>
      <c r="V98" s="98"/>
      <c r="AR98" s="103">
        <f t="shared" si="3"/>
        <v>0</v>
      </c>
    </row>
    <row r="99" spans="21:44" s="28" customFormat="1" x14ac:dyDescent="0.25">
      <c r="U99" s="103">
        <f t="shared" si="2"/>
        <v>0</v>
      </c>
      <c r="V99" s="98"/>
      <c r="AR99" s="103">
        <f t="shared" si="3"/>
        <v>0</v>
      </c>
    </row>
    <row r="100" spans="21:44" s="28" customFormat="1" x14ac:dyDescent="0.25">
      <c r="U100" s="103">
        <f t="shared" si="2"/>
        <v>0</v>
      </c>
      <c r="V100" s="98"/>
      <c r="AR100" s="103">
        <f t="shared" si="3"/>
        <v>0</v>
      </c>
    </row>
    <row r="101" spans="21:44" s="28" customFormat="1" x14ac:dyDescent="0.25">
      <c r="U101" s="103">
        <f t="shared" si="2"/>
        <v>0</v>
      </c>
      <c r="V101" s="98"/>
      <c r="AR101" s="103">
        <f t="shared" si="3"/>
        <v>0</v>
      </c>
    </row>
    <row r="102" spans="21:44" s="28" customFormat="1" x14ac:dyDescent="0.25">
      <c r="U102" s="103">
        <f t="shared" si="2"/>
        <v>0</v>
      </c>
      <c r="V102" s="98"/>
      <c r="AR102" s="103">
        <f t="shared" si="3"/>
        <v>0</v>
      </c>
    </row>
    <row r="103" spans="21:44" s="28" customFormat="1" x14ac:dyDescent="0.25">
      <c r="U103" s="103">
        <f t="shared" si="2"/>
        <v>0</v>
      </c>
      <c r="V103" s="98"/>
      <c r="AR103" s="103">
        <f t="shared" si="3"/>
        <v>0</v>
      </c>
    </row>
    <row r="104" spans="21:44" s="28" customFormat="1" x14ac:dyDescent="0.25">
      <c r="U104" s="103">
        <f t="shared" si="2"/>
        <v>0</v>
      </c>
      <c r="V104" s="98"/>
      <c r="AR104" s="103">
        <f t="shared" si="3"/>
        <v>0</v>
      </c>
    </row>
    <row r="105" spans="21:44" s="28" customFormat="1" x14ac:dyDescent="0.25">
      <c r="U105" s="103">
        <f t="shared" si="2"/>
        <v>0</v>
      </c>
      <c r="V105" s="98"/>
      <c r="AR105" s="103">
        <f t="shared" si="3"/>
        <v>0</v>
      </c>
    </row>
    <row r="106" spans="21:44" s="28" customFormat="1" x14ac:dyDescent="0.25">
      <c r="U106" s="103">
        <f t="shared" si="2"/>
        <v>0</v>
      </c>
      <c r="V106" s="98"/>
      <c r="AR106" s="103">
        <f t="shared" si="3"/>
        <v>0</v>
      </c>
    </row>
    <row r="107" spans="21:44" s="28" customFormat="1" x14ac:dyDescent="0.25">
      <c r="U107" s="103">
        <f t="shared" si="2"/>
        <v>0</v>
      </c>
      <c r="V107" s="98"/>
      <c r="AR107" s="103">
        <f t="shared" si="3"/>
        <v>0</v>
      </c>
    </row>
    <row r="108" spans="21:44" s="28" customFormat="1" x14ac:dyDescent="0.25">
      <c r="U108" s="103">
        <f t="shared" si="2"/>
        <v>0</v>
      </c>
      <c r="V108" s="98"/>
      <c r="AR108" s="103">
        <f t="shared" si="3"/>
        <v>0</v>
      </c>
    </row>
    <row r="109" spans="21:44" s="28" customFormat="1" x14ac:dyDescent="0.25">
      <c r="U109" s="103">
        <f t="shared" si="2"/>
        <v>0</v>
      </c>
      <c r="V109" s="98"/>
      <c r="AR109" s="103">
        <f t="shared" si="3"/>
        <v>0</v>
      </c>
    </row>
    <row r="110" spans="21:44" s="28" customFormat="1" x14ac:dyDescent="0.25">
      <c r="U110" s="103">
        <f t="shared" si="2"/>
        <v>0</v>
      </c>
      <c r="V110" s="98"/>
      <c r="AR110" s="103">
        <f t="shared" si="3"/>
        <v>0</v>
      </c>
    </row>
    <row r="111" spans="21:44" s="28" customFormat="1" x14ac:dyDescent="0.25">
      <c r="U111" s="103">
        <f t="shared" si="2"/>
        <v>0</v>
      </c>
      <c r="V111" s="98"/>
      <c r="AR111" s="103">
        <f t="shared" si="3"/>
        <v>0</v>
      </c>
    </row>
    <row r="112" spans="21:44" s="28" customFormat="1" x14ac:dyDescent="0.25">
      <c r="U112" s="103">
        <f t="shared" si="2"/>
        <v>0</v>
      </c>
      <c r="V112" s="98"/>
      <c r="AR112" s="103">
        <f t="shared" si="3"/>
        <v>0</v>
      </c>
    </row>
    <row r="113" spans="21:44" s="28" customFormat="1" x14ac:dyDescent="0.25">
      <c r="U113" s="103">
        <f t="shared" si="2"/>
        <v>0</v>
      </c>
      <c r="V113" s="98"/>
      <c r="AR113" s="103">
        <f t="shared" si="3"/>
        <v>0</v>
      </c>
    </row>
    <row r="114" spans="21:44" s="28" customFormat="1" x14ac:dyDescent="0.25">
      <c r="U114" s="103">
        <f t="shared" si="2"/>
        <v>0</v>
      </c>
      <c r="V114" s="98"/>
      <c r="AR114" s="103">
        <f t="shared" si="3"/>
        <v>0</v>
      </c>
    </row>
    <row r="115" spans="21:44" s="28" customFormat="1" x14ac:dyDescent="0.25">
      <c r="U115" s="103">
        <f t="shared" si="2"/>
        <v>0</v>
      </c>
      <c r="V115" s="98"/>
      <c r="AR115" s="103">
        <f t="shared" si="3"/>
        <v>0</v>
      </c>
    </row>
    <row r="116" spans="21:44" s="28" customFormat="1" x14ac:dyDescent="0.25">
      <c r="U116" s="103">
        <f t="shared" si="2"/>
        <v>0</v>
      </c>
      <c r="V116" s="98"/>
      <c r="AR116" s="103">
        <f t="shared" si="3"/>
        <v>0</v>
      </c>
    </row>
    <row r="117" spans="21:44" s="28" customFormat="1" x14ac:dyDescent="0.25">
      <c r="U117" s="103">
        <f t="shared" si="2"/>
        <v>0</v>
      </c>
      <c r="V117" s="98"/>
      <c r="AR117" s="103">
        <f t="shared" si="3"/>
        <v>0</v>
      </c>
    </row>
    <row r="118" spans="21:44" s="28" customFormat="1" x14ac:dyDescent="0.25">
      <c r="U118" s="103">
        <f t="shared" si="2"/>
        <v>0</v>
      </c>
      <c r="V118" s="98"/>
      <c r="AR118" s="103">
        <f t="shared" si="3"/>
        <v>0</v>
      </c>
    </row>
    <row r="119" spans="21:44" s="28" customFormat="1" x14ac:dyDescent="0.25">
      <c r="U119" s="103">
        <f t="shared" si="2"/>
        <v>0</v>
      </c>
      <c r="V119" s="98"/>
      <c r="AR119" s="103">
        <f t="shared" si="3"/>
        <v>0</v>
      </c>
    </row>
    <row r="120" spans="21:44" s="28" customFormat="1" x14ac:dyDescent="0.25">
      <c r="U120" s="103">
        <f t="shared" si="2"/>
        <v>0</v>
      </c>
      <c r="V120" s="98"/>
      <c r="AR120" s="103">
        <f t="shared" si="3"/>
        <v>0</v>
      </c>
    </row>
    <row r="121" spans="21:44" s="28" customFormat="1" x14ac:dyDescent="0.25">
      <c r="U121" s="103">
        <f t="shared" si="2"/>
        <v>0</v>
      </c>
      <c r="V121" s="98"/>
      <c r="AR121" s="103">
        <f t="shared" si="3"/>
        <v>0</v>
      </c>
    </row>
    <row r="122" spans="21:44" s="28" customFormat="1" x14ac:dyDescent="0.25">
      <c r="U122" s="103">
        <f t="shared" si="2"/>
        <v>0</v>
      </c>
      <c r="V122" s="98"/>
      <c r="AR122" s="103">
        <f t="shared" si="3"/>
        <v>0</v>
      </c>
    </row>
    <row r="123" spans="21:44" s="28" customFormat="1" x14ac:dyDescent="0.25">
      <c r="U123" s="103">
        <f t="shared" si="2"/>
        <v>0</v>
      </c>
      <c r="V123" s="98"/>
      <c r="AR123" s="103">
        <f t="shared" si="3"/>
        <v>0</v>
      </c>
    </row>
    <row r="124" spans="21:44" s="28" customFormat="1" x14ac:dyDescent="0.25">
      <c r="U124" s="103">
        <f t="shared" si="2"/>
        <v>0</v>
      </c>
      <c r="V124" s="98"/>
      <c r="AR124" s="103">
        <f t="shared" si="3"/>
        <v>0</v>
      </c>
    </row>
    <row r="125" spans="21:44" s="28" customFormat="1" x14ac:dyDescent="0.25">
      <c r="U125" s="103">
        <f t="shared" si="2"/>
        <v>0</v>
      </c>
      <c r="V125" s="98"/>
      <c r="AR125" s="103">
        <f t="shared" si="3"/>
        <v>0</v>
      </c>
    </row>
    <row r="126" spans="21:44" s="28" customFormat="1" x14ac:dyDescent="0.25">
      <c r="U126" s="103">
        <f t="shared" si="2"/>
        <v>0</v>
      </c>
      <c r="V126" s="98"/>
      <c r="AR126" s="103">
        <f t="shared" si="3"/>
        <v>0</v>
      </c>
    </row>
    <row r="127" spans="21:44" s="28" customFormat="1" x14ac:dyDescent="0.25">
      <c r="U127" s="103">
        <f t="shared" si="2"/>
        <v>0</v>
      </c>
      <c r="V127" s="98"/>
      <c r="AR127" s="103">
        <f t="shared" si="3"/>
        <v>0</v>
      </c>
    </row>
    <row r="128" spans="21:44" s="28" customFormat="1" x14ac:dyDescent="0.25">
      <c r="U128" s="103">
        <f t="shared" si="2"/>
        <v>0</v>
      </c>
      <c r="V128" s="98"/>
      <c r="AR128" s="103">
        <f t="shared" si="3"/>
        <v>0</v>
      </c>
    </row>
    <row r="129" spans="21:44" s="28" customFormat="1" x14ac:dyDescent="0.25">
      <c r="U129" s="103">
        <f t="shared" si="2"/>
        <v>0</v>
      </c>
      <c r="V129" s="98"/>
      <c r="AR129" s="103">
        <f t="shared" si="3"/>
        <v>0</v>
      </c>
    </row>
    <row r="130" spans="21:44" s="28" customFormat="1" x14ac:dyDescent="0.25">
      <c r="U130" s="103">
        <f t="shared" si="2"/>
        <v>0</v>
      </c>
      <c r="V130" s="98"/>
      <c r="AR130" s="103">
        <f t="shared" si="3"/>
        <v>0</v>
      </c>
    </row>
    <row r="131" spans="21:44" s="28" customFormat="1" x14ac:dyDescent="0.25">
      <c r="U131" s="103">
        <f t="shared" si="2"/>
        <v>0</v>
      </c>
      <c r="V131" s="98"/>
      <c r="AR131" s="103">
        <f t="shared" si="3"/>
        <v>0</v>
      </c>
    </row>
    <row r="132" spans="21:44" s="28" customFormat="1" x14ac:dyDescent="0.25">
      <c r="U132" s="103">
        <f t="shared" si="2"/>
        <v>0</v>
      </c>
      <c r="V132" s="98"/>
      <c r="AR132" s="103">
        <f t="shared" si="3"/>
        <v>0</v>
      </c>
    </row>
    <row r="133" spans="21:44" s="28" customFormat="1" x14ac:dyDescent="0.25">
      <c r="U133" s="103">
        <f t="shared" si="2"/>
        <v>0</v>
      </c>
      <c r="V133" s="98"/>
      <c r="AR133" s="103">
        <f t="shared" si="3"/>
        <v>0</v>
      </c>
    </row>
    <row r="134" spans="21:44" s="28" customFormat="1" x14ac:dyDescent="0.25">
      <c r="U134" s="103">
        <f t="shared" si="2"/>
        <v>0</v>
      </c>
      <c r="V134" s="98"/>
      <c r="AR134" s="103">
        <f t="shared" si="3"/>
        <v>0</v>
      </c>
    </row>
    <row r="135" spans="21:44" s="28" customFormat="1" x14ac:dyDescent="0.25">
      <c r="U135" s="103">
        <f t="shared" si="2"/>
        <v>0</v>
      </c>
      <c r="V135" s="98"/>
      <c r="AR135" s="103">
        <f t="shared" si="3"/>
        <v>0</v>
      </c>
    </row>
    <row r="136" spans="21:44" s="28" customFormat="1" x14ac:dyDescent="0.25">
      <c r="U136" s="103">
        <f t="shared" si="2"/>
        <v>0</v>
      </c>
      <c r="V136" s="98"/>
      <c r="AR136" s="103">
        <f t="shared" si="3"/>
        <v>0</v>
      </c>
    </row>
    <row r="137" spans="21:44" s="28" customFormat="1" x14ac:dyDescent="0.25">
      <c r="U137" s="103">
        <f t="shared" si="2"/>
        <v>0</v>
      </c>
      <c r="V137" s="98"/>
      <c r="AR137" s="103">
        <f t="shared" si="3"/>
        <v>0</v>
      </c>
    </row>
    <row r="138" spans="21:44" s="28" customFormat="1" x14ac:dyDescent="0.25">
      <c r="U138" s="103">
        <f t="shared" si="2"/>
        <v>0</v>
      </c>
      <c r="V138" s="98"/>
      <c r="AR138" s="103">
        <f t="shared" si="3"/>
        <v>0</v>
      </c>
    </row>
    <row r="139" spans="21:44" s="28" customFormat="1" x14ac:dyDescent="0.25">
      <c r="U139" s="103">
        <f t="shared" si="2"/>
        <v>0</v>
      </c>
      <c r="V139" s="98"/>
      <c r="AR139" s="103">
        <f t="shared" si="3"/>
        <v>0</v>
      </c>
    </row>
    <row r="140" spans="21:44" s="28" customFormat="1" x14ac:dyDescent="0.25">
      <c r="U140" s="103">
        <f t="shared" si="2"/>
        <v>0</v>
      </c>
      <c r="V140" s="98"/>
      <c r="AR140" s="103">
        <f t="shared" si="3"/>
        <v>0</v>
      </c>
    </row>
    <row r="141" spans="21:44" s="28" customFormat="1" x14ac:dyDescent="0.25">
      <c r="U141" s="103">
        <f t="shared" si="2"/>
        <v>0</v>
      </c>
      <c r="V141" s="98"/>
      <c r="AR141" s="103">
        <f t="shared" si="3"/>
        <v>0</v>
      </c>
    </row>
    <row r="142" spans="21:44" s="28" customFormat="1" x14ac:dyDescent="0.25">
      <c r="U142" s="103">
        <f t="shared" si="2"/>
        <v>0</v>
      </c>
      <c r="V142" s="98"/>
      <c r="AR142" s="103">
        <f t="shared" si="3"/>
        <v>0</v>
      </c>
    </row>
    <row r="143" spans="21:44" s="28" customFormat="1" x14ac:dyDescent="0.25">
      <c r="U143" s="103">
        <f t="shared" si="2"/>
        <v>0</v>
      </c>
      <c r="V143" s="98"/>
      <c r="AR143" s="103">
        <f t="shared" si="3"/>
        <v>0</v>
      </c>
    </row>
    <row r="144" spans="21:44" s="28" customFormat="1" x14ac:dyDescent="0.25">
      <c r="U144" s="103">
        <f t="shared" si="2"/>
        <v>0</v>
      </c>
      <c r="V144" s="98"/>
      <c r="AR144" s="103">
        <f t="shared" si="3"/>
        <v>0</v>
      </c>
    </row>
    <row r="145" spans="21:44" s="28" customFormat="1" x14ac:dyDescent="0.25">
      <c r="U145" s="103">
        <f t="shared" si="2"/>
        <v>0</v>
      </c>
      <c r="V145" s="98"/>
      <c r="AR145" s="103">
        <f t="shared" si="3"/>
        <v>0</v>
      </c>
    </row>
    <row r="146" spans="21:44" s="28" customFormat="1" x14ac:dyDescent="0.25">
      <c r="U146" s="103">
        <f t="shared" si="2"/>
        <v>0</v>
      </c>
      <c r="V146" s="98"/>
      <c r="AR146" s="103">
        <f t="shared" si="3"/>
        <v>0</v>
      </c>
    </row>
    <row r="147" spans="21:44" s="28" customFormat="1" x14ac:dyDescent="0.25">
      <c r="U147" s="103">
        <f t="shared" si="2"/>
        <v>0</v>
      </c>
      <c r="V147" s="98"/>
      <c r="AR147" s="103">
        <f t="shared" si="3"/>
        <v>0</v>
      </c>
    </row>
    <row r="148" spans="21:44" s="28" customFormat="1" x14ac:dyDescent="0.25">
      <c r="U148" s="103">
        <f t="shared" si="2"/>
        <v>0</v>
      </c>
      <c r="V148" s="98"/>
      <c r="AR148" s="103">
        <f t="shared" si="3"/>
        <v>0</v>
      </c>
    </row>
    <row r="149" spans="21:44" s="28" customFormat="1" x14ac:dyDescent="0.25">
      <c r="U149" s="103">
        <f t="shared" si="2"/>
        <v>0</v>
      </c>
      <c r="V149" s="98"/>
      <c r="AR149" s="103">
        <f t="shared" si="3"/>
        <v>0</v>
      </c>
    </row>
    <row r="150" spans="21:44" s="28" customFormat="1" x14ac:dyDescent="0.25">
      <c r="U150" s="103">
        <f t="shared" ref="U150:U213" si="4">IF(R150="TruePositive",IF(D150&lt;&gt;1,N150,0),0)</f>
        <v>0</v>
      </c>
      <c r="V150" s="98"/>
      <c r="AR150" s="103">
        <f t="shared" ref="AR150:AR213" si="5">IF(AN150="TruePositive",IF(Z150&lt;&gt;1,AJ150,0),0)</f>
        <v>0</v>
      </c>
    </row>
    <row r="151" spans="21:44" s="28" customFormat="1" x14ac:dyDescent="0.25">
      <c r="U151" s="103">
        <f t="shared" si="4"/>
        <v>0</v>
      </c>
      <c r="V151" s="98"/>
      <c r="AR151" s="103">
        <f t="shared" si="5"/>
        <v>0</v>
      </c>
    </row>
    <row r="152" spans="21:44" s="28" customFormat="1" x14ac:dyDescent="0.25">
      <c r="U152" s="103">
        <f t="shared" si="4"/>
        <v>0</v>
      </c>
      <c r="V152" s="98"/>
      <c r="AR152" s="103">
        <f t="shared" si="5"/>
        <v>0</v>
      </c>
    </row>
    <row r="153" spans="21:44" s="28" customFormat="1" x14ac:dyDescent="0.25">
      <c r="U153" s="103">
        <f t="shared" si="4"/>
        <v>0</v>
      </c>
      <c r="V153" s="98"/>
      <c r="AR153" s="103">
        <f t="shared" si="5"/>
        <v>0</v>
      </c>
    </row>
    <row r="154" spans="21:44" s="28" customFormat="1" x14ac:dyDescent="0.25">
      <c r="U154" s="103">
        <f t="shared" si="4"/>
        <v>0</v>
      </c>
      <c r="V154" s="98"/>
      <c r="AR154" s="103">
        <f t="shared" si="5"/>
        <v>0</v>
      </c>
    </row>
    <row r="155" spans="21:44" s="28" customFormat="1" x14ac:dyDescent="0.25">
      <c r="U155" s="103">
        <f t="shared" si="4"/>
        <v>0</v>
      </c>
      <c r="V155" s="98"/>
      <c r="AR155" s="103">
        <f t="shared" si="5"/>
        <v>0</v>
      </c>
    </row>
    <row r="156" spans="21:44" s="28" customFormat="1" x14ac:dyDescent="0.25">
      <c r="U156" s="103">
        <f t="shared" si="4"/>
        <v>0</v>
      </c>
      <c r="V156" s="98"/>
      <c r="AR156" s="103">
        <f t="shared" si="5"/>
        <v>0</v>
      </c>
    </row>
    <row r="157" spans="21:44" s="28" customFormat="1" x14ac:dyDescent="0.25">
      <c r="U157" s="103">
        <f t="shared" si="4"/>
        <v>0</v>
      </c>
      <c r="V157" s="98"/>
      <c r="AR157" s="103">
        <f t="shared" si="5"/>
        <v>0</v>
      </c>
    </row>
    <row r="158" spans="21:44" s="28" customFormat="1" x14ac:dyDescent="0.25">
      <c r="U158" s="103">
        <f t="shared" si="4"/>
        <v>0</v>
      </c>
      <c r="V158" s="98"/>
      <c r="AR158" s="103">
        <f t="shared" si="5"/>
        <v>0</v>
      </c>
    </row>
    <row r="159" spans="21:44" s="28" customFormat="1" x14ac:dyDescent="0.25">
      <c r="U159" s="103">
        <f t="shared" si="4"/>
        <v>0</v>
      </c>
      <c r="V159" s="98"/>
      <c r="AR159" s="103">
        <f t="shared" si="5"/>
        <v>0</v>
      </c>
    </row>
    <row r="160" spans="21:44" s="28" customFormat="1" x14ac:dyDescent="0.25">
      <c r="U160" s="103">
        <f t="shared" si="4"/>
        <v>0</v>
      </c>
      <c r="V160" s="98"/>
      <c r="AR160" s="103">
        <f t="shared" si="5"/>
        <v>0</v>
      </c>
    </row>
    <row r="161" spans="21:44" s="28" customFormat="1" x14ac:dyDescent="0.25">
      <c r="U161" s="103">
        <f t="shared" si="4"/>
        <v>0</v>
      </c>
      <c r="V161" s="98"/>
      <c r="AR161" s="103">
        <f t="shared" si="5"/>
        <v>0</v>
      </c>
    </row>
    <row r="162" spans="21:44" s="28" customFormat="1" x14ac:dyDescent="0.25">
      <c r="U162" s="103">
        <f t="shared" si="4"/>
        <v>0</v>
      </c>
      <c r="V162" s="98"/>
      <c r="AR162" s="103">
        <f t="shared" si="5"/>
        <v>0</v>
      </c>
    </row>
    <row r="163" spans="21:44" s="28" customFormat="1" x14ac:dyDescent="0.25">
      <c r="U163" s="103">
        <f t="shared" si="4"/>
        <v>0</v>
      </c>
      <c r="V163" s="98"/>
      <c r="AR163" s="103">
        <f t="shared" si="5"/>
        <v>0</v>
      </c>
    </row>
    <row r="164" spans="21:44" s="28" customFormat="1" x14ac:dyDescent="0.25">
      <c r="U164" s="103">
        <f t="shared" si="4"/>
        <v>0</v>
      </c>
      <c r="V164" s="98"/>
      <c r="AR164" s="103">
        <f t="shared" si="5"/>
        <v>0</v>
      </c>
    </row>
    <row r="165" spans="21:44" s="28" customFormat="1" x14ac:dyDescent="0.25">
      <c r="U165" s="103">
        <f t="shared" si="4"/>
        <v>0</v>
      </c>
      <c r="V165" s="98"/>
      <c r="AR165" s="103">
        <f t="shared" si="5"/>
        <v>0</v>
      </c>
    </row>
    <row r="166" spans="21:44" s="28" customFormat="1" x14ac:dyDescent="0.25">
      <c r="U166" s="103">
        <f t="shared" si="4"/>
        <v>0</v>
      </c>
      <c r="V166" s="98"/>
      <c r="AR166" s="103">
        <f t="shared" si="5"/>
        <v>0</v>
      </c>
    </row>
    <row r="167" spans="21:44" s="28" customFormat="1" x14ac:dyDescent="0.25">
      <c r="U167" s="103">
        <f t="shared" si="4"/>
        <v>0</v>
      </c>
      <c r="V167" s="98"/>
      <c r="AR167" s="103">
        <f t="shared" si="5"/>
        <v>0</v>
      </c>
    </row>
    <row r="168" spans="21:44" s="28" customFormat="1" x14ac:dyDescent="0.25">
      <c r="U168" s="103">
        <f t="shared" si="4"/>
        <v>0</v>
      </c>
      <c r="V168" s="98"/>
      <c r="AR168" s="103">
        <f t="shared" si="5"/>
        <v>0</v>
      </c>
    </row>
    <row r="169" spans="21:44" s="28" customFormat="1" x14ac:dyDescent="0.25">
      <c r="U169" s="103">
        <f t="shared" si="4"/>
        <v>0</v>
      </c>
      <c r="V169" s="98"/>
      <c r="AR169" s="103">
        <f t="shared" si="5"/>
        <v>0</v>
      </c>
    </row>
    <row r="170" spans="21:44" s="28" customFormat="1" x14ac:dyDescent="0.25">
      <c r="U170" s="103">
        <f t="shared" si="4"/>
        <v>0</v>
      </c>
      <c r="V170" s="98"/>
      <c r="AR170" s="103">
        <f t="shared" si="5"/>
        <v>0</v>
      </c>
    </row>
    <row r="171" spans="21:44" s="28" customFormat="1" x14ac:dyDescent="0.25">
      <c r="U171" s="103">
        <f t="shared" si="4"/>
        <v>0</v>
      </c>
      <c r="V171" s="98"/>
      <c r="AR171" s="103">
        <f t="shared" si="5"/>
        <v>0</v>
      </c>
    </row>
    <row r="172" spans="21:44" s="28" customFormat="1" x14ac:dyDescent="0.25">
      <c r="U172" s="103">
        <f t="shared" si="4"/>
        <v>0</v>
      </c>
      <c r="V172" s="98"/>
      <c r="AR172" s="103">
        <f t="shared" si="5"/>
        <v>0</v>
      </c>
    </row>
    <row r="173" spans="21:44" s="28" customFormat="1" x14ac:dyDescent="0.25">
      <c r="U173" s="103">
        <f t="shared" si="4"/>
        <v>0</v>
      </c>
      <c r="V173" s="98"/>
      <c r="AR173" s="103">
        <f t="shared" si="5"/>
        <v>0</v>
      </c>
    </row>
    <row r="174" spans="21:44" s="28" customFormat="1" x14ac:dyDescent="0.25">
      <c r="U174" s="103">
        <f t="shared" si="4"/>
        <v>0</v>
      </c>
      <c r="V174" s="98"/>
      <c r="AR174" s="103">
        <f t="shared" si="5"/>
        <v>0</v>
      </c>
    </row>
    <row r="175" spans="21:44" s="28" customFormat="1" x14ac:dyDescent="0.25">
      <c r="U175" s="103">
        <f t="shared" si="4"/>
        <v>0</v>
      </c>
      <c r="V175" s="98"/>
      <c r="AR175" s="103">
        <f t="shared" si="5"/>
        <v>0</v>
      </c>
    </row>
    <row r="176" spans="21:44" s="28" customFormat="1" x14ac:dyDescent="0.25">
      <c r="U176" s="103">
        <f t="shared" si="4"/>
        <v>0</v>
      </c>
      <c r="V176" s="98"/>
      <c r="AR176" s="103">
        <f t="shared" si="5"/>
        <v>0</v>
      </c>
    </row>
    <row r="177" spans="21:44" s="28" customFormat="1" x14ac:dyDescent="0.25">
      <c r="U177" s="103">
        <f t="shared" si="4"/>
        <v>0</v>
      </c>
      <c r="V177" s="98"/>
      <c r="AR177" s="103">
        <f t="shared" si="5"/>
        <v>0</v>
      </c>
    </row>
    <row r="178" spans="21:44" s="28" customFormat="1" x14ac:dyDescent="0.25">
      <c r="U178" s="103">
        <f t="shared" si="4"/>
        <v>0</v>
      </c>
      <c r="V178" s="98"/>
      <c r="AR178" s="103">
        <f t="shared" si="5"/>
        <v>0</v>
      </c>
    </row>
    <row r="179" spans="21:44" s="28" customFormat="1" x14ac:dyDescent="0.25">
      <c r="U179" s="103">
        <f t="shared" si="4"/>
        <v>0</v>
      </c>
      <c r="V179" s="98"/>
      <c r="AR179" s="103">
        <f t="shared" si="5"/>
        <v>0</v>
      </c>
    </row>
    <row r="180" spans="21:44" s="28" customFormat="1" x14ac:dyDescent="0.25">
      <c r="U180" s="103">
        <f t="shared" si="4"/>
        <v>0</v>
      </c>
      <c r="V180" s="98"/>
      <c r="AR180" s="103">
        <f t="shared" si="5"/>
        <v>0</v>
      </c>
    </row>
    <row r="181" spans="21:44" s="28" customFormat="1" x14ac:dyDescent="0.25">
      <c r="U181" s="103">
        <f t="shared" si="4"/>
        <v>0</v>
      </c>
      <c r="V181" s="98"/>
      <c r="AR181" s="103">
        <f t="shared" si="5"/>
        <v>0</v>
      </c>
    </row>
    <row r="182" spans="21:44" s="28" customFormat="1" x14ac:dyDescent="0.25">
      <c r="U182" s="103">
        <f t="shared" si="4"/>
        <v>0</v>
      </c>
      <c r="V182" s="98"/>
      <c r="AR182" s="103">
        <f t="shared" si="5"/>
        <v>0</v>
      </c>
    </row>
    <row r="183" spans="21:44" s="28" customFormat="1" x14ac:dyDescent="0.25">
      <c r="U183" s="103">
        <f t="shared" si="4"/>
        <v>0</v>
      </c>
      <c r="V183" s="98"/>
      <c r="AR183" s="103">
        <f t="shared" si="5"/>
        <v>0</v>
      </c>
    </row>
    <row r="184" spans="21:44" s="28" customFormat="1" x14ac:dyDescent="0.25">
      <c r="U184" s="103">
        <f t="shared" si="4"/>
        <v>0</v>
      </c>
      <c r="V184" s="98"/>
      <c r="AR184" s="103">
        <f t="shared" si="5"/>
        <v>0</v>
      </c>
    </row>
    <row r="185" spans="21:44" s="28" customFormat="1" x14ac:dyDescent="0.25">
      <c r="U185" s="103">
        <f t="shared" si="4"/>
        <v>0</v>
      </c>
      <c r="V185" s="98"/>
      <c r="AR185" s="103">
        <f t="shared" si="5"/>
        <v>0</v>
      </c>
    </row>
    <row r="186" spans="21:44" s="28" customFormat="1" x14ac:dyDescent="0.25">
      <c r="U186" s="103">
        <f t="shared" si="4"/>
        <v>0</v>
      </c>
      <c r="V186" s="98"/>
      <c r="AR186" s="103">
        <f t="shared" si="5"/>
        <v>0</v>
      </c>
    </row>
    <row r="187" spans="21:44" s="28" customFormat="1" x14ac:dyDescent="0.25">
      <c r="U187" s="103">
        <f t="shared" si="4"/>
        <v>0</v>
      </c>
      <c r="V187" s="98"/>
      <c r="AR187" s="103">
        <f t="shared" si="5"/>
        <v>0</v>
      </c>
    </row>
    <row r="188" spans="21:44" s="28" customFormat="1" x14ac:dyDescent="0.25">
      <c r="U188" s="103">
        <f t="shared" si="4"/>
        <v>0</v>
      </c>
      <c r="V188" s="98"/>
      <c r="AR188" s="103">
        <f t="shared" si="5"/>
        <v>0</v>
      </c>
    </row>
    <row r="189" spans="21:44" s="28" customFormat="1" x14ac:dyDescent="0.25">
      <c r="U189" s="103">
        <f t="shared" si="4"/>
        <v>0</v>
      </c>
      <c r="V189" s="98"/>
      <c r="AR189" s="103">
        <f t="shared" si="5"/>
        <v>0</v>
      </c>
    </row>
    <row r="190" spans="21:44" s="28" customFormat="1" x14ac:dyDescent="0.25">
      <c r="U190" s="103">
        <f t="shared" si="4"/>
        <v>0</v>
      </c>
      <c r="V190" s="98"/>
      <c r="AR190" s="103">
        <f t="shared" si="5"/>
        <v>0</v>
      </c>
    </row>
    <row r="191" spans="21:44" s="28" customFormat="1" x14ac:dyDescent="0.25">
      <c r="U191" s="103">
        <f t="shared" si="4"/>
        <v>0</v>
      </c>
      <c r="V191" s="98"/>
      <c r="AR191" s="103">
        <f t="shared" si="5"/>
        <v>0</v>
      </c>
    </row>
    <row r="192" spans="21:44" s="28" customFormat="1" x14ac:dyDescent="0.25">
      <c r="U192" s="103">
        <f t="shared" si="4"/>
        <v>0</v>
      </c>
      <c r="V192" s="98"/>
      <c r="AR192" s="103">
        <f t="shared" si="5"/>
        <v>0</v>
      </c>
    </row>
    <row r="193" spans="21:44" s="28" customFormat="1" x14ac:dyDescent="0.25">
      <c r="U193" s="103">
        <f t="shared" si="4"/>
        <v>0</v>
      </c>
      <c r="V193" s="98"/>
      <c r="AR193" s="103">
        <f t="shared" si="5"/>
        <v>0</v>
      </c>
    </row>
    <row r="194" spans="21:44" s="28" customFormat="1" x14ac:dyDescent="0.25">
      <c r="U194" s="103">
        <f t="shared" si="4"/>
        <v>0</v>
      </c>
      <c r="V194" s="98"/>
      <c r="AR194" s="103">
        <f t="shared" si="5"/>
        <v>0</v>
      </c>
    </row>
    <row r="195" spans="21:44" s="28" customFormat="1" x14ac:dyDescent="0.25">
      <c r="U195" s="103">
        <f t="shared" si="4"/>
        <v>0</v>
      </c>
      <c r="V195" s="98"/>
      <c r="AR195" s="103">
        <f t="shared" si="5"/>
        <v>0</v>
      </c>
    </row>
    <row r="196" spans="21:44" s="28" customFormat="1" x14ac:dyDescent="0.25">
      <c r="U196" s="103">
        <f t="shared" si="4"/>
        <v>0</v>
      </c>
      <c r="V196" s="98"/>
      <c r="AR196" s="103">
        <f t="shared" si="5"/>
        <v>0</v>
      </c>
    </row>
    <row r="197" spans="21:44" s="28" customFormat="1" x14ac:dyDescent="0.25">
      <c r="U197" s="103">
        <f t="shared" si="4"/>
        <v>0</v>
      </c>
      <c r="V197" s="98"/>
      <c r="AR197" s="103">
        <f t="shared" si="5"/>
        <v>0</v>
      </c>
    </row>
    <row r="198" spans="21:44" s="28" customFormat="1" x14ac:dyDescent="0.25">
      <c r="U198" s="103">
        <f t="shared" si="4"/>
        <v>0</v>
      </c>
      <c r="V198" s="98"/>
      <c r="AR198" s="103">
        <f t="shared" si="5"/>
        <v>0</v>
      </c>
    </row>
    <row r="199" spans="21:44" s="28" customFormat="1" x14ac:dyDescent="0.25">
      <c r="U199" s="103">
        <f t="shared" si="4"/>
        <v>0</v>
      </c>
      <c r="V199" s="98"/>
      <c r="AR199" s="103">
        <f t="shared" si="5"/>
        <v>0</v>
      </c>
    </row>
    <row r="200" spans="21:44" s="28" customFormat="1" x14ac:dyDescent="0.25">
      <c r="U200" s="103">
        <f t="shared" si="4"/>
        <v>0</v>
      </c>
      <c r="V200" s="98"/>
      <c r="AR200" s="103">
        <f t="shared" si="5"/>
        <v>0</v>
      </c>
    </row>
    <row r="201" spans="21:44" s="28" customFormat="1" x14ac:dyDescent="0.25">
      <c r="U201" s="103">
        <f t="shared" si="4"/>
        <v>0</v>
      </c>
      <c r="V201" s="98"/>
      <c r="AR201" s="103">
        <f t="shared" si="5"/>
        <v>0</v>
      </c>
    </row>
    <row r="202" spans="21:44" s="28" customFormat="1" x14ac:dyDescent="0.25">
      <c r="U202" s="103">
        <f t="shared" si="4"/>
        <v>0</v>
      </c>
      <c r="V202" s="98"/>
      <c r="AR202" s="103">
        <f t="shared" si="5"/>
        <v>0</v>
      </c>
    </row>
    <row r="203" spans="21:44" s="28" customFormat="1" x14ac:dyDescent="0.25">
      <c r="U203" s="103">
        <f t="shared" si="4"/>
        <v>0</v>
      </c>
      <c r="V203" s="98"/>
      <c r="AR203" s="103">
        <f t="shared" si="5"/>
        <v>0</v>
      </c>
    </row>
    <row r="204" spans="21:44" s="28" customFormat="1" x14ac:dyDescent="0.25">
      <c r="U204" s="103">
        <f t="shared" si="4"/>
        <v>0</v>
      </c>
      <c r="V204" s="98"/>
      <c r="AR204" s="103">
        <f t="shared" si="5"/>
        <v>0</v>
      </c>
    </row>
    <row r="205" spans="21:44" s="28" customFormat="1" x14ac:dyDescent="0.25">
      <c r="U205" s="103">
        <f t="shared" si="4"/>
        <v>0</v>
      </c>
      <c r="V205" s="98"/>
      <c r="AR205" s="103">
        <f t="shared" si="5"/>
        <v>0</v>
      </c>
    </row>
    <row r="206" spans="21:44" s="28" customFormat="1" x14ac:dyDescent="0.25">
      <c r="U206" s="103">
        <f t="shared" si="4"/>
        <v>0</v>
      </c>
      <c r="V206" s="98"/>
      <c r="AR206" s="103">
        <f t="shared" si="5"/>
        <v>0</v>
      </c>
    </row>
    <row r="207" spans="21:44" s="28" customFormat="1" x14ac:dyDescent="0.25">
      <c r="U207" s="103">
        <f t="shared" si="4"/>
        <v>0</v>
      </c>
      <c r="V207" s="98"/>
      <c r="AR207" s="103">
        <f t="shared" si="5"/>
        <v>0</v>
      </c>
    </row>
    <row r="208" spans="21:44" s="28" customFormat="1" x14ac:dyDescent="0.25">
      <c r="U208" s="103">
        <f t="shared" si="4"/>
        <v>0</v>
      </c>
      <c r="V208" s="98"/>
      <c r="AR208" s="103">
        <f t="shared" si="5"/>
        <v>0</v>
      </c>
    </row>
    <row r="209" spans="21:44" s="28" customFormat="1" x14ac:dyDescent="0.25">
      <c r="U209" s="103">
        <f t="shared" si="4"/>
        <v>0</v>
      </c>
      <c r="V209" s="98"/>
      <c r="AR209" s="103">
        <f t="shared" si="5"/>
        <v>0</v>
      </c>
    </row>
    <row r="210" spans="21:44" s="28" customFormat="1" x14ac:dyDescent="0.25">
      <c r="U210" s="103">
        <f t="shared" si="4"/>
        <v>0</v>
      </c>
      <c r="V210" s="98"/>
      <c r="AR210" s="103">
        <f t="shared" si="5"/>
        <v>0</v>
      </c>
    </row>
    <row r="211" spans="21:44" s="28" customFormat="1" x14ac:dyDescent="0.25">
      <c r="U211" s="103">
        <f t="shared" si="4"/>
        <v>0</v>
      </c>
      <c r="V211" s="98"/>
      <c r="AR211" s="103">
        <f t="shared" si="5"/>
        <v>0</v>
      </c>
    </row>
    <row r="212" spans="21:44" s="28" customFormat="1" x14ac:dyDescent="0.25">
      <c r="U212" s="103">
        <f t="shared" si="4"/>
        <v>0</v>
      </c>
      <c r="V212" s="98"/>
      <c r="AR212" s="103">
        <f t="shared" si="5"/>
        <v>0</v>
      </c>
    </row>
    <row r="213" spans="21:44" s="28" customFormat="1" x14ac:dyDescent="0.25">
      <c r="U213" s="103">
        <f t="shared" si="4"/>
        <v>0</v>
      </c>
      <c r="V213" s="98"/>
      <c r="AR213" s="103">
        <f t="shared" si="5"/>
        <v>0</v>
      </c>
    </row>
    <row r="214" spans="21:44" s="28" customFormat="1" x14ac:dyDescent="0.25">
      <c r="U214" s="103">
        <f t="shared" ref="U214:U277" si="6">IF(R214="TruePositive",IF(D214&lt;&gt;1,N214,0),0)</f>
        <v>0</v>
      </c>
      <c r="V214" s="98"/>
      <c r="AR214" s="103">
        <f t="shared" ref="AR214:AR277" si="7">IF(AN214="TruePositive",IF(Z214&lt;&gt;1,AJ214,0),0)</f>
        <v>0</v>
      </c>
    </row>
    <row r="215" spans="21:44" s="28" customFormat="1" x14ac:dyDescent="0.25">
      <c r="U215" s="103">
        <f t="shared" si="6"/>
        <v>0</v>
      </c>
      <c r="V215" s="98"/>
      <c r="AR215" s="103">
        <f t="shared" si="7"/>
        <v>0</v>
      </c>
    </row>
    <row r="216" spans="21:44" s="28" customFormat="1" x14ac:dyDescent="0.25">
      <c r="U216" s="103">
        <f t="shared" si="6"/>
        <v>0</v>
      </c>
      <c r="V216" s="98"/>
      <c r="AR216" s="103">
        <f t="shared" si="7"/>
        <v>0</v>
      </c>
    </row>
    <row r="217" spans="21:44" s="28" customFormat="1" x14ac:dyDescent="0.25">
      <c r="U217" s="103">
        <f t="shared" si="6"/>
        <v>0</v>
      </c>
      <c r="V217" s="98"/>
      <c r="AR217" s="103">
        <f t="shared" si="7"/>
        <v>0</v>
      </c>
    </row>
    <row r="218" spans="21:44" s="28" customFormat="1" x14ac:dyDescent="0.25">
      <c r="U218" s="103">
        <f t="shared" si="6"/>
        <v>0</v>
      </c>
      <c r="V218" s="98"/>
      <c r="AR218" s="103">
        <f t="shared" si="7"/>
        <v>0</v>
      </c>
    </row>
    <row r="219" spans="21:44" s="28" customFormat="1" x14ac:dyDescent="0.25">
      <c r="U219" s="103">
        <f t="shared" si="6"/>
        <v>0</v>
      </c>
      <c r="V219" s="98"/>
      <c r="AR219" s="103">
        <f t="shared" si="7"/>
        <v>0</v>
      </c>
    </row>
    <row r="220" spans="21:44" s="28" customFormat="1" x14ac:dyDescent="0.25">
      <c r="U220" s="103">
        <f t="shared" si="6"/>
        <v>0</v>
      </c>
      <c r="V220" s="98"/>
      <c r="AR220" s="103">
        <f t="shared" si="7"/>
        <v>0</v>
      </c>
    </row>
    <row r="221" spans="21:44" s="28" customFormat="1" x14ac:dyDescent="0.25">
      <c r="U221" s="103">
        <f t="shared" si="6"/>
        <v>0</v>
      </c>
      <c r="V221" s="98"/>
      <c r="AR221" s="103">
        <f t="shared" si="7"/>
        <v>0</v>
      </c>
    </row>
    <row r="222" spans="21:44" s="28" customFormat="1" x14ac:dyDescent="0.25">
      <c r="U222" s="103">
        <f t="shared" si="6"/>
        <v>0</v>
      </c>
      <c r="V222" s="98"/>
      <c r="AR222" s="103">
        <f t="shared" si="7"/>
        <v>0</v>
      </c>
    </row>
    <row r="223" spans="21:44" s="28" customFormat="1" x14ac:dyDescent="0.25">
      <c r="U223" s="103">
        <f t="shared" si="6"/>
        <v>0</v>
      </c>
      <c r="V223" s="98"/>
      <c r="AR223" s="103">
        <f t="shared" si="7"/>
        <v>0</v>
      </c>
    </row>
    <row r="224" spans="21:44" s="28" customFormat="1" x14ac:dyDescent="0.25">
      <c r="U224" s="103">
        <f t="shared" si="6"/>
        <v>0</v>
      </c>
      <c r="V224" s="98"/>
      <c r="AR224" s="103">
        <f t="shared" si="7"/>
        <v>0</v>
      </c>
    </row>
    <row r="225" spans="21:44" s="28" customFormat="1" x14ac:dyDescent="0.25">
      <c r="U225" s="103">
        <f t="shared" si="6"/>
        <v>0</v>
      </c>
      <c r="V225" s="98"/>
      <c r="AR225" s="103">
        <f t="shared" si="7"/>
        <v>0</v>
      </c>
    </row>
    <row r="226" spans="21:44" s="28" customFormat="1" x14ac:dyDescent="0.25">
      <c r="U226" s="103">
        <f t="shared" si="6"/>
        <v>0</v>
      </c>
      <c r="V226" s="98"/>
      <c r="AR226" s="103">
        <f t="shared" si="7"/>
        <v>0</v>
      </c>
    </row>
    <row r="227" spans="21:44" s="28" customFormat="1" x14ac:dyDescent="0.25">
      <c r="U227" s="103">
        <f t="shared" si="6"/>
        <v>0</v>
      </c>
      <c r="V227" s="98"/>
      <c r="AR227" s="103">
        <f t="shared" si="7"/>
        <v>0</v>
      </c>
    </row>
    <row r="228" spans="21:44" s="28" customFormat="1" x14ac:dyDescent="0.25">
      <c r="U228" s="103">
        <f t="shared" si="6"/>
        <v>0</v>
      </c>
      <c r="V228" s="98"/>
      <c r="AR228" s="103">
        <f t="shared" si="7"/>
        <v>0</v>
      </c>
    </row>
    <row r="229" spans="21:44" s="28" customFormat="1" x14ac:dyDescent="0.25">
      <c r="U229" s="103">
        <f t="shared" si="6"/>
        <v>0</v>
      </c>
      <c r="V229" s="98"/>
      <c r="AR229" s="103">
        <f t="shared" si="7"/>
        <v>0</v>
      </c>
    </row>
    <row r="230" spans="21:44" s="28" customFormat="1" x14ac:dyDescent="0.25">
      <c r="U230" s="103">
        <f t="shared" si="6"/>
        <v>0</v>
      </c>
      <c r="V230" s="98"/>
      <c r="AR230" s="103">
        <f t="shared" si="7"/>
        <v>0</v>
      </c>
    </row>
    <row r="231" spans="21:44" s="28" customFormat="1" x14ac:dyDescent="0.25">
      <c r="U231" s="103">
        <f t="shared" si="6"/>
        <v>0</v>
      </c>
      <c r="V231" s="98"/>
      <c r="AR231" s="103">
        <f t="shared" si="7"/>
        <v>0</v>
      </c>
    </row>
    <row r="232" spans="21:44" s="28" customFormat="1" x14ac:dyDescent="0.25">
      <c r="U232" s="103">
        <f t="shared" si="6"/>
        <v>0</v>
      </c>
      <c r="V232" s="98"/>
      <c r="AR232" s="103">
        <f t="shared" si="7"/>
        <v>0</v>
      </c>
    </row>
    <row r="233" spans="21:44" s="28" customFormat="1" x14ac:dyDescent="0.25">
      <c r="U233" s="103">
        <f t="shared" si="6"/>
        <v>0</v>
      </c>
      <c r="V233" s="98"/>
      <c r="AR233" s="103">
        <f t="shared" si="7"/>
        <v>0</v>
      </c>
    </row>
    <row r="234" spans="21:44" s="28" customFormat="1" x14ac:dyDescent="0.25">
      <c r="U234" s="103">
        <f t="shared" si="6"/>
        <v>0</v>
      </c>
      <c r="V234" s="98"/>
      <c r="AR234" s="103">
        <f t="shared" si="7"/>
        <v>0</v>
      </c>
    </row>
    <row r="235" spans="21:44" s="28" customFormat="1" x14ac:dyDescent="0.25">
      <c r="U235" s="103">
        <f t="shared" si="6"/>
        <v>0</v>
      </c>
      <c r="V235" s="98"/>
      <c r="AR235" s="103">
        <f t="shared" si="7"/>
        <v>0</v>
      </c>
    </row>
    <row r="236" spans="21:44" s="28" customFormat="1" x14ac:dyDescent="0.25">
      <c r="U236" s="103">
        <f t="shared" si="6"/>
        <v>0</v>
      </c>
      <c r="V236" s="98"/>
      <c r="AR236" s="103">
        <f t="shared" si="7"/>
        <v>0</v>
      </c>
    </row>
    <row r="237" spans="21:44" s="28" customFormat="1" x14ac:dyDescent="0.25">
      <c r="U237" s="103">
        <f t="shared" si="6"/>
        <v>0</v>
      </c>
      <c r="V237" s="98"/>
      <c r="AR237" s="103">
        <f t="shared" si="7"/>
        <v>0</v>
      </c>
    </row>
    <row r="238" spans="21:44" s="28" customFormat="1" x14ac:dyDescent="0.25">
      <c r="U238" s="103">
        <f t="shared" si="6"/>
        <v>0</v>
      </c>
      <c r="V238" s="98"/>
      <c r="AR238" s="103">
        <f t="shared" si="7"/>
        <v>0</v>
      </c>
    </row>
    <row r="239" spans="21:44" s="28" customFormat="1" x14ac:dyDescent="0.25">
      <c r="U239" s="103">
        <f t="shared" si="6"/>
        <v>0</v>
      </c>
      <c r="V239" s="98"/>
      <c r="AR239" s="103">
        <f t="shared" si="7"/>
        <v>0</v>
      </c>
    </row>
    <row r="240" spans="21:44" s="28" customFormat="1" x14ac:dyDescent="0.25">
      <c r="U240" s="103">
        <f t="shared" si="6"/>
        <v>0</v>
      </c>
      <c r="V240" s="98"/>
      <c r="AR240" s="103">
        <f t="shared" si="7"/>
        <v>0</v>
      </c>
    </row>
    <row r="241" spans="21:44" s="28" customFormat="1" x14ac:dyDescent="0.25">
      <c r="U241" s="103">
        <f t="shared" si="6"/>
        <v>0</v>
      </c>
      <c r="V241" s="98"/>
      <c r="AR241" s="103">
        <f t="shared" si="7"/>
        <v>0</v>
      </c>
    </row>
    <row r="242" spans="21:44" s="28" customFormat="1" x14ac:dyDescent="0.25">
      <c r="U242" s="103">
        <f t="shared" si="6"/>
        <v>0</v>
      </c>
      <c r="V242" s="98"/>
      <c r="AR242" s="103">
        <f t="shared" si="7"/>
        <v>0</v>
      </c>
    </row>
    <row r="243" spans="21:44" s="28" customFormat="1" x14ac:dyDescent="0.25">
      <c r="U243" s="103">
        <f t="shared" si="6"/>
        <v>0</v>
      </c>
      <c r="V243" s="98"/>
      <c r="AR243" s="103">
        <f t="shared" si="7"/>
        <v>0</v>
      </c>
    </row>
    <row r="244" spans="21:44" s="28" customFormat="1" x14ac:dyDescent="0.25">
      <c r="U244" s="103">
        <f t="shared" si="6"/>
        <v>0</v>
      </c>
      <c r="V244" s="98"/>
      <c r="AR244" s="103">
        <f t="shared" si="7"/>
        <v>0</v>
      </c>
    </row>
    <row r="245" spans="21:44" s="28" customFormat="1" x14ac:dyDescent="0.25">
      <c r="U245" s="103">
        <f t="shared" si="6"/>
        <v>0</v>
      </c>
      <c r="V245" s="98"/>
      <c r="AR245" s="103">
        <f t="shared" si="7"/>
        <v>0</v>
      </c>
    </row>
    <row r="246" spans="21:44" s="28" customFormat="1" x14ac:dyDescent="0.25">
      <c r="U246" s="103">
        <f t="shared" si="6"/>
        <v>0</v>
      </c>
      <c r="V246" s="98"/>
      <c r="AR246" s="103">
        <f t="shared" si="7"/>
        <v>0</v>
      </c>
    </row>
    <row r="247" spans="21:44" s="28" customFormat="1" x14ac:dyDescent="0.25">
      <c r="U247" s="103">
        <f t="shared" si="6"/>
        <v>0</v>
      </c>
      <c r="V247" s="98"/>
      <c r="AR247" s="103">
        <f t="shared" si="7"/>
        <v>0</v>
      </c>
    </row>
    <row r="248" spans="21:44" s="28" customFormat="1" x14ac:dyDescent="0.25">
      <c r="U248" s="103">
        <f t="shared" si="6"/>
        <v>0</v>
      </c>
      <c r="V248" s="98"/>
      <c r="AR248" s="103">
        <f t="shared" si="7"/>
        <v>0</v>
      </c>
    </row>
    <row r="249" spans="21:44" s="28" customFormat="1" x14ac:dyDescent="0.25">
      <c r="U249" s="103">
        <f t="shared" si="6"/>
        <v>0</v>
      </c>
      <c r="V249" s="98"/>
      <c r="AR249" s="103">
        <f t="shared" si="7"/>
        <v>0</v>
      </c>
    </row>
    <row r="250" spans="21:44" s="28" customFormat="1" x14ac:dyDescent="0.25">
      <c r="U250" s="103">
        <f t="shared" si="6"/>
        <v>0</v>
      </c>
      <c r="V250" s="98"/>
      <c r="AR250" s="103">
        <f t="shared" si="7"/>
        <v>0</v>
      </c>
    </row>
    <row r="251" spans="21:44" s="28" customFormat="1" x14ac:dyDescent="0.25">
      <c r="U251" s="103">
        <f t="shared" si="6"/>
        <v>0</v>
      </c>
      <c r="V251" s="98"/>
      <c r="AR251" s="103">
        <f t="shared" si="7"/>
        <v>0</v>
      </c>
    </row>
    <row r="252" spans="21:44" s="28" customFormat="1" x14ac:dyDescent="0.25">
      <c r="U252" s="103">
        <f t="shared" si="6"/>
        <v>0</v>
      </c>
      <c r="V252" s="98"/>
      <c r="AR252" s="103">
        <f t="shared" si="7"/>
        <v>0</v>
      </c>
    </row>
    <row r="253" spans="21:44" s="28" customFormat="1" x14ac:dyDescent="0.25">
      <c r="U253" s="103">
        <f t="shared" si="6"/>
        <v>0</v>
      </c>
      <c r="V253" s="98"/>
      <c r="AR253" s="103">
        <f t="shared" si="7"/>
        <v>0</v>
      </c>
    </row>
    <row r="254" spans="21:44" s="28" customFormat="1" x14ac:dyDescent="0.25">
      <c r="U254" s="103">
        <f t="shared" si="6"/>
        <v>0</v>
      </c>
      <c r="V254" s="98"/>
      <c r="AR254" s="103">
        <f t="shared" si="7"/>
        <v>0</v>
      </c>
    </row>
    <row r="255" spans="21:44" s="28" customFormat="1" x14ac:dyDescent="0.25">
      <c r="U255" s="103">
        <f t="shared" si="6"/>
        <v>0</v>
      </c>
      <c r="V255" s="98"/>
      <c r="AR255" s="103">
        <f t="shared" si="7"/>
        <v>0</v>
      </c>
    </row>
    <row r="256" spans="21:44" s="28" customFormat="1" x14ac:dyDescent="0.25">
      <c r="U256" s="103">
        <f t="shared" si="6"/>
        <v>0</v>
      </c>
      <c r="V256" s="98"/>
      <c r="AR256" s="103">
        <f t="shared" si="7"/>
        <v>0</v>
      </c>
    </row>
    <row r="257" spans="21:44" s="28" customFormat="1" x14ac:dyDescent="0.25">
      <c r="U257" s="103">
        <f t="shared" si="6"/>
        <v>0</v>
      </c>
      <c r="V257" s="98"/>
      <c r="AR257" s="103">
        <f t="shared" si="7"/>
        <v>0</v>
      </c>
    </row>
    <row r="258" spans="21:44" s="28" customFormat="1" x14ac:dyDescent="0.25">
      <c r="U258" s="103">
        <f t="shared" si="6"/>
        <v>0</v>
      </c>
      <c r="V258" s="98"/>
      <c r="AR258" s="103">
        <f t="shared" si="7"/>
        <v>0</v>
      </c>
    </row>
    <row r="259" spans="21:44" s="28" customFormat="1" x14ac:dyDescent="0.25">
      <c r="U259" s="103">
        <f t="shared" si="6"/>
        <v>0</v>
      </c>
      <c r="V259" s="98"/>
      <c r="AR259" s="103">
        <f t="shared" si="7"/>
        <v>0</v>
      </c>
    </row>
    <row r="260" spans="21:44" s="28" customFormat="1" x14ac:dyDescent="0.25">
      <c r="U260" s="103">
        <f t="shared" si="6"/>
        <v>0</v>
      </c>
      <c r="V260" s="98"/>
      <c r="AR260" s="103">
        <f t="shared" si="7"/>
        <v>0</v>
      </c>
    </row>
    <row r="261" spans="21:44" s="28" customFormat="1" x14ac:dyDescent="0.25">
      <c r="U261" s="103">
        <f t="shared" si="6"/>
        <v>0</v>
      </c>
      <c r="V261" s="98"/>
      <c r="AR261" s="103">
        <f t="shared" si="7"/>
        <v>0</v>
      </c>
    </row>
    <row r="262" spans="21:44" s="28" customFormat="1" x14ac:dyDescent="0.25">
      <c r="U262" s="103">
        <f t="shared" si="6"/>
        <v>0</v>
      </c>
      <c r="V262" s="98"/>
      <c r="AR262" s="103">
        <f t="shared" si="7"/>
        <v>0</v>
      </c>
    </row>
    <row r="263" spans="21:44" s="28" customFormat="1" x14ac:dyDescent="0.25">
      <c r="U263" s="103">
        <f t="shared" si="6"/>
        <v>0</v>
      </c>
      <c r="V263" s="98"/>
      <c r="AR263" s="103">
        <f t="shared" si="7"/>
        <v>0</v>
      </c>
    </row>
    <row r="264" spans="21:44" s="28" customFormat="1" x14ac:dyDescent="0.25">
      <c r="U264" s="103">
        <f t="shared" si="6"/>
        <v>0</v>
      </c>
      <c r="V264" s="98"/>
      <c r="AR264" s="103">
        <f t="shared" si="7"/>
        <v>0</v>
      </c>
    </row>
    <row r="265" spans="21:44" s="28" customFormat="1" x14ac:dyDescent="0.25">
      <c r="U265" s="103">
        <f t="shared" si="6"/>
        <v>0</v>
      </c>
      <c r="V265" s="98"/>
      <c r="AR265" s="103">
        <f t="shared" si="7"/>
        <v>0</v>
      </c>
    </row>
    <row r="266" spans="21:44" s="28" customFormat="1" x14ac:dyDescent="0.25">
      <c r="U266" s="103">
        <f t="shared" si="6"/>
        <v>0</v>
      </c>
      <c r="V266" s="98"/>
      <c r="AR266" s="103">
        <f t="shared" si="7"/>
        <v>0</v>
      </c>
    </row>
    <row r="267" spans="21:44" s="28" customFormat="1" x14ac:dyDescent="0.25">
      <c r="U267" s="103">
        <f t="shared" si="6"/>
        <v>0</v>
      </c>
      <c r="V267" s="98"/>
      <c r="AR267" s="103">
        <f t="shared" si="7"/>
        <v>0</v>
      </c>
    </row>
    <row r="268" spans="21:44" s="28" customFormat="1" x14ac:dyDescent="0.25">
      <c r="U268" s="103">
        <f t="shared" si="6"/>
        <v>0</v>
      </c>
      <c r="V268" s="98"/>
      <c r="AR268" s="103">
        <f t="shared" si="7"/>
        <v>0</v>
      </c>
    </row>
    <row r="269" spans="21:44" s="28" customFormat="1" x14ac:dyDescent="0.25">
      <c r="U269" s="103">
        <f t="shared" si="6"/>
        <v>0</v>
      </c>
      <c r="V269" s="98"/>
      <c r="AR269" s="103">
        <f t="shared" si="7"/>
        <v>0</v>
      </c>
    </row>
    <row r="270" spans="21:44" s="28" customFormat="1" x14ac:dyDescent="0.25">
      <c r="U270" s="103">
        <f t="shared" si="6"/>
        <v>0</v>
      </c>
      <c r="V270" s="98"/>
      <c r="AR270" s="103">
        <f t="shared" si="7"/>
        <v>0</v>
      </c>
    </row>
    <row r="271" spans="21:44" s="28" customFormat="1" x14ac:dyDescent="0.25">
      <c r="U271" s="103">
        <f t="shared" si="6"/>
        <v>0</v>
      </c>
      <c r="V271" s="98"/>
      <c r="AR271" s="103">
        <f t="shared" si="7"/>
        <v>0</v>
      </c>
    </row>
    <row r="272" spans="21:44" s="28" customFormat="1" x14ac:dyDescent="0.25">
      <c r="U272" s="103">
        <f t="shared" si="6"/>
        <v>0</v>
      </c>
      <c r="V272" s="98"/>
      <c r="AR272" s="103">
        <f t="shared" si="7"/>
        <v>0</v>
      </c>
    </row>
    <row r="273" spans="21:44" s="28" customFormat="1" x14ac:dyDescent="0.25">
      <c r="U273" s="103">
        <f t="shared" si="6"/>
        <v>0</v>
      </c>
      <c r="V273" s="98"/>
      <c r="AR273" s="103">
        <f t="shared" si="7"/>
        <v>0</v>
      </c>
    </row>
    <row r="274" spans="21:44" s="28" customFormat="1" x14ac:dyDescent="0.25">
      <c r="U274" s="103">
        <f t="shared" si="6"/>
        <v>0</v>
      </c>
      <c r="V274" s="98"/>
      <c r="AR274" s="103">
        <f t="shared" si="7"/>
        <v>0</v>
      </c>
    </row>
    <row r="275" spans="21:44" s="28" customFormat="1" x14ac:dyDescent="0.25">
      <c r="U275" s="103">
        <f t="shared" si="6"/>
        <v>0</v>
      </c>
      <c r="V275" s="98"/>
      <c r="AR275" s="103">
        <f t="shared" si="7"/>
        <v>0</v>
      </c>
    </row>
    <row r="276" spans="21:44" s="28" customFormat="1" x14ac:dyDescent="0.25">
      <c r="U276" s="103">
        <f t="shared" si="6"/>
        <v>0</v>
      </c>
      <c r="V276" s="98"/>
      <c r="AR276" s="103">
        <f t="shared" si="7"/>
        <v>0</v>
      </c>
    </row>
    <row r="277" spans="21:44" s="28" customFormat="1" x14ac:dyDescent="0.25">
      <c r="U277" s="103">
        <f t="shared" si="6"/>
        <v>0</v>
      </c>
      <c r="V277" s="98"/>
      <c r="AR277" s="103">
        <f t="shared" si="7"/>
        <v>0</v>
      </c>
    </row>
    <row r="278" spans="21:44" s="28" customFormat="1" x14ac:dyDescent="0.25">
      <c r="U278" s="103">
        <f t="shared" ref="U278:U341" si="8">IF(R278="TruePositive",IF(D278&lt;&gt;1,N278,0),0)</f>
        <v>0</v>
      </c>
      <c r="V278" s="98"/>
      <c r="AR278" s="103">
        <f t="shared" ref="AR278:AR341" si="9">IF(AN278="TruePositive",IF(Z278&lt;&gt;1,AJ278,0),0)</f>
        <v>0</v>
      </c>
    </row>
    <row r="279" spans="21:44" s="28" customFormat="1" x14ac:dyDescent="0.25">
      <c r="U279" s="103">
        <f t="shared" si="8"/>
        <v>0</v>
      </c>
      <c r="V279" s="98"/>
      <c r="AR279" s="103">
        <f t="shared" si="9"/>
        <v>0</v>
      </c>
    </row>
    <row r="280" spans="21:44" s="28" customFormat="1" x14ac:dyDescent="0.25">
      <c r="U280" s="103">
        <f t="shared" si="8"/>
        <v>0</v>
      </c>
      <c r="V280" s="98"/>
      <c r="AR280" s="103">
        <f t="shared" si="9"/>
        <v>0</v>
      </c>
    </row>
    <row r="281" spans="21:44" s="28" customFormat="1" x14ac:dyDescent="0.25">
      <c r="U281" s="103">
        <f t="shared" si="8"/>
        <v>0</v>
      </c>
      <c r="V281" s="98"/>
      <c r="AR281" s="103">
        <f t="shared" si="9"/>
        <v>0</v>
      </c>
    </row>
    <row r="282" spans="21:44" s="28" customFormat="1" x14ac:dyDescent="0.25">
      <c r="U282" s="103">
        <f t="shared" si="8"/>
        <v>0</v>
      </c>
      <c r="V282" s="98"/>
      <c r="AR282" s="103">
        <f t="shared" si="9"/>
        <v>0</v>
      </c>
    </row>
    <row r="283" spans="21:44" s="28" customFormat="1" x14ac:dyDescent="0.25">
      <c r="U283" s="103">
        <f t="shared" si="8"/>
        <v>0</v>
      </c>
      <c r="V283" s="98"/>
      <c r="AR283" s="103">
        <f t="shared" si="9"/>
        <v>0</v>
      </c>
    </row>
    <row r="284" spans="21:44" s="28" customFormat="1" x14ac:dyDescent="0.25">
      <c r="U284" s="103">
        <f t="shared" si="8"/>
        <v>0</v>
      </c>
      <c r="V284" s="98"/>
      <c r="AR284" s="103">
        <f t="shared" si="9"/>
        <v>0</v>
      </c>
    </row>
    <row r="285" spans="21:44" s="28" customFormat="1" x14ac:dyDescent="0.25">
      <c r="U285" s="103">
        <f t="shared" si="8"/>
        <v>0</v>
      </c>
      <c r="V285" s="98"/>
      <c r="AR285" s="103">
        <f t="shared" si="9"/>
        <v>0</v>
      </c>
    </row>
    <row r="286" spans="21:44" s="28" customFormat="1" x14ac:dyDescent="0.25">
      <c r="U286" s="103">
        <f t="shared" si="8"/>
        <v>0</v>
      </c>
      <c r="V286" s="98"/>
      <c r="AR286" s="103">
        <f t="shared" si="9"/>
        <v>0</v>
      </c>
    </row>
    <row r="287" spans="21:44" s="28" customFormat="1" x14ac:dyDescent="0.25">
      <c r="U287" s="103">
        <f t="shared" si="8"/>
        <v>0</v>
      </c>
      <c r="V287" s="98"/>
      <c r="AR287" s="103">
        <f t="shared" si="9"/>
        <v>0</v>
      </c>
    </row>
    <row r="288" spans="21:44" s="28" customFormat="1" x14ac:dyDescent="0.25">
      <c r="U288" s="103">
        <f t="shared" si="8"/>
        <v>0</v>
      </c>
      <c r="V288" s="98"/>
      <c r="AR288" s="103">
        <f t="shared" si="9"/>
        <v>0</v>
      </c>
    </row>
    <row r="289" spans="21:44" s="28" customFormat="1" x14ac:dyDescent="0.25">
      <c r="U289" s="103">
        <f t="shared" si="8"/>
        <v>0</v>
      </c>
      <c r="V289" s="98"/>
      <c r="AR289" s="103">
        <f t="shared" si="9"/>
        <v>0</v>
      </c>
    </row>
    <row r="290" spans="21:44" s="28" customFormat="1" x14ac:dyDescent="0.25">
      <c r="U290" s="103">
        <f t="shared" si="8"/>
        <v>0</v>
      </c>
      <c r="V290" s="98"/>
      <c r="AR290" s="103">
        <f t="shared" si="9"/>
        <v>0</v>
      </c>
    </row>
    <row r="291" spans="21:44" s="28" customFormat="1" x14ac:dyDescent="0.25">
      <c r="U291" s="103">
        <f t="shared" si="8"/>
        <v>0</v>
      </c>
      <c r="V291" s="98"/>
      <c r="AR291" s="103">
        <f t="shared" si="9"/>
        <v>0</v>
      </c>
    </row>
    <row r="292" spans="21:44" s="28" customFormat="1" x14ac:dyDescent="0.25">
      <c r="U292" s="103">
        <f t="shared" si="8"/>
        <v>0</v>
      </c>
      <c r="V292" s="98"/>
      <c r="AR292" s="103">
        <f t="shared" si="9"/>
        <v>0</v>
      </c>
    </row>
    <row r="293" spans="21:44" s="28" customFormat="1" x14ac:dyDescent="0.25">
      <c r="U293" s="103">
        <f t="shared" si="8"/>
        <v>0</v>
      </c>
      <c r="V293" s="98"/>
      <c r="AR293" s="103">
        <f t="shared" si="9"/>
        <v>0</v>
      </c>
    </row>
    <row r="294" spans="21:44" s="28" customFormat="1" x14ac:dyDescent="0.25">
      <c r="U294" s="103">
        <f t="shared" si="8"/>
        <v>0</v>
      </c>
      <c r="V294" s="98"/>
      <c r="AR294" s="103">
        <f t="shared" si="9"/>
        <v>0</v>
      </c>
    </row>
    <row r="295" spans="21:44" s="28" customFormat="1" x14ac:dyDescent="0.25">
      <c r="U295" s="103">
        <f t="shared" si="8"/>
        <v>0</v>
      </c>
      <c r="V295" s="98"/>
      <c r="AR295" s="103">
        <f t="shared" si="9"/>
        <v>0</v>
      </c>
    </row>
    <row r="296" spans="21:44" s="28" customFormat="1" x14ac:dyDescent="0.25">
      <c r="U296" s="103">
        <f t="shared" si="8"/>
        <v>0</v>
      </c>
      <c r="V296" s="98"/>
      <c r="AR296" s="103">
        <f t="shared" si="9"/>
        <v>0</v>
      </c>
    </row>
    <row r="297" spans="21:44" s="28" customFormat="1" x14ac:dyDescent="0.25">
      <c r="U297" s="103">
        <f t="shared" si="8"/>
        <v>0</v>
      </c>
      <c r="V297" s="98"/>
      <c r="AR297" s="103">
        <f t="shared" si="9"/>
        <v>0</v>
      </c>
    </row>
    <row r="298" spans="21:44" s="28" customFormat="1" x14ac:dyDescent="0.25">
      <c r="U298" s="103">
        <f t="shared" si="8"/>
        <v>0</v>
      </c>
      <c r="V298" s="98"/>
      <c r="AR298" s="103">
        <f t="shared" si="9"/>
        <v>0</v>
      </c>
    </row>
    <row r="299" spans="21:44" s="28" customFormat="1" x14ac:dyDescent="0.25">
      <c r="U299" s="103">
        <f t="shared" si="8"/>
        <v>0</v>
      </c>
      <c r="V299" s="98"/>
      <c r="AR299" s="103">
        <f t="shared" si="9"/>
        <v>0</v>
      </c>
    </row>
    <row r="300" spans="21:44" s="28" customFormat="1" x14ac:dyDescent="0.25">
      <c r="U300" s="103">
        <f t="shared" si="8"/>
        <v>0</v>
      </c>
      <c r="V300" s="98"/>
      <c r="AR300" s="103">
        <f t="shared" si="9"/>
        <v>0</v>
      </c>
    </row>
    <row r="301" spans="21:44" s="28" customFormat="1" x14ac:dyDescent="0.25">
      <c r="U301" s="103">
        <f t="shared" si="8"/>
        <v>0</v>
      </c>
      <c r="V301" s="98"/>
      <c r="AR301" s="103">
        <f t="shared" si="9"/>
        <v>0</v>
      </c>
    </row>
    <row r="302" spans="21:44" s="28" customFormat="1" x14ac:dyDescent="0.25">
      <c r="U302" s="103">
        <f t="shared" si="8"/>
        <v>0</v>
      </c>
      <c r="V302" s="98"/>
      <c r="AR302" s="103">
        <f t="shared" si="9"/>
        <v>0</v>
      </c>
    </row>
    <row r="303" spans="21:44" s="28" customFormat="1" x14ac:dyDescent="0.25">
      <c r="U303" s="103">
        <f t="shared" si="8"/>
        <v>0</v>
      </c>
      <c r="V303" s="98"/>
      <c r="AR303" s="103">
        <f t="shared" si="9"/>
        <v>0</v>
      </c>
    </row>
    <row r="304" spans="21:44" s="28" customFormat="1" x14ac:dyDescent="0.25">
      <c r="U304" s="103">
        <f t="shared" si="8"/>
        <v>0</v>
      </c>
      <c r="V304" s="98"/>
      <c r="AR304" s="103">
        <f t="shared" si="9"/>
        <v>0</v>
      </c>
    </row>
    <row r="305" spans="21:44" s="28" customFormat="1" x14ac:dyDescent="0.25">
      <c r="U305" s="103">
        <f t="shared" si="8"/>
        <v>0</v>
      </c>
      <c r="V305" s="98"/>
      <c r="AR305" s="103">
        <f t="shared" si="9"/>
        <v>0</v>
      </c>
    </row>
    <row r="306" spans="21:44" s="28" customFormat="1" x14ac:dyDescent="0.25">
      <c r="U306" s="103">
        <f t="shared" si="8"/>
        <v>0</v>
      </c>
      <c r="V306" s="98"/>
      <c r="AR306" s="103">
        <f t="shared" si="9"/>
        <v>0</v>
      </c>
    </row>
    <row r="307" spans="21:44" s="28" customFormat="1" x14ac:dyDescent="0.25">
      <c r="U307" s="103">
        <f t="shared" si="8"/>
        <v>0</v>
      </c>
      <c r="V307" s="98"/>
      <c r="AR307" s="103">
        <f t="shared" si="9"/>
        <v>0</v>
      </c>
    </row>
    <row r="308" spans="21:44" s="28" customFormat="1" x14ac:dyDescent="0.25">
      <c r="U308" s="103">
        <f t="shared" si="8"/>
        <v>0</v>
      </c>
      <c r="V308" s="98"/>
      <c r="AR308" s="103">
        <f t="shared" si="9"/>
        <v>0</v>
      </c>
    </row>
    <row r="309" spans="21:44" s="28" customFormat="1" x14ac:dyDescent="0.25">
      <c r="U309" s="103">
        <f t="shared" si="8"/>
        <v>0</v>
      </c>
      <c r="V309" s="98"/>
      <c r="AR309" s="103">
        <f t="shared" si="9"/>
        <v>0</v>
      </c>
    </row>
    <row r="310" spans="21:44" s="28" customFormat="1" x14ac:dyDescent="0.25">
      <c r="U310" s="103">
        <f t="shared" si="8"/>
        <v>0</v>
      </c>
      <c r="V310" s="98"/>
      <c r="AR310" s="103">
        <f t="shared" si="9"/>
        <v>0</v>
      </c>
    </row>
    <row r="311" spans="21:44" s="28" customFormat="1" x14ac:dyDescent="0.25">
      <c r="U311" s="103">
        <f t="shared" si="8"/>
        <v>0</v>
      </c>
      <c r="V311" s="98"/>
      <c r="AR311" s="103">
        <f t="shared" si="9"/>
        <v>0</v>
      </c>
    </row>
    <row r="312" spans="21:44" s="28" customFormat="1" x14ac:dyDescent="0.25">
      <c r="U312" s="103">
        <f t="shared" si="8"/>
        <v>0</v>
      </c>
      <c r="V312" s="98"/>
      <c r="AR312" s="103">
        <f t="shared" si="9"/>
        <v>0</v>
      </c>
    </row>
    <row r="313" spans="21:44" s="28" customFormat="1" x14ac:dyDescent="0.25">
      <c r="U313" s="103">
        <f t="shared" si="8"/>
        <v>0</v>
      </c>
      <c r="V313" s="98"/>
      <c r="AR313" s="103">
        <f t="shared" si="9"/>
        <v>0</v>
      </c>
    </row>
    <row r="314" spans="21:44" s="28" customFormat="1" x14ac:dyDescent="0.25">
      <c r="U314" s="103">
        <f t="shared" si="8"/>
        <v>0</v>
      </c>
      <c r="V314" s="98"/>
      <c r="AR314" s="103">
        <f t="shared" si="9"/>
        <v>0</v>
      </c>
    </row>
    <row r="315" spans="21:44" s="28" customFormat="1" x14ac:dyDescent="0.25">
      <c r="U315" s="103">
        <f t="shared" si="8"/>
        <v>0</v>
      </c>
      <c r="V315" s="98"/>
      <c r="AR315" s="103">
        <f t="shared" si="9"/>
        <v>0</v>
      </c>
    </row>
    <row r="316" spans="21:44" s="28" customFormat="1" x14ac:dyDescent="0.25">
      <c r="U316" s="103">
        <f t="shared" si="8"/>
        <v>0</v>
      </c>
      <c r="V316" s="98"/>
      <c r="AR316" s="103">
        <f t="shared" si="9"/>
        <v>0</v>
      </c>
    </row>
    <row r="317" spans="21:44" s="28" customFormat="1" x14ac:dyDescent="0.25">
      <c r="U317" s="103">
        <f t="shared" si="8"/>
        <v>0</v>
      </c>
      <c r="V317" s="98"/>
      <c r="AR317" s="103">
        <f t="shared" si="9"/>
        <v>0</v>
      </c>
    </row>
    <row r="318" spans="21:44" s="28" customFormat="1" x14ac:dyDescent="0.25">
      <c r="U318" s="103">
        <f t="shared" si="8"/>
        <v>0</v>
      </c>
      <c r="V318" s="98"/>
      <c r="AR318" s="103">
        <f t="shared" si="9"/>
        <v>0</v>
      </c>
    </row>
    <row r="319" spans="21:44" s="28" customFormat="1" x14ac:dyDescent="0.25">
      <c r="U319" s="103">
        <f t="shared" si="8"/>
        <v>0</v>
      </c>
      <c r="V319" s="98"/>
      <c r="AR319" s="103">
        <f t="shared" si="9"/>
        <v>0</v>
      </c>
    </row>
    <row r="320" spans="21:44" s="28" customFormat="1" x14ac:dyDescent="0.25">
      <c r="U320" s="103">
        <f t="shared" si="8"/>
        <v>0</v>
      </c>
      <c r="V320" s="98"/>
      <c r="AR320" s="103">
        <f t="shared" si="9"/>
        <v>0</v>
      </c>
    </row>
    <row r="321" spans="21:44" s="28" customFormat="1" x14ac:dyDescent="0.25">
      <c r="U321" s="103">
        <f t="shared" si="8"/>
        <v>0</v>
      </c>
      <c r="V321" s="98"/>
      <c r="AR321" s="103">
        <f t="shared" si="9"/>
        <v>0</v>
      </c>
    </row>
    <row r="322" spans="21:44" s="28" customFormat="1" x14ac:dyDescent="0.25">
      <c r="U322" s="103">
        <f t="shared" si="8"/>
        <v>0</v>
      </c>
      <c r="V322" s="98"/>
      <c r="AR322" s="103">
        <f t="shared" si="9"/>
        <v>0</v>
      </c>
    </row>
    <row r="323" spans="21:44" s="28" customFormat="1" x14ac:dyDescent="0.25">
      <c r="U323" s="103">
        <f t="shared" si="8"/>
        <v>0</v>
      </c>
      <c r="V323" s="98"/>
      <c r="AR323" s="103">
        <f t="shared" si="9"/>
        <v>0</v>
      </c>
    </row>
    <row r="324" spans="21:44" s="28" customFormat="1" x14ac:dyDescent="0.25">
      <c r="U324" s="103">
        <f t="shared" si="8"/>
        <v>0</v>
      </c>
      <c r="V324" s="98"/>
      <c r="AR324" s="103">
        <f t="shared" si="9"/>
        <v>0</v>
      </c>
    </row>
    <row r="325" spans="21:44" s="28" customFormat="1" x14ac:dyDescent="0.25">
      <c r="U325" s="103">
        <f t="shared" si="8"/>
        <v>0</v>
      </c>
      <c r="V325" s="98"/>
      <c r="AR325" s="103">
        <f t="shared" si="9"/>
        <v>0</v>
      </c>
    </row>
    <row r="326" spans="21:44" s="28" customFormat="1" x14ac:dyDescent="0.25">
      <c r="U326" s="103">
        <f t="shared" si="8"/>
        <v>0</v>
      </c>
      <c r="V326" s="98"/>
      <c r="AR326" s="103">
        <f t="shared" si="9"/>
        <v>0</v>
      </c>
    </row>
    <row r="327" spans="21:44" s="28" customFormat="1" x14ac:dyDescent="0.25">
      <c r="U327" s="103">
        <f t="shared" si="8"/>
        <v>0</v>
      </c>
      <c r="V327" s="98"/>
      <c r="AR327" s="103">
        <f t="shared" si="9"/>
        <v>0</v>
      </c>
    </row>
    <row r="328" spans="21:44" s="28" customFormat="1" x14ac:dyDescent="0.25">
      <c r="U328" s="103">
        <f t="shared" si="8"/>
        <v>0</v>
      </c>
      <c r="V328" s="98"/>
      <c r="AR328" s="103">
        <f t="shared" si="9"/>
        <v>0</v>
      </c>
    </row>
    <row r="329" spans="21:44" s="28" customFormat="1" x14ac:dyDescent="0.25">
      <c r="U329" s="103">
        <f t="shared" si="8"/>
        <v>0</v>
      </c>
      <c r="V329" s="98"/>
      <c r="AR329" s="103">
        <f t="shared" si="9"/>
        <v>0</v>
      </c>
    </row>
    <row r="330" spans="21:44" s="28" customFormat="1" x14ac:dyDescent="0.25">
      <c r="U330" s="103">
        <f t="shared" si="8"/>
        <v>0</v>
      </c>
      <c r="V330" s="98"/>
      <c r="AR330" s="103">
        <f t="shared" si="9"/>
        <v>0</v>
      </c>
    </row>
    <row r="331" spans="21:44" s="28" customFormat="1" x14ac:dyDescent="0.25">
      <c r="U331" s="103">
        <f t="shared" si="8"/>
        <v>0</v>
      </c>
      <c r="V331" s="98"/>
      <c r="AR331" s="103">
        <f t="shared" si="9"/>
        <v>0</v>
      </c>
    </row>
    <row r="332" spans="21:44" s="28" customFormat="1" x14ac:dyDescent="0.25">
      <c r="U332" s="103">
        <f t="shared" si="8"/>
        <v>0</v>
      </c>
      <c r="V332" s="98"/>
      <c r="AR332" s="103">
        <f t="shared" si="9"/>
        <v>0</v>
      </c>
    </row>
    <row r="333" spans="21:44" s="28" customFormat="1" x14ac:dyDescent="0.25">
      <c r="U333" s="103">
        <f t="shared" si="8"/>
        <v>0</v>
      </c>
      <c r="V333" s="98"/>
      <c r="AR333" s="103">
        <f t="shared" si="9"/>
        <v>0</v>
      </c>
    </row>
    <row r="334" spans="21:44" s="28" customFormat="1" x14ac:dyDescent="0.25">
      <c r="U334" s="103">
        <f t="shared" si="8"/>
        <v>0</v>
      </c>
      <c r="V334" s="98"/>
      <c r="AR334" s="103">
        <f t="shared" si="9"/>
        <v>0</v>
      </c>
    </row>
    <row r="335" spans="21:44" s="28" customFormat="1" x14ac:dyDescent="0.25">
      <c r="U335" s="103">
        <f t="shared" si="8"/>
        <v>0</v>
      </c>
      <c r="V335" s="98"/>
      <c r="AR335" s="103">
        <f t="shared" si="9"/>
        <v>0</v>
      </c>
    </row>
    <row r="336" spans="21:44" s="28" customFormat="1" x14ac:dyDescent="0.25">
      <c r="U336" s="103">
        <f t="shared" si="8"/>
        <v>0</v>
      </c>
      <c r="V336" s="98"/>
      <c r="AR336" s="103">
        <f t="shared" si="9"/>
        <v>0</v>
      </c>
    </row>
    <row r="337" spans="21:44" s="28" customFormat="1" x14ac:dyDescent="0.25">
      <c r="U337" s="103">
        <f t="shared" si="8"/>
        <v>0</v>
      </c>
      <c r="V337" s="98"/>
      <c r="AR337" s="103">
        <f t="shared" si="9"/>
        <v>0</v>
      </c>
    </row>
    <row r="338" spans="21:44" s="28" customFormat="1" x14ac:dyDescent="0.25">
      <c r="U338" s="103">
        <f t="shared" si="8"/>
        <v>0</v>
      </c>
      <c r="V338" s="98"/>
      <c r="AR338" s="103">
        <f t="shared" si="9"/>
        <v>0</v>
      </c>
    </row>
    <row r="339" spans="21:44" s="28" customFormat="1" x14ac:dyDescent="0.25">
      <c r="U339" s="103">
        <f t="shared" si="8"/>
        <v>0</v>
      </c>
      <c r="V339" s="98"/>
      <c r="AR339" s="103">
        <f t="shared" si="9"/>
        <v>0</v>
      </c>
    </row>
    <row r="340" spans="21:44" s="28" customFormat="1" x14ac:dyDescent="0.25">
      <c r="U340" s="103">
        <f t="shared" si="8"/>
        <v>0</v>
      </c>
      <c r="V340" s="98"/>
      <c r="AR340" s="103">
        <f t="shared" si="9"/>
        <v>0</v>
      </c>
    </row>
    <row r="341" spans="21:44" s="28" customFormat="1" x14ac:dyDescent="0.25">
      <c r="U341" s="103">
        <f t="shared" si="8"/>
        <v>0</v>
      </c>
      <c r="V341" s="98"/>
      <c r="AR341" s="103">
        <f t="shared" si="9"/>
        <v>0</v>
      </c>
    </row>
    <row r="342" spans="21:44" s="28" customFormat="1" x14ac:dyDescent="0.25">
      <c r="U342" s="103">
        <f t="shared" ref="U342:U405" si="10">IF(R342="TruePositive",IF(D342&lt;&gt;1,N342,0),0)</f>
        <v>0</v>
      </c>
      <c r="V342" s="98"/>
      <c r="AR342" s="103">
        <f t="shared" ref="AR342:AR405" si="11">IF(AN342="TruePositive",IF(Z342&lt;&gt;1,AJ342,0),0)</f>
        <v>0</v>
      </c>
    </row>
    <row r="343" spans="21:44" s="28" customFormat="1" x14ac:dyDescent="0.25">
      <c r="U343" s="103">
        <f t="shared" si="10"/>
        <v>0</v>
      </c>
      <c r="V343" s="98"/>
      <c r="AR343" s="103">
        <f t="shared" si="11"/>
        <v>0</v>
      </c>
    </row>
    <row r="344" spans="21:44" s="28" customFormat="1" x14ac:dyDescent="0.25">
      <c r="U344" s="103">
        <f t="shared" si="10"/>
        <v>0</v>
      </c>
      <c r="V344" s="98"/>
      <c r="AR344" s="103">
        <f t="shared" si="11"/>
        <v>0</v>
      </c>
    </row>
    <row r="345" spans="21:44" s="28" customFormat="1" x14ac:dyDescent="0.25">
      <c r="U345" s="103">
        <f t="shared" si="10"/>
        <v>0</v>
      </c>
      <c r="V345" s="98"/>
      <c r="AR345" s="103">
        <f t="shared" si="11"/>
        <v>0</v>
      </c>
    </row>
    <row r="346" spans="21:44" s="28" customFormat="1" x14ac:dyDescent="0.25">
      <c r="U346" s="103">
        <f t="shared" si="10"/>
        <v>0</v>
      </c>
      <c r="V346" s="98"/>
      <c r="AR346" s="103">
        <f t="shared" si="11"/>
        <v>0</v>
      </c>
    </row>
    <row r="347" spans="21:44" s="28" customFormat="1" x14ac:dyDescent="0.25">
      <c r="U347" s="103">
        <f t="shared" si="10"/>
        <v>0</v>
      </c>
      <c r="V347" s="98"/>
      <c r="AR347" s="103">
        <f t="shared" si="11"/>
        <v>0</v>
      </c>
    </row>
    <row r="348" spans="21:44" s="28" customFormat="1" x14ac:dyDescent="0.25">
      <c r="U348" s="103">
        <f t="shared" si="10"/>
        <v>0</v>
      </c>
      <c r="V348" s="98"/>
      <c r="AR348" s="103">
        <f t="shared" si="11"/>
        <v>0</v>
      </c>
    </row>
    <row r="349" spans="21:44" s="28" customFormat="1" x14ac:dyDescent="0.25">
      <c r="U349" s="103">
        <f t="shared" si="10"/>
        <v>0</v>
      </c>
      <c r="V349" s="98"/>
      <c r="AR349" s="103">
        <f t="shared" si="11"/>
        <v>0</v>
      </c>
    </row>
    <row r="350" spans="21:44" s="28" customFormat="1" x14ac:dyDescent="0.25">
      <c r="U350" s="103">
        <f t="shared" si="10"/>
        <v>0</v>
      </c>
      <c r="V350" s="98"/>
      <c r="AR350" s="103">
        <f t="shared" si="11"/>
        <v>0</v>
      </c>
    </row>
    <row r="351" spans="21:44" s="28" customFormat="1" x14ac:dyDescent="0.25">
      <c r="U351" s="103">
        <f t="shared" si="10"/>
        <v>0</v>
      </c>
      <c r="V351" s="98"/>
      <c r="AR351" s="103">
        <f t="shared" si="11"/>
        <v>0</v>
      </c>
    </row>
    <row r="352" spans="21:44" s="28" customFormat="1" x14ac:dyDescent="0.25">
      <c r="U352" s="103">
        <f t="shared" si="10"/>
        <v>0</v>
      </c>
      <c r="V352" s="98"/>
      <c r="AR352" s="103">
        <f t="shared" si="11"/>
        <v>0</v>
      </c>
    </row>
    <row r="353" spans="21:44" s="28" customFormat="1" x14ac:dyDescent="0.25">
      <c r="U353" s="103">
        <f t="shared" si="10"/>
        <v>0</v>
      </c>
      <c r="V353" s="98"/>
      <c r="AR353" s="103">
        <f t="shared" si="11"/>
        <v>0</v>
      </c>
    </row>
    <row r="354" spans="21:44" s="28" customFormat="1" x14ac:dyDescent="0.25">
      <c r="U354" s="103">
        <f t="shared" si="10"/>
        <v>0</v>
      </c>
      <c r="V354" s="98"/>
      <c r="AR354" s="103">
        <f t="shared" si="11"/>
        <v>0</v>
      </c>
    </row>
    <row r="355" spans="21:44" s="28" customFormat="1" x14ac:dyDescent="0.25">
      <c r="U355" s="103">
        <f t="shared" si="10"/>
        <v>0</v>
      </c>
      <c r="V355" s="98"/>
      <c r="AR355" s="103">
        <f t="shared" si="11"/>
        <v>0</v>
      </c>
    </row>
    <row r="356" spans="21:44" s="28" customFormat="1" x14ac:dyDescent="0.25">
      <c r="U356" s="103">
        <f t="shared" si="10"/>
        <v>0</v>
      </c>
      <c r="V356" s="98"/>
      <c r="AR356" s="103">
        <f t="shared" si="11"/>
        <v>0</v>
      </c>
    </row>
    <row r="357" spans="21:44" s="28" customFormat="1" x14ac:dyDescent="0.25">
      <c r="U357" s="103">
        <f t="shared" si="10"/>
        <v>0</v>
      </c>
      <c r="V357" s="98"/>
      <c r="AR357" s="103">
        <f t="shared" si="11"/>
        <v>0</v>
      </c>
    </row>
    <row r="358" spans="21:44" s="28" customFormat="1" x14ac:dyDescent="0.25">
      <c r="U358" s="103">
        <f t="shared" si="10"/>
        <v>0</v>
      </c>
      <c r="V358" s="98"/>
      <c r="AR358" s="103">
        <f t="shared" si="11"/>
        <v>0</v>
      </c>
    </row>
    <row r="359" spans="21:44" s="28" customFormat="1" x14ac:dyDescent="0.25">
      <c r="U359" s="103">
        <f t="shared" si="10"/>
        <v>0</v>
      </c>
      <c r="V359" s="98"/>
      <c r="AR359" s="103">
        <f t="shared" si="11"/>
        <v>0</v>
      </c>
    </row>
    <row r="360" spans="21:44" s="28" customFormat="1" x14ac:dyDescent="0.25">
      <c r="U360" s="103">
        <f t="shared" si="10"/>
        <v>0</v>
      </c>
      <c r="V360" s="98"/>
      <c r="AR360" s="103">
        <f t="shared" si="11"/>
        <v>0</v>
      </c>
    </row>
    <row r="361" spans="21:44" s="28" customFormat="1" x14ac:dyDescent="0.25">
      <c r="U361" s="103">
        <f t="shared" si="10"/>
        <v>0</v>
      </c>
      <c r="V361" s="98"/>
      <c r="AR361" s="103">
        <f t="shared" si="11"/>
        <v>0</v>
      </c>
    </row>
    <row r="362" spans="21:44" s="28" customFormat="1" x14ac:dyDescent="0.25">
      <c r="U362" s="103">
        <f t="shared" si="10"/>
        <v>0</v>
      </c>
      <c r="V362" s="98"/>
      <c r="AR362" s="103">
        <f t="shared" si="11"/>
        <v>0</v>
      </c>
    </row>
    <row r="363" spans="21:44" s="28" customFormat="1" x14ac:dyDescent="0.25">
      <c r="U363" s="103">
        <f t="shared" si="10"/>
        <v>0</v>
      </c>
      <c r="V363" s="98"/>
      <c r="AR363" s="103">
        <f t="shared" si="11"/>
        <v>0</v>
      </c>
    </row>
    <row r="364" spans="21:44" s="28" customFormat="1" x14ac:dyDescent="0.25">
      <c r="U364" s="103">
        <f t="shared" si="10"/>
        <v>0</v>
      </c>
      <c r="V364" s="98"/>
      <c r="AR364" s="103">
        <f t="shared" si="11"/>
        <v>0</v>
      </c>
    </row>
    <row r="365" spans="21:44" s="28" customFormat="1" x14ac:dyDescent="0.25">
      <c r="U365" s="103">
        <f t="shared" si="10"/>
        <v>0</v>
      </c>
      <c r="V365" s="98"/>
      <c r="AR365" s="103">
        <f t="shared" si="11"/>
        <v>0</v>
      </c>
    </row>
    <row r="366" spans="21:44" s="28" customFormat="1" x14ac:dyDescent="0.25">
      <c r="U366" s="103">
        <f t="shared" si="10"/>
        <v>0</v>
      </c>
      <c r="V366" s="98"/>
      <c r="AR366" s="103">
        <f t="shared" si="11"/>
        <v>0</v>
      </c>
    </row>
    <row r="367" spans="21:44" s="28" customFormat="1" x14ac:dyDescent="0.25">
      <c r="U367" s="103">
        <f t="shared" si="10"/>
        <v>0</v>
      </c>
      <c r="V367" s="98"/>
      <c r="AR367" s="103">
        <f t="shared" si="11"/>
        <v>0</v>
      </c>
    </row>
    <row r="368" spans="21:44" s="28" customFormat="1" x14ac:dyDescent="0.25">
      <c r="U368" s="103">
        <f t="shared" si="10"/>
        <v>0</v>
      </c>
      <c r="V368" s="98"/>
      <c r="AR368" s="103">
        <f t="shared" si="11"/>
        <v>0</v>
      </c>
    </row>
    <row r="369" spans="21:44" s="28" customFormat="1" x14ac:dyDescent="0.25">
      <c r="U369" s="103">
        <f t="shared" si="10"/>
        <v>0</v>
      </c>
      <c r="V369" s="98"/>
      <c r="AR369" s="103">
        <f t="shared" si="11"/>
        <v>0</v>
      </c>
    </row>
    <row r="370" spans="21:44" s="28" customFormat="1" x14ac:dyDescent="0.25">
      <c r="U370" s="103">
        <f t="shared" si="10"/>
        <v>0</v>
      </c>
      <c r="V370" s="98"/>
      <c r="AR370" s="103">
        <f t="shared" si="11"/>
        <v>0</v>
      </c>
    </row>
    <row r="371" spans="21:44" s="28" customFormat="1" x14ac:dyDescent="0.25">
      <c r="U371" s="103">
        <f t="shared" si="10"/>
        <v>0</v>
      </c>
      <c r="V371" s="98"/>
      <c r="AR371" s="103">
        <f t="shared" si="11"/>
        <v>0</v>
      </c>
    </row>
    <row r="372" spans="21:44" s="28" customFormat="1" x14ac:dyDescent="0.25">
      <c r="U372" s="103">
        <f t="shared" si="10"/>
        <v>0</v>
      </c>
      <c r="V372" s="98"/>
      <c r="AR372" s="103">
        <f t="shared" si="11"/>
        <v>0</v>
      </c>
    </row>
    <row r="373" spans="21:44" s="28" customFormat="1" x14ac:dyDescent="0.25">
      <c r="U373" s="103">
        <f t="shared" si="10"/>
        <v>0</v>
      </c>
      <c r="V373" s="98"/>
      <c r="AR373" s="103">
        <f t="shared" si="11"/>
        <v>0</v>
      </c>
    </row>
    <row r="374" spans="21:44" s="28" customFormat="1" x14ac:dyDescent="0.25">
      <c r="U374" s="103">
        <f t="shared" si="10"/>
        <v>0</v>
      </c>
      <c r="V374" s="98"/>
      <c r="AR374" s="103">
        <f t="shared" si="11"/>
        <v>0</v>
      </c>
    </row>
    <row r="375" spans="21:44" s="28" customFormat="1" x14ac:dyDescent="0.25">
      <c r="U375" s="103">
        <f t="shared" si="10"/>
        <v>0</v>
      </c>
      <c r="V375" s="98"/>
      <c r="AR375" s="103">
        <f t="shared" si="11"/>
        <v>0</v>
      </c>
    </row>
    <row r="376" spans="21:44" s="28" customFormat="1" x14ac:dyDescent="0.25">
      <c r="U376" s="103">
        <f t="shared" si="10"/>
        <v>0</v>
      </c>
      <c r="V376" s="98"/>
      <c r="AR376" s="103">
        <f t="shared" si="11"/>
        <v>0</v>
      </c>
    </row>
    <row r="377" spans="21:44" s="28" customFormat="1" x14ac:dyDescent="0.25">
      <c r="U377" s="103">
        <f t="shared" si="10"/>
        <v>0</v>
      </c>
      <c r="V377" s="98"/>
      <c r="AR377" s="103">
        <f t="shared" si="11"/>
        <v>0</v>
      </c>
    </row>
    <row r="378" spans="21:44" s="28" customFormat="1" x14ac:dyDescent="0.25">
      <c r="U378" s="103">
        <f t="shared" si="10"/>
        <v>0</v>
      </c>
      <c r="V378" s="98"/>
      <c r="AR378" s="103">
        <f t="shared" si="11"/>
        <v>0</v>
      </c>
    </row>
    <row r="379" spans="21:44" s="28" customFormat="1" x14ac:dyDescent="0.25">
      <c r="U379" s="103">
        <f t="shared" si="10"/>
        <v>0</v>
      </c>
      <c r="V379" s="98"/>
      <c r="AR379" s="103">
        <f t="shared" si="11"/>
        <v>0</v>
      </c>
    </row>
    <row r="380" spans="21:44" s="28" customFormat="1" x14ac:dyDescent="0.25">
      <c r="U380" s="103">
        <f t="shared" si="10"/>
        <v>0</v>
      </c>
      <c r="V380" s="98"/>
      <c r="AR380" s="103">
        <f t="shared" si="11"/>
        <v>0</v>
      </c>
    </row>
    <row r="381" spans="21:44" s="28" customFormat="1" x14ac:dyDescent="0.25">
      <c r="U381" s="103">
        <f t="shared" si="10"/>
        <v>0</v>
      </c>
      <c r="V381" s="98"/>
      <c r="AR381" s="103">
        <f t="shared" si="11"/>
        <v>0</v>
      </c>
    </row>
    <row r="382" spans="21:44" s="28" customFormat="1" x14ac:dyDescent="0.25">
      <c r="U382" s="103">
        <f t="shared" si="10"/>
        <v>0</v>
      </c>
      <c r="V382" s="98"/>
      <c r="AR382" s="103">
        <f t="shared" si="11"/>
        <v>0</v>
      </c>
    </row>
    <row r="383" spans="21:44" s="28" customFormat="1" x14ac:dyDescent="0.25">
      <c r="U383" s="103">
        <f t="shared" si="10"/>
        <v>0</v>
      </c>
      <c r="V383" s="98"/>
      <c r="AR383" s="103">
        <f t="shared" si="11"/>
        <v>0</v>
      </c>
    </row>
    <row r="384" spans="21:44" s="28" customFormat="1" x14ac:dyDescent="0.25">
      <c r="U384" s="103">
        <f t="shared" si="10"/>
        <v>0</v>
      </c>
      <c r="V384" s="98"/>
      <c r="AR384" s="103">
        <f t="shared" si="11"/>
        <v>0</v>
      </c>
    </row>
    <row r="385" spans="21:44" s="28" customFormat="1" x14ac:dyDescent="0.25">
      <c r="U385" s="103">
        <f t="shared" si="10"/>
        <v>0</v>
      </c>
      <c r="V385" s="98"/>
      <c r="AR385" s="103">
        <f t="shared" si="11"/>
        <v>0</v>
      </c>
    </row>
    <row r="386" spans="21:44" s="28" customFormat="1" x14ac:dyDescent="0.25">
      <c r="U386" s="103">
        <f t="shared" si="10"/>
        <v>0</v>
      </c>
      <c r="V386" s="98"/>
      <c r="AR386" s="103">
        <f t="shared" si="11"/>
        <v>0</v>
      </c>
    </row>
    <row r="387" spans="21:44" s="28" customFormat="1" x14ac:dyDescent="0.25">
      <c r="U387" s="103">
        <f t="shared" si="10"/>
        <v>0</v>
      </c>
      <c r="V387" s="98"/>
      <c r="AR387" s="103">
        <f t="shared" si="11"/>
        <v>0</v>
      </c>
    </row>
    <row r="388" spans="21:44" s="28" customFormat="1" x14ac:dyDescent="0.25">
      <c r="U388" s="103">
        <f t="shared" si="10"/>
        <v>0</v>
      </c>
      <c r="V388" s="98"/>
      <c r="AR388" s="103">
        <f t="shared" si="11"/>
        <v>0</v>
      </c>
    </row>
    <row r="389" spans="21:44" s="28" customFormat="1" x14ac:dyDescent="0.25">
      <c r="U389" s="103">
        <f t="shared" si="10"/>
        <v>0</v>
      </c>
      <c r="V389" s="98"/>
      <c r="AR389" s="103">
        <f t="shared" si="11"/>
        <v>0</v>
      </c>
    </row>
    <row r="390" spans="21:44" s="28" customFormat="1" x14ac:dyDescent="0.25">
      <c r="U390" s="103">
        <f t="shared" si="10"/>
        <v>0</v>
      </c>
      <c r="V390" s="98"/>
      <c r="AR390" s="103">
        <f t="shared" si="11"/>
        <v>0</v>
      </c>
    </row>
    <row r="391" spans="21:44" s="28" customFormat="1" x14ac:dyDescent="0.25">
      <c r="U391" s="103">
        <f t="shared" si="10"/>
        <v>0</v>
      </c>
      <c r="V391" s="98"/>
      <c r="AR391" s="103">
        <f t="shared" si="11"/>
        <v>0</v>
      </c>
    </row>
    <row r="392" spans="21:44" s="28" customFormat="1" x14ac:dyDescent="0.25">
      <c r="U392" s="103">
        <f t="shared" si="10"/>
        <v>0</v>
      </c>
      <c r="V392" s="98"/>
      <c r="AR392" s="103">
        <f t="shared" si="11"/>
        <v>0</v>
      </c>
    </row>
    <row r="393" spans="21:44" s="28" customFormat="1" x14ac:dyDescent="0.25">
      <c r="U393" s="103">
        <f t="shared" si="10"/>
        <v>0</v>
      </c>
      <c r="V393" s="98"/>
      <c r="AR393" s="103">
        <f t="shared" si="11"/>
        <v>0</v>
      </c>
    </row>
    <row r="394" spans="21:44" s="28" customFormat="1" x14ac:dyDescent="0.25">
      <c r="U394" s="103">
        <f t="shared" si="10"/>
        <v>0</v>
      </c>
      <c r="V394" s="98"/>
      <c r="AR394" s="103">
        <f t="shared" si="11"/>
        <v>0</v>
      </c>
    </row>
    <row r="395" spans="21:44" s="28" customFormat="1" x14ac:dyDescent="0.25">
      <c r="U395" s="103">
        <f t="shared" si="10"/>
        <v>0</v>
      </c>
      <c r="V395" s="98"/>
      <c r="AR395" s="103">
        <f t="shared" si="11"/>
        <v>0</v>
      </c>
    </row>
    <row r="396" spans="21:44" s="28" customFormat="1" x14ac:dyDescent="0.25">
      <c r="U396" s="103">
        <f t="shared" si="10"/>
        <v>0</v>
      </c>
      <c r="V396" s="98"/>
      <c r="AR396" s="103">
        <f t="shared" si="11"/>
        <v>0</v>
      </c>
    </row>
    <row r="397" spans="21:44" s="28" customFormat="1" x14ac:dyDescent="0.25">
      <c r="U397" s="103">
        <f t="shared" si="10"/>
        <v>0</v>
      </c>
      <c r="V397" s="98"/>
      <c r="AR397" s="103">
        <f t="shared" si="11"/>
        <v>0</v>
      </c>
    </row>
    <row r="398" spans="21:44" s="28" customFormat="1" x14ac:dyDescent="0.25">
      <c r="U398" s="103">
        <f t="shared" si="10"/>
        <v>0</v>
      </c>
      <c r="V398" s="98"/>
      <c r="AR398" s="103">
        <f t="shared" si="11"/>
        <v>0</v>
      </c>
    </row>
    <row r="399" spans="21:44" s="28" customFormat="1" x14ac:dyDescent="0.25">
      <c r="U399" s="103">
        <f t="shared" si="10"/>
        <v>0</v>
      </c>
      <c r="V399" s="98"/>
      <c r="AR399" s="103">
        <f t="shared" si="11"/>
        <v>0</v>
      </c>
    </row>
    <row r="400" spans="21:44" s="28" customFormat="1" x14ac:dyDescent="0.25">
      <c r="U400" s="103">
        <f t="shared" si="10"/>
        <v>0</v>
      </c>
      <c r="V400" s="98"/>
      <c r="AR400" s="103">
        <f t="shared" si="11"/>
        <v>0</v>
      </c>
    </row>
    <row r="401" spans="21:44" s="28" customFormat="1" x14ac:dyDescent="0.25">
      <c r="U401" s="103">
        <f t="shared" si="10"/>
        <v>0</v>
      </c>
      <c r="V401" s="98"/>
      <c r="AR401" s="103">
        <f t="shared" si="11"/>
        <v>0</v>
      </c>
    </row>
    <row r="402" spans="21:44" s="28" customFormat="1" x14ac:dyDescent="0.25">
      <c r="U402" s="103">
        <f t="shared" si="10"/>
        <v>0</v>
      </c>
      <c r="V402" s="98"/>
      <c r="AR402" s="103">
        <f t="shared" si="11"/>
        <v>0</v>
      </c>
    </row>
    <row r="403" spans="21:44" s="28" customFormat="1" x14ac:dyDescent="0.25">
      <c r="U403" s="103">
        <f t="shared" si="10"/>
        <v>0</v>
      </c>
      <c r="V403" s="98"/>
      <c r="AR403" s="103">
        <f t="shared" si="11"/>
        <v>0</v>
      </c>
    </row>
    <row r="404" spans="21:44" s="28" customFormat="1" x14ac:dyDescent="0.25">
      <c r="U404" s="103">
        <f t="shared" si="10"/>
        <v>0</v>
      </c>
      <c r="V404" s="98"/>
      <c r="AR404" s="103">
        <f t="shared" si="11"/>
        <v>0</v>
      </c>
    </row>
    <row r="405" spans="21:44" s="28" customFormat="1" x14ac:dyDescent="0.25">
      <c r="U405" s="103">
        <f t="shared" si="10"/>
        <v>0</v>
      </c>
      <c r="V405" s="98"/>
      <c r="AR405" s="103">
        <f t="shared" si="11"/>
        <v>0</v>
      </c>
    </row>
    <row r="406" spans="21:44" s="28" customFormat="1" x14ac:dyDescent="0.25">
      <c r="U406" s="103">
        <f t="shared" ref="U406:U469" si="12">IF(R406="TruePositive",IF(D406&lt;&gt;1,N406,0),0)</f>
        <v>0</v>
      </c>
      <c r="V406" s="98"/>
      <c r="AR406" s="103">
        <f t="shared" ref="AR406:AR469" si="13">IF(AN406="TruePositive",IF(Z406&lt;&gt;1,AJ406,0),0)</f>
        <v>0</v>
      </c>
    </row>
    <row r="407" spans="21:44" s="28" customFormat="1" x14ac:dyDescent="0.25">
      <c r="U407" s="103">
        <f t="shared" si="12"/>
        <v>0</v>
      </c>
      <c r="V407" s="98"/>
      <c r="AR407" s="103">
        <f t="shared" si="13"/>
        <v>0</v>
      </c>
    </row>
    <row r="408" spans="21:44" s="28" customFormat="1" x14ac:dyDescent="0.25">
      <c r="U408" s="103">
        <f t="shared" si="12"/>
        <v>0</v>
      </c>
      <c r="V408" s="98"/>
      <c r="AR408" s="103">
        <f t="shared" si="13"/>
        <v>0</v>
      </c>
    </row>
    <row r="409" spans="21:44" s="28" customFormat="1" x14ac:dyDescent="0.25">
      <c r="U409" s="103">
        <f t="shared" si="12"/>
        <v>0</v>
      </c>
      <c r="V409" s="98"/>
      <c r="AR409" s="103">
        <f t="shared" si="13"/>
        <v>0</v>
      </c>
    </row>
    <row r="410" spans="21:44" s="28" customFormat="1" x14ac:dyDescent="0.25">
      <c r="U410" s="103">
        <f t="shared" si="12"/>
        <v>0</v>
      </c>
      <c r="V410" s="98"/>
      <c r="AR410" s="103">
        <f t="shared" si="13"/>
        <v>0</v>
      </c>
    </row>
    <row r="411" spans="21:44" s="28" customFormat="1" x14ac:dyDescent="0.25">
      <c r="U411" s="103">
        <f t="shared" si="12"/>
        <v>0</v>
      </c>
      <c r="V411" s="98"/>
      <c r="AR411" s="103">
        <f t="shared" si="13"/>
        <v>0</v>
      </c>
    </row>
    <row r="412" spans="21:44" s="28" customFormat="1" x14ac:dyDescent="0.25">
      <c r="U412" s="103">
        <f t="shared" si="12"/>
        <v>0</v>
      </c>
      <c r="V412" s="98"/>
      <c r="AR412" s="103">
        <f t="shared" si="13"/>
        <v>0</v>
      </c>
    </row>
    <row r="413" spans="21:44" s="28" customFormat="1" x14ac:dyDescent="0.25">
      <c r="U413" s="103">
        <f t="shared" si="12"/>
        <v>0</v>
      </c>
      <c r="V413" s="98"/>
      <c r="AR413" s="103">
        <f t="shared" si="13"/>
        <v>0</v>
      </c>
    </row>
    <row r="414" spans="21:44" s="28" customFormat="1" x14ac:dyDescent="0.25">
      <c r="U414" s="103">
        <f t="shared" si="12"/>
        <v>0</v>
      </c>
      <c r="V414" s="98"/>
      <c r="AR414" s="103">
        <f t="shared" si="13"/>
        <v>0</v>
      </c>
    </row>
    <row r="415" spans="21:44" s="28" customFormat="1" x14ac:dyDescent="0.25">
      <c r="U415" s="103">
        <f t="shared" si="12"/>
        <v>0</v>
      </c>
      <c r="V415" s="98"/>
      <c r="AR415" s="103">
        <f t="shared" si="13"/>
        <v>0</v>
      </c>
    </row>
    <row r="416" spans="21:44" s="28" customFormat="1" x14ac:dyDescent="0.25">
      <c r="U416" s="103">
        <f t="shared" si="12"/>
        <v>0</v>
      </c>
      <c r="V416" s="98"/>
      <c r="AR416" s="103">
        <f t="shared" si="13"/>
        <v>0</v>
      </c>
    </row>
    <row r="417" spans="21:44" s="28" customFormat="1" x14ac:dyDescent="0.25">
      <c r="U417" s="103">
        <f t="shared" si="12"/>
        <v>0</v>
      </c>
      <c r="V417" s="98"/>
      <c r="AR417" s="103">
        <f t="shared" si="13"/>
        <v>0</v>
      </c>
    </row>
    <row r="418" spans="21:44" s="28" customFormat="1" x14ac:dyDescent="0.25">
      <c r="U418" s="103">
        <f t="shared" si="12"/>
        <v>0</v>
      </c>
      <c r="V418" s="98"/>
      <c r="AR418" s="103">
        <f t="shared" si="13"/>
        <v>0</v>
      </c>
    </row>
    <row r="419" spans="21:44" s="28" customFormat="1" x14ac:dyDescent="0.25">
      <c r="U419" s="103">
        <f t="shared" si="12"/>
        <v>0</v>
      </c>
      <c r="V419" s="98"/>
      <c r="AR419" s="103">
        <f t="shared" si="13"/>
        <v>0</v>
      </c>
    </row>
    <row r="420" spans="21:44" s="28" customFormat="1" x14ac:dyDescent="0.25">
      <c r="U420" s="103">
        <f t="shared" si="12"/>
        <v>0</v>
      </c>
      <c r="V420" s="98"/>
      <c r="AR420" s="103">
        <f t="shared" si="13"/>
        <v>0</v>
      </c>
    </row>
    <row r="421" spans="21:44" s="28" customFormat="1" x14ac:dyDescent="0.25">
      <c r="U421" s="103">
        <f t="shared" si="12"/>
        <v>0</v>
      </c>
      <c r="V421" s="98"/>
      <c r="AR421" s="103">
        <f t="shared" si="13"/>
        <v>0</v>
      </c>
    </row>
    <row r="422" spans="21:44" s="28" customFormat="1" x14ac:dyDescent="0.25">
      <c r="U422" s="103">
        <f t="shared" si="12"/>
        <v>0</v>
      </c>
      <c r="V422" s="98"/>
      <c r="AR422" s="103">
        <f t="shared" si="13"/>
        <v>0</v>
      </c>
    </row>
    <row r="423" spans="21:44" s="28" customFormat="1" x14ac:dyDescent="0.25">
      <c r="U423" s="103">
        <f t="shared" si="12"/>
        <v>0</v>
      </c>
      <c r="V423" s="98"/>
      <c r="AR423" s="103">
        <f t="shared" si="13"/>
        <v>0</v>
      </c>
    </row>
    <row r="424" spans="21:44" s="28" customFormat="1" x14ac:dyDescent="0.25">
      <c r="U424" s="103">
        <f t="shared" si="12"/>
        <v>0</v>
      </c>
      <c r="V424" s="98"/>
      <c r="AR424" s="103">
        <f t="shared" si="13"/>
        <v>0</v>
      </c>
    </row>
    <row r="425" spans="21:44" s="28" customFormat="1" x14ac:dyDescent="0.25">
      <c r="U425" s="103">
        <f t="shared" si="12"/>
        <v>0</v>
      </c>
      <c r="V425" s="98"/>
      <c r="AR425" s="103">
        <f t="shared" si="13"/>
        <v>0</v>
      </c>
    </row>
    <row r="426" spans="21:44" s="28" customFormat="1" x14ac:dyDescent="0.25">
      <c r="U426" s="103">
        <f t="shared" si="12"/>
        <v>0</v>
      </c>
      <c r="V426" s="98"/>
      <c r="AR426" s="103">
        <f t="shared" si="13"/>
        <v>0</v>
      </c>
    </row>
    <row r="427" spans="21:44" s="28" customFormat="1" x14ac:dyDescent="0.25">
      <c r="U427" s="103">
        <f t="shared" si="12"/>
        <v>0</v>
      </c>
      <c r="V427" s="98"/>
      <c r="AR427" s="103">
        <f t="shared" si="13"/>
        <v>0</v>
      </c>
    </row>
    <row r="428" spans="21:44" s="28" customFormat="1" x14ac:dyDescent="0.25">
      <c r="U428" s="103">
        <f t="shared" si="12"/>
        <v>0</v>
      </c>
      <c r="V428" s="98"/>
      <c r="AR428" s="103">
        <f t="shared" si="13"/>
        <v>0</v>
      </c>
    </row>
    <row r="429" spans="21:44" s="28" customFormat="1" x14ac:dyDescent="0.25">
      <c r="U429" s="103">
        <f t="shared" si="12"/>
        <v>0</v>
      </c>
      <c r="V429" s="98"/>
      <c r="AR429" s="103">
        <f t="shared" si="13"/>
        <v>0</v>
      </c>
    </row>
    <row r="430" spans="21:44" s="28" customFormat="1" x14ac:dyDescent="0.25">
      <c r="U430" s="103">
        <f t="shared" si="12"/>
        <v>0</v>
      </c>
      <c r="V430" s="98"/>
      <c r="AR430" s="103">
        <f t="shared" si="13"/>
        <v>0</v>
      </c>
    </row>
    <row r="431" spans="21:44" s="28" customFormat="1" x14ac:dyDescent="0.25">
      <c r="U431" s="103">
        <f t="shared" si="12"/>
        <v>0</v>
      </c>
      <c r="V431" s="98"/>
      <c r="AR431" s="103">
        <f t="shared" si="13"/>
        <v>0</v>
      </c>
    </row>
    <row r="432" spans="21:44" s="28" customFormat="1" x14ac:dyDescent="0.25">
      <c r="U432" s="103">
        <f t="shared" si="12"/>
        <v>0</v>
      </c>
      <c r="V432" s="98"/>
      <c r="AR432" s="103">
        <f t="shared" si="13"/>
        <v>0</v>
      </c>
    </row>
    <row r="433" spans="21:44" s="28" customFormat="1" x14ac:dyDescent="0.25">
      <c r="U433" s="103">
        <f t="shared" si="12"/>
        <v>0</v>
      </c>
      <c r="V433" s="98"/>
      <c r="AR433" s="103">
        <f t="shared" si="13"/>
        <v>0</v>
      </c>
    </row>
    <row r="434" spans="21:44" s="28" customFormat="1" x14ac:dyDescent="0.25">
      <c r="U434" s="103">
        <f t="shared" si="12"/>
        <v>0</v>
      </c>
      <c r="V434" s="98"/>
      <c r="AR434" s="103">
        <f t="shared" si="13"/>
        <v>0</v>
      </c>
    </row>
    <row r="435" spans="21:44" s="28" customFormat="1" x14ac:dyDescent="0.25">
      <c r="U435" s="103">
        <f t="shared" si="12"/>
        <v>0</v>
      </c>
      <c r="V435" s="98"/>
      <c r="AR435" s="103">
        <f t="shared" si="13"/>
        <v>0</v>
      </c>
    </row>
    <row r="436" spans="21:44" s="28" customFormat="1" x14ac:dyDescent="0.25">
      <c r="U436" s="103">
        <f t="shared" si="12"/>
        <v>0</v>
      </c>
      <c r="V436" s="98"/>
      <c r="AR436" s="103">
        <f t="shared" si="13"/>
        <v>0</v>
      </c>
    </row>
    <row r="437" spans="21:44" s="28" customFormat="1" x14ac:dyDescent="0.25">
      <c r="U437" s="103">
        <f t="shared" si="12"/>
        <v>0</v>
      </c>
      <c r="V437" s="98"/>
      <c r="AR437" s="103">
        <f t="shared" si="13"/>
        <v>0</v>
      </c>
    </row>
    <row r="438" spans="21:44" s="28" customFormat="1" x14ac:dyDescent="0.25">
      <c r="U438" s="103">
        <f t="shared" si="12"/>
        <v>0</v>
      </c>
      <c r="V438" s="98"/>
      <c r="AR438" s="103">
        <f t="shared" si="13"/>
        <v>0</v>
      </c>
    </row>
    <row r="439" spans="21:44" s="28" customFormat="1" x14ac:dyDescent="0.25">
      <c r="U439" s="103">
        <f t="shared" si="12"/>
        <v>0</v>
      </c>
      <c r="V439" s="98"/>
      <c r="AR439" s="103">
        <f t="shared" si="13"/>
        <v>0</v>
      </c>
    </row>
    <row r="440" spans="21:44" s="28" customFormat="1" x14ac:dyDescent="0.25">
      <c r="U440" s="103">
        <f t="shared" si="12"/>
        <v>0</v>
      </c>
      <c r="V440" s="98"/>
      <c r="AR440" s="103">
        <f t="shared" si="13"/>
        <v>0</v>
      </c>
    </row>
    <row r="441" spans="21:44" s="28" customFormat="1" x14ac:dyDescent="0.25">
      <c r="U441" s="103">
        <f t="shared" si="12"/>
        <v>0</v>
      </c>
      <c r="V441" s="98"/>
      <c r="AR441" s="103">
        <f t="shared" si="13"/>
        <v>0</v>
      </c>
    </row>
    <row r="442" spans="21:44" s="28" customFormat="1" x14ac:dyDescent="0.25">
      <c r="U442" s="103">
        <f t="shared" si="12"/>
        <v>0</v>
      </c>
      <c r="V442" s="98"/>
      <c r="AR442" s="103">
        <f t="shared" si="13"/>
        <v>0</v>
      </c>
    </row>
    <row r="443" spans="21:44" s="28" customFormat="1" x14ac:dyDescent="0.25">
      <c r="U443" s="103">
        <f t="shared" si="12"/>
        <v>0</v>
      </c>
      <c r="V443" s="98"/>
      <c r="AR443" s="103">
        <f t="shared" si="13"/>
        <v>0</v>
      </c>
    </row>
    <row r="444" spans="21:44" s="28" customFormat="1" x14ac:dyDescent="0.25">
      <c r="U444" s="103">
        <f t="shared" si="12"/>
        <v>0</v>
      </c>
      <c r="V444" s="98"/>
      <c r="AR444" s="103">
        <f t="shared" si="13"/>
        <v>0</v>
      </c>
    </row>
    <row r="445" spans="21:44" s="28" customFormat="1" x14ac:dyDescent="0.25">
      <c r="U445" s="103">
        <f t="shared" si="12"/>
        <v>0</v>
      </c>
      <c r="V445" s="98"/>
      <c r="AR445" s="103">
        <f t="shared" si="13"/>
        <v>0</v>
      </c>
    </row>
    <row r="446" spans="21:44" s="28" customFormat="1" x14ac:dyDescent="0.25">
      <c r="U446" s="103">
        <f t="shared" si="12"/>
        <v>0</v>
      </c>
      <c r="V446" s="98"/>
      <c r="AR446" s="103">
        <f t="shared" si="13"/>
        <v>0</v>
      </c>
    </row>
    <row r="447" spans="21:44" s="28" customFormat="1" x14ac:dyDescent="0.25">
      <c r="U447" s="103">
        <f t="shared" si="12"/>
        <v>0</v>
      </c>
      <c r="V447" s="98"/>
      <c r="AR447" s="103">
        <f t="shared" si="13"/>
        <v>0</v>
      </c>
    </row>
    <row r="448" spans="21:44" s="28" customFormat="1" x14ac:dyDescent="0.25">
      <c r="U448" s="103">
        <f t="shared" si="12"/>
        <v>0</v>
      </c>
      <c r="V448" s="98"/>
      <c r="AR448" s="103">
        <f t="shared" si="13"/>
        <v>0</v>
      </c>
    </row>
    <row r="449" spans="21:44" s="28" customFormat="1" x14ac:dyDescent="0.25">
      <c r="U449" s="103">
        <f t="shared" si="12"/>
        <v>0</v>
      </c>
      <c r="V449" s="98"/>
      <c r="AR449" s="103">
        <f t="shared" si="13"/>
        <v>0</v>
      </c>
    </row>
    <row r="450" spans="21:44" s="28" customFormat="1" x14ac:dyDescent="0.25">
      <c r="U450" s="103">
        <f t="shared" si="12"/>
        <v>0</v>
      </c>
      <c r="V450" s="98"/>
      <c r="AR450" s="103">
        <f t="shared" si="13"/>
        <v>0</v>
      </c>
    </row>
    <row r="451" spans="21:44" s="28" customFormat="1" x14ac:dyDescent="0.25">
      <c r="U451" s="103">
        <f t="shared" si="12"/>
        <v>0</v>
      </c>
      <c r="V451" s="98"/>
      <c r="AR451" s="103">
        <f t="shared" si="13"/>
        <v>0</v>
      </c>
    </row>
    <row r="452" spans="21:44" s="28" customFormat="1" x14ac:dyDescent="0.25">
      <c r="U452" s="103">
        <f t="shared" si="12"/>
        <v>0</v>
      </c>
      <c r="V452" s="98"/>
      <c r="AR452" s="103">
        <f t="shared" si="13"/>
        <v>0</v>
      </c>
    </row>
    <row r="453" spans="21:44" s="28" customFormat="1" x14ac:dyDescent="0.25">
      <c r="U453" s="103">
        <f t="shared" si="12"/>
        <v>0</v>
      </c>
      <c r="V453" s="98"/>
      <c r="AR453" s="103">
        <f t="shared" si="13"/>
        <v>0</v>
      </c>
    </row>
    <row r="454" spans="21:44" s="28" customFormat="1" x14ac:dyDescent="0.25">
      <c r="U454" s="103">
        <f t="shared" si="12"/>
        <v>0</v>
      </c>
      <c r="V454" s="98"/>
      <c r="AR454" s="103">
        <f t="shared" si="13"/>
        <v>0</v>
      </c>
    </row>
    <row r="455" spans="21:44" s="28" customFormat="1" x14ac:dyDescent="0.25">
      <c r="U455" s="103">
        <f t="shared" si="12"/>
        <v>0</v>
      </c>
      <c r="V455" s="98"/>
      <c r="AR455" s="103">
        <f t="shared" si="13"/>
        <v>0</v>
      </c>
    </row>
    <row r="456" spans="21:44" s="28" customFormat="1" x14ac:dyDescent="0.25">
      <c r="U456" s="103">
        <f t="shared" si="12"/>
        <v>0</v>
      </c>
      <c r="V456" s="98"/>
      <c r="AR456" s="103">
        <f t="shared" si="13"/>
        <v>0</v>
      </c>
    </row>
    <row r="457" spans="21:44" s="28" customFormat="1" x14ac:dyDescent="0.25">
      <c r="U457" s="103">
        <f t="shared" si="12"/>
        <v>0</v>
      </c>
      <c r="V457" s="98"/>
      <c r="AR457" s="103">
        <f t="shared" si="13"/>
        <v>0</v>
      </c>
    </row>
    <row r="458" spans="21:44" s="28" customFormat="1" x14ac:dyDescent="0.25">
      <c r="U458" s="103">
        <f t="shared" si="12"/>
        <v>0</v>
      </c>
      <c r="V458" s="98"/>
      <c r="AR458" s="103">
        <f t="shared" si="13"/>
        <v>0</v>
      </c>
    </row>
    <row r="459" spans="21:44" s="28" customFormat="1" x14ac:dyDescent="0.25">
      <c r="U459" s="103">
        <f t="shared" si="12"/>
        <v>0</v>
      </c>
      <c r="V459" s="98"/>
      <c r="AR459" s="103">
        <f t="shared" si="13"/>
        <v>0</v>
      </c>
    </row>
    <row r="460" spans="21:44" s="28" customFormat="1" x14ac:dyDescent="0.25">
      <c r="U460" s="103">
        <f t="shared" si="12"/>
        <v>0</v>
      </c>
      <c r="V460" s="98"/>
      <c r="AR460" s="103">
        <f t="shared" si="13"/>
        <v>0</v>
      </c>
    </row>
    <row r="461" spans="21:44" s="28" customFormat="1" x14ac:dyDescent="0.25">
      <c r="U461" s="103">
        <f t="shared" si="12"/>
        <v>0</v>
      </c>
      <c r="V461" s="98"/>
      <c r="AR461" s="103">
        <f t="shared" si="13"/>
        <v>0</v>
      </c>
    </row>
    <row r="462" spans="21:44" s="28" customFormat="1" x14ac:dyDescent="0.25">
      <c r="U462" s="103">
        <f t="shared" si="12"/>
        <v>0</v>
      </c>
      <c r="V462" s="98"/>
      <c r="AR462" s="103">
        <f t="shared" si="13"/>
        <v>0</v>
      </c>
    </row>
    <row r="463" spans="21:44" s="28" customFormat="1" x14ac:dyDescent="0.25">
      <c r="U463" s="103">
        <f t="shared" si="12"/>
        <v>0</v>
      </c>
      <c r="V463" s="98"/>
      <c r="AR463" s="103">
        <f t="shared" si="13"/>
        <v>0</v>
      </c>
    </row>
    <row r="464" spans="21:44" s="28" customFormat="1" x14ac:dyDescent="0.25">
      <c r="U464" s="103">
        <f t="shared" si="12"/>
        <v>0</v>
      </c>
      <c r="V464" s="98"/>
      <c r="AR464" s="103">
        <f t="shared" si="13"/>
        <v>0</v>
      </c>
    </row>
    <row r="465" spans="21:44" s="28" customFormat="1" x14ac:dyDescent="0.25">
      <c r="U465" s="103">
        <f t="shared" si="12"/>
        <v>0</v>
      </c>
      <c r="V465" s="98"/>
      <c r="AR465" s="103">
        <f t="shared" si="13"/>
        <v>0</v>
      </c>
    </row>
    <row r="466" spans="21:44" s="28" customFormat="1" x14ac:dyDescent="0.25">
      <c r="U466" s="103">
        <f t="shared" si="12"/>
        <v>0</v>
      </c>
      <c r="V466" s="98"/>
      <c r="AR466" s="103">
        <f t="shared" si="13"/>
        <v>0</v>
      </c>
    </row>
    <row r="467" spans="21:44" s="28" customFormat="1" x14ac:dyDescent="0.25">
      <c r="U467" s="103">
        <f t="shared" si="12"/>
        <v>0</v>
      </c>
      <c r="V467" s="98"/>
      <c r="AR467" s="103">
        <f t="shared" si="13"/>
        <v>0</v>
      </c>
    </row>
    <row r="468" spans="21:44" s="28" customFormat="1" x14ac:dyDescent="0.25">
      <c r="U468" s="103">
        <f t="shared" si="12"/>
        <v>0</v>
      </c>
      <c r="V468" s="98"/>
      <c r="AR468" s="103">
        <f t="shared" si="13"/>
        <v>0</v>
      </c>
    </row>
    <row r="469" spans="21:44" s="28" customFormat="1" x14ac:dyDescent="0.25">
      <c r="U469" s="103">
        <f t="shared" si="12"/>
        <v>0</v>
      </c>
      <c r="V469" s="98"/>
      <c r="AR469" s="103">
        <f t="shared" si="13"/>
        <v>0</v>
      </c>
    </row>
    <row r="470" spans="21:44" s="28" customFormat="1" x14ac:dyDescent="0.25">
      <c r="U470" s="103">
        <f t="shared" ref="U470:U533" si="14">IF(R470="TruePositive",IF(D470&lt;&gt;1,N470,0),0)</f>
        <v>0</v>
      </c>
      <c r="V470" s="98"/>
      <c r="AR470" s="103">
        <f t="shared" ref="AR470:AR533" si="15">IF(AN470="TruePositive",IF(Z470&lt;&gt;1,AJ470,0),0)</f>
        <v>0</v>
      </c>
    </row>
    <row r="471" spans="21:44" s="28" customFormat="1" x14ac:dyDescent="0.25">
      <c r="U471" s="103">
        <f t="shared" si="14"/>
        <v>0</v>
      </c>
      <c r="V471" s="98"/>
      <c r="AR471" s="103">
        <f t="shared" si="15"/>
        <v>0</v>
      </c>
    </row>
    <row r="472" spans="21:44" s="28" customFormat="1" x14ac:dyDescent="0.25">
      <c r="U472" s="103">
        <f t="shared" si="14"/>
        <v>0</v>
      </c>
      <c r="V472" s="98"/>
      <c r="AR472" s="103">
        <f t="shared" si="15"/>
        <v>0</v>
      </c>
    </row>
    <row r="473" spans="21:44" s="28" customFormat="1" x14ac:dyDescent="0.25">
      <c r="U473" s="103">
        <f t="shared" si="14"/>
        <v>0</v>
      </c>
      <c r="V473" s="98"/>
      <c r="AR473" s="103">
        <f t="shared" si="15"/>
        <v>0</v>
      </c>
    </row>
    <row r="474" spans="21:44" s="28" customFormat="1" x14ac:dyDescent="0.25">
      <c r="U474" s="103">
        <f t="shared" si="14"/>
        <v>0</v>
      </c>
      <c r="V474" s="98"/>
      <c r="AR474" s="103">
        <f t="shared" si="15"/>
        <v>0</v>
      </c>
    </row>
    <row r="475" spans="21:44" s="28" customFormat="1" x14ac:dyDescent="0.25">
      <c r="U475" s="103">
        <f t="shared" si="14"/>
        <v>0</v>
      </c>
      <c r="V475" s="98"/>
      <c r="AR475" s="103">
        <f t="shared" si="15"/>
        <v>0</v>
      </c>
    </row>
    <row r="476" spans="21:44" s="28" customFormat="1" x14ac:dyDescent="0.25">
      <c r="U476" s="103">
        <f t="shared" si="14"/>
        <v>0</v>
      </c>
      <c r="V476" s="98"/>
      <c r="AR476" s="103">
        <f t="shared" si="15"/>
        <v>0</v>
      </c>
    </row>
    <row r="477" spans="21:44" s="28" customFormat="1" x14ac:dyDescent="0.25">
      <c r="U477" s="103">
        <f t="shared" si="14"/>
        <v>0</v>
      </c>
      <c r="V477" s="98"/>
      <c r="AR477" s="103">
        <f t="shared" si="15"/>
        <v>0</v>
      </c>
    </row>
    <row r="478" spans="21:44" s="28" customFormat="1" x14ac:dyDescent="0.25">
      <c r="U478" s="103">
        <f t="shared" si="14"/>
        <v>0</v>
      </c>
      <c r="V478" s="98"/>
      <c r="AR478" s="103">
        <f t="shared" si="15"/>
        <v>0</v>
      </c>
    </row>
    <row r="479" spans="21:44" s="28" customFormat="1" x14ac:dyDescent="0.25">
      <c r="U479" s="103">
        <f t="shared" si="14"/>
        <v>0</v>
      </c>
      <c r="V479" s="98"/>
      <c r="AR479" s="103">
        <f t="shared" si="15"/>
        <v>0</v>
      </c>
    </row>
    <row r="480" spans="21:44" s="28" customFormat="1" x14ac:dyDescent="0.25">
      <c r="U480" s="103">
        <f t="shared" si="14"/>
        <v>0</v>
      </c>
      <c r="V480" s="98"/>
      <c r="AR480" s="103">
        <f t="shared" si="15"/>
        <v>0</v>
      </c>
    </row>
    <row r="481" spans="21:44" s="28" customFormat="1" x14ac:dyDescent="0.25">
      <c r="U481" s="103">
        <f t="shared" si="14"/>
        <v>0</v>
      </c>
      <c r="V481" s="98"/>
      <c r="AR481" s="103">
        <f t="shared" si="15"/>
        <v>0</v>
      </c>
    </row>
    <row r="482" spans="21:44" s="28" customFormat="1" x14ac:dyDescent="0.25">
      <c r="U482" s="103">
        <f t="shared" si="14"/>
        <v>0</v>
      </c>
      <c r="V482" s="98"/>
      <c r="AR482" s="103">
        <f t="shared" si="15"/>
        <v>0</v>
      </c>
    </row>
    <row r="483" spans="21:44" s="28" customFormat="1" x14ac:dyDescent="0.25">
      <c r="U483" s="103">
        <f t="shared" si="14"/>
        <v>0</v>
      </c>
      <c r="V483" s="98"/>
      <c r="AR483" s="103">
        <f t="shared" si="15"/>
        <v>0</v>
      </c>
    </row>
    <row r="484" spans="21:44" s="28" customFormat="1" x14ac:dyDescent="0.25">
      <c r="U484" s="103">
        <f t="shared" si="14"/>
        <v>0</v>
      </c>
      <c r="V484" s="98"/>
      <c r="AR484" s="103">
        <f t="shared" si="15"/>
        <v>0</v>
      </c>
    </row>
    <row r="485" spans="21:44" s="28" customFormat="1" x14ac:dyDescent="0.25">
      <c r="U485" s="103">
        <f t="shared" si="14"/>
        <v>0</v>
      </c>
      <c r="V485" s="98"/>
      <c r="AR485" s="103">
        <f t="shared" si="15"/>
        <v>0</v>
      </c>
    </row>
    <row r="486" spans="21:44" s="28" customFormat="1" x14ac:dyDescent="0.25">
      <c r="U486" s="103">
        <f t="shared" si="14"/>
        <v>0</v>
      </c>
      <c r="V486" s="98"/>
      <c r="AR486" s="103">
        <f t="shared" si="15"/>
        <v>0</v>
      </c>
    </row>
    <row r="487" spans="21:44" s="28" customFormat="1" x14ac:dyDescent="0.25">
      <c r="U487" s="103">
        <f t="shared" si="14"/>
        <v>0</v>
      </c>
      <c r="V487" s="98"/>
      <c r="AR487" s="103">
        <f t="shared" si="15"/>
        <v>0</v>
      </c>
    </row>
    <row r="488" spans="21:44" s="28" customFormat="1" x14ac:dyDescent="0.25">
      <c r="U488" s="103">
        <f t="shared" si="14"/>
        <v>0</v>
      </c>
      <c r="V488" s="98"/>
      <c r="AR488" s="103">
        <f t="shared" si="15"/>
        <v>0</v>
      </c>
    </row>
    <row r="489" spans="21:44" s="28" customFormat="1" x14ac:dyDescent="0.25">
      <c r="U489" s="103">
        <f t="shared" si="14"/>
        <v>0</v>
      </c>
      <c r="V489" s="98"/>
      <c r="AR489" s="103">
        <f t="shared" si="15"/>
        <v>0</v>
      </c>
    </row>
    <row r="490" spans="21:44" s="28" customFormat="1" x14ac:dyDescent="0.25">
      <c r="U490" s="103">
        <f t="shared" si="14"/>
        <v>0</v>
      </c>
      <c r="V490" s="98"/>
      <c r="AR490" s="103">
        <f t="shared" si="15"/>
        <v>0</v>
      </c>
    </row>
    <row r="491" spans="21:44" s="28" customFormat="1" x14ac:dyDescent="0.25">
      <c r="U491" s="103">
        <f t="shared" si="14"/>
        <v>0</v>
      </c>
      <c r="V491" s="98"/>
      <c r="AR491" s="103">
        <f t="shared" si="15"/>
        <v>0</v>
      </c>
    </row>
    <row r="492" spans="21:44" s="28" customFormat="1" x14ac:dyDescent="0.25">
      <c r="U492" s="103">
        <f t="shared" si="14"/>
        <v>0</v>
      </c>
      <c r="V492" s="98"/>
      <c r="AR492" s="103">
        <f t="shared" si="15"/>
        <v>0</v>
      </c>
    </row>
    <row r="493" spans="21:44" s="28" customFormat="1" x14ac:dyDescent="0.25">
      <c r="U493" s="103">
        <f t="shared" si="14"/>
        <v>0</v>
      </c>
      <c r="V493" s="98"/>
      <c r="AR493" s="103">
        <f t="shared" si="15"/>
        <v>0</v>
      </c>
    </row>
    <row r="494" spans="21:44" s="28" customFormat="1" x14ac:dyDescent="0.25">
      <c r="U494" s="103">
        <f t="shared" si="14"/>
        <v>0</v>
      </c>
      <c r="V494" s="98"/>
      <c r="AR494" s="103">
        <f t="shared" si="15"/>
        <v>0</v>
      </c>
    </row>
    <row r="495" spans="21:44" s="28" customFormat="1" x14ac:dyDescent="0.25">
      <c r="U495" s="103">
        <f t="shared" si="14"/>
        <v>0</v>
      </c>
      <c r="V495" s="98"/>
      <c r="AR495" s="103">
        <f t="shared" si="15"/>
        <v>0</v>
      </c>
    </row>
    <row r="496" spans="21:44" s="28" customFormat="1" x14ac:dyDescent="0.25">
      <c r="U496" s="103">
        <f t="shared" si="14"/>
        <v>0</v>
      </c>
      <c r="V496" s="98"/>
      <c r="AR496" s="103">
        <f t="shared" si="15"/>
        <v>0</v>
      </c>
    </row>
    <row r="497" spans="21:44" s="28" customFormat="1" x14ac:dyDescent="0.25">
      <c r="U497" s="103">
        <f t="shared" si="14"/>
        <v>0</v>
      </c>
      <c r="V497" s="98"/>
      <c r="AR497" s="103">
        <f t="shared" si="15"/>
        <v>0</v>
      </c>
    </row>
    <row r="498" spans="21:44" s="28" customFormat="1" x14ac:dyDescent="0.25">
      <c r="U498" s="103">
        <f t="shared" si="14"/>
        <v>0</v>
      </c>
      <c r="V498" s="98"/>
      <c r="AR498" s="103">
        <f t="shared" si="15"/>
        <v>0</v>
      </c>
    </row>
    <row r="499" spans="21:44" s="28" customFormat="1" x14ac:dyDescent="0.25">
      <c r="U499" s="103">
        <f t="shared" si="14"/>
        <v>0</v>
      </c>
      <c r="V499" s="98"/>
      <c r="AR499" s="103">
        <f t="shared" si="15"/>
        <v>0</v>
      </c>
    </row>
    <row r="500" spans="21:44" s="28" customFormat="1" x14ac:dyDescent="0.25">
      <c r="U500" s="103">
        <f t="shared" si="14"/>
        <v>0</v>
      </c>
      <c r="V500" s="98"/>
      <c r="AR500" s="103">
        <f t="shared" si="15"/>
        <v>0</v>
      </c>
    </row>
    <row r="501" spans="21:44" s="28" customFormat="1" x14ac:dyDescent="0.25">
      <c r="U501" s="103">
        <f t="shared" si="14"/>
        <v>0</v>
      </c>
      <c r="V501" s="98"/>
      <c r="AR501" s="103">
        <f t="shared" si="15"/>
        <v>0</v>
      </c>
    </row>
    <row r="502" spans="21:44" s="28" customFormat="1" x14ac:dyDescent="0.25">
      <c r="U502" s="103">
        <f t="shared" si="14"/>
        <v>0</v>
      </c>
      <c r="V502" s="98"/>
      <c r="AR502" s="103">
        <f t="shared" si="15"/>
        <v>0</v>
      </c>
    </row>
    <row r="503" spans="21:44" s="28" customFormat="1" x14ac:dyDescent="0.25">
      <c r="U503" s="103">
        <f t="shared" si="14"/>
        <v>0</v>
      </c>
      <c r="V503" s="98"/>
      <c r="AR503" s="103">
        <f t="shared" si="15"/>
        <v>0</v>
      </c>
    </row>
    <row r="504" spans="21:44" s="28" customFormat="1" x14ac:dyDescent="0.25">
      <c r="U504" s="103">
        <f t="shared" si="14"/>
        <v>0</v>
      </c>
      <c r="V504" s="98"/>
      <c r="AR504" s="103">
        <f t="shared" si="15"/>
        <v>0</v>
      </c>
    </row>
    <row r="505" spans="21:44" s="28" customFormat="1" x14ac:dyDescent="0.25">
      <c r="U505" s="103">
        <f t="shared" si="14"/>
        <v>0</v>
      </c>
      <c r="V505" s="98"/>
      <c r="AR505" s="103">
        <f t="shared" si="15"/>
        <v>0</v>
      </c>
    </row>
    <row r="506" spans="21:44" s="28" customFormat="1" x14ac:dyDescent="0.25">
      <c r="U506" s="103">
        <f t="shared" si="14"/>
        <v>0</v>
      </c>
      <c r="V506" s="98"/>
      <c r="AR506" s="103">
        <f t="shared" si="15"/>
        <v>0</v>
      </c>
    </row>
    <row r="507" spans="21:44" s="28" customFormat="1" x14ac:dyDescent="0.25">
      <c r="U507" s="103">
        <f t="shared" si="14"/>
        <v>0</v>
      </c>
      <c r="V507" s="98"/>
      <c r="AR507" s="103">
        <f t="shared" si="15"/>
        <v>0</v>
      </c>
    </row>
    <row r="508" spans="21:44" s="28" customFormat="1" x14ac:dyDescent="0.25">
      <c r="U508" s="103">
        <f t="shared" si="14"/>
        <v>0</v>
      </c>
      <c r="V508" s="98"/>
      <c r="AR508" s="103">
        <f t="shared" si="15"/>
        <v>0</v>
      </c>
    </row>
    <row r="509" spans="21:44" s="28" customFormat="1" x14ac:dyDescent="0.25">
      <c r="U509" s="103">
        <f t="shared" si="14"/>
        <v>0</v>
      </c>
      <c r="V509" s="98"/>
      <c r="AR509" s="103">
        <f t="shared" si="15"/>
        <v>0</v>
      </c>
    </row>
    <row r="510" spans="21:44" s="28" customFormat="1" x14ac:dyDescent="0.25">
      <c r="U510" s="103">
        <f t="shared" si="14"/>
        <v>0</v>
      </c>
      <c r="V510" s="98"/>
      <c r="AR510" s="103">
        <f t="shared" si="15"/>
        <v>0</v>
      </c>
    </row>
    <row r="511" spans="21:44" s="28" customFormat="1" x14ac:dyDescent="0.25">
      <c r="U511" s="103">
        <f t="shared" si="14"/>
        <v>0</v>
      </c>
      <c r="V511" s="98"/>
      <c r="AR511" s="103">
        <f t="shared" si="15"/>
        <v>0</v>
      </c>
    </row>
    <row r="512" spans="21:44" s="28" customFormat="1" x14ac:dyDescent="0.25">
      <c r="U512" s="103">
        <f t="shared" si="14"/>
        <v>0</v>
      </c>
      <c r="V512" s="98"/>
      <c r="AR512" s="103">
        <f t="shared" si="15"/>
        <v>0</v>
      </c>
    </row>
    <row r="513" spans="21:44" s="28" customFormat="1" x14ac:dyDescent="0.25">
      <c r="U513" s="103">
        <f t="shared" si="14"/>
        <v>0</v>
      </c>
      <c r="V513" s="98"/>
      <c r="AR513" s="103">
        <f t="shared" si="15"/>
        <v>0</v>
      </c>
    </row>
    <row r="514" spans="21:44" s="28" customFormat="1" x14ac:dyDescent="0.25">
      <c r="U514" s="103">
        <f t="shared" si="14"/>
        <v>0</v>
      </c>
      <c r="V514" s="98"/>
      <c r="AR514" s="103">
        <f t="shared" si="15"/>
        <v>0</v>
      </c>
    </row>
    <row r="515" spans="21:44" s="28" customFormat="1" x14ac:dyDescent="0.25">
      <c r="U515" s="103">
        <f t="shared" si="14"/>
        <v>0</v>
      </c>
      <c r="V515" s="98"/>
      <c r="AR515" s="103">
        <f t="shared" si="15"/>
        <v>0</v>
      </c>
    </row>
    <row r="516" spans="21:44" s="28" customFormat="1" x14ac:dyDescent="0.25">
      <c r="U516" s="103">
        <f t="shared" si="14"/>
        <v>0</v>
      </c>
      <c r="V516" s="98"/>
      <c r="AR516" s="103">
        <f t="shared" si="15"/>
        <v>0</v>
      </c>
    </row>
    <row r="517" spans="21:44" s="28" customFormat="1" x14ac:dyDescent="0.25">
      <c r="U517" s="103">
        <f t="shared" si="14"/>
        <v>0</v>
      </c>
      <c r="V517" s="98"/>
      <c r="AR517" s="103">
        <f t="shared" si="15"/>
        <v>0</v>
      </c>
    </row>
    <row r="518" spans="21:44" s="28" customFormat="1" x14ac:dyDescent="0.25">
      <c r="U518" s="103">
        <f t="shared" si="14"/>
        <v>0</v>
      </c>
      <c r="V518" s="98"/>
      <c r="AR518" s="103">
        <f t="shared" si="15"/>
        <v>0</v>
      </c>
    </row>
    <row r="519" spans="21:44" s="28" customFormat="1" x14ac:dyDescent="0.25">
      <c r="U519" s="103">
        <f t="shared" si="14"/>
        <v>0</v>
      </c>
      <c r="V519" s="98"/>
      <c r="AR519" s="103">
        <f t="shared" si="15"/>
        <v>0</v>
      </c>
    </row>
    <row r="520" spans="21:44" s="28" customFormat="1" x14ac:dyDescent="0.25">
      <c r="U520" s="103">
        <f t="shared" si="14"/>
        <v>0</v>
      </c>
      <c r="V520" s="98"/>
      <c r="AR520" s="103">
        <f t="shared" si="15"/>
        <v>0</v>
      </c>
    </row>
    <row r="521" spans="21:44" s="28" customFormat="1" x14ac:dyDescent="0.25">
      <c r="U521" s="103">
        <f t="shared" si="14"/>
        <v>0</v>
      </c>
      <c r="V521" s="98"/>
      <c r="AR521" s="103">
        <f t="shared" si="15"/>
        <v>0</v>
      </c>
    </row>
    <row r="522" spans="21:44" s="28" customFormat="1" x14ac:dyDescent="0.25">
      <c r="U522" s="103">
        <f t="shared" si="14"/>
        <v>0</v>
      </c>
      <c r="V522" s="98"/>
      <c r="AR522" s="103">
        <f t="shared" si="15"/>
        <v>0</v>
      </c>
    </row>
    <row r="523" spans="21:44" s="28" customFormat="1" x14ac:dyDescent="0.25">
      <c r="U523" s="103">
        <f t="shared" si="14"/>
        <v>0</v>
      </c>
      <c r="V523" s="98"/>
      <c r="AR523" s="103">
        <f t="shared" si="15"/>
        <v>0</v>
      </c>
    </row>
    <row r="524" spans="21:44" s="28" customFormat="1" x14ac:dyDescent="0.25">
      <c r="U524" s="103">
        <f t="shared" si="14"/>
        <v>0</v>
      </c>
      <c r="V524" s="98"/>
      <c r="AR524" s="103">
        <f t="shared" si="15"/>
        <v>0</v>
      </c>
    </row>
    <row r="525" spans="21:44" s="28" customFormat="1" x14ac:dyDescent="0.25">
      <c r="U525" s="103">
        <f t="shared" si="14"/>
        <v>0</v>
      </c>
      <c r="V525" s="98"/>
      <c r="AR525" s="103">
        <f t="shared" si="15"/>
        <v>0</v>
      </c>
    </row>
    <row r="526" spans="21:44" s="28" customFormat="1" x14ac:dyDescent="0.25">
      <c r="U526" s="103">
        <f t="shared" si="14"/>
        <v>0</v>
      </c>
      <c r="V526" s="98"/>
      <c r="AR526" s="103">
        <f t="shared" si="15"/>
        <v>0</v>
      </c>
    </row>
    <row r="527" spans="21:44" s="28" customFormat="1" x14ac:dyDescent="0.25">
      <c r="U527" s="103">
        <f t="shared" si="14"/>
        <v>0</v>
      </c>
      <c r="V527" s="98"/>
      <c r="AR527" s="103">
        <f t="shared" si="15"/>
        <v>0</v>
      </c>
    </row>
    <row r="528" spans="21:44" s="28" customFormat="1" x14ac:dyDescent="0.25">
      <c r="U528" s="103">
        <f t="shared" si="14"/>
        <v>0</v>
      </c>
      <c r="V528" s="98"/>
      <c r="AR528" s="103">
        <f t="shared" si="15"/>
        <v>0</v>
      </c>
    </row>
    <row r="529" spans="21:44" s="28" customFormat="1" x14ac:dyDescent="0.25">
      <c r="U529" s="103">
        <f t="shared" si="14"/>
        <v>0</v>
      </c>
      <c r="V529" s="98"/>
      <c r="AR529" s="103">
        <f t="shared" si="15"/>
        <v>0</v>
      </c>
    </row>
    <row r="530" spans="21:44" s="28" customFormat="1" x14ac:dyDescent="0.25">
      <c r="U530" s="103">
        <f t="shared" si="14"/>
        <v>0</v>
      </c>
      <c r="V530" s="98"/>
      <c r="AR530" s="103">
        <f t="shared" si="15"/>
        <v>0</v>
      </c>
    </row>
    <row r="531" spans="21:44" s="28" customFormat="1" x14ac:dyDescent="0.25">
      <c r="U531" s="103">
        <f t="shared" si="14"/>
        <v>0</v>
      </c>
      <c r="V531" s="98"/>
      <c r="AR531" s="103">
        <f t="shared" si="15"/>
        <v>0</v>
      </c>
    </row>
    <row r="532" spans="21:44" s="28" customFormat="1" x14ac:dyDescent="0.25">
      <c r="U532" s="103">
        <f t="shared" si="14"/>
        <v>0</v>
      </c>
      <c r="V532" s="98"/>
      <c r="AR532" s="103">
        <f t="shared" si="15"/>
        <v>0</v>
      </c>
    </row>
    <row r="533" spans="21:44" s="28" customFormat="1" x14ac:dyDescent="0.25">
      <c r="U533" s="103">
        <f t="shared" si="14"/>
        <v>0</v>
      </c>
      <c r="V533" s="98"/>
      <c r="AR533" s="103">
        <f t="shared" si="15"/>
        <v>0</v>
      </c>
    </row>
    <row r="534" spans="21:44" s="28" customFormat="1" x14ac:dyDescent="0.25">
      <c r="U534" s="103">
        <f t="shared" ref="U534:U597" si="16">IF(R534="TruePositive",IF(D534&lt;&gt;1,N534,0),0)</f>
        <v>0</v>
      </c>
      <c r="V534" s="98"/>
      <c r="AR534" s="103">
        <f t="shared" ref="AR534:AR597" si="17">IF(AN534="TruePositive",IF(Z534&lt;&gt;1,AJ534,0),0)</f>
        <v>0</v>
      </c>
    </row>
    <row r="535" spans="21:44" s="28" customFormat="1" x14ac:dyDescent="0.25">
      <c r="U535" s="103">
        <f t="shared" si="16"/>
        <v>0</v>
      </c>
      <c r="V535" s="98"/>
      <c r="AR535" s="103">
        <f t="shared" si="17"/>
        <v>0</v>
      </c>
    </row>
    <row r="536" spans="21:44" s="28" customFormat="1" x14ac:dyDescent="0.25">
      <c r="U536" s="103">
        <f t="shared" si="16"/>
        <v>0</v>
      </c>
      <c r="V536" s="98"/>
      <c r="AR536" s="103">
        <f t="shared" si="17"/>
        <v>0</v>
      </c>
    </row>
    <row r="537" spans="21:44" s="28" customFormat="1" x14ac:dyDescent="0.25">
      <c r="U537" s="103">
        <f t="shared" si="16"/>
        <v>0</v>
      </c>
      <c r="V537" s="98"/>
      <c r="AR537" s="103">
        <f t="shared" si="17"/>
        <v>0</v>
      </c>
    </row>
    <row r="538" spans="21:44" s="28" customFormat="1" x14ac:dyDescent="0.25">
      <c r="U538" s="103">
        <f t="shared" si="16"/>
        <v>0</v>
      </c>
      <c r="V538" s="98"/>
      <c r="AR538" s="103">
        <f t="shared" si="17"/>
        <v>0</v>
      </c>
    </row>
    <row r="539" spans="21:44" s="28" customFormat="1" x14ac:dyDescent="0.25">
      <c r="U539" s="103">
        <f t="shared" si="16"/>
        <v>0</v>
      </c>
      <c r="V539" s="98"/>
      <c r="AR539" s="103">
        <f t="shared" si="17"/>
        <v>0</v>
      </c>
    </row>
    <row r="540" spans="21:44" s="28" customFormat="1" x14ac:dyDescent="0.25">
      <c r="U540" s="103">
        <f t="shared" si="16"/>
        <v>0</v>
      </c>
      <c r="V540" s="98"/>
      <c r="AR540" s="103">
        <f t="shared" si="17"/>
        <v>0</v>
      </c>
    </row>
    <row r="541" spans="21:44" s="28" customFormat="1" x14ac:dyDescent="0.25">
      <c r="U541" s="103">
        <f t="shared" si="16"/>
        <v>0</v>
      </c>
      <c r="V541" s="98"/>
      <c r="AR541" s="103">
        <f t="shared" si="17"/>
        <v>0</v>
      </c>
    </row>
    <row r="542" spans="21:44" s="28" customFormat="1" x14ac:dyDescent="0.25">
      <c r="U542" s="103">
        <f t="shared" si="16"/>
        <v>0</v>
      </c>
      <c r="V542" s="98"/>
      <c r="AR542" s="103">
        <f t="shared" si="17"/>
        <v>0</v>
      </c>
    </row>
    <row r="543" spans="21:44" s="28" customFormat="1" x14ac:dyDescent="0.25">
      <c r="U543" s="103">
        <f t="shared" si="16"/>
        <v>0</v>
      </c>
      <c r="V543" s="98"/>
      <c r="AR543" s="103">
        <f t="shared" si="17"/>
        <v>0</v>
      </c>
    </row>
    <row r="544" spans="21:44" s="28" customFormat="1" x14ac:dyDescent="0.25">
      <c r="U544" s="103">
        <f t="shared" si="16"/>
        <v>0</v>
      </c>
      <c r="V544" s="98"/>
      <c r="AR544" s="103">
        <f t="shared" si="17"/>
        <v>0</v>
      </c>
    </row>
    <row r="545" spans="21:44" s="28" customFormat="1" x14ac:dyDescent="0.25">
      <c r="U545" s="103">
        <f t="shared" si="16"/>
        <v>0</v>
      </c>
      <c r="V545" s="98"/>
      <c r="AR545" s="103">
        <f t="shared" si="17"/>
        <v>0</v>
      </c>
    </row>
    <row r="546" spans="21:44" s="28" customFormat="1" x14ac:dyDescent="0.25">
      <c r="U546" s="103">
        <f t="shared" si="16"/>
        <v>0</v>
      </c>
      <c r="V546" s="98"/>
      <c r="AR546" s="103">
        <f t="shared" si="17"/>
        <v>0</v>
      </c>
    </row>
    <row r="547" spans="21:44" s="28" customFormat="1" x14ac:dyDescent="0.25">
      <c r="U547" s="103">
        <f t="shared" si="16"/>
        <v>0</v>
      </c>
      <c r="V547" s="98"/>
      <c r="AR547" s="103">
        <f t="shared" si="17"/>
        <v>0</v>
      </c>
    </row>
    <row r="548" spans="21:44" s="28" customFormat="1" x14ac:dyDescent="0.25">
      <c r="U548" s="103">
        <f t="shared" si="16"/>
        <v>0</v>
      </c>
      <c r="V548" s="98"/>
      <c r="AR548" s="103">
        <f t="shared" si="17"/>
        <v>0</v>
      </c>
    </row>
    <row r="549" spans="21:44" s="28" customFormat="1" x14ac:dyDescent="0.25">
      <c r="U549" s="103">
        <f t="shared" si="16"/>
        <v>0</v>
      </c>
      <c r="V549" s="98"/>
      <c r="AR549" s="103">
        <f t="shared" si="17"/>
        <v>0</v>
      </c>
    </row>
    <row r="550" spans="21:44" s="28" customFormat="1" x14ac:dyDescent="0.25">
      <c r="U550" s="103">
        <f t="shared" si="16"/>
        <v>0</v>
      </c>
      <c r="V550" s="98"/>
      <c r="AR550" s="103">
        <f t="shared" si="17"/>
        <v>0</v>
      </c>
    </row>
    <row r="551" spans="21:44" s="28" customFormat="1" x14ac:dyDescent="0.25">
      <c r="U551" s="103">
        <f t="shared" si="16"/>
        <v>0</v>
      </c>
      <c r="V551" s="98"/>
      <c r="AR551" s="103">
        <f t="shared" si="17"/>
        <v>0</v>
      </c>
    </row>
    <row r="552" spans="21:44" s="28" customFormat="1" x14ac:dyDescent="0.25">
      <c r="U552" s="103">
        <f t="shared" si="16"/>
        <v>0</v>
      </c>
      <c r="V552" s="98"/>
      <c r="AR552" s="103">
        <f t="shared" si="17"/>
        <v>0</v>
      </c>
    </row>
    <row r="553" spans="21:44" s="28" customFormat="1" x14ac:dyDescent="0.25">
      <c r="U553" s="103">
        <f t="shared" si="16"/>
        <v>0</v>
      </c>
      <c r="V553" s="98"/>
      <c r="AR553" s="103">
        <f t="shared" si="17"/>
        <v>0</v>
      </c>
    </row>
    <row r="554" spans="21:44" s="28" customFormat="1" x14ac:dyDescent="0.25">
      <c r="U554" s="103">
        <f t="shared" si="16"/>
        <v>0</v>
      </c>
      <c r="V554" s="98"/>
      <c r="AR554" s="103">
        <f t="shared" si="17"/>
        <v>0</v>
      </c>
    </row>
    <row r="555" spans="21:44" s="28" customFormat="1" x14ac:dyDescent="0.25">
      <c r="U555" s="103">
        <f t="shared" si="16"/>
        <v>0</v>
      </c>
      <c r="V555" s="98"/>
      <c r="AR555" s="103">
        <f t="shared" si="17"/>
        <v>0</v>
      </c>
    </row>
    <row r="556" spans="21:44" s="28" customFormat="1" x14ac:dyDescent="0.25">
      <c r="U556" s="103">
        <f t="shared" si="16"/>
        <v>0</v>
      </c>
      <c r="V556" s="98"/>
      <c r="AR556" s="103">
        <f t="shared" si="17"/>
        <v>0</v>
      </c>
    </row>
    <row r="557" spans="21:44" s="28" customFormat="1" x14ac:dyDescent="0.25">
      <c r="U557" s="103">
        <f t="shared" si="16"/>
        <v>0</v>
      </c>
      <c r="V557" s="98"/>
      <c r="AR557" s="103">
        <f t="shared" si="17"/>
        <v>0</v>
      </c>
    </row>
    <row r="558" spans="21:44" s="28" customFormat="1" x14ac:dyDescent="0.25">
      <c r="U558" s="103">
        <f t="shared" si="16"/>
        <v>0</v>
      </c>
      <c r="V558" s="98"/>
      <c r="AR558" s="103">
        <f t="shared" si="17"/>
        <v>0</v>
      </c>
    </row>
    <row r="559" spans="21:44" s="28" customFormat="1" x14ac:dyDescent="0.25">
      <c r="U559" s="103">
        <f t="shared" si="16"/>
        <v>0</v>
      </c>
      <c r="V559" s="98"/>
      <c r="AR559" s="103">
        <f t="shared" si="17"/>
        <v>0</v>
      </c>
    </row>
    <row r="560" spans="21:44" s="28" customFormat="1" x14ac:dyDescent="0.25">
      <c r="U560" s="103">
        <f t="shared" si="16"/>
        <v>0</v>
      </c>
      <c r="V560" s="98"/>
      <c r="AR560" s="103">
        <f t="shared" si="17"/>
        <v>0</v>
      </c>
    </row>
    <row r="561" spans="21:44" s="28" customFormat="1" x14ac:dyDescent="0.25">
      <c r="U561" s="103">
        <f t="shared" si="16"/>
        <v>0</v>
      </c>
      <c r="V561" s="98"/>
      <c r="AR561" s="103">
        <f t="shared" si="17"/>
        <v>0</v>
      </c>
    </row>
    <row r="562" spans="21:44" s="28" customFormat="1" x14ac:dyDescent="0.25">
      <c r="U562" s="103">
        <f t="shared" si="16"/>
        <v>0</v>
      </c>
      <c r="V562" s="98"/>
      <c r="AR562" s="103">
        <f t="shared" si="17"/>
        <v>0</v>
      </c>
    </row>
    <row r="563" spans="21:44" s="28" customFormat="1" x14ac:dyDescent="0.25">
      <c r="U563" s="103">
        <f t="shared" si="16"/>
        <v>0</v>
      </c>
      <c r="V563" s="98"/>
      <c r="AR563" s="103">
        <f t="shared" si="17"/>
        <v>0</v>
      </c>
    </row>
    <row r="564" spans="21:44" s="28" customFormat="1" x14ac:dyDescent="0.25">
      <c r="U564" s="103">
        <f t="shared" si="16"/>
        <v>0</v>
      </c>
      <c r="V564" s="98"/>
      <c r="AR564" s="103">
        <f t="shared" si="17"/>
        <v>0</v>
      </c>
    </row>
    <row r="565" spans="21:44" s="28" customFormat="1" x14ac:dyDescent="0.25">
      <c r="U565" s="103">
        <f t="shared" si="16"/>
        <v>0</v>
      </c>
      <c r="V565" s="98"/>
      <c r="AR565" s="103">
        <f t="shared" si="17"/>
        <v>0</v>
      </c>
    </row>
    <row r="566" spans="21:44" s="28" customFormat="1" x14ac:dyDescent="0.25">
      <c r="U566" s="103">
        <f t="shared" si="16"/>
        <v>0</v>
      </c>
      <c r="V566" s="98"/>
      <c r="AR566" s="103">
        <f t="shared" si="17"/>
        <v>0</v>
      </c>
    </row>
    <row r="567" spans="21:44" s="28" customFormat="1" x14ac:dyDescent="0.25">
      <c r="U567" s="103">
        <f t="shared" si="16"/>
        <v>0</v>
      </c>
      <c r="V567" s="98"/>
      <c r="AR567" s="103">
        <f t="shared" si="17"/>
        <v>0</v>
      </c>
    </row>
    <row r="568" spans="21:44" s="28" customFormat="1" x14ac:dyDescent="0.25">
      <c r="U568" s="103">
        <f t="shared" si="16"/>
        <v>0</v>
      </c>
      <c r="V568" s="98"/>
      <c r="AR568" s="103">
        <f t="shared" si="17"/>
        <v>0</v>
      </c>
    </row>
    <row r="569" spans="21:44" s="28" customFormat="1" x14ac:dyDescent="0.25">
      <c r="U569" s="103">
        <f t="shared" si="16"/>
        <v>0</v>
      </c>
      <c r="V569" s="98"/>
      <c r="AR569" s="103">
        <f t="shared" si="17"/>
        <v>0</v>
      </c>
    </row>
    <row r="570" spans="21:44" s="28" customFormat="1" x14ac:dyDescent="0.25">
      <c r="U570" s="103">
        <f t="shared" si="16"/>
        <v>0</v>
      </c>
      <c r="V570" s="98"/>
      <c r="AR570" s="103">
        <f t="shared" si="17"/>
        <v>0</v>
      </c>
    </row>
    <row r="571" spans="21:44" s="28" customFormat="1" x14ac:dyDescent="0.25">
      <c r="U571" s="103">
        <f t="shared" si="16"/>
        <v>0</v>
      </c>
      <c r="V571" s="98"/>
      <c r="AR571" s="103">
        <f t="shared" si="17"/>
        <v>0</v>
      </c>
    </row>
    <row r="572" spans="21:44" s="28" customFormat="1" x14ac:dyDescent="0.25">
      <c r="U572" s="103">
        <f t="shared" si="16"/>
        <v>0</v>
      </c>
      <c r="V572" s="98"/>
      <c r="AR572" s="103">
        <f t="shared" si="17"/>
        <v>0</v>
      </c>
    </row>
    <row r="573" spans="21:44" s="28" customFormat="1" x14ac:dyDescent="0.25">
      <c r="U573" s="103">
        <f t="shared" si="16"/>
        <v>0</v>
      </c>
      <c r="V573" s="98"/>
      <c r="AR573" s="103">
        <f t="shared" si="17"/>
        <v>0</v>
      </c>
    </row>
    <row r="574" spans="21:44" s="28" customFormat="1" x14ac:dyDescent="0.25">
      <c r="U574" s="103">
        <f t="shared" si="16"/>
        <v>0</v>
      </c>
      <c r="V574" s="98"/>
      <c r="AR574" s="103">
        <f t="shared" si="17"/>
        <v>0</v>
      </c>
    </row>
    <row r="575" spans="21:44" s="28" customFormat="1" x14ac:dyDescent="0.25">
      <c r="U575" s="103">
        <f t="shared" si="16"/>
        <v>0</v>
      </c>
      <c r="V575" s="98"/>
      <c r="AR575" s="103">
        <f t="shared" si="17"/>
        <v>0</v>
      </c>
    </row>
    <row r="576" spans="21:44" s="28" customFormat="1" x14ac:dyDescent="0.25">
      <c r="U576" s="103">
        <f t="shared" si="16"/>
        <v>0</v>
      </c>
      <c r="V576" s="98"/>
      <c r="AR576" s="103">
        <f t="shared" si="17"/>
        <v>0</v>
      </c>
    </row>
    <row r="577" spans="21:44" s="28" customFormat="1" x14ac:dyDescent="0.25">
      <c r="U577" s="103">
        <f t="shared" si="16"/>
        <v>0</v>
      </c>
      <c r="V577" s="98"/>
      <c r="AR577" s="103">
        <f t="shared" si="17"/>
        <v>0</v>
      </c>
    </row>
    <row r="578" spans="21:44" s="28" customFormat="1" x14ac:dyDescent="0.25">
      <c r="U578" s="103">
        <f t="shared" si="16"/>
        <v>0</v>
      </c>
      <c r="V578" s="98"/>
      <c r="AR578" s="103">
        <f t="shared" si="17"/>
        <v>0</v>
      </c>
    </row>
    <row r="579" spans="21:44" s="28" customFormat="1" x14ac:dyDescent="0.25">
      <c r="U579" s="103">
        <f t="shared" si="16"/>
        <v>0</v>
      </c>
      <c r="V579" s="98"/>
      <c r="AR579" s="103">
        <f t="shared" si="17"/>
        <v>0</v>
      </c>
    </row>
    <row r="580" spans="21:44" s="28" customFormat="1" x14ac:dyDescent="0.25">
      <c r="U580" s="103">
        <f t="shared" si="16"/>
        <v>0</v>
      </c>
      <c r="V580" s="98"/>
      <c r="AR580" s="103">
        <f t="shared" si="17"/>
        <v>0</v>
      </c>
    </row>
    <row r="581" spans="21:44" s="28" customFormat="1" x14ac:dyDescent="0.25">
      <c r="U581" s="103">
        <f t="shared" si="16"/>
        <v>0</v>
      </c>
      <c r="V581" s="98"/>
      <c r="AR581" s="103">
        <f t="shared" si="17"/>
        <v>0</v>
      </c>
    </row>
    <row r="582" spans="21:44" s="28" customFormat="1" x14ac:dyDescent="0.25">
      <c r="U582" s="103">
        <f t="shared" si="16"/>
        <v>0</v>
      </c>
      <c r="V582" s="98"/>
      <c r="AR582" s="103">
        <f t="shared" si="17"/>
        <v>0</v>
      </c>
    </row>
    <row r="583" spans="21:44" s="28" customFormat="1" x14ac:dyDescent="0.25">
      <c r="U583" s="103">
        <f t="shared" si="16"/>
        <v>0</v>
      </c>
      <c r="V583" s="98"/>
      <c r="AR583" s="103">
        <f t="shared" si="17"/>
        <v>0</v>
      </c>
    </row>
    <row r="584" spans="21:44" s="28" customFormat="1" x14ac:dyDescent="0.25">
      <c r="U584" s="103">
        <f t="shared" si="16"/>
        <v>0</v>
      </c>
      <c r="V584" s="98"/>
      <c r="AR584" s="103">
        <f t="shared" si="17"/>
        <v>0</v>
      </c>
    </row>
    <row r="585" spans="21:44" s="28" customFormat="1" x14ac:dyDescent="0.25">
      <c r="U585" s="103">
        <f t="shared" si="16"/>
        <v>0</v>
      </c>
      <c r="V585" s="98"/>
      <c r="AR585" s="103">
        <f t="shared" si="17"/>
        <v>0</v>
      </c>
    </row>
    <row r="586" spans="21:44" s="28" customFormat="1" x14ac:dyDescent="0.25">
      <c r="U586" s="103">
        <f t="shared" si="16"/>
        <v>0</v>
      </c>
      <c r="V586" s="98"/>
      <c r="AR586" s="103">
        <f t="shared" si="17"/>
        <v>0</v>
      </c>
    </row>
    <row r="587" spans="21:44" s="28" customFormat="1" x14ac:dyDescent="0.25">
      <c r="U587" s="103">
        <f t="shared" si="16"/>
        <v>0</v>
      </c>
      <c r="V587" s="98"/>
      <c r="AR587" s="103">
        <f t="shared" si="17"/>
        <v>0</v>
      </c>
    </row>
    <row r="588" spans="21:44" s="28" customFormat="1" x14ac:dyDescent="0.25">
      <c r="U588" s="103">
        <f t="shared" si="16"/>
        <v>0</v>
      </c>
      <c r="V588" s="98"/>
      <c r="AR588" s="103">
        <f t="shared" si="17"/>
        <v>0</v>
      </c>
    </row>
    <row r="589" spans="21:44" s="28" customFormat="1" x14ac:dyDescent="0.25">
      <c r="U589" s="103">
        <f t="shared" si="16"/>
        <v>0</v>
      </c>
      <c r="V589" s="98"/>
      <c r="AR589" s="103">
        <f t="shared" si="17"/>
        <v>0</v>
      </c>
    </row>
    <row r="590" spans="21:44" s="28" customFormat="1" x14ac:dyDescent="0.25">
      <c r="U590" s="103">
        <f t="shared" si="16"/>
        <v>0</v>
      </c>
      <c r="V590" s="98"/>
      <c r="AR590" s="103">
        <f t="shared" si="17"/>
        <v>0</v>
      </c>
    </row>
    <row r="591" spans="21:44" s="28" customFormat="1" x14ac:dyDescent="0.25">
      <c r="U591" s="103">
        <f t="shared" si="16"/>
        <v>0</v>
      </c>
      <c r="V591" s="98"/>
      <c r="AR591" s="103">
        <f t="shared" si="17"/>
        <v>0</v>
      </c>
    </row>
    <row r="592" spans="21:44" s="28" customFormat="1" x14ac:dyDescent="0.25">
      <c r="U592" s="103">
        <f t="shared" si="16"/>
        <v>0</v>
      </c>
      <c r="V592" s="98"/>
      <c r="AR592" s="103">
        <f t="shared" si="17"/>
        <v>0</v>
      </c>
    </row>
    <row r="593" spans="21:44" s="28" customFormat="1" x14ac:dyDescent="0.25">
      <c r="U593" s="103">
        <f t="shared" si="16"/>
        <v>0</v>
      </c>
      <c r="V593" s="98"/>
      <c r="AR593" s="103">
        <f t="shared" si="17"/>
        <v>0</v>
      </c>
    </row>
    <row r="594" spans="21:44" s="28" customFormat="1" x14ac:dyDescent="0.25">
      <c r="U594" s="103">
        <f t="shared" si="16"/>
        <v>0</v>
      </c>
      <c r="V594" s="98"/>
      <c r="AR594" s="103">
        <f t="shared" si="17"/>
        <v>0</v>
      </c>
    </row>
    <row r="595" spans="21:44" s="28" customFormat="1" x14ac:dyDescent="0.25">
      <c r="U595" s="103">
        <f t="shared" si="16"/>
        <v>0</v>
      </c>
      <c r="V595" s="98"/>
      <c r="AR595" s="103">
        <f t="shared" si="17"/>
        <v>0</v>
      </c>
    </row>
    <row r="596" spans="21:44" s="28" customFormat="1" x14ac:dyDescent="0.25">
      <c r="U596" s="103">
        <f t="shared" si="16"/>
        <v>0</v>
      </c>
      <c r="V596" s="98"/>
      <c r="AR596" s="103">
        <f t="shared" si="17"/>
        <v>0</v>
      </c>
    </row>
    <row r="597" spans="21:44" s="28" customFormat="1" x14ac:dyDescent="0.25">
      <c r="U597" s="103">
        <f t="shared" si="16"/>
        <v>0</v>
      </c>
      <c r="V597" s="98"/>
      <c r="AR597" s="103">
        <f t="shared" si="17"/>
        <v>0</v>
      </c>
    </row>
    <row r="598" spans="21:44" s="28" customFormat="1" x14ac:dyDescent="0.25">
      <c r="U598" s="103">
        <f t="shared" ref="U598:U600" si="18">IF(R598="TruePositive",IF(D598&lt;&gt;1,N598,0),0)</f>
        <v>0</v>
      </c>
      <c r="V598" s="98"/>
      <c r="AR598" s="103">
        <f t="shared" ref="AR598:AR600" si="19">IF(AN598="TruePositive",IF(Z598&lt;&gt;1,AJ598,0),0)</f>
        <v>0</v>
      </c>
    </row>
    <row r="599" spans="21:44" s="28" customFormat="1" x14ac:dyDescent="0.25">
      <c r="U599" s="103">
        <f t="shared" si="18"/>
        <v>0</v>
      </c>
      <c r="V599" s="98"/>
      <c r="AR599" s="103">
        <f t="shared" si="19"/>
        <v>0</v>
      </c>
    </row>
    <row r="600" spans="21:44" s="28" customFormat="1" x14ac:dyDescent="0.25">
      <c r="U600" s="103">
        <f t="shared" si="18"/>
        <v>0</v>
      </c>
      <c r="V600" s="98"/>
      <c r="AR600" s="103">
        <f t="shared" si="19"/>
        <v>0</v>
      </c>
    </row>
    <row r="601" spans="21:44" s="28" customFormat="1" x14ac:dyDescent="0.25">
      <c r="V601" s="98"/>
    </row>
    <row r="602" spans="21:44" s="28" customFormat="1" x14ac:dyDescent="0.25">
      <c r="V602" s="98"/>
    </row>
    <row r="603" spans="21:44" s="28" customFormat="1" x14ac:dyDescent="0.25">
      <c r="V603" s="98"/>
    </row>
    <row r="604" spans="21:44" s="28" customFormat="1" x14ac:dyDescent="0.25">
      <c r="V604" s="98"/>
    </row>
    <row r="605" spans="21:44" s="28" customFormat="1" x14ac:dyDescent="0.25">
      <c r="V605" s="98"/>
    </row>
    <row r="606" spans="21:44" s="28" customFormat="1" x14ac:dyDescent="0.25">
      <c r="V606" s="98"/>
    </row>
    <row r="607" spans="21:44" s="28" customFormat="1" x14ac:dyDescent="0.25">
      <c r="V607" s="98"/>
    </row>
    <row r="608" spans="21:44" s="28" customFormat="1" x14ac:dyDescent="0.25">
      <c r="V608" s="98"/>
    </row>
    <row r="609" spans="22:22" s="28" customFormat="1" x14ac:dyDescent="0.25">
      <c r="V609" s="98"/>
    </row>
    <row r="610" spans="22:22" s="28" customFormat="1" x14ac:dyDescent="0.25">
      <c r="V610" s="98"/>
    </row>
    <row r="611" spans="22:22" s="28" customFormat="1" x14ac:dyDescent="0.25">
      <c r="V611" s="98"/>
    </row>
    <row r="612" spans="22:22" s="28" customFormat="1" x14ac:dyDescent="0.25">
      <c r="V612" s="98"/>
    </row>
    <row r="613" spans="22:22" s="28" customFormat="1" x14ac:dyDescent="0.25">
      <c r="V613" s="98"/>
    </row>
    <row r="614" spans="22:22" s="28" customFormat="1" x14ac:dyDescent="0.25">
      <c r="V614" s="98"/>
    </row>
    <row r="615" spans="22:22" s="28" customFormat="1" x14ac:dyDescent="0.25">
      <c r="V615" s="98"/>
    </row>
    <row r="616" spans="22:22" s="28" customFormat="1" x14ac:dyDescent="0.25">
      <c r="V616" s="98"/>
    </row>
    <row r="617" spans="22:22" s="28" customFormat="1" x14ac:dyDescent="0.25">
      <c r="V617" s="98"/>
    </row>
    <row r="618" spans="22:22" s="28" customFormat="1" x14ac:dyDescent="0.25">
      <c r="V618" s="98"/>
    </row>
    <row r="619" spans="22:22" s="28" customFormat="1" x14ac:dyDescent="0.25">
      <c r="V619" s="98"/>
    </row>
    <row r="620" spans="22:22" s="28" customFormat="1" x14ac:dyDescent="0.25">
      <c r="V620" s="98"/>
    </row>
    <row r="621" spans="22:22" s="28" customFormat="1" x14ac:dyDescent="0.25">
      <c r="V621" s="98"/>
    </row>
    <row r="622" spans="22:22" s="28" customFormat="1" x14ac:dyDescent="0.25">
      <c r="V622" s="98"/>
    </row>
    <row r="623" spans="22:22" s="28" customFormat="1" x14ac:dyDescent="0.25">
      <c r="V623" s="98"/>
    </row>
    <row r="624" spans="22:22" s="28" customFormat="1" x14ac:dyDescent="0.25">
      <c r="V624" s="98"/>
    </row>
    <row r="625" spans="1:22" s="28" customFormat="1" x14ac:dyDescent="0.25">
      <c r="V625" s="98"/>
    </row>
    <row r="626" spans="1:22" s="28" customFormat="1" x14ac:dyDescent="0.25">
      <c r="V626" s="98"/>
    </row>
    <row r="627" spans="1:22" s="28" customFormat="1" x14ac:dyDescent="0.25">
      <c r="V627" s="98"/>
    </row>
    <row r="628" spans="1:22" s="28" customFormat="1" x14ac:dyDescent="0.25">
      <c r="V628" s="98"/>
    </row>
    <row r="629" spans="1:22" s="28" customFormat="1" x14ac:dyDescent="0.25">
      <c r="V629" s="98"/>
    </row>
    <row r="630" spans="1:22" s="28" customFormat="1" x14ac:dyDescent="0.25">
      <c r="V630" s="98"/>
    </row>
    <row r="631" spans="1:22" s="28" customFormat="1" x14ac:dyDescent="0.25">
      <c r="V631" s="98"/>
    </row>
    <row r="632" spans="1:22" s="28" customFormat="1" x14ac:dyDescent="0.25">
      <c r="V632" s="98"/>
    </row>
    <row r="633" spans="1:22" s="28" customFormat="1" x14ac:dyDescent="0.25">
      <c r="V633" s="98"/>
    </row>
    <row r="634" spans="1:22" s="64" customFormat="1" x14ac:dyDescent="0.25">
      <c r="A634" s="63"/>
      <c r="S634" s="28"/>
      <c r="V634" s="99"/>
    </row>
    <row r="635" spans="1:22" s="64" customFormat="1" x14ac:dyDescent="0.25">
      <c r="A635" s="63"/>
      <c r="S635" s="28"/>
      <c r="V635" s="99"/>
    </row>
    <row r="636" spans="1:22" s="64" customFormat="1" x14ac:dyDescent="0.25">
      <c r="A636" s="63"/>
      <c r="S636" s="28"/>
      <c r="V636" s="99"/>
    </row>
    <row r="637" spans="1:22" s="64" customFormat="1" x14ac:dyDescent="0.25">
      <c r="A637" s="63"/>
      <c r="S637" s="28"/>
      <c r="V637" s="99"/>
    </row>
    <row r="638" spans="1:22" s="64" customFormat="1" x14ac:dyDescent="0.25">
      <c r="A638" s="63"/>
      <c r="S638" s="28"/>
      <c r="V638" s="99"/>
    </row>
    <row r="639" spans="1:22" s="64" customFormat="1" x14ac:dyDescent="0.25">
      <c r="A639" s="63"/>
      <c r="S639" s="28"/>
      <c r="V639" s="99"/>
    </row>
    <row r="640" spans="1:22" s="64" customFormat="1" x14ac:dyDescent="0.25">
      <c r="A640" s="63"/>
      <c r="S640" s="28"/>
      <c r="V640" s="99"/>
    </row>
    <row r="641" spans="1:40" s="64" customFormat="1" x14ac:dyDescent="0.25">
      <c r="A641" s="63"/>
      <c r="S641" s="28"/>
      <c r="V641" s="99"/>
    </row>
    <row r="642" spans="1:40" s="64" customFormat="1" x14ac:dyDescent="0.25">
      <c r="A642" s="63"/>
      <c r="S642" s="28"/>
      <c r="V642" s="99"/>
    </row>
    <row r="643" spans="1:40" s="64" customFormat="1" x14ac:dyDescent="0.25">
      <c r="A643" s="63"/>
      <c r="S643" s="28"/>
      <c r="V643" s="99"/>
    </row>
    <row r="644" spans="1:40" s="64" customFormat="1" x14ac:dyDescent="0.25">
      <c r="A644" s="63"/>
      <c r="S644" s="28"/>
      <c r="V644" s="99"/>
    </row>
    <row r="645" spans="1:40" s="64" customFormat="1" x14ac:dyDescent="0.25">
      <c r="A645" s="63"/>
      <c r="S645" s="28"/>
      <c r="V645" s="99"/>
    </row>
    <row r="646" spans="1:40" s="64" customFormat="1" x14ac:dyDescent="0.25">
      <c r="A646" s="63"/>
      <c r="S646" s="28"/>
      <c r="V646" s="99"/>
    </row>
    <row r="647" spans="1:40" s="64" customFormat="1" x14ac:dyDescent="0.25">
      <c r="A647" s="63"/>
      <c r="S647" s="28"/>
      <c r="V647" s="99"/>
    </row>
    <row r="648" spans="1:40" s="64" customFormat="1" x14ac:dyDescent="0.25">
      <c r="A648" s="63"/>
      <c r="S648" s="28"/>
      <c r="V648" s="99"/>
    </row>
    <row r="649" spans="1:40" s="64" customFormat="1" x14ac:dyDescent="0.25">
      <c r="A649" s="63"/>
      <c r="S649" s="28"/>
      <c r="V649" s="99"/>
    </row>
    <row r="650" spans="1:40" s="64" customFormat="1" x14ac:dyDescent="0.25">
      <c r="A650" s="63"/>
      <c r="S650" s="28"/>
      <c r="V650" s="99"/>
    </row>
    <row r="651" spans="1:40" s="64" customFormat="1" x14ac:dyDescent="0.25">
      <c r="A651" s="63"/>
      <c r="S651" s="28"/>
      <c r="V651" s="99"/>
    </row>
    <row r="652" spans="1:40" s="64" customFormat="1" x14ac:dyDescent="0.25">
      <c r="A652" s="63"/>
      <c r="S652" s="28"/>
      <c r="V652" s="99"/>
    </row>
    <row r="653" spans="1:40" s="64" customFormat="1" x14ac:dyDescent="0.25">
      <c r="A653" s="63"/>
      <c r="S653" s="28"/>
      <c r="V653" s="99"/>
    </row>
    <row r="654" spans="1:40" x14ac:dyDescent="0.25">
      <c r="A654" s="63"/>
      <c r="B654" s="64"/>
      <c r="C654" s="64"/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4"/>
      <c r="S654" s="28"/>
      <c r="T654" s="64"/>
      <c r="U654" s="64"/>
      <c r="V654" s="99"/>
      <c r="W654" s="64"/>
      <c r="X654" s="64"/>
      <c r="Y654" s="64"/>
      <c r="Z654" s="64"/>
      <c r="AA654" s="64"/>
      <c r="AB654" s="64"/>
      <c r="AC654" s="64"/>
      <c r="AD654" s="64"/>
      <c r="AE654" s="64"/>
      <c r="AF654" s="64"/>
      <c r="AG654" s="64"/>
      <c r="AH654" s="64"/>
      <c r="AI654" s="64"/>
      <c r="AJ654" s="64"/>
      <c r="AK654" s="64"/>
      <c r="AL654" s="64"/>
      <c r="AM654" s="64"/>
      <c r="AN654" s="64"/>
    </row>
    <row r="655" spans="1:40" x14ac:dyDescent="0.25">
      <c r="A655" s="63"/>
      <c r="B655" s="64"/>
      <c r="C655" s="64"/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4"/>
      <c r="S655" s="28"/>
      <c r="V655" s="99"/>
      <c r="W655" s="64"/>
    </row>
    <row r="656" spans="1:40" x14ac:dyDescent="0.25">
      <c r="A656" s="63"/>
      <c r="B656" s="64"/>
      <c r="C656" s="64"/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4"/>
      <c r="S656" s="28"/>
      <c r="V656" s="99"/>
      <c r="W656" s="64"/>
    </row>
    <row r="657" spans="1:23" x14ac:dyDescent="0.25">
      <c r="A657" s="63"/>
      <c r="B657" s="64"/>
      <c r="C657" s="64"/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4"/>
      <c r="S657" s="28"/>
      <c r="V657" s="99"/>
      <c r="W657" s="64"/>
    </row>
    <row r="658" spans="1:23" x14ac:dyDescent="0.25">
      <c r="A658" s="63"/>
      <c r="B658" s="64"/>
      <c r="C658" s="64"/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4"/>
      <c r="S658" s="28"/>
      <c r="V658" s="99"/>
      <c r="W658" s="64"/>
    </row>
    <row r="659" spans="1:23" x14ac:dyDescent="0.25">
      <c r="A659" s="63"/>
      <c r="B659" s="64"/>
      <c r="C659" s="64"/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4"/>
      <c r="S659" s="28"/>
      <c r="V659" s="99"/>
      <c r="W659" s="64"/>
    </row>
    <row r="660" spans="1:23" x14ac:dyDescent="0.25">
      <c r="A660" s="63"/>
      <c r="B660" s="64"/>
      <c r="C660" s="64"/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4"/>
      <c r="S660" s="28"/>
      <c r="V660" s="99"/>
      <c r="W660" s="64"/>
    </row>
    <row r="661" spans="1:23" x14ac:dyDescent="0.25">
      <c r="A661" s="63"/>
      <c r="B661" s="64"/>
      <c r="C661" s="64"/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4"/>
      <c r="S661" s="28"/>
      <c r="V661" s="99"/>
      <c r="W661" s="64"/>
    </row>
    <row r="662" spans="1:23" x14ac:dyDescent="0.25">
      <c r="A662" s="63"/>
      <c r="B662" s="64"/>
      <c r="C662" s="64"/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4"/>
      <c r="S662" s="28"/>
      <c r="V662" s="99"/>
      <c r="W662" s="64"/>
    </row>
    <row r="663" spans="1:23" x14ac:dyDescent="0.25">
      <c r="A663" s="63"/>
      <c r="B663" s="64"/>
      <c r="C663" s="64"/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4"/>
      <c r="S663" s="28"/>
      <c r="V663" s="99"/>
      <c r="W663" s="64"/>
    </row>
    <row r="664" spans="1:23" x14ac:dyDescent="0.25">
      <c r="A664" s="63"/>
      <c r="B664" s="64"/>
      <c r="C664" s="64"/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4"/>
      <c r="S664" s="28"/>
      <c r="V664" s="99"/>
      <c r="W664" s="64"/>
    </row>
    <row r="665" spans="1:23" x14ac:dyDescent="0.25">
      <c r="A665" s="63"/>
      <c r="B665" s="64"/>
      <c r="C665" s="64"/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4"/>
      <c r="S665" s="28"/>
      <c r="V665" s="99"/>
      <c r="W665" s="64"/>
    </row>
    <row r="666" spans="1:23" x14ac:dyDescent="0.25">
      <c r="A666" s="63"/>
      <c r="B666" s="64"/>
      <c r="C666" s="64"/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4"/>
      <c r="S666" s="28"/>
      <c r="V666" s="99"/>
      <c r="W666" s="64"/>
    </row>
    <row r="667" spans="1:23" x14ac:dyDescent="0.25">
      <c r="A667" s="63"/>
      <c r="B667" s="64"/>
      <c r="C667" s="64"/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4"/>
      <c r="S667" s="28"/>
      <c r="V667" s="99"/>
      <c r="W667" s="64"/>
    </row>
    <row r="668" spans="1:23" x14ac:dyDescent="0.25">
      <c r="A668" s="63"/>
      <c r="B668" s="64"/>
      <c r="C668" s="64"/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4"/>
      <c r="S668" s="28"/>
      <c r="V668" s="99"/>
      <c r="W668" s="64"/>
    </row>
    <row r="669" spans="1:23" x14ac:dyDescent="0.25">
      <c r="A669" s="63"/>
      <c r="B669" s="64"/>
      <c r="C669" s="64"/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4"/>
      <c r="S669" s="28"/>
      <c r="V669" s="99"/>
      <c r="W669" s="64"/>
    </row>
    <row r="670" spans="1:23" x14ac:dyDescent="0.25">
      <c r="A670" s="63"/>
      <c r="B670" s="64"/>
      <c r="C670" s="64"/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4"/>
      <c r="S670" s="28"/>
      <c r="V670" s="99"/>
      <c r="W670" s="64"/>
    </row>
    <row r="671" spans="1:23" x14ac:dyDescent="0.25">
      <c r="A671" s="63"/>
      <c r="B671" s="64"/>
      <c r="C671" s="64"/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4"/>
      <c r="S671" s="28"/>
      <c r="V671" s="99"/>
      <c r="W671" s="64"/>
    </row>
    <row r="672" spans="1:23" x14ac:dyDescent="0.25">
      <c r="A672" s="63"/>
      <c r="B672" s="64"/>
      <c r="C672" s="64"/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4"/>
      <c r="S672" s="28"/>
      <c r="V672" s="99"/>
      <c r="W672" s="64"/>
    </row>
    <row r="673" spans="1:23" x14ac:dyDescent="0.25">
      <c r="A673" s="63"/>
      <c r="B673" s="64"/>
      <c r="C673" s="64"/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4"/>
      <c r="S673" s="28"/>
      <c r="V673" s="99"/>
      <c r="W673" s="64"/>
    </row>
    <row r="674" spans="1:23" x14ac:dyDescent="0.25">
      <c r="A674" s="63"/>
      <c r="B674" s="64"/>
      <c r="C674" s="64"/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4"/>
      <c r="S674" s="28"/>
      <c r="V674" s="99"/>
      <c r="W674" s="64"/>
    </row>
    <row r="675" spans="1:23" x14ac:dyDescent="0.25">
      <c r="A675" s="63"/>
      <c r="B675" s="64"/>
      <c r="C675" s="64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4"/>
      <c r="S675" s="28"/>
      <c r="V675" s="99"/>
      <c r="W675" s="64"/>
    </row>
    <row r="676" spans="1:23" x14ac:dyDescent="0.25">
      <c r="A676" s="63"/>
      <c r="B676" s="64"/>
      <c r="C676" s="64"/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4"/>
      <c r="S676" s="28"/>
      <c r="V676" s="99"/>
      <c r="W676" s="64"/>
    </row>
    <row r="677" spans="1:23" x14ac:dyDescent="0.25">
      <c r="A677" s="63"/>
      <c r="B677" s="64"/>
      <c r="C677" s="64"/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4"/>
      <c r="S677" s="28"/>
      <c r="V677" s="99"/>
      <c r="W677" s="64"/>
    </row>
    <row r="678" spans="1:23" x14ac:dyDescent="0.25">
      <c r="A678" s="63"/>
      <c r="B678" s="64"/>
      <c r="C678" s="64"/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4"/>
      <c r="S678" s="28"/>
      <c r="V678" s="99"/>
      <c r="W678" s="64"/>
    </row>
    <row r="679" spans="1:23" x14ac:dyDescent="0.25">
      <c r="A679" s="63"/>
      <c r="B679" s="64"/>
      <c r="C679" s="64"/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4"/>
      <c r="S679" s="28"/>
      <c r="V679" s="99"/>
      <c r="W679" s="64"/>
    </row>
    <row r="680" spans="1:23" x14ac:dyDescent="0.25">
      <c r="A680" s="63"/>
      <c r="B680" s="64"/>
      <c r="C680" s="64"/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4"/>
      <c r="S680" s="28"/>
      <c r="V680" s="99"/>
      <c r="W680" s="64"/>
    </row>
    <row r="681" spans="1:23" x14ac:dyDescent="0.25">
      <c r="A681" s="63"/>
      <c r="B681" s="64"/>
      <c r="C681" s="64"/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4"/>
      <c r="S681" s="28"/>
      <c r="V681" s="99"/>
      <c r="W681" s="64"/>
    </row>
    <row r="682" spans="1:23" x14ac:dyDescent="0.25">
      <c r="A682" s="63"/>
      <c r="B682" s="64"/>
      <c r="C682" s="64"/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4"/>
      <c r="S682" s="28"/>
      <c r="V682" s="99"/>
      <c r="W682" s="64"/>
    </row>
    <row r="683" spans="1:23" x14ac:dyDescent="0.25">
      <c r="A683" s="63"/>
      <c r="B683" s="64"/>
      <c r="C683" s="64"/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4"/>
      <c r="S683" s="28"/>
      <c r="V683" s="99"/>
      <c r="W683" s="64"/>
    </row>
    <row r="684" spans="1:23" x14ac:dyDescent="0.25">
      <c r="A684" s="63"/>
      <c r="B684" s="64"/>
      <c r="C684" s="64"/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4"/>
      <c r="S684" s="28"/>
      <c r="V684" s="99"/>
      <c r="W684" s="64"/>
    </row>
    <row r="685" spans="1:23" x14ac:dyDescent="0.25">
      <c r="A685" s="63"/>
      <c r="B685" s="64"/>
      <c r="C685" s="64"/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4"/>
      <c r="S685" s="28"/>
      <c r="V685" s="99"/>
      <c r="W685" s="64"/>
    </row>
    <row r="686" spans="1:23" x14ac:dyDescent="0.25">
      <c r="A686" s="63"/>
      <c r="B686" s="64"/>
      <c r="C686" s="64"/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4"/>
      <c r="S686" s="28"/>
      <c r="V686" s="99"/>
      <c r="W686" s="64"/>
    </row>
    <row r="687" spans="1:23" x14ac:dyDescent="0.25">
      <c r="A687" s="63"/>
      <c r="B687" s="64"/>
      <c r="C687" s="64"/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4"/>
      <c r="S687" s="28"/>
      <c r="V687" s="99"/>
      <c r="W687" s="64"/>
    </row>
    <row r="688" spans="1:23" x14ac:dyDescent="0.25">
      <c r="A688" s="63"/>
      <c r="B688" s="64"/>
      <c r="C688" s="64"/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4"/>
      <c r="S688" s="28"/>
      <c r="V688" s="99"/>
      <c r="W688" s="64"/>
    </row>
    <row r="689" spans="1:23" x14ac:dyDescent="0.25">
      <c r="A689" s="63"/>
      <c r="B689" s="64"/>
      <c r="C689" s="64"/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4"/>
      <c r="S689" s="28"/>
      <c r="V689" s="99"/>
      <c r="W689" s="64"/>
    </row>
    <row r="690" spans="1:23" x14ac:dyDescent="0.25">
      <c r="A690" s="63"/>
      <c r="B690" s="64"/>
      <c r="C690" s="64"/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4"/>
      <c r="S690" s="28"/>
      <c r="V690" s="99"/>
      <c r="W690" s="64"/>
    </row>
    <row r="691" spans="1:23" x14ac:dyDescent="0.25">
      <c r="A691" s="63"/>
      <c r="B691" s="64"/>
      <c r="C691" s="64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4"/>
      <c r="S691" s="28"/>
      <c r="V691" s="99"/>
      <c r="W691" s="64"/>
    </row>
    <row r="692" spans="1:23" x14ac:dyDescent="0.25">
      <c r="A692" s="63"/>
      <c r="B692" s="64"/>
      <c r="C692" s="64"/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4"/>
      <c r="S692" s="28"/>
      <c r="V692" s="99"/>
      <c r="W692" s="64"/>
    </row>
    <row r="693" spans="1:23" x14ac:dyDescent="0.25">
      <c r="A693" s="63"/>
      <c r="B693" s="64"/>
      <c r="C693" s="64"/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4"/>
      <c r="S693" s="28"/>
      <c r="V693" s="99"/>
      <c r="W693" s="64"/>
    </row>
    <row r="694" spans="1:23" x14ac:dyDescent="0.25">
      <c r="A694" s="63"/>
      <c r="B694" s="64"/>
      <c r="C694" s="64"/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4"/>
      <c r="S694" s="28"/>
      <c r="V694" s="99"/>
      <c r="W694" s="64"/>
    </row>
    <row r="695" spans="1:23" x14ac:dyDescent="0.25">
      <c r="A695" s="63"/>
      <c r="B695" s="64"/>
      <c r="C695" s="64"/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4"/>
      <c r="S695" s="28"/>
      <c r="V695" s="99"/>
      <c r="W695" s="64"/>
    </row>
    <row r="696" spans="1:23" x14ac:dyDescent="0.25">
      <c r="A696" s="63"/>
      <c r="B696" s="64"/>
      <c r="C696" s="64"/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4"/>
      <c r="S696" s="28"/>
      <c r="V696" s="99"/>
      <c r="W696" s="64"/>
    </row>
    <row r="697" spans="1:23" x14ac:dyDescent="0.25">
      <c r="A697" s="63"/>
      <c r="B697" s="64"/>
      <c r="C697" s="64"/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4"/>
      <c r="S697" s="28"/>
      <c r="V697" s="99"/>
      <c r="W697" s="64"/>
    </row>
    <row r="698" spans="1:23" x14ac:dyDescent="0.25">
      <c r="A698" s="63"/>
      <c r="B698" s="64"/>
      <c r="C698" s="64"/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4"/>
      <c r="S698" s="28"/>
      <c r="V698" s="99"/>
      <c r="W698" s="64"/>
    </row>
    <row r="699" spans="1:23" x14ac:dyDescent="0.25">
      <c r="A699" s="63"/>
      <c r="B699" s="64"/>
      <c r="C699" s="64"/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4"/>
      <c r="S699" s="28"/>
      <c r="V699" s="99"/>
      <c r="W699" s="64"/>
    </row>
    <row r="700" spans="1:23" x14ac:dyDescent="0.25">
      <c r="A700" s="63"/>
      <c r="B700" s="64"/>
      <c r="C700" s="64"/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4"/>
      <c r="S700" s="28"/>
      <c r="V700" s="99"/>
      <c r="W700" s="64"/>
    </row>
    <row r="701" spans="1:23" x14ac:dyDescent="0.25">
      <c r="A701" s="63"/>
      <c r="B701" s="64"/>
      <c r="C701" s="64"/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4"/>
      <c r="S701" s="28"/>
      <c r="V701" s="99"/>
      <c r="W701" s="64"/>
    </row>
    <row r="702" spans="1:23" x14ac:dyDescent="0.25">
      <c r="A702" s="63"/>
      <c r="B702" s="64"/>
      <c r="C702" s="64"/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4"/>
      <c r="S702" s="28"/>
      <c r="V702" s="99"/>
      <c r="W702" s="64"/>
    </row>
    <row r="703" spans="1:23" x14ac:dyDescent="0.25">
      <c r="A703" s="63"/>
      <c r="B703" s="64"/>
      <c r="C703" s="64"/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4"/>
      <c r="S703" s="28"/>
      <c r="V703" s="99"/>
      <c r="W703" s="64"/>
    </row>
    <row r="704" spans="1:23" x14ac:dyDescent="0.25">
      <c r="A704" s="63"/>
      <c r="B704" s="64"/>
      <c r="C704" s="64"/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4"/>
      <c r="S704" s="28"/>
      <c r="V704" s="99"/>
      <c r="W704" s="64"/>
    </row>
    <row r="705" spans="1:23" x14ac:dyDescent="0.25">
      <c r="A705" s="63"/>
      <c r="B705" s="64"/>
      <c r="C705" s="64"/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4"/>
      <c r="S705" s="28"/>
      <c r="V705" s="99"/>
      <c r="W705" s="64"/>
    </row>
    <row r="706" spans="1:23" x14ac:dyDescent="0.25">
      <c r="A706" s="63"/>
      <c r="B706" s="64"/>
      <c r="C706" s="64"/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4"/>
      <c r="S706" s="28"/>
      <c r="V706" s="99"/>
      <c r="W706" s="64"/>
    </row>
    <row r="707" spans="1:23" x14ac:dyDescent="0.25">
      <c r="A707" s="63"/>
      <c r="B707" s="64"/>
      <c r="C707" s="64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4"/>
      <c r="S707" s="28"/>
      <c r="V707" s="99"/>
      <c r="W707" s="64"/>
    </row>
    <row r="708" spans="1:23" x14ac:dyDescent="0.25">
      <c r="A708" s="63"/>
      <c r="B708" s="64"/>
      <c r="C708" s="64"/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4"/>
      <c r="S708" s="28"/>
      <c r="V708" s="99"/>
      <c r="W708" s="64"/>
    </row>
    <row r="709" spans="1:23" x14ac:dyDescent="0.25">
      <c r="A709" s="63"/>
      <c r="B709" s="64"/>
      <c r="C709" s="64"/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4"/>
      <c r="S709" s="28"/>
      <c r="V709" s="99"/>
      <c r="W709" s="64"/>
    </row>
    <row r="710" spans="1:23" x14ac:dyDescent="0.25">
      <c r="A710" s="63"/>
      <c r="B710" s="64"/>
      <c r="C710" s="64"/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4"/>
      <c r="S710" s="28"/>
      <c r="V710" s="99"/>
      <c r="W710" s="64"/>
    </row>
    <row r="711" spans="1:23" x14ac:dyDescent="0.25">
      <c r="A711" s="63"/>
      <c r="B711" s="64"/>
      <c r="C711" s="64"/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4"/>
      <c r="S711" s="28"/>
      <c r="V711" s="99"/>
      <c r="W711" s="64"/>
    </row>
    <row r="712" spans="1:23" x14ac:dyDescent="0.25">
      <c r="A712" s="63"/>
      <c r="B712" s="64"/>
      <c r="C712" s="64"/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4"/>
      <c r="S712" s="28"/>
      <c r="V712" s="99"/>
      <c r="W712" s="64"/>
    </row>
    <row r="713" spans="1:23" x14ac:dyDescent="0.25">
      <c r="A713" s="63"/>
      <c r="B713" s="64"/>
      <c r="C713" s="64"/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4"/>
      <c r="S713" s="28"/>
      <c r="V713" s="99"/>
      <c r="W713" s="64"/>
    </row>
    <row r="714" spans="1:23" x14ac:dyDescent="0.25">
      <c r="A714" s="63"/>
      <c r="B714" s="64"/>
      <c r="C714" s="64"/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4"/>
      <c r="S714" s="28"/>
      <c r="V714" s="99"/>
      <c r="W714" s="64"/>
    </row>
    <row r="715" spans="1:23" x14ac:dyDescent="0.25">
      <c r="A715" s="63"/>
      <c r="B715" s="64"/>
      <c r="C715" s="64"/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4"/>
      <c r="S715" s="28"/>
      <c r="V715" s="99"/>
      <c r="W715" s="64"/>
    </row>
    <row r="716" spans="1:23" x14ac:dyDescent="0.25">
      <c r="A716" s="63"/>
      <c r="B716" s="64"/>
      <c r="C716" s="64"/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4"/>
      <c r="S716" s="28"/>
      <c r="V716" s="99"/>
      <c r="W716" s="64"/>
    </row>
    <row r="717" spans="1:23" x14ac:dyDescent="0.25">
      <c r="A717" s="63"/>
      <c r="B717" s="64"/>
      <c r="C717" s="64"/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4"/>
      <c r="S717" s="28"/>
      <c r="V717" s="99"/>
      <c r="W717" s="64"/>
    </row>
    <row r="718" spans="1:23" x14ac:dyDescent="0.25">
      <c r="A718" s="63"/>
      <c r="B718" s="64"/>
      <c r="C718" s="64"/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4"/>
      <c r="S718" s="28"/>
      <c r="V718" s="99"/>
      <c r="W718" s="64"/>
    </row>
    <row r="719" spans="1:23" x14ac:dyDescent="0.25">
      <c r="A719" s="63"/>
      <c r="B719" s="64"/>
      <c r="C719" s="64"/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4"/>
      <c r="S719" s="28"/>
      <c r="V719" s="99"/>
      <c r="W719" s="64"/>
    </row>
    <row r="720" spans="1:23" x14ac:dyDescent="0.25">
      <c r="A720" s="63"/>
      <c r="B720" s="64"/>
      <c r="C720" s="64"/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4"/>
      <c r="S720" s="28"/>
      <c r="V720" s="99"/>
      <c r="W720" s="64"/>
    </row>
    <row r="721" spans="1:23" x14ac:dyDescent="0.25">
      <c r="A721" s="63"/>
      <c r="B721" s="64"/>
      <c r="C721" s="64"/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4"/>
      <c r="S721" s="28"/>
      <c r="V721" s="99"/>
      <c r="W721" s="64"/>
    </row>
    <row r="722" spans="1:23" x14ac:dyDescent="0.25">
      <c r="A722" s="63"/>
      <c r="B722" s="64"/>
      <c r="C722" s="64"/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4"/>
      <c r="S722" s="28"/>
      <c r="V722" s="99"/>
      <c r="W722" s="64"/>
    </row>
    <row r="723" spans="1:23" x14ac:dyDescent="0.25">
      <c r="A723" s="63"/>
      <c r="B723" s="64"/>
      <c r="C723" s="64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4"/>
      <c r="S723" s="28"/>
      <c r="V723" s="99"/>
      <c r="W723" s="64"/>
    </row>
    <row r="724" spans="1:23" x14ac:dyDescent="0.25">
      <c r="A724" s="63"/>
      <c r="B724" s="64"/>
      <c r="C724" s="64"/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4"/>
      <c r="S724" s="28"/>
      <c r="V724" s="99"/>
      <c r="W724" s="64"/>
    </row>
    <row r="725" spans="1:23" x14ac:dyDescent="0.25">
      <c r="A725" s="63"/>
      <c r="B725" s="64"/>
      <c r="C725" s="64"/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4"/>
      <c r="S725" s="28"/>
      <c r="V725" s="99"/>
      <c r="W725" s="64"/>
    </row>
    <row r="726" spans="1:23" x14ac:dyDescent="0.25">
      <c r="A726" s="63"/>
      <c r="B726" s="64"/>
      <c r="C726" s="64"/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4"/>
      <c r="S726" s="28"/>
      <c r="V726" s="99"/>
      <c r="W726" s="64"/>
    </row>
    <row r="727" spans="1:23" x14ac:dyDescent="0.25">
      <c r="A727" s="63"/>
      <c r="B727" s="64"/>
      <c r="C727" s="64"/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4"/>
      <c r="S727" s="28"/>
      <c r="V727" s="99"/>
      <c r="W727" s="64"/>
    </row>
    <row r="728" spans="1:23" x14ac:dyDescent="0.25">
      <c r="A728" s="63"/>
      <c r="B728" s="64"/>
      <c r="C728" s="64"/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4"/>
      <c r="S728" s="28"/>
      <c r="V728" s="99"/>
      <c r="W728" s="64"/>
    </row>
    <row r="729" spans="1:23" x14ac:dyDescent="0.25">
      <c r="A729" s="63"/>
      <c r="B729" s="64"/>
      <c r="C729" s="64"/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4"/>
      <c r="S729" s="28"/>
      <c r="V729" s="99"/>
      <c r="W729" s="64"/>
    </row>
    <row r="730" spans="1:23" x14ac:dyDescent="0.25">
      <c r="A730" s="63"/>
      <c r="B730" s="64"/>
      <c r="C730" s="64"/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4"/>
      <c r="S730" s="28"/>
      <c r="V730" s="99"/>
      <c r="W730" s="64"/>
    </row>
    <row r="731" spans="1:23" x14ac:dyDescent="0.25">
      <c r="A731" s="63"/>
      <c r="B731" s="64"/>
      <c r="C731" s="64"/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4"/>
      <c r="S731" s="28"/>
      <c r="V731" s="99"/>
      <c r="W731" s="64"/>
    </row>
    <row r="732" spans="1:23" x14ac:dyDescent="0.25">
      <c r="A732" s="63"/>
      <c r="B732" s="64"/>
      <c r="C732" s="64"/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4"/>
      <c r="S732" s="28"/>
      <c r="V732" s="99"/>
      <c r="W732" s="64"/>
    </row>
    <row r="733" spans="1:23" x14ac:dyDescent="0.25">
      <c r="A733" s="63"/>
      <c r="B733" s="64"/>
      <c r="C733" s="64"/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4"/>
      <c r="S733" s="28"/>
      <c r="V733" s="99"/>
      <c r="W733" s="64"/>
    </row>
    <row r="734" spans="1:23" x14ac:dyDescent="0.25">
      <c r="A734" s="63"/>
      <c r="B734" s="64"/>
      <c r="C734" s="64"/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4"/>
      <c r="S734" s="28"/>
      <c r="V734" s="99"/>
      <c r="W734" s="64"/>
    </row>
    <row r="735" spans="1:23" x14ac:dyDescent="0.25">
      <c r="A735" s="63"/>
      <c r="B735" s="64"/>
      <c r="C735" s="64"/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4"/>
      <c r="S735" s="28"/>
      <c r="V735" s="99"/>
      <c r="W735" s="64"/>
    </row>
    <row r="736" spans="1:23" x14ac:dyDescent="0.25">
      <c r="A736" s="63"/>
      <c r="B736" s="64"/>
      <c r="C736" s="64"/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4"/>
      <c r="S736" s="28"/>
      <c r="V736" s="99"/>
      <c r="W736" s="64"/>
    </row>
    <row r="737" spans="1:23" x14ac:dyDescent="0.25">
      <c r="A737" s="63"/>
      <c r="B737" s="64"/>
      <c r="C737" s="64"/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4"/>
      <c r="S737" s="28"/>
      <c r="V737" s="99"/>
      <c r="W737" s="64"/>
    </row>
    <row r="738" spans="1:23" x14ac:dyDescent="0.25">
      <c r="A738" s="63"/>
      <c r="B738" s="64"/>
      <c r="C738" s="64"/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4"/>
      <c r="S738" s="28"/>
      <c r="V738" s="99"/>
      <c r="W738" s="64"/>
    </row>
    <row r="739" spans="1:23" x14ac:dyDescent="0.25">
      <c r="A739" s="63"/>
      <c r="B739" s="64"/>
      <c r="C739" s="64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4"/>
      <c r="S739" s="28"/>
      <c r="V739" s="99"/>
      <c r="W739" s="64"/>
    </row>
    <row r="740" spans="1:23" x14ac:dyDescent="0.25">
      <c r="A740" s="63"/>
      <c r="B740" s="64"/>
      <c r="C740" s="64"/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4"/>
      <c r="S740" s="28"/>
      <c r="V740" s="99"/>
      <c r="W740" s="64"/>
    </row>
    <row r="741" spans="1:23" x14ac:dyDescent="0.25">
      <c r="A741" s="63"/>
      <c r="B741" s="64"/>
      <c r="C741" s="64"/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4"/>
      <c r="S741" s="28"/>
      <c r="V741" s="99"/>
      <c r="W741" s="64"/>
    </row>
    <row r="742" spans="1:23" x14ac:dyDescent="0.25">
      <c r="A742" s="63"/>
      <c r="B742" s="64"/>
      <c r="C742" s="64"/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4"/>
      <c r="S742" s="28"/>
      <c r="V742" s="99"/>
      <c r="W742" s="64"/>
    </row>
    <row r="743" spans="1:23" x14ac:dyDescent="0.25">
      <c r="A743" s="63"/>
      <c r="B743" s="64"/>
      <c r="C743" s="64"/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4"/>
      <c r="S743" s="28"/>
      <c r="V743" s="99"/>
      <c r="W743" s="64"/>
    </row>
    <row r="744" spans="1:23" x14ac:dyDescent="0.25">
      <c r="A744" s="63"/>
      <c r="B744" s="64"/>
      <c r="C744" s="64"/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4"/>
      <c r="S744" s="28"/>
      <c r="V744" s="99"/>
      <c r="W744" s="64"/>
    </row>
    <row r="745" spans="1:23" x14ac:dyDescent="0.25">
      <c r="A745" s="63"/>
      <c r="B745" s="64"/>
      <c r="C745" s="64"/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4"/>
      <c r="S745" s="28"/>
      <c r="V745" s="99"/>
      <c r="W745" s="64"/>
    </row>
    <row r="746" spans="1:23" x14ac:dyDescent="0.25">
      <c r="A746" s="63"/>
      <c r="B746" s="64"/>
      <c r="C746" s="64"/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4"/>
      <c r="S746" s="28"/>
      <c r="V746" s="99"/>
      <c r="W746" s="64"/>
    </row>
    <row r="747" spans="1:23" x14ac:dyDescent="0.25">
      <c r="A747" s="63"/>
      <c r="B747" s="64"/>
      <c r="C747" s="64"/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4"/>
      <c r="S747" s="28"/>
      <c r="V747" s="99"/>
      <c r="W747" s="64"/>
    </row>
    <row r="748" spans="1:23" x14ac:dyDescent="0.25">
      <c r="A748" s="63"/>
      <c r="B748" s="64"/>
      <c r="C748" s="64"/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4"/>
      <c r="S748" s="28"/>
      <c r="V748" s="99"/>
      <c r="W748" s="64"/>
    </row>
    <row r="749" spans="1:23" x14ac:dyDescent="0.25">
      <c r="A749" s="63"/>
      <c r="B749" s="64"/>
      <c r="C749" s="64"/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4"/>
      <c r="S749" s="28"/>
      <c r="V749" s="99"/>
      <c r="W749" s="64"/>
    </row>
    <row r="750" spans="1:23" x14ac:dyDescent="0.25">
      <c r="A750" s="63"/>
      <c r="B750" s="64"/>
      <c r="C750" s="64"/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4"/>
      <c r="S750" s="28"/>
      <c r="V750" s="99"/>
      <c r="W750" s="64"/>
    </row>
    <row r="751" spans="1:23" x14ac:dyDescent="0.25">
      <c r="A751" s="63"/>
      <c r="B751" s="64"/>
      <c r="C751" s="64"/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4"/>
      <c r="S751" s="28"/>
      <c r="V751" s="99"/>
      <c r="W751" s="64"/>
    </row>
    <row r="752" spans="1:23" x14ac:dyDescent="0.25">
      <c r="A752" s="63"/>
      <c r="B752" s="64"/>
      <c r="C752" s="64"/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4"/>
      <c r="S752" s="28"/>
      <c r="V752" s="99"/>
      <c r="W752" s="64"/>
    </row>
    <row r="753" spans="1:23" x14ac:dyDescent="0.25">
      <c r="A753" s="63"/>
      <c r="B753" s="64"/>
      <c r="C753" s="64"/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4"/>
      <c r="S753" s="28"/>
      <c r="V753" s="99"/>
      <c r="W753" s="64"/>
    </row>
    <row r="754" spans="1:23" x14ac:dyDescent="0.25">
      <c r="A754" s="63"/>
      <c r="B754" s="64"/>
      <c r="C754" s="64"/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4"/>
      <c r="S754" s="28"/>
      <c r="V754" s="99"/>
      <c r="W754" s="64"/>
    </row>
    <row r="755" spans="1:23" x14ac:dyDescent="0.25">
      <c r="A755" s="63"/>
      <c r="B755" s="64"/>
      <c r="C755" s="64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4"/>
      <c r="S755" s="28"/>
      <c r="V755" s="99"/>
      <c r="W755" s="64"/>
    </row>
    <row r="756" spans="1:23" x14ac:dyDescent="0.25">
      <c r="A756" s="63"/>
      <c r="B756" s="64"/>
      <c r="C756" s="64"/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4"/>
      <c r="S756" s="28"/>
      <c r="V756" s="99"/>
      <c r="W756" s="64"/>
    </row>
    <row r="757" spans="1:23" x14ac:dyDescent="0.25">
      <c r="A757" s="63"/>
      <c r="B757" s="64"/>
      <c r="C757" s="64"/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4"/>
      <c r="S757" s="28"/>
      <c r="V757" s="99"/>
      <c r="W757" s="64"/>
    </row>
    <row r="758" spans="1:23" x14ac:dyDescent="0.25">
      <c r="A758" s="63"/>
      <c r="B758" s="64"/>
      <c r="C758" s="64"/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4"/>
      <c r="S758" s="28"/>
      <c r="V758" s="99"/>
      <c r="W758" s="64"/>
    </row>
    <row r="759" spans="1:23" x14ac:dyDescent="0.25">
      <c r="A759" s="63"/>
      <c r="B759" s="64"/>
      <c r="C759" s="64"/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4"/>
      <c r="S759" s="28"/>
      <c r="V759" s="99"/>
      <c r="W759" s="64"/>
    </row>
    <row r="760" spans="1:23" x14ac:dyDescent="0.25">
      <c r="A760" s="63"/>
      <c r="B760" s="64"/>
      <c r="C760" s="64"/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4"/>
      <c r="S760" s="28"/>
      <c r="V760" s="99"/>
      <c r="W760" s="64"/>
    </row>
    <row r="761" spans="1:23" x14ac:dyDescent="0.25">
      <c r="A761" s="63"/>
      <c r="B761" s="64"/>
      <c r="C761" s="64"/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4"/>
      <c r="S761" s="28"/>
      <c r="V761" s="99"/>
      <c r="W761" s="64"/>
    </row>
    <row r="762" spans="1:23" x14ac:dyDescent="0.25">
      <c r="A762" s="63"/>
      <c r="B762" s="64"/>
      <c r="C762" s="64"/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4"/>
      <c r="S762" s="28"/>
      <c r="V762" s="99"/>
      <c r="W762" s="64"/>
    </row>
    <row r="763" spans="1:23" x14ac:dyDescent="0.25">
      <c r="A763" s="63"/>
      <c r="B763" s="64"/>
      <c r="C763" s="64"/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4"/>
      <c r="S763" s="28"/>
      <c r="V763" s="99"/>
      <c r="W763" s="64"/>
    </row>
    <row r="764" spans="1:23" x14ac:dyDescent="0.25">
      <c r="A764" s="63"/>
      <c r="B764" s="64"/>
      <c r="C764" s="64"/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4"/>
      <c r="S764" s="28"/>
      <c r="V764" s="99"/>
      <c r="W764" s="64"/>
    </row>
    <row r="765" spans="1:23" x14ac:dyDescent="0.25">
      <c r="A765" s="63"/>
      <c r="B765" s="64"/>
      <c r="C765" s="64"/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4"/>
      <c r="S765" s="28"/>
      <c r="V765" s="99"/>
      <c r="W765" s="64"/>
    </row>
    <row r="766" spans="1:23" x14ac:dyDescent="0.25">
      <c r="A766" s="63"/>
      <c r="B766" s="64"/>
      <c r="C766" s="64"/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4"/>
      <c r="S766" s="28"/>
      <c r="V766" s="99"/>
      <c r="W766" s="64"/>
    </row>
    <row r="767" spans="1:23" x14ac:dyDescent="0.25">
      <c r="A767" s="63"/>
      <c r="B767" s="64"/>
      <c r="C767" s="64"/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4"/>
      <c r="S767" s="28"/>
      <c r="V767" s="99"/>
      <c r="W767" s="64"/>
    </row>
    <row r="768" spans="1:23" x14ac:dyDescent="0.25">
      <c r="A768" s="63"/>
      <c r="B768" s="64"/>
      <c r="C768" s="64"/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4"/>
      <c r="S768" s="28"/>
      <c r="V768" s="99"/>
      <c r="W768" s="64"/>
    </row>
    <row r="769" spans="1:23" x14ac:dyDescent="0.25">
      <c r="A769" s="63"/>
      <c r="B769" s="64"/>
      <c r="C769" s="64"/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4"/>
      <c r="S769" s="28"/>
      <c r="V769" s="99"/>
      <c r="W769" s="64"/>
    </row>
    <row r="770" spans="1:23" x14ac:dyDescent="0.25">
      <c r="A770" s="63"/>
      <c r="B770" s="64"/>
      <c r="C770" s="64"/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4"/>
      <c r="S770" s="28"/>
      <c r="V770" s="99"/>
      <c r="W770" s="64"/>
    </row>
    <row r="771" spans="1:23" x14ac:dyDescent="0.25">
      <c r="A771" s="63"/>
      <c r="B771" s="64"/>
      <c r="C771" s="64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4"/>
      <c r="S771" s="28"/>
      <c r="V771" s="99"/>
      <c r="W771" s="64"/>
    </row>
    <row r="772" spans="1:23" x14ac:dyDescent="0.25">
      <c r="A772" s="63"/>
      <c r="B772" s="64"/>
      <c r="C772" s="64"/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4"/>
      <c r="S772" s="28"/>
      <c r="V772" s="99"/>
      <c r="W772" s="64"/>
    </row>
    <row r="773" spans="1:23" x14ac:dyDescent="0.25">
      <c r="A773" s="63"/>
      <c r="B773" s="64"/>
      <c r="C773" s="64"/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4"/>
      <c r="S773" s="28"/>
      <c r="V773" s="99"/>
      <c r="W773" s="64"/>
    </row>
    <row r="774" spans="1:23" x14ac:dyDescent="0.25">
      <c r="A774" s="63"/>
      <c r="B774" s="64"/>
      <c r="C774" s="64"/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4"/>
      <c r="S774" s="28"/>
      <c r="V774" s="99"/>
      <c r="W774" s="64"/>
    </row>
    <row r="775" spans="1:23" x14ac:dyDescent="0.25">
      <c r="A775" s="63"/>
      <c r="B775" s="64"/>
      <c r="C775" s="64"/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4"/>
      <c r="S775" s="28"/>
      <c r="V775" s="99"/>
      <c r="W775" s="64"/>
    </row>
    <row r="776" spans="1:23" x14ac:dyDescent="0.25">
      <c r="A776" s="63"/>
      <c r="B776" s="64"/>
      <c r="C776" s="64"/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4"/>
      <c r="S776" s="28"/>
      <c r="V776" s="99"/>
      <c r="W776" s="64"/>
    </row>
    <row r="777" spans="1:23" x14ac:dyDescent="0.25">
      <c r="A777" s="63"/>
      <c r="B777" s="64"/>
      <c r="C777" s="64"/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4"/>
      <c r="S777" s="28"/>
      <c r="V777" s="99"/>
      <c r="W777" s="64"/>
    </row>
    <row r="778" spans="1:23" x14ac:dyDescent="0.25">
      <c r="A778" s="63"/>
      <c r="B778" s="64"/>
      <c r="C778" s="64"/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4"/>
      <c r="S778" s="28"/>
      <c r="V778" s="99"/>
      <c r="W778" s="64"/>
    </row>
    <row r="779" spans="1:23" x14ac:dyDescent="0.25">
      <c r="A779" s="63"/>
      <c r="B779" s="64"/>
      <c r="C779" s="64"/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4"/>
      <c r="S779" s="28"/>
      <c r="V779" s="99"/>
      <c r="W779" s="64"/>
    </row>
    <row r="780" spans="1:23" x14ac:dyDescent="0.25">
      <c r="A780" s="63"/>
      <c r="B780" s="64"/>
      <c r="C780" s="64"/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4"/>
      <c r="S780" s="28"/>
    </row>
    <row r="781" spans="1:23" x14ac:dyDescent="0.25">
      <c r="A781" s="63"/>
      <c r="B781" s="64"/>
      <c r="C781" s="64"/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4"/>
      <c r="S781" s="28"/>
    </row>
    <row r="782" spans="1:23" x14ac:dyDescent="0.25">
      <c r="A782" s="63"/>
      <c r="B782" s="64"/>
      <c r="C782" s="64"/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4"/>
      <c r="S782" s="28"/>
    </row>
    <row r="783" spans="1:23" x14ac:dyDescent="0.25">
      <c r="A783" s="63"/>
      <c r="B783" s="64"/>
      <c r="C783" s="64"/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4"/>
      <c r="S783" s="28"/>
    </row>
    <row r="784" spans="1:23" x14ac:dyDescent="0.25">
      <c r="A784" s="63"/>
      <c r="B784" s="64"/>
      <c r="C784" s="64"/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4"/>
      <c r="S784" s="28"/>
    </row>
    <row r="785" spans="1:19" x14ac:dyDescent="0.25">
      <c r="A785" s="63"/>
      <c r="B785" s="64"/>
      <c r="C785" s="64"/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4"/>
      <c r="S785" s="28"/>
    </row>
    <row r="786" spans="1:19" x14ac:dyDescent="0.25">
      <c r="A786" s="63"/>
      <c r="B786" s="64"/>
      <c r="C786" s="64"/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4"/>
      <c r="S786" s="28"/>
    </row>
    <row r="787" spans="1:19" x14ac:dyDescent="0.25">
      <c r="A787" s="63"/>
      <c r="B787" s="64"/>
      <c r="C787" s="64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4"/>
      <c r="S787" s="28"/>
    </row>
    <row r="788" spans="1:19" x14ac:dyDescent="0.25">
      <c r="A788" s="63"/>
      <c r="B788" s="64"/>
      <c r="C788" s="64"/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4"/>
      <c r="S788" s="28"/>
    </row>
    <row r="789" spans="1:19" x14ac:dyDescent="0.25">
      <c r="A789" s="63"/>
      <c r="B789" s="64"/>
      <c r="C789" s="64"/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4"/>
      <c r="S789" s="28"/>
    </row>
    <row r="790" spans="1:19" x14ac:dyDescent="0.25">
      <c r="A790" s="63"/>
      <c r="B790" s="64"/>
      <c r="C790" s="64"/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4"/>
      <c r="S790" s="28"/>
    </row>
    <row r="791" spans="1:19" x14ac:dyDescent="0.25">
      <c r="A791" s="63"/>
      <c r="B791" s="64"/>
      <c r="C791" s="64"/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4"/>
      <c r="S791" s="28"/>
    </row>
    <row r="792" spans="1:19" x14ac:dyDescent="0.25">
      <c r="A792" s="63"/>
      <c r="B792" s="64"/>
      <c r="C792" s="64"/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4"/>
      <c r="S792" s="28"/>
    </row>
    <row r="793" spans="1:19" x14ac:dyDescent="0.25">
      <c r="A793" s="63"/>
      <c r="B793" s="64"/>
      <c r="C793" s="64"/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4"/>
      <c r="S793" s="28"/>
    </row>
    <row r="794" spans="1:19" x14ac:dyDescent="0.25">
      <c r="A794" s="63"/>
      <c r="B794" s="64"/>
      <c r="C794" s="64"/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4"/>
      <c r="S794" s="28"/>
    </row>
    <row r="795" spans="1:19" x14ac:dyDescent="0.25">
      <c r="A795" s="63"/>
      <c r="B795" s="64"/>
      <c r="C795" s="64"/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4"/>
      <c r="S795" s="28"/>
    </row>
    <row r="796" spans="1:19" x14ac:dyDescent="0.25">
      <c r="A796" s="63"/>
      <c r="B796" s="64"/>
      <c r="C796" s="64"/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4"/>
      <c r="S796" s="28"/>
    </row>
    <row r="797" spans="1:19" x14ac:dyDescent="0.25">
      <c r="A797" s="63"/>
      <c r="B797" s="64"/>
      <c r="C797" s="64"/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4"/>
      <c r="S797" s="28"/>
    </row>
    <row r="798" spans="1:19" x14ac:dyDescent="0.25">
      <c r="A798" s="63"/>
      <c r="B798" s="64"/>
      <c r="C798" s="64"/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4"/>
      <c r="S798" s="28"/>
    </row>
    <row r="799" spans="1:19" x14ac:dyDescent="0.25">
      <c r="A799" s="63"/>
      <c r="B799" s="64"/>
      <c r="C799" s="64"/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4"/>
      <c r="S799" s="28"/>
    </row>
    <row r="800" spans="1:19" x14ac:dyDescent="0.25">
      <c r="A800" s="63"/>
      <c r="B800" s="64"/>
      <c r="C800" s="64"/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4"/>
      <c r="S800" s="28"/>
    </row>
    <row r="801" spans="1:19" x14ac:dyDescent="0.25">
      <c r="A801" s="63"/>
      <c r="B801" s="64"/>
      <c r="C801" s="64"/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4"/>
      <c r="S801" s="28"/>
    </row>
    <row r="802" spans="1:19" x14ac:dyDescent="0.25">
      <c r="A802" s="63"/>
      <c r="B802" s="64"/>
      <c r="C802" s="64"/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4"/>
      <c r="S802" s="28"/>
    </row>
    <row r="803" spans="1:19" x14ac:dyDescent="0.25">
      <c r="A803" s="63"/>
      <c r="B803" s="64"/>
      <c r="C803" s="64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4"/>
      <c r="S803" s="28"/>
    </row>
    <row r="804" spans="1:19" x14ac:dyDescent="0.25">
      <c r="A804" s="63"/>
      <c r="B804" s="64"/>
      <c r="C804" s="64"/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4"/>
      <c r="S804" s="28"/>
    </row>
    <row r="805" spans="1:19" x14ac:dyDescent="0.25">
      <c r="A805" s="63"/>
      <c r="B805" s="64"/>
      <c r="C805" s="64"/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4"/>
      <c r="S805" s="28"/>
    </row>
    <row r="806" spans="1:19" x14ac:dyDescent="0.25">
      <c r="A806" s="63"/>
      <c r="B806" s="64"/>
      <c r="C806" s="64"/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4"/>
      <c r="S806" s="28"/>
    </row>
    <row r="807" spans="1:19" x14ac:dyDescent="0.25">
      <c r="A807" s="63"/>
      <c r="B807" s="64"/>
      <c r="C807" s="64"/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4"/>
      <c r="S807" s="28"/>
    </row>
    <row r="808" spans="1:19" x14ac:dyDescent="0.25">
      <c r="A808" s="63"/>
      <c r="B808" s="64"/>
      <c r="C808" s="64"/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4"/>
      <c r="S808" s="28"/>
    </row>
    <row r="809" spans="1:19" x14ac:dyDescent="0.25">
      <c r="A809" s="63"/>
      <c r="B809" s="64"/>
      <c r="C809" s="64"/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4"/>
      <c r="S809" s="28"/>
    </row>
    <row r="810" spans="1:19" x14ac:dyDescent="0.25">
      <c r="A810" s="63"/>
      <c r="B810" s="64"/>
      <c r="C810" s="64"/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4"/>
      <c r="S810" s="28"/>
    </row>
    <row r="811" spans="1:19" x14ac:dyDescent="0.25">
      <c r="A811" s="63"/>
      <c r="B811" s="64"/>
      <c r="C811" s="64"/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4"/>
      <c r="S811" s="28"/>
    </row>
    <row r="812" spans="1:19" x14ac:dyDescent="0.25">
      <c r="A812" s="63"/>
      <c r="B812" s="64"/>
      <c r="C812" s="64"/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4"/>
      <c r="S812" s="28"/>
    </row>
    <row r="813" spans="1:19" x14ac:dyDescent="0.25">
      <c r="A813" s="63"/>
      <c r="B813" s="64"/>
      <c r="C813" s="64"/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4"/>
      <c r="S813" s="28"/>
    </row>
    <row r="814" spans="1:19" x14ac:dyDescent="0.25">
      <c r="A814" s="63"/>
      <c r="B814" s="64"/>
      <c r="C814" s="64"/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4"/>
      <c r="S814" s="28"/>
    </row>
    <row r="815" spans="1:19" x14ac:dyDescent="0.25">
      <c r="A815" s="63"/>
      <c r="B815" s="64"/>
      <c r="C815" s="64"/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4"/>
      <c r="S815" s="28"/>
    </row>
    <row r="816" spans="1:19" x14ac:dyDescent="0.25">
      <c r="A816" s="63"/>
      <c r="B816" s="64"/>
      <c r="C816" s="64"/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4"/>
      <c r="S816" s="28"/>
    </row>
    <row r="817" spans="1:19" x14ac:dyDescent="0.25">
      <c r="A817" s="63"/>
      <c r="B817" s="64"/>
      <c r="C817" s="64"/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4"/>
      <c r="S817" s="28"/>
    </row>
    <row r="818" spans="1:19" x14ac:dyDescent="0.25">
      <c r="A818" s="63"/>
      <c r="B818" s="64"/>
      <c r="C818" s="64"/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4"/>
      <c r="S818" s="28"/>
    </row>
    <row r="819" spans="1:19" x14ac:dyDescent="0.25">
      <c r="A819" s="63"/>
      <c r="B819" s="64"/>
      <c r="C819" s="64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4"/>
      <c r="S819" s="28"/>
    </row>
    <row r="820" spans="1:19" x14ac:dyDescent="0.25">
      <c r="A820" s="63"/>
      <c r="B820" s="64"/>
      <c r="C820" s="64"/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4"/>
      <c r="S820" s="28"/>
    </row>
    <row r="821" spans="1:19" x14ac:dyDescent="0.25">
      <c r="A821" s="63"/>
      <c r="B821" s="64"/>
      <c r="C821" s="64"/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4"/>
      <c r="S821" s="28"/>
    </row>
    <row r="822" spans="1:19" x14ac:dyDescent="0.25">
      <c r="A822" s="63"/>
      <c r="B822" s="64"/>
      <c r="C822" s="64"/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4"/>
      <c r="S822" s="28"/>
    </row>
    <row r="823" spans="1:19" x14ac:dyDescent="0.25">
      <c r="A823" s="63"/>
      <c r="B823" s="64"/>
      <c r="C823" s="64"/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4"/>
      <c r="S823" s="28"/>
    </row>
    <row r="824" spans="1:19" x14ac:dyDescent="0.25">
      <c r="A824" s="63"/>
      <c r="B824" s="64"/>
      <c r="C824" s="64"/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4"/>
      <c r="S824" s="28"/>
    </row>
    <row r="825" spans="1:19" x14ac:dyDescent="0.25">
      <c r="A825" s="63"/>
      <c r="B825" s="64"/>
      <c r="C825" s="64"/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4"/>
      <c r="S825" s="28"/>
    </row>
    <row r="826" spans="1:19" x14ac:dyDescent="0.25">
      <c r="A826" s="63"/>
      <c r="B826" s="64"/>
      <c r="C826" s="64"/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4"/>
      <c r="S826" s="28"/>
    </row>
    <row r="827" spans="1:19" x14ac:dyDescent="0.25">
      <c r="A827" s="63"/>
      <c r="B827" s="64"/>
      <c r="C827" s="64"/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4"/>
      <c r="S827" s="28"/>
    </row>
    <row r="828" spans="1:19" x14ac:dyDescent="0.25">
      <c r="A828" s="63"/>
      <c r="B828" s="64"/>
      <c r="C828" s="64"/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4"/>
      <c r="S828" s="28"/>
    </row>
    <row r="829" spans="1:19" x14ac:dyDescent="0.25">
      <c r="A829" s="63"/>
      <c r="B829" s="64"/>
      <c r="C829" s="64"/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4"/>
      <c r="S829" s="28"/>
    </row>
    <row r="830" spans="1:19" x14ac:dyDescent="0.25">
      <c r="A830" s="63"/>
      <c r="B830" s="64"/>
      <c r="C830" s="64"/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4"/>
      <c r="S830" s="28"/>
    </row>
    <row r="831" spans="1:19" x14ac:dyDescent="0.25">
      <c r="A831" s="63"/>
      <c r="B831" s="64"/>
      <c r="C831" s="64"/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4"/>
      <c r="S831" s="28"/>
    </row>
    <row r="832" spans="1:19" x14ac:dyDescent="0.25">
      <c r="A832" s="63"/>
      <c r="B832" s="64"/>
      <c r="C832" s="64"/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4"/>
      <c r="S832" s="28"/>
    </row>
    <row r="833" spans="1:19" x14ac:dyDescent="0.25">
      <c r="A833" s="63"/>
      <c r="B833" s="64"/>
      <c r="C833" s="64"/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4"/>
      <c r="S833" s="28"/>
    </row>
    <row r="834" spans="1:19" x14ac:dyDescent="0.25">
      <c r="A834" s="63"/>
      <c r="B834" s="64"/>
      <c r="C834" s="64"/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4"/>
      <c r="S834" s="28"/>
    </row>
    <row r="835" spans="1:19" x14ac:dyDescent="0.25">
      <c r="A835" s="63"/>
      <c r="B835" s="64"/>
      <c r="C835" s="64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4"/>
      <c r="S835" s="28"/>
    </row>
    <row r="836" spans="1:19" x14ac:dyDescent="0.25">
      <c r="A836" s="63"/>
      <c r="B836" s="64"/>
      <c r="C836" s="64"/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4"/>
      <c r="S836" s="28"/>
    </row>
    <row r="837" spans="1:19" x14ac:dyDescent="0.25">
      <c r="A837" s="63"/>
      <c r="B837" s="64"/>
      <c r="C837" s="64"/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4"/>
      <c r="S837" s="28"/>
    </row>
    <row r="838" spans="1:19" x14ac:dyDescent="0.25">
      <c r="A838" s="63"/>
      <c r="B838" s="64"/>
      <c r="C838" s="64"/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4"/>
      <c r="S838" s="28"/>
    </row>
    <row r="839" spans="1:19" x14ac:dyDescent="0.25">
      <c r="A839" s="63"/>
      <c r="B839" s="64"/>
      <c r="C839" s="64"/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4"/>
      <c r="S839" s="28"/>
    </row>
    <row r="840" spans="1:19" x14ac:dyDescent="0.25">
      <c r="A840" s="63"/>
      <c r="B840" s="64"/>
      <c r="C840" s="64"/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4"/>
      <c r="S840" s="28"/>
    </row>
    <row r="841" spans="1:19" x14ac:dyDescent="0.25">
      <c r="A841" s="63"/>
      <c r="B841" s="64"/>
      <c r="C841" s="64"/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4"/>
      <c r="S841" s="28"/>
    </row>
    <row r="842" spans="1:19" x14ac:dyDescent="0.25">
      <c r="A842" s="63"/>
      <c r="B842" s="64"/>
      <c r="C842" s="64"/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4"/>
      <c r="S842" s="28"/>
    </row>
    <row r="843" spans="1:19" x14ac:dyDescent="0.25">
      <c r="A843" s="63"/>
      <c r="B843" s="64"/>
      <c r="C843" s="64"/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4"/>
      <c r="S843" s="28"/>
    </row>
    <row r="844" spans="1:19" x14ac:dyDescent="0.25">
      <c r="A844" s="63"/>
      <c r="B844" s="64"/>
      <c r="C844" s="64"/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4"/>
      <c r="S844" s="28"/>
    </row>
    <row r="845" spans="1:19" x14ac:dyDescent="0.25">
      <c r="A845" s="63"/>
      <c r="B845" s="64"/>
      <c r="C845" s="64"/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4"/>
      <c r="S845" s="28"/>
    </row>
    <row r="846" spans="1:19" x14ac:dyDescent="0.25">
      <c r="A846" s="63"/>
      <c r="B846" s="64"/>
      <c r="C846" s="64"/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4"/>
      <c r="S846" s="28"/>
    </row>
    <row r="847" spans="1:19" x14ac:dyDescent="0.25">
      <c r="A847" s="63"/>
      <c r="B847" s="64"/>
      <c r="C847" s="64"/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4"/>
      <c r="S847" s="28"/>
    </row>
    <row r="848" spans="1:19" x14ac:dyDescent="0.25">
      <c r="A848" s="63"/>
      <c r="B848" s="64"/>
      <c r="C848" s="64"/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4"/>
      <c r="S848" s="28"/>
    </row>
    <row r="849" spans="1:19" x14ac:dyDescent="0.25">
      <c r="A849" s="63"/>
      <c r="B849" s="64"/>
      <c r="C849" s="64"/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4"/>
      <c r="S849" s="28"/>
    </row>
    <row r="850" spans="1:19" x14ac:dyDescent="0.25">
      <c r="A850" s="63"/>
      <c r="B850" s="64"/>
      <c r="C850" s="64"/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4"/>
      <c r="S850" s="28"/>
    </row>
    <row r="851" spans="1:19" x14ac:dyDescent="0.25">
      <c r="A851" s="63"/>
      <c r="B851" s="64"/>
      <c r="C851" s="64"/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64"/>
      <c r="S851" s="28"/>
    </row>
    <row r="852" spans="1:19" x14ac:dyDescent="0.25">
      <c r="A852" s="63"/>
      <c r="B852" s="64"/>
      <c r="C852" s="64"/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64"/>
      <c r="S852" s="28"/>
    </row>
    <row r="853" spans="1:19" x14ac:dyDescent="0.25">
      <c r="A853" s="63"/>
      <c r="B853" s="64"/>
      <c r="C853" s="64"/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64"/>
      <c r="S853" s="28"/>
    </row>
    <row r="854" spans="1:19" x14ac:dyDescent="0.25">
      <c r="A854" s="63"/>
      <c r="B854" s="64"/>
      <c r="C854" s="64"/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64"/>
      <c r="S854" s="28"/>
    </row>
    <row r="855" spans="1:19" x14ac:dyDescent="0.25">
      <c r="A855" s="63"/>
      <c r="B855" s="64"/>
      <c r="C855" s="64"/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64"/>
      <c r="S855" s="28"/>
    </row>
    <row r="856" spans="1:19" x14ac:dyDescent="0.25">
      <c r="A856" s="63"/>
      <c r="B856" s="64"/>
      <c r="C856" s="64"/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64"/>
      <c r="S856" s="28"/>
    </row>
    <row r="857" spans="1:19" x14ac:dyDescent="0.25">
      <c r="A857" s="63"/>
      <c r="B857" s="64"/>
      <c r="C857" s="64"/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64"/>
      <c r="S857" s="28"/>
    </row>
    <row r="858" spans="1:19" x14ac:dyDescent="0.25">
      <c r="A858" s="63"/>
      <c r="B858" s="64"/>
      <c r="C858" s="64"/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64"/>
      <c r="S858" s="28"/>
    </row>
    <row r="859" spans="1:19" x14ac:dyDescent="0.25">
      <c r="A859" s="63"/>
      <c r="B859" s="64"/>
      <c r="C859" s="64"/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64"/>
      <c r="S859" s="28"/>
    </row>
    <row r="860" spans="1:19" x14ac:dyDescent="0.25">
      <c r="A860" s="63"/>
      <c r="B860" s="64"/>
      <c r="C860" s="64"/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64"/>
      <c r="S860" s="28"/>
    </row>
    <row r="861" spans="1:19" x14ac:dyDescent="0.25">
      <c r="A861" s="63"/>
      <c r="B861" s="64"/>
      <c r="C861" s="64"/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64"/>
      <c r="S861" s="28"/>
    </row>
    <row r="862" spans="1:19" x14ac:dyDescent="0.25">
      <c r="A862" s="63"/>
      <c r="B862" s="64"/>
      <c r="C862" s="64"/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64"/>
      <c r="S862" s="28"/>
    </row>
    <row r="863" spans="1:19" x14ac:dyDescent="0.25">
      <c r="A863" s="63"/>
      <c r="B863" s="64"/>
      <c r="C863" s="64"/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64"/>
      <c r="S863" s="28"/>
    </row>
    <row r="864" spans="1:19" x14ac:dyDescent="0.25">
      <c r="A864" s="63"/>
      <c r="B864" s="64"/>
      <c r="C864" s="64"/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64"/>
      <c r="S864" s="28"/>
    </row>
    <row r="865" spans="1:19" x14ac:dyDescent="0.25">
      <c r="A865" s="63"/>
      <c r="B865" s="64"/>
      <c r="C865" s="64"/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64"/>
      <c r="S865" s="28"/>
    </row>
    <row r="866" spans="1:19" x14ac:dyDescent="0.25">
      <c r="A866" s="63"/>
      <c r="B866" s="64"/>
      <c r="C866" s="64"/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64"/>
      <c r="S866" s="28"/>
    </row>
    <row r="867" spans="1:19" x14ac:dyDescent="0.25">
      <c r="A867" s="63"/>
      <c r="B867" s="64"/>
      <c r="C867" s="64"/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64"/>
      <c r="S867" s="28"/>
    </row>
    <row r="868" spans="1:19" x14ac:dyDescent="0.25">
      <c r="A868" s="63"/>
      <c r="B868" s="64"/>
      <c r="C868" s="64"/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64"/>
      <c r="S868" s="28"/>
    </row>
    <row r="869" spans="1:19" x14ac:dyDescent="0.25">
      <c r="A869" s="63"/>
      <c r="B869" s="64"/>
      <c r="C869" s="64"/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64"/>
      <c r="S869" s="28"/>
    </row>
    <row r="870" spans="1:19" x14ac:dyDescent="0.25">
      <c r="A870" s="63"/>
      <c r="B870" s="64"/>
      <c r="C870" s="64"/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64"/>
      <c r="S870" s="28"/>
    </row>
    <row r="871" spans="1:19" x14ac:dyDescent="0.25">
      <c r="A871" s="63"/>
      <c r="B871" s="64"/>
      <c r="C871" s="64"/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64"/>
      <c r="S871" s="28"/>
    </row>
    <row r="872" spans="1:19" x14ac:dyDescent="0.25">
      <c r="A872" s="63"/>
      <c r="B872" s="64"/>
      <c r="C872" s="64"/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64"/>
      <c r="S872" s="28"/>
    </row>
    <row r="873" spans="1:19" x14ac:dyDescent="0.25">
      <c r="A873" s="63"/>
      <c r="B873" s="64"/>
      <c r="C873" s="64"/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64"/>
      <c r="S873" s="28"/>
    </row>
    <row r="874" spans="1:19" x14ac:dyDescent="0.25">
      <c r="A874" s="63"/>
      <c r="B874" s="64"/>
      <c r="C874" s="64"/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64"/>
      <c r="S874" s="28"/>
    </row>
    <row r="875" spans="1:19" x14ac:dyDescent="0.25">
      <c r="A875" s="63"/>
      <c r="B875" s="64"/>
      <c r="C875" s="64"/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64"/>
      <c r="S875" s="28"/>
    </row>
    <row r="876" spans="1:19" x14ac:dyDescent="0.25">
      <c r="A876" s="63"/>
      <c r="B876" s="64"/>
      <c r="C876" s="64"/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64"/>
      <c r="S876" s="28"/>
    </row>
    <row r="877" spans="1:19" x14ac:dyDescent="0.25">
      <c r="A877" s="63"/>
      <c r="B877" s="64"/>
      <c r="C877" s="64"/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64"/>
      <c r="S877" s="28"/>
    </row>
    <row r="878" spans="1:19" x14ac:dyDescent="0.25">
      <c r="A878" s="63"/>
      <c r="B878" s="64"/>
      <c r="C878" s="64"/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64"/>
      <c r="S878" s="28"/>
    </row>
    <row r="879" spans="1:19" x14ac:dyDescent="0.25">
      <c r="A879" s="63"/>
      <c r="B879" s="64"/>
      <c r="C879" s="64"/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64"/>
      <c r="S879" s="28"/>
    </row>
    <row r="880" spans="1:19" x14ac:dyDescent="0.25">
      <c r="A880" s="63"/>
      <c r="B880" s="64"/>
      <c r="C880" s="64"/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64"/>
      <c r="S880" s="28"/>
    </row>
    <row r="881" spans="1:19" x14ac:dyDescent="0.25">
      <c r="A881" s="63"/>
      <c r="B881" s="64"/>
      <c r="C881" s="64"/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64"/>
      <c r="S881" s="28"/>
    </row>
    <row r="882" spans="1:19" x14ac:dyDescent="0.25">
      <c r="A882" s="63"/>
      <c r="B882" s="64"/>
      <c r="C882" s="64"/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64"/>
      <c r="S882" s="28"/>
    </row>
    <row r="883" spans="1:19" x14ac:dyDescent="0.25">
      <c r="A883" s="63"/>
      <c r="B883" s="64"/>
      <c r="C883" s="64"/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64"/>
      <c r="S883" s="28"/>
    </row>
    <row r="884" spans="1:19" x14ac:dyDescent="0.25">
      <c r="A884" s="63"/>
      <c r="B884" s="64"/>
      <c r="C884" s="64"/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64"/>
      <c r="S884" s="28"/>
    </row>
    <row r="885" spans="1:19" x14ac:dyDescent="0.25">
      <c r="A885" s="63"/>
      <c r="B885" s="64"/>
      <c r="C885" s="64"/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64"/>
      <c r="S885" s="28"/>
    </row>
    <row r="886" spans="1:19" x14ac:dyDescent="0.25">
      <c r="A886" s="63"/>
      <c r="B886" s="64"/>
      <c r="C886" s="64"/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64"/>
      <c r="S886" s="28"/>
    </row>
    <row r="887" spans="1:19" x14ac:dyDescent="0.25">
      <c r="A887" s="63"/>
      <c r="B887" s="64"/>
      <c r="C887" s="64"/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64"/>
      <c r="S887" s="28"/>
    </row>
    <row r="888" spans="1:19" x14ac:dyDescent="0.25">
      <c r="A888" s="63"/>
      <c r="B888" s="64"/>
      <c r="C888" s="64"/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64"/>
      <c r="S888" s="28"/>
    </row>
    <row r="889" spans="1:19" x14ac:dyDescent="0.25">
      <c r="A889" s="63"/>
      <c r="B889" s="64"/>
      <c r="C889" s="64"/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64"/>
      <c r="S889" s="28"/>
    </row>
    <row r="890" spans="1:19" x14ac:dyDescent="0.25">
      <c r="A890" s="63"/>
      <c r="B890" s="64"/>
      <c r="C890" s="64"/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64"/>
      <c r="S890" s="28"/>
    </row>
    <row r="891" spans="1:19" x14ac:dyDescent="0.25">
      <c r="A891" s="63"/>
      <c r="B891" s="64"/>
      <c r="C891" s="64"/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64"/>
      <c r="S891" s="28"/>
    </row>
    <row r="892" spans="1:19" x14ac:dyDescent="0.25">
      <c r="A892" s="63"/>
      <c r="B892" s="64"/>
      <c r="C892" s="64"/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64"/>
      <c r="S892" s="28"/>
    </row>
    <row r="893" spans="1:19" x14ac:dyDescent="0.25">
      <c r="A893" s="63"/>
      <c r="B893" s="64"/>
      <c r="C893" s="64"/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64"/>
      <c r="S893" s="28"/>
    </row>
    <row r="894" spans="1:19" x14ac:dyDescent="0.25">
      <c r="A894" s="63"/>
      <c r="B894" s="64"/>
      <c r="C894" s="64"/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64"/>
      <c r="S894" s="28"/>
    </row>
    <row r="895" spans="1:19" x14ac:dyDescent="0.25">
      <c r="A895" s="63"/>
      <c r="B895" s="64"/>
      <c r="C895" s="64"/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64"/>
      <c r="S895" s="28"/>
    </row>
    <row r="896" spans="1:19" x14ac:dyDescent="0.25">
      <c r="A896" s="63"/>
      <c r="B896" s="64"/>
      <c r="C896" s="64"/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64"/>
      <c r="S896" s="28"/>
    </row>
    <row r="897" spans="1:19" x14ac:dyDescent="0.25">
      <c r="A897" s="63"/>
      <c r="B897" s="64"/>
      <c r="C897" s="64"/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64"/>
      <c r="S897" s="28"/>
    </row>
    <row r="898" spans="1:19" x14ac:dyDescent="0.25">
      <c r="A898" s="63"/>
      <c r="B898" s="64"/>
      <c r="C898" s="64"/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64"/>
      <c r="S898" s="28"/>
    </row>
    <row r="899" spans="1:19" x14ac:dyDescent="0.25">
      <c r="A899" s="63"/>
      <c r="B899" s="64"/>
      <c r="C899" s="64"/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64"/>
      <c r="S899" s="28"/>
    </row>
    <row r="900" spans="1:19" x14ac:dyDescent="0.25">
      <c r="A900" s="63"/>
      <c r="B900" s="64"/>
      <c r="C900" s="64"/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64"/>
      <c r="S900" s="28"/>
    </row>
    <row r="901" spans="1:19" x14ac:dyDescent="0.25">
      <c r="A901" s="63"/>
      <c r="B901" s="64"/>
      <c r="C901" s="64"/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64"/>
      <c r="S901" s="28"/>
    </row>
    <row r="902" spans="1:19" x14ac:dyDescent="0.25">
      <c r="A902" s="63"/>
      <c r="B902" s="64"/>
      <c r="C902" s="64"/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64"/>
      <c r="S902" s="28"/>
    </row>
    <row r="903" spans="1:19" x14ac:dyDescent="0.25">
      <c r="A903" s="63"/>
      <c r="B903" s="64"/>
      <c r="C903" s="64"/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64"/>
      <c r="S903" s="28"/>
    </row>
    <row r="904" spans="1:19" x14ac:dyDescent="0.25">
      <c r="A904" s="63"/>
      <c r="B904" s="64"/>
      <c r="C904" s="64"/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64"/>
      <c r="S904" s="28"/>
    </row>
    <row r="905" spans="1:19" x14ac:dyDescent="0.25">
      <c r="A905" s="63"/>
      <c r="B905" s="64"/>
      <c r="C905" s="64"/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64"/>
      <c r="S905" s="28"/>
    </row>
    <row r="906" spans="1:19" x14ac:dyDescent="0.25">
      <c r="A906" s="63"/>
      <c r="B906" s="64"/>
      <c r="C906" s="64"/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64"/>
      <c r="S906" s="28"/>
    </row>
    <row r="907" spans="1:19" x14ac:dyDescent="0.25">
      <c r="A907" s="63"/>
      <c r="B907" s="64"/>
      <c r="C907" s="64"/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64"/>
      <c r="S907" s="28"/>
    </row>
    <row r="908" spans="1:19" x14ac:dyDescent="0.25">
      <c r="A908" s="63"/>
      <c r="B908" s="64"/>
      <c r="C908" s="64"/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64"/>
      <c r="S908" s="28"/>
    </row>
    <row r="909" spans="1:19" x14ac:dyDescent="0.25">
      <c r="A909" s="63"/>
      <c r="B909" s="64"/>
      <c r="C909" s="64"/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64"/>
      <c r="S909" s="28"/>
    </row>
    <row r="910" spans="1:19" x14ac:dyDescent="0.25">
      <c r="A910" s="63"/>
      <c r="B910" s="64"/>
      <c r="C910" s="64"/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64"/>
      <c r="S910" s="28"/>
    </row>
    <row r="911" spans="1:19" x14ac:dyDescent="0.25">
      <c r="A911" s="63"/>
      <c r="B911" s="64"/>
      <c r="C911" s="64"/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64"/>
      <c r="S911" s="28"/>
    </row>
    <row r="912" spans="1:19" x14ac:dyDescent="0.25">
      <c r="A912" s="63"/>
      <c r="B912" s="64"/>
      <c r="C912" s="64"/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64"/>
      <c r="S912" s="28"/>
    </row>
    <row r="913" spans="1:19" x14ac:dyDescent="0.25">
      <c r="A913" s="63"/>
      <c r="B913" s="64"/>
      <c r="C913" s="64"/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64"/>
      <c r="S913" s="28"/>
    </row>
    <row r="914" spans="1:19" x14ac:dyDescent="0.25">
      <c r="A914" s="63"/>
      <c r="B914" s="64"/>
      <c r="C914" s="64"/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64"/>
      <c r="S914" s="28"/>
    </row>
    <row r="915" spans="1:19" x14ac:dyDescent="0.25">
      <c r="A915" s="63"/>
      <c r="B915" s="64"/>
      <c r="C915" s="64"/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64"/>
      <c r="S915" s="28"/>
    </row>
    <row r="916" spans="1:19" x14ac:dyDescent="0.25">
      <c r="A916" s="63"/>
      <c r="B916" s="64"/>
      <c r="C916" s="64"/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64"/>
      <c r="S916" s="28"/>
    </row>
    <row r="917" spans="1:19" x14ac:dyDescent="0.25">
      <c r="A917" s="63"/>
      <c r="B917" s="64"/>
      <c r="C917" s="64"/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64"/>
      <c r="S917" s="28"/>
    </row>
    <row r="918" spans="1:19" x14ac:dyDescent="0.25">
      <c r="A918" s="63"/>
      <c r="B918" s="64"/>
      <c r="C918" s="64"/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64"/>
      <c r="S918" s="28"/>
    </row>
    <row r="919" spans="1:19" x14ac:dyDescent="0.25">
      <c r="A919" s="63"/>
      <c r="B919" s="64"/>
      <c r="C919" s="64"/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64"/>
      <c r="S919" s="28"/>
    </row>
    <row r="920" spans="1:19" x14ac:dyDescent="0.25">
      <c r="A920" s="63"/>
      <c r="B920" s="64"/>
      <c r="C920" s="64"/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64"/>
      <c r="S920" s="28"/>
    </row>
    <row r="921" spans="1:19" x14ac:dyDescent="0.25">
      <c r="A921" s="63"/>
      <c r="B921" s="64"/>
      <c r="C921" s="64"/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64"/>
      <c r="S921" s="28"/>
    </row>
    <row r="922" spans="1:19" x14ac:dyDescent="0.25">
      <c r="A922" s="63"/>
      <c r="B922" s="64"/>
      <c r="C922" s="64"/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64"/>
      <c r="S922" s="28"/>
    </row>
    <row r="923" spans="1:19" x14ac:dyDescent="0.25">
      <c r="A923" s="63"/>
      <c r="B923" s="64"/>
      <c r="C923" s="64"/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64"/>
      <c r="S923" s="28"/>
    </row>
    <row r="924" spans="1:19" x14ac:dyDescent="0.25">
      <c r="A924" s="63"/>
      <c r="B924" s="64"/>
      <c r="C924" s="64"/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64"/>
      <c r="S924" s="28"/>
    </row>
    <row r="925" spans="1:19" x14ac:dyDescent="0.25">
      <c r="A925" s="63"/>
      <c r="B925" s="64"/>
      <c r="C925" s="64"/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64"/>
      <c r="S925" s="28"/>
    </row>
    <row r="926" spans="1:19" x14ac:dyDescent="0.25">
      <c r="A926" s="63"/>
      <c r="B926" s="64"/>
      <c r="C926" s="64"/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64"/>
      <c r="S926" s="28"/>
    </row>
    <row r="927" spans="1:19" x14ac:dyDescent="0.25">
      <c r="A927" s="63"/>
      <c r="B927" s="64"/>
      <c r="C927" s="64"/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64"/>
      <c r="S927" s="28"/>
    </row>
    <row r="928" spans="1:19" x14ac:dyDescent="0.25">
      <c r="A928" s="63"/>
      <c r="B928" s="64"/>
      <c r="C928" s="64"/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64"/>
      <c r="S928" s="28"/>
    </row>
    <row r="929" spans="1:19" x14ac:dyDescent="0.25">
      <c r="A929" s="63"/>
      <c r="B929" s="64"/>
      <c r="C929" s="64"/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64"/>
      <c r="S929" s="28"/>
    </row>
    <row r="930" spans="1:19" x14ac:dyDescent="0.25">
      <c r="A930" s="63"/>
      <c r="B930" s="64"/>
      <c r="C930" s="64"/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64"/>
      <c r="S930" s="28"/>
    </row>
    <row r="931" spans="1:19" x14ac:dyDescent="0.25">
      <c r="A931" s="63"/>
      <c r="B931" s="64"/>
      <c r="C931" s="64"/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64"/>
      <c r="S931" s="28"/>
    </row>
    <row r="932" spans="1:19" x14ac:dyDescent="0.25">
      <c r="A932" s="63"/>
      <c r="B932" s="64"/>
      <c r="C932" s="64"/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64"/>
      <c r="S932" s="28"/>
    </row>
    <row r="933" spans="1:19" x14ac:dyDescent="0.25">
      <c r="A933" s="63"/>
      <c r="B933" s="64"/>
      <c r="C933" s="64"/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64"/>
      <c r="S933" s="28"/>
    </row>
    <row r="934" spans="1:19" x14ac:dyDescent="0.25">
      <c r="A934" s="63"/>
      <c r="B934" s="64"/>
      <c r="C934" s="64"/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64"/>
      <c r="S934" s="28"/>
    </row>
    <row r="935" spans="1:19" x14ac:dyDescent="0.25">
      <c r="A935" s="63"/>
      <c r="B935" s="64"/>
      <c r="C935" s="64"/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64"/>
      <c r="S935" s="28"/>
    </row>
    <row r="936" spans="1:19" x14ac:dyDescent="0.25">
      <c r="A936" s="63"/>
      <c r="B936" s="64"/>
      <c r="C936" s="64"/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64"/>
      <c r="S936" s="28"/>
    </row>
    <row r="937" spans="1:19" x14ac:dyDescent="0.25">
      <c r="A937" s="63"/>
      <c r="B937" s="64"/>
      <c r="C937" s="64"/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64"/>
      <c r="S937" s="28"/>
    </row>
    <row r="938" spans="1:19" x14ac:dyDescent="0.25">
      <c r="A938" s="63"/>
      <c r="B938" s="64"/>
      <c r="C938" s="64"/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64"/>
      <c r="S938" s="28"/>
    </row>
    <row r="939" spans="1:19" x14ac:dyDescent="0.25">
      <c r="A939" s="63"/>
      <c r="B939" s="64"/>
      <c r="C939" s="64"/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64"/>
      <c r="S939" s="28"/>
    </row>
    <row r="940" spans="1:19" x14ac:dyDescent="0.25">
      <c r="A940" s="63"/>
      <c r="B940" s="64"/>
      <c r="C940" s="64"/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64"/>
      <c r="S940" s="28"/>
    </row>
    <row r="941" spans="1:19" x14ac:dyDescent="0.25">
      <c r="A941" s="63"/>
      <c r="B941" s="64"/>
      <c r="C941" s="64"/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64"/>
      <c r="S941" s="28"/>
    </row>
    <row r="942" spans="1:19" x14ac:dyDescent="0.25">
      <c r="A942" s="63"/>
      <c r="B942" s="64"/>
      <c r="C942" s="64"/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64"/>
      <c r="S942" s="28"/>
    </row>
    <row r="943" spans="1:19" x14ac:dyDescent="0.25">
      <c r="A943" s="63"/>
      <c r="B943" s="64"/>
      <c r="C943" s="64"/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64"/>
      <c r="S943" s="28"/>
    </row>
    <row r="944" spans="1:19" x14ac:dyDescent="0.25">
      <c r="A944" s="63"/>
      <c r="B944" s="64"/>
      <c r="C944" s="64"/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64"/>
      <c r="S944" s="28"/>
    </row>
    <row r="945" spans="1:19" x14ac:dyDescent="0.25">
      <c r="A945" s="63"/>
      <c r="B945" s="64"/>
      <c r="C945" s="64"/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64"/>
      <c r="S945" s="28"/>
    </row>
    <row r="946" spans="1:19" x14ac:dyDescent="0.25">
      <c r="A946" s="63"/>
      <c r="B946" s="64"/>
      <c r="C946" s="64"/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64"/>
      <c r="S946" s="28"/>
    </row>
    <row r="947" spans="1:19" x14ac:dyDescent="0.25">
      <c r="A947" s="63"/>
      <c r="B947" s="64"/>
      <c r="C947" s="64"/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64"/>
      <c r="S947" s="28"/>
    </row>
    <row r="948" spans="1:19" x14ac:dyDescent="0.25">
      <c r="A948" s="63"/>
      <c r="B948" s="64"/>
      <c r="C948" s="64"/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64"/>
      <c r="S948" s="28"/>
    </row>
    <row r="949" spans="1:19" x14ac:dyDescent="0.25">
      <c r="A949" s="63"/>
      <c r="B949" s="64"/>
      <c r="C949" s="64"/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64"/>
      <c r="S949" s="28"/>
    </row>
    <row r="950" spans="1:19" x14ac:dyDescent="0.25">
      <c r="A950" s="63"/>
      <c r="B950" s="64"/>
      <c r="C950" s="64"/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64"/>
      <c r="S950" s="28"/>
    </row>
    <row r="951" spans="1:19" x14ac:dyDescent="0.25">
      <c r="A951" s="63"/>
      <c r="B951" s="64"/>
      <c r="C951" s="64"/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64"/>
      <c r="S951" s="28"/>
    </row>
    <row r="952" spans="1:19" x14ac:dyDescent="0.25">
      <c r="A952" s="63"/>
      <c r="B952" s="64"/>
      <c r="C952" s="64"/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64"/>
      <c r="S952" s="28"/>
    </row>
    <row r="953" spans="1:19" x14ac:dyDescent="0.25">
      <c r="A953" s="63"/>
      <c r="B953" s="64"/>
      <c r="C953" s="64"/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64"/>
      <c r="S953" s="28"/>
    </row>
    <row r="954" spans="1:19" x14ac:dyDescent="0.25">
      <c r="A954" s="63"/>
      <c r="B954" s="64"/>
      <c r="C954" s="64"/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64"/>
      <c r="S954" s="28"/>
    </row>
    <row r="955" spans="1:19" x14ac:dyDescent="0.25">
      <c r="A955" s="63"/>
      <c r="B955" s="64"/>
      <c r="C955" s="64"/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64"/>
      <c r="S955" s="28"/>
    </row>
    <row r="956" spans="1:19" x14ac:dyDescent="0.25">
      <c r="A956" s="63"/>
      <c r="B956" s="64"/>
      <c r="C956" s="64"/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64"/>
      <c r="S956" s="28"/>
    </row>
    <row r="957" spans="1:19" x14ac:dyDescent="0.25">
      <c r="A957" s="63"/>
      <c r="B957" s="64"/>
      <c r="C957" s="64"/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64"/>
      <c r="S957" s="28"/>
    </row>
    <row r="958" spans="1:19" x14ac:dyDescent="0.25">
      <c r="A958" s="63"/>
      <c r="B958" s="64"/>
      <c r="C958" s="64"/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64"/>
      <c r="S958" s="28"/>
    </row>
    <row r="959" spans="1:19" x14ac:dyDescent="0.25">
      <c r="A959" s="63"/>
      <c r="B959" s="64"/>
      <c r="C959" s="64"/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64"/>
      <c r="S959" s="28"/>
    </row>
    <row r="960" spans="1:19" x14ac:dyDescent="0.25">
      <c r="A960" s="63"/>
      <c r="B960" s="64"/>
      <c r="C960" s="64"/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64"/>
      <c r="S960" s="28"/>
    </row>
    <row r="961" spans="1:19" x14ac:dyDescent="0.25">
      <c r="A961" s="63"/>
      <c r="B961" s="64"/>
      <c r="C961" s="64"/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64"/>
      <c r="S961" s="28"/>
    </row>
    <row r="962" spans="1:19" x14ac:dyDescent="0.25">
      <c r="A962" s="63"/>
      <c r="B962" s="64"/>
      <c r="C962" s="64"/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64"/>
      <c r="S962" s="28"/>
    </row>
    <row r="963" spans="1:19" x14ac:dyDescent="0.25">
      <c r="A963" s="63"/>
      <c r="B963" s="64"/>
      <c r="C963" s="64"/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64"/>
      <c r="S963" s="28"/>
    </row>
    <row r="964" spans="1:19" x14ac:dyDescent="0.25">
      <c r="A964" s="63"/>
      <c r="B964" s="64"/>
      <c r="C964" s="64"/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64"/>
      <c r="S964" s="28"/>
    </row>
    <row r="965" spans="1:19" x14ac:dyDescent="0.25">
      <c r="A965" s="63"/>
      <c r="B965" s="64"/>
      <c r="C965" s="64"/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64"/>
      <c r="S965" s="28"/>
    </row>
    <row r="966" spans="1:19" x14ac:dyDescent="0.25">
      <c r="A966" s="63"/>
      <c r="B966" s="64"/>
      <c r="C966" s="64"/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64"/>
      <c r="S966" s="28"/>
    </row>
    <row r="967" spans="1:19" x14ac:dyDescent="0.25">
      <c r="A967" s="63"/>
      <c r="B967" s="64"/>
      <c r="C967" s="64"/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64"/>
      <c r="S967" s="28"/>
    </row>
    <row r="968" spans="1:19" x14ac:dyDescent="0.25">
      <c r="A968" s="63"/>
      <c r="B968" s="64"/>
      <c r="C968" s="64"/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64"/>
      <c r="S968" s="28"/>
    </row>
    <row r="969" spans="1:19" x14ac:dyDescent="0.25">
      <c r="A969" s="63"/>
      <c r="B969" s="64"/>
      <c r="C969" s="64"/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64"/>
      <c r="S969" s="28"/>
    </row>
    <row r="970" spans="1:19" x14ac:dyDescent="0.25">
      <c r="A970" s="63"/>
      <c r="B970" s="64"/>
      <c r="C970" s="64"/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64"/>
      <c r="S970" s="28"/>
    </row>
    <row r="971" spans="1:19" x14ac:dyDescent="0.25">
      <c r="A971" s="63"/>
      <c r="B971" s="64"/>
      <c r="C971" s="64"/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64"/>
      <c r="S971" s="28"/>
    </row>
    <row r="972" spans="1:19" x14ac:dyDescent="0.25">
      <c r="A972" s="63"/>
      <c r="B972" s="64"/>
      <c r="C972" s="64"/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64"/>
      <c r="S972" s="28"/>
    </row>
    <row r="973" spans="1:19" x14ac:dyDescent="0.25">
      <c r="A973" s="63"/>
      <c r="B973" s="64"/>
      <c r="C973" s="64"/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64"/>
      <c r="S973" s="28"/>
    </row>
    <row r="974" spans="1:19" x14ac:dyDescent="0.25">
      <c r="A974" s="63"/>
      <c r="B974" s="64"/>
      <c r="C974" s="64"/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64"/>
      <c r="S974" s="28"/>
    </row>
    <row r="975" spans="1:19" x14ac:dyDescent="0.25">
      <c r="A975" s="63"/>
      <c r="B975" s="64"/>
      <c r="C975" s="64"/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64"/>
      <c r="S975" s="28"/>
    </row>
    <row r="976" spans="1:19" x14ac:dyDescent="0.25">
      <c r="A976" s="63"/>
      <c r="B976" s="64"/>
      <c r="C976" s="64"/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64"/>
      <c r="S976" s="28"/>
    </row>
    <row r="977" spans="1:19" x14ac:dyDescent="0.25">
      <c r="A977" s="63"/>
      <c r="B977" s="64"/>
      <c r="C977" s="64"/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64"/>
      <c r="S977" s="28"/>
    </row>
    <row r="978" spans="1:19" x14ac:dyDescent="0.25">
      <c r="A978" s="63"/>
      <c r="B978" s="64"/>
      <c r="C978" s="64"/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64"/>
      <c r="S978" s="28"/>
    </row>
    <row r="979" spans="1:19" x14ac:dyDescent="0.25">
      <c r="A979" s="63"/>
      <c r="B979" s="64"/>
      <c r="C979" s="64"/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64"/>
      <c r="S979" s="28"/>
    </row>
    <row r="980" spans="1:19" x14ac:dyDescent="0.25">
      <c r="A980" s="63"/>
      <c r="B980" s="64"/>
      <c r="C980" s="64"/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64"/>
      <c r="S980" s="28"/>
    </row>
    <row r="981" spans="1:19" x14ac:dyDescent="0.25">
      <c r="A981" s="63"/>
      <c r="B981" s="64"/>
      <c r="C981" s="64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4"/>
      <c r="S981" s="28"/>
    </row>
    <row r="982" spans="1:19" x14ac:dyDescent="0.25">
      <c r="A982" s="63"/>
      <c r="B982" s="64"/>
      <c r="C982" s="64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4"/>
      <c r="S982" s="28"/>
    </row>
    <row r="983" spans="1:19" x14ac:dyDescent="0.25">
      <c r="A983" s="63"/>
      <c r="B983" s="64"/>
      <c r="C983" s="64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4"/>
      <c r="S983" s="28"/>
    </row>
    <row r="984" spans="1:19" x14ac:dyDescent="0.25">
      <c r="A984" s="63"/>
      <c r="B984" s="64"/>
      <c r="C984" s="64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4"/>
      <c r="S984" s="28"/>
    </row>
    <row r="985" spans="1:19" x14ac:dyDescent="0.25">
      <c r="A985" s="63"/>
      <c r="B985" s="64"/>
      <c r="C985" s="64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4"/>
      <c r="S985" s="28"/>
    </row>
    <row r="986" spans="1:19" x14ac:dyDescent="0.25">
      <c r="A986" s="63"/>
      <c r="B986" s="64"/>
      <c r="C986" s="64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4"/>
      <c r="S986" s="28"/>
    </row>
    <row r="987" spans="1:19" x14ac:dyDescent="0.25">
      <c r="A987" s="63"/>
      <c r="B987" s="64"/>
      <c r="C987" s="64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4"/>
      <c r="S987" s="28"/>
    </row>
    <row r="988" spans="1:19" x14ac:dyDescent="0.25">
      <c r="A988" s="63"/>
      <c r="B988" s="64"/>
      <c r="C988" s="64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4"/>
      <c r="S988" s="28"/>
    </row>
    <row r="989" spans="1:19" x14ac:dyDescent="0.25">
      <c r="A989" s="63"/>
      <c r="B989" s="64"/>
      <c r="C989" s="64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4"/>
      <c r="S989" s="28"/>
    </row>
    <row r="990" spans="1:19" x14ac:dyDescent="0.25">
      <c r="A990" s="63"/>
      <c r="B990" s="64"/>
      <c r="C990" s="64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4"/>
      <c r="S990" s="28"/>
    </row>
    <row r="991" spans="1:19" x14ac:dyDescent="0.25">
      <c r="A991" s="63"/>
      <c r="B991" s="64"/>
      <c r="C991" s="64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4"/>
      <c r="S991" s="28"/>
    </row>
    <row r="992" spans="1:19" x14ac:dyDescent="0.25">
      <c r="A992" s="63"/>
      <c r="B992" s="64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28"/>
    </row>
    <row r="993" spans="1:19" x14ac:dyDescent="0.25">
      <c r="A993" s="63"/>
      <c r="B993" s="64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28"/>
    </row>
    <row r="994" spans="1:19" x14ac:dyDescent="0.25">
      <c r="A994" s="63"/>
      <c r="B994" s="64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28"/>
    </row>
    <row r="995" spans="1:19" x14ac:dyDescent="0.25">
      <c r="A995" s="63"/>
      <c r="B995" s="64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28"/>
    </row>
    <row r="996" spans="1:19" x14ac:dyDescent="0.25">
      <c r="A996" s="63"/>
      <c r="B996" s="64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28"/>
    </row>
    <row r="997" spans="1:19" x14ac:dyDescent="0.25">
      <c r="A997" s="63"/>
      <c r="B997" s="64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4"/>
      <c r="S997" s="28"/>
    </row>
    <row r="998" spans="1:19" x14ac:dyDescent="0.25">
      <c r="A998" s="63"/>
      <c r="B998" s="64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4"/>
      <c r="S998" s="28"/>
    </row>
    <row r="999" spans="1:19" x14ac:dyDescent="0.25">
      <c r="A999" s="63"/>
      <c r="B999" s="64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4"/>
      <c r="S999" s="28"/>
    </row>
    <row r="1000" spans="1:19" x14ac:dyDescent="0.25">
      <c r="A1000" s="63"/>
      <c r="B1000" s="64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4"/>
      <c r="S1000" s="28"/>
    </row>
    <row r="1001" spans="1:19" x14ac:dyDescent="0.25">
      <c r="A1001" s="63"/>
      <c r="B1001" s="64"/>
      <c r="C1001" s="64"/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  <c r="Q1001" s="64"/>
      <c r="R1001" s="64"/>
      <c r="S1001" s="28"/>
    </row>
    <row r="1002" spans="1:19" x14ac:dyDescent="0.25">
      <c r="A1002" s="63"/>
      <c r="B1002" s="64"/>
      <c r="C1002" s="64"/>
      <c r="D1002" s="64"/>
      <c r="E1002" s="64"/>
      <c r="F1002" s="64"/>
      <c r="G1002" s="64"/>
      <c r="H1002" s="64"/>
      <c r="I1002" s="64"/>
      <c r="J1002" s="64"/>
      <c r="K1002" s="64"/>
      <c r="L1002" s="64"/>
      <c r="M1002" s="64"/>
      <c r="N1002" s="64"/>
      <c r="O1002" s="64"/>
      <c r="P1002" s="64"/>
      <c r="Q1002" s="64"/>
      <c r="R1002" s="64"/>
      <c r="S1002" s="28"/>
    </row>
    <row r="1003" spans="1:19" x14ac:dyDescent="0.25">
      <c r="A1003" s="63"/>
      <c r="B1003" s="64"/>
      <c r="C1003" s="64"/>
      <c r="D1003" s="64"/>
      <c r="E1003" s="64"/>
      <c r="F1003" s="64"/>
      <c r="G1003" s="64"/>
      <c r="H1003" s="64"/>
      <c r="I1003" s="64"/>
      <c r="J1003" s="64"/>
      <c r="K1003" s="64"/>
      <c r="L1003" s="64"/>
      <c r="M1003" s="64"/>
      <c r="N1003" s="64"/>
      <c r="O1003" s="64"/>
      <c r="P1003" s="64"/>
      <c r="Q1003" s="64"/>
      <c r="R1003" s="64"/>
      <c r="S1003" s="28"/>
    </row>
    <row r="1004" spans="1:19" x14ac:dyDescent="0.25">
      <c r="A1004" s="63"/>
      <c r="B1004" s="64"/>
      <c r="C1004" s="64"/>
      <c r="D1004" s="64"/>
      <c r="E1004" s="64"/>
      <c r="F1004" s="64"/>
      <c r="G1004" s="64"/>
      <c r="H1004" s="64"/>
      <c r="I1004" s="64"/>
      <c r="J1004" s="64"/>
      <c r="K1004" s="64"/>
      <c r="L1004" s="64"/>
      <c r="M1004" s="64"/>
      <c r="N1004" s="64"/>
      <c r="O1004" s="64"/>
      <c r="P1004" s="64"/>
      <c r="Q1004" s="64"/>
      <c r="R1004" s="64"/>
      <c r="S1004" s="28"/>
    </row>
    <row r="1005" spans="1:19" x14ac:dyDescent="0.25">
      <c r="A1005" s="63"/>
      <c r="B1005" s="64"/>
      <c r="C1005" s="64"/>
      <c r="D1005" s="64"/>
      <c r="E1005" s="64"/>
      <c r="F1005" s="64"/>
      <c r="G1005" s="64"/>
      <c r="H1005" s="64"/>
      <c r="I1005" s="64"/>
      <c r="J1005" s="64"/>
      <c r="K1005" s="64"/>
      <c r="L1005" s="64"/>
      <c r="M1005" s="64"/>
      <c r="N1005" s="64"/>
      <c r="O1005" s="64"/>
      <c r="P1005" s="64"/>
      <c r="Q1005" s="64"/>
      <c r="R1005" s="64"/>
      <c r="S1005" s="28"/>
    </row>
    <row r="1006" spans="1:19" x14ac:dyDescent="0.25">
      <c r="A1006" s="63"/>
      <c r="B1006" s="64"/>
      <c r="C1006" s="64"/>
      <c r="D1006" s="64"/>
      <c r="E1006" s="64"/>
      <c r="F1006" s="64"/>
      <c r="G1006" s="64"/>
      <c r="H1006" s="64"/>
      <c r="I1006" s="64"/>
      <c r="J1006" s="64"/>
      <c r="K1006" s="64"/>
      <c r="L1006" s="64"/>
      <c r="M1006" s="64"/>
      <c r="N1006" s="64"/>
      <c r="O1006" s="64"/>
      <c r="P1006" s="64"/>
      <c r="Q1006" s="64"/>
      <c r="R1006" s="64"/>
      <c r="S1006" s="28"/>
    </row>
    <row r="1007" spans="1:19" x14ac:dyDescent="0.25">
      <c r="A1007" s="63"/>
      <c r="B1007" s="64"/>
      <c r="C1007" s="64"/>
      <c r="D1007" s="64"/>
      <c r="E1007" s="64"/>
      <c r="F1007" s="64"/>
      <c r="G1007" s="64"/>
      <c r="H1007" s="64"/>
      <c r="I1007" s="64"/>
      <c r="J1007" s="64"/>
      <c r="K1007" s="64"/>
      <c r="L1007" s="64"/>
      <c r="M1007" s="64"/>
      <c r="N1007" s="64"/>
      <c r="O1007" s="64"/>
      <c r="P1007" s="64"/>
      <c r="Q1007" s="64"/>
      <c r="R1007" s="64"/>
      <c r="S1007" s="28"/>
    </row>
    <row r="1008" spans="1:19" x14ac:dyDescent="0.25">
      <c r="A1008" s="63"/>
      <c r="B1008" s="64"/>
      <c r="C1008" s="64"/>
      <c r="D1008" s="64"/>
      <c r="E1008" s="64"/>
      <c r="F1008" s="64"/>
      <c r="G1008" s="64"/>
      <c r="H1008" s="64"/>
      <c r="I1008" s="64"/>
      <c r="J1008" s="64"/>
      <c r="K1008" s="64"/>
      <c r="L1008" s="64"/>
      <c r="M1008" s="64"/>
      <c r="N1008" s="64"/>
      <c r="O1008" s="64"/>
      <c r="P1008" s="64"/>
      <c r="Q1008" s="64"/>
      <c r="R1008" s="64"/>
      <c r="S1008" s="28"/>
    </row>
    <row r="1009" spans="1:19" x14ac:dyDescent="0.25">
      <c r="A1009" s="63"/>
      <c r="B1009" s="64"/>
      <c r="C1009" s="64"/>
      <c r="D1009" s="64"/>
      <c r="E1009" s="64"/>
      <c r="F1009" s="64"/>
      <c r="G1009" s="64"/>
      <c r="H1009" s="64"/>
      <c r="I1009" s="64"/>
      <c r="J1009" s="64"/>
      <c r="K1009" s="64"/>
      <c r="L1009" s="64"/>
      <c r="M1009" s="64"/>
      <c r="N1009" s="64"/>
      <c r="O1009" s="64"/>
      <c r="P1009" s="64"/>
      <c r="Q1009" s="64"/>
      <c r="R1009" s="64"/>
      <c r="S1009" s="28"/>
    </row>
    <row r="1010" spans="1:19" x14ac:dyDescent="0.25">
      <c r="A1010" s="63"/>
      <c r="B1010" s="64"/>
      <c r="C1010" s="64"/>
      <c r="D1010" s="64"/>
      <c r="E1010" s="64"/>
      <c r="F1010" s="64"/>
      <c r="G1010" s="64"/>
      <c r="H1010" s="64"/>
      <c r="I1010" s="64"/>
      <c r="J1010" s="64"/>
      <c r="K1010" s="64"/>
      <c r="L1010" s="64"/>
      <c r="M1010" s="64"/>
      <c r="N1010" s="64"/>
      <c r="O1010" s="64"/>
      <c r="P1010" s="64"/>
      <c r="Q1010" s="64"/>
      <c r="R1010" s="64"/>
      <c r="S1010" s="28"/>
    </row>
    <row r="1011" spans="1:19" x14ac:dyDescent="0.25">
      <c r="A1011" s="63"/>
      <c r="B1011" s="64"/>
      <c r="C1011" s="64"/>
      <c r="D1011" s="64"/>
      <c r="E1011" s="64"/>
      <c r="F1011" s="64"/>
      <c r="G1011" s="64"/>
      <c r="H1011" s="64"/>
      <c r="I1011" s="64"/>
      <c r="J1011" s="64"/>
      <c r="K1011" s="64"/>
      <c r="L1011" s="64"/>
      <c r="M1011" s="64"/>
      <c r="N1011" s="64"/>
      <c r="O1011" s="64"/>
      <c r="P1011" s="64"/>
      <c r="Q1011" s="64"/>
      <c r="R1011" s="64"/>
      <c r="S1011" s="28"/>
    </row>
    <row r="1012" spans="1:19" x14ac:dyDescent="0.25">
      <c r="A1012" s="63"/>
      <c r="B1012" s="64"/>
      <c r="C1012" s="64"/>
      <c r="D1012" s="64"/>
      <c r="E1012" s="64"/>
      <c r="F1012" s="64"/>
      <c r="G1012" s="64"/>
      <c r="H1012" s="64"/>
      <c r="I1012" s="64"/>
      <c r="J1012" s="64"/>
      <c r="K1012" s="64"/>
      <c r="L1012" s="64"/>
      <c r="M1012" s="64"/>
      <c r="N1012" s="64"/>
      <c r="O1012" s="64"/>
      <c r="P1012" s="64"/>
      <c r="Q1012" s="64"/>
      <c r="R1012" s="64"/>
      <c r="S1012" s="28"/>
    </row>
    <row r="1013" spans="1:19" x14ac:dyDescent="0.25">
      <c r="A1013" s="63"/>
      <c r="B1013" s="64"/>
      <c r="C1013" s="64"/>
      <c r="D1013" s="64"/>
      <c r="E1013" s="64"/>
      <c r="F1013" s="64"/>
      <c r="G1013" s="64"/>
      <c r="H1013" s="64"/>
      <c r="I1013" s="64"/>
      <c r="J1013" s="64"/>
      <c r="K1013" s="64"/>
      <c r="L1013" s="64"/>
      <c r="M1013" s="64"/>
      <c r="N1013" s="64"/>
      <c r="O1013" s="64"/>
      <c r="P1013" s="64"/>
      <c r="Q1013" s="64"/>
      <c r="R1013" s="64"/>
      <c r="S1013" s="28"/>
    </row>
    <row r="1014" spans="1:19" x14ac:dyDescent="0.25">
      <c r="A1014" s="63"/>
      <c r="B1014" s="64"/>
      <c r="C1014" s="64"/>
      <c r="D1014" s="64"/>
      <c r="E1014" s="64"/>
      <c r="F1014" s="64"/>
      <c r="G1014" s="64"/>
      <c r="H1014" s="64"/>
      <c r="I1014" s="64"/>
      <c r="J1014" s="64"/>
      <c r="K1014" s="64"/>
      <c r="L1014" s="64"/>
      <c r="M1014" s="64"/>
      <c r="N1014" s="64"/>
      <c r="O1014" s="64"/>
      <c r="P1014" s="64"/>
      <c r="Q1014" s="64"/>
      <c r="R1014" s="64"/>
      <c r="S1014" s="28"/>
    </row>
    <row r="1015" spans="1:19" x14ac:dyDescent="0.25">
      <c r="A1015" s="63"/>
      <c r="B1015" s="64"/>
      <c r="C1015" s="64"/>
      <c r="D1015" s="64"/>
      <c r="E1015" s="64"/>
      <c r="F1015" s="64"/>
      <c r="G1015" s="64"/>
      <c r="H1015" s="64"/>
      <c r="I1015" s="64"/>
      <c r="J1015" s="64"/>
      <c r="K1015" s="64"/>
      <c r="L1015" s="64"/>
      <c r="M1015" s="64"/>
      <c r="N1015" s="64"/>
      <c r="O1015" s="64"/>
      <c r="P1015" s="64"/>
      <c r="Q1015" s="64"/>
      <c r="R1015" s="64"/>
      <c r="S1015" s="28"/>
    </row>
    <row r="1016" spans="1:19" x14ac:dyDescent="0.25">
      <c r="A1016" s="63"/>
      <c r="B1016" s="64"/>
      <c r="C1016" s="64"/>
      <c r="D1016" s="64"/>
      <c r="E1016" s="64"/>
      <c r="F1016" s="64"/>
      <c r="G1016" s="64"/>
      <c r="H1016" s="64"/>
      <c r="I1016" s="64"/>
      <c r="J1016" s="64"/>
      <c r="K1016" s="64"/>
      <c r="L1016" s="64"/>
      <c r="M1016" s="64"/>
      <c r="N1016" s="64"/>
      <c r="O1016" s="64"/>
      <c r="P1016" s="64"/>
      <c r="Q1016" s="64"/>
      <c r="R1016" s="64"/>
      <c r="S1016" s="28"/>
    </row>
    <row r="1017" spans="1:19" x14ac:dyDescent="0.25">
      <c r="A1017" s="63"/>
      <c r="B1017" s="64"/>
      <c r="C1017" s="64"/>
      <c r="D1017" s="64"/>
      <c r="E1017" s="64"/>
      <c r="F1017" s="64"/>
      <c r="G1017" s="64"/>
      <c r="H1017" s="64"/>
      <c r="I1017" s="64"/>
      <c r="J1017" s="64"/>
      <c r="K1017" s="64"/>
      <c r="L1017" s="64"/>
      <c r="M1017" s="64"/>
      <c r="N1017" s="64"/>
      <c r="O1017" s="64"/>
      <c r="P1017" s="64"/>
      <c r="Q1017" s="64"/>
      <c r="R1017" s="64"/>
      <c r="S1017" s="28"/>
    </row>
    <row r="1018" spans="1:19" x14ac:dyDescent="0.25">
      <c r="A1018" s="63"/>
      <c r="B1018" s="64"/>
      <c r="C1018" s="64"/>
      <c r="D1018" s="64"/>
      <c r="E1018" s="64"/>
      <c r="F1018" s="64"/>
      <c r="G1018" s="64"/>
      <c r="H1018" s="64"/>
      <c r="I1018" s="64"/>
      <c r="J1018" s="64"/>
      <c r="K1018" s="64"/>
      <c r="L1018" s="64"/>
      <c r="M1018" s="64"/>
      <c r="N1018" s="64"/>
      <c r="O1018" s="64"/>
      <c r="P1018" s="64"/>
      <c r="Q1018" s="64"/>
      <c r="R1018" s="64"/>
      <c r="S1018" s="28"/>
    </row>
    <row r="1019" spans="1:19" x14ac:dyDescent="0.25">
      <c r="A1019" s="63"/>
      <c r="B1019" s="64"/>
      <c r="C1019" s="64"/>
      <c r="D1019" s="64"/>
      <c r="E1019" s="64"/>
      <c r="F1019" s="64"/>
      <c r="G1019" s="64"/>
      <c r="H1019" s="64"/>
      <c r="I1019" s="64"/>
      <c r="J1019" s="64"/>
      <c r="K1019" s="64"/>
      <c r="L1019" s="64"/>
      <c r="M1019" s="64"/>
      <c r="N1019" s="64"/>
      <c r="O1019" s="64"/>
      <c r="P1019" s="64"/>
      <c r="Q1019" s="64"/>
      <c r="R1019" s="64"/>
      <c r="S1019" s="28"/>
    </row>
    <row r="1020" spans="1:19" x14ac:dyDescent="0.25">
      <c r="A1020" s="63"/>
      <c r="B1020" s="64"/>
      <c r="C1020" s="64"/>
      <c r="D1020" s="64"/>
      <c r="E1020" s="64"/>
      <c r="F1020" s="64"/>
      <c r="G1020" s="64"/>
      <c r="H1020" s="64"/>
      <c r="I1020" s="64"/>
      <c r="J1020" s="64"/>
      <c r="K1020" s="64"/>
      <c r="L1020" s="64"/>
      <c r="M1020" s="64"/>
      <c r="N1020" s="64"/>
      <c r="O1020" s="64"/>
      <c r="P1020" s="64"/>
      <c r="Q1020" s="64"/>
      <c r="R1020" s="64"/>
      <c r="S1020" s="28"/>
    </row>
    <row r="1021" spans="1:19" x14ac:dyDescent="0.25">
      <c r="A1021" s="63"/>
      <c r="B1021" s="64"/>
      <c r="C1021" s="64"/>
      <c r="D1021" s="64"/>
      <c r="E1021" s="64"/>
      <c r="F1021" s="64"/>
      <c r="G1021" s="64"/>
      <c r="H1021" s="64"/>
      <c r="I1021" s="64"/>
      <c r="J1021" s="64"/>
      <c r="K1021" s="64"/>
      <c r="L1021" s="64"/>
      <c r="M1021" s="64"/>
      <c r="N1021" s="64"/>
      <c r="O1021" s="64"/>
      <c r="P1021" s="64"/>
      <c r="Q1021" s="64"/>
      <c r="R1021" s="64"/>
      <c r="S1021" s="28"/>
    </row>
    <row r="1022" spans="1:19" x14ac:dyDescent="0.25">
      <c r="A1022" s="63"/>
      <c r="B1022" s="64"/>
      <c r="C1022" s="64"/>
      <c r="D1022" s="64"/>
      <c r="E1022" s="64"/>
      <c r="F1022" s="64"/>
      <c r="G1022" s="64"/>
      <c r="H1022" s="64"/>
      <c r="I1022" s="64"/>
      <c r="J1022" s="64"/>
      <c r="K1022" s="64"/>
      <c r="L1022" s="64"/>
      <c r="M1022" s="64"/>
      <c r="N1022" s="64"/>
      <c r="O1022" s="64"/>
      <c r="P1022" s="64"/>
      <c r="Q1022" s="64"/>
      <c r="R1022" s="64"/>
      <c r="S1022" s="28"/>
    </row>
    <row r="1023" spans="1:19" x14ac:dyDescent="0.25">
      <c r="A1023" s="63"/>
      <c r="B1023" s="64"/>
      <c r="C1023" s="64"/>
      <c r="D1023" s="64"/>
      <c r="E1023" s="64"/>
      <c r="F1023" s="64"/>
      <c r="G1023" s="64"/>
      <c r="H1023" s="64"/>
      <c r="I1023" s="64"/>
      <c r="J1023" s="64"/>
      <c r="K1023" s="64"/>
      <c r="L1023" s="64"/>
      <c r="M1023" s="64"/>
      <c r="N1023" s="64"/>
      <c r="O1023" s="64"/>
      <c r="P1023" s="64"/>
      <c r="Q1023" s="64"/>
      <c r="R1023" s="64"/>
      <c r="S1023" s="28"/>
    </row>
    <row r="1024" spans="1:19" x14ac:dyDescent="0.25">
      <c r="A1024" s="63"/>
      <c r="B1024" s="64"/>
      <c r="C1024" s="64"/>
      <c r="D1024" s="64"/>
      <c r="E1024" s="64"/>
      <c r="F1024" s="64"/>
      <c r="G1024" s="64"/>
      <c r="H1024" s="64"/>
      <c r="I1024" s="64"/>
      <c r="J1024" s="64"/>
      <c r="K1024" s="64"/>
      <c r="L1024" s="64"/>
      <c r="M1024" s="64"/>
      <c r="N1024" s="64"/>
      <c r="O1024" s="64"/>
      <c r="P1024" s="64"/>
      <c r="Q1024" s="64"/>
      <c r="R1024" s="64"/>
      <c r="S1024" s="28"/>
    </row>
    <row r="1025" spans="1:19" x14ac:dyDescent="0.25">
      <c r="A1025" s="63"/>
      <c r="B1025" s="64"/>
      <c r="C1025" s="64"/>
      <c r="D1025" s="64"/>
      <c r="E1025" s="64"/>
      <c r="F1025" s="64"/>
      <c r="G1025" s="64"/>
      <c r="H1025" s="64"/>
      <c r="I1025" s="64"/>
      <c r="J1025" s="64"/>
      <c r="K1025" s="64"/>
      <c r="L1025" s="64"/>
      <c r="M1025" s="64"/>
      <c r="N1025" s="64"/>
      <c r="O1025" s="64"/>
      <c r="P1025" s="64"/>
      <c r="Q1025" s="64"/>
      <c r="R1025" s="64"/>
      <c r="S1025" s="28"/>
    </row>
    <row r="1026" spans="1:19" x14ac:dyDescent="0.25">
      <c r="A1026" s="63"/>
      <c r="B1026" s="64"/>
      <c r="C1026" s="64"/>
      <c r="D1026" s="64"/>
      <c r="E1026" s="64"/>
      <c r="F1026" s="64"/>
      <c r="G1026" s="64"/>
      <c r="H1026" s="64"/>
      <c r="I1026" s="64"/>
      <c r="J1026" s="64"/>
      <c r="K1026" s="64"/>
      <c r="L1026" s="64"/>
      <c r="M1026" s="64"/>
      <c r="N1026" s="64"/>
      <c r="O1026" s="64"/>
      <c r="P1026" s="64"/>
      <c r="Q1026" s="64"/>
      <c r="R1026" s="64"/>
      <c r="S1026" s="28"/>
    </row>
    <row r="1027" spans="1:19" x14ac:dyDescent="0.25">
      <c r="A1027" s="63"/>
      <c r="B1027" s="64"/>
      <c r="C1027" s="64"/>
      <c r="D1027" s="64"/>
      <c r="E1027" s="64"/>
      <c r="F1027" s="64"/>
      <c r="G1027" s="64"/>
      <c r="H1027" s="64"/>
      <c r="I1027" s="64"/>
      <c r="J1027" s="64"/>
      <c r="K1027" s="64"/>
      <c r="L1027" s="64"/>
      <c r="M1027" s="64"/>
      <c r="N1027" s="64"/>
      <c r="O1027" s="64"/>
      <c r="P1027" s="64"/>
      <c r="Q1027" s="64"/>
      <c r="R1027" s="64"/>
      <c r="S1027" s="28"/>
    </row>
    <row r="1028" spans="1:19" x14ac:dyDescent="0.25">
      <c r="A1028" s="63"/>
      <c r="B1028" s="64"/>
      <c r="C1028" s="64"/>
      <c r="D1028" s="64"/>
      <c r="E1028" s="64"/>
      <c r="F1028" s="64"/>
      <c r="G1028" s="64"/>
      <c r="H1028" s="64"/>
      <c r="I1028" s="64"/>
      <c r="J1028" s="64"/>
      <c r="K1028" s="64"/>
      <c r="L1028" s="64"/>
      <c r="M1028" s="64"/>
      <c r="N1028" s="64"/>
      <c r="O1028" s="64"/>
      <c r="P1028" s="64"/>
      <c r="Q1028" s="64"/>
      <c r="R1028" s="64"/>
      <c r="S1028" s="28"/>
    </row>
    <row r="1029" spans="1:19" x14ac:dyDescent="0.25">
      <c r="A1029" s="63"/>
      <c r="B1029" s="64"/>
      <c r="C1029" s="64"/>
      <c r="D1029" s="64"/>
      <c r="E1029" s="64"/>
      <c r="F1029" s="64"/>
      <c r="G1029" s="64"/>
      <c r="H1029" s="64"/>
      <c r="I1029" s="64"/>
      <c r="J1029" s="64"/>
      <c r="K1029" s="64"/>
      <c r="L1029" s="64"/>
      <c r="M1029" s="64"/>
      <c r="N1029" s="64"/>
      <c r="O1029" s="64"/>
      <c r="P1029" s="64"/>
      <c r="Q1029" s="64"/>
      <c r="R1029" s="64"/>
      <c r="S1029" s="28"/>
    </row>
    <row r="1030" spans="1:19" x14ac:dyDescent="0.25">
      <c r="A1030" s="63"/>
      <c r="B1030" s="64"/>
      <c r="C1030" s="64"/>
      <c r="D1030" s="64"/>
      <c r="E1030" s="64"/>
      <c r="F1030" s="64"/>
      <c r="G1030" s="64"/>
      <c r="H1030" s="64"/>
      <c r="I1030" s="64"/>
      <c r="J1030" s="64"/>
      <c r="K1030" s="64"/>
      <c r="L1030" s="64"/>
      <c r="M1030" s="64"/>
      <c r="N1030" s="64"/>
      <c r="O1030" s="64"/>
      <c r="P1030" s="64"/>
      <c r="Q1030" s="64"/>
      <c r="R1030" s="64"/>
      <c r="S1030" s="28"/>
    </row>
    <row r="1031" spans="1:19" x14ac:dyDescent="0.25">
      <c r="A1031" s="63"/>
      <c r="B1031" s="64"/>
      <c r="C1031" s="64"/>
      <c r="D1031" s="64"/>
      <c r="E1031" s="64"/>
      <c r="F1031" s="64"/>
      <c r="G1031" s="64"/>
      <c r="H1031" s="64"/>
      <c r="I1031" s="64"/>
      <c r="J1031" s="64"/>
      <c r="K1031" s="64"/>
      <c r="L1031" s="64"/>
      <c r="M1031" s="64"/>
      <c r="N1031" s="64"/>
      <c r="O1031" s="64"/>
      <c r="P1031" s="64"/>
      <c r="Q1031" s="64"/>
      <c r="R1031" s="64"/>
      <c r="S1031" s="28"/>
    </row>
    <row r="1032" spans="1:19" x14ac:dyDescent="0.25">
      <c r="A1032" s="63"/>
      <c r="B1032" s="64"/>
      <c r="C1032" s="64"/>
      <c r="D1032" s="64"/>
      <c r="E1032" s="64"/>
      <c r="F1032" s="64"/>
      <c r="G1032" s="64"/>
      <c r="H1032" s="64"/>
      <c r="I1032" s="64"/>
      <c r="J1032" s="64"/>
      <c r="K1032" s="64"/>
      <c r="L1032" s="64"/>
      <c r="M1032" s="64"/>
      <c r="N1032" s="64"/>
      <c r="O1032" s="64"/>
      <c r="P1032" s="64"/>
      <c r="Q1032" s="64"/>
      <c r="R1032" s="64"/>
      <c r="S1032" s="28"/>
    </row>
    <row r="1033" spans="1:19" x14ac:dyDescent="0.25">
      <c r="A1033" s="63"/>
      <c r="B1033" s="64"/>
      <c r="C1033" s="64"/>
      <c r="D1033" s="64"/>
      <c r="E1033" s="64"/>
      <c r="F1033" s="64"/>
      <c r="G1033" s="64"/>
      <c r="H1033" s="64"/>
      <c r="I1033" s="64"/>
      <c r="J1033" s="64"/>
      <c r="K1033" s="64"/>
      <c r="L1033" s="64"/>
      <c r="M1033" s="64"/>
      <c r="N1033" s="64"/>
      <c r="O1033" s="64"/>
      <c r="P1033" s="64"/>
      <c r="Q1033" s="64"/>
      <c r="R1033" s="64"/>
      <c r="S1033" s="28"/>
    </row>
    <row r="1034" spans="1:19" x14ac:dyDescent="0.25">
      <c r="A1034" s="63"/>
      <c r="B1034" s="64"/>
      <c r="C1034" s="64"/>
      <c r="D1034" s="64"/>
      <c r="E1034" s="64"/>
      <c r="F1034" s="64"/>
      <c r="G1034" s="64"/>
      <c r="H1034" s="64"/>
      <c r="I1034" s="64"/>
      <c r="J1034" s="64"/>
      <c r="K1034" s="64"/>
      <c r="L1034" s="64"/>
      <c r="M1034" s="64"/>
      <c r="N1034" s="64"/>
      <c r="O1034" s="64"/>
      <c r="P1034" s="64"/>
      <c r="Q1034" s="64"/>
      <c r="R1034" s="64"/>
      <c r="S1034" s="28"/>
    </row>
    <row r="1035" spans="1:19" x14ac:dyDescent="0.25">
      <c r="A1035" s="63"/>
      <c r="B1035" s="64"/>
      <c r="C1035" s="64"/>
      <c r="D1035" s="64"/>
      <c r="E1035" s="64"/>
      <c r="F1035" s="64"/>
      <c r="G1035" s="64"/>
      <c r="H1035" s="64"/>
      <c r="I1035" s="64"/>
      <c r="J1035" s="64"/>
      <c r="K1035" s="64"/>
      <c r="L1035" s="64"/>
      <c r="M1035" s="64"/>
      <c r="N1035" s="64"/>
      <c r="O1035" s="64"/>
      <c r="P1035" s="64"/>
      <c r="Q1035" s="64"/>
      <c r="R1035" s="64"/>
      <c r="S1035" s="28"/>
    </row>
    <row r="1036" spans="1:19" x14ac:dyDescent="0.25">
      <c r="A1036" s="63"/>
      <c r="B1036" s="64"/>
      <c r="C1036" s="64"/>
      <c r="D1036" s="64"/>
      <c r="E1036" s="64"/>
      <c r="F1036" s="64"/>
      <c r="G1036" s="64"/>
      <c r="H1036" s="64"/>
      <c r="I1036" s="64"/>
      <c r="J1036" s="64"/>
      <c r="K1036" s="64"/>
      <c r="L1036" s="64"/>
      <c r="M1036" s="64"/>
      <c r="N1036" s="64"/>
      <c r="O1036" s="64"/>
      <c r="P1036" s="64"/>
      <c r="Q1036" s="64"/>
      <c r="R1036" s="64"/>
      <c r="S1036" s="28"/>
    </row>
    <row r="1037" spans="1:19" x14ac:dyDescent="0.25">
      <c r="A1037" s="63"/>
      <c r="B1037" s="64"/>
      <c r="C1037" s="64"/>
      <c r="D1037" s="64"/>
      <c r="E1037" s="64"/>
      <c r="F1037" s="64"/>
      <c r="G1037" s="64"/>
      <c r="H1037" s="64"/>
      <c r="I1037" s="64"/>
      <c r="J1037" s="64"/>
      <c r="K1037" s="64"/>
      <c r="L1037" s="64"/>
      <c r="M1037" s="64"/>
      <c r="N1037" s="64"/>
      <c r="O1037" s="64"/>
      <c r="P1037" s="64"/>
      <c r="Q1037" s="64"/>
      <c r="R1037" s="64"/>
      <c r="S1037" s="28"/>
    </row>
    <row r="1038" spans="1:19" x14ac:dyDescent="0.25">
      <c r="A1038" s="63"/>
      <c r="B1038" s="64"/>
      <c r="C1038" s="64"/>
      <c r="D1038" s="64"/>
      <c r="E1038" s="64"/>
      <c r="F1038" s="64"/>
      <c r="G1038" s="64"/>
      <c r="H1038" s="64"/>
      <c r="I1038" s="64"/>
      <c r="J1038" s="64"/>
      <c r="K1038" s="64"/>
      <c r="L1038" s="64"/>
      <c r="M1038" s="64"/>
      <c r="N1038" s="64"/>
      <c r="O1038" s="64"/>
      <c r="P1038" s="64"/>
      <c r="Q1038" s="64"/>
      <c r="R1038" s="64"/>
      <c r="S1038" s="28"/>
    </row>
    <row r="1039" spans="1:19" x14ac:dyDescent="0.25">
      <c r="A1039" s="63"/>
      <c r="B1039" s="64"/>
      <c r="C1039" s="64"/>
      <c r="D1039" s="64"/>
      <c r="E1039" s="64"/>
      <c r="F1039" s="64"/>
      <c r="G1039" s="64"/>
      <c r="H1039" s="64"/>
      <c r="I1039" s="64"/>
      <c r="J1039" s="64"/>
      <c r="K1039" s="64"/>
      <c r="L1039" s="64"/>
      <c r="M1039" s="64"/>
      <c r="N1039" s="64"/>
      <c r="O1039" s="64"/>
      <c r="P1039" s="64"/>
      <c r="Q1039" s="64"/>
      <c r="R1039" s="64"/>
      <c r="S1039" s="28"/>
    </row>
    <row r="1040" spans="1:19" x14ac:dyDescent="0.25">
      <c r="A1040" s="63"/>
      <c r="B1040" s="64"/>
      <c r="C1040" s="64"/>
      <c r="D1040" s="64"/>
      <c r="E1040" s="64"/>
      <c r="F1040" s="64"/>
      <c r="G1040" s="64"/>
      <c r="H1040" s="64"/>
      <c r="I1040" s="64"/>
      <c r="J1040" s="64"/>
      <c r="K1040" s="64"/>
      <c r="L1040" s="64"/>
      <c r="M1040" s="64"/>
      <c r="N1040" s="64"/>
      <c r="O1040" s="64"/>
      <c r="P1040" s="64"/>
      <c r="Q1040" s="64"/>
      <c r="R1040" s="64"/>
      <c r="S1040" s="28"/>
    </row>
    <row r="1041" spans="1:19" x14ac:dyDescent="0.25">
      <c r="A1041" s="63"/>
      <c r="B1041" s="64"/>
      <c r="C1041" s="64"/>
      <c r="D1041" s="64"/>
      <c r="E1041" s="64"/>
      <c r="F1041" s="64"/>
      <c r="G1041" s="64"/>
      <c r="H1041" s="64"/>
      <c r="I1041" s="64"/>
      <c r="J1041" s="64"/>
      <c r="K1041" s="64"/>
      <c r="L1041" s="64"/>
      <c r="M1041" s="64"/>
      <c r="N1041" s="64"/>
      <c r="O1041" s="64"/>
      <c r="P1041" s="64"/>
      <c r="Q1041" s="64"/>
      <c r="R1041" s="64"/>
      <c r="S1041" s="28"/>
    </row>
    <row r="1042" spans="1:19" x14ac:dyDescent="0.25">
      <c r="A1042" s="63"/>
      <c r="B1042" s="64"/>
      <c r="C1042" s="64"/>
      <c r="D1042" s="64"/>
      <c r="E1042" s="64"/>
      <c r="F1042" s="64"/>
      <c r="G1042" s="64"/>
      <c r="H1042" s="64"/>
      <c r="I1042" s="64"/>
      <c r="J1042" s="64"/>
      <c r="K1042" s="64"/>
      <c r="L1042" s="64"/>
      <c r="M1042" s="64"/>
      <c r="N1042" s="64"/>
      <c r="O1042" s="64"/>
      <c r="P1042" s="64"/>
      <c r="Q1042" s="64"/>
      <c r="R1042" s="64"/>
      <c r="S1042" s="28"/>
    </row>
    <row r="1043" spans="1:19" x14ac:dyDescent="0.25">
      <c r="A1043" s="63"/>
      <c r="B1043" s="64"/>
      <c r="C1043" s="64"/>
      <c r="D1043" s="64"/>
      <c r="E1043" s="64"/>
      <c r="F1043" s="64"/>
      <c r="G1043" s="64"/>
      <c r="H1043" s="64"/>
      <c r="I1043" s="64"/>
      <c r="J1043" s="64"/>
      <c r="K1043" s="64"/>
      <c r="L1043" s="64"/>
      <c r="M1043" s="64"/>
      <c r="N1043" s="64"/>
      <c r="O1043" s="64"/>
      <c r="P1043" s="64"/>
      <c r="Q1043" s="64"/>
      <c r="R1043" s="64"/>
      <c r="S1043" s="28"/>
    </row>
    <row r="1044" spans="1:19" x14ac:dyDescent="0.25">
      <c r="A1044" s="63"/>
      <c r="B1044" s="64"/>
      <c r="C1044" s="64"/>
      <c r="D1044" s="64"/>
      <c r="E1044" s="64"/>
      <c r="F1044" s="64"/>
      <c r="G1044" s="64"/>
      <c r="H1044" s="64"/>
      <c r="I1044" s="64"/>
      <c r="J1044" s="64"/>
      <c r="K1044" s="64"/>
      <c r="L1044" s="64"/>
      <c r="M1044" s="64"/>
      <c r="N1044" s="64"/>
      <c r="O1044" s="64"/>
      <c r="P1044" s="64"/>
      <c r="Q1044" s="64"/>
      <c r="R1044" s="64"/>
      <c r="S1044" s="28"/>
    </row>
    <row r="1045" spans="1:19" x14ac:dyDescent="0.25">
      <c r="A1045" s="63"/>
      <c r="B1045" s="64"/>
      <c r="C1045" s="64"/>
      <c r="D1045" s="64"/>
      <c r="E1045" s="64"/>
      <c r="F1045" s="64"/>
      <c r="G1045" s="64"/>
      <c r="H1045" s="64"/>
      <c r="I1045" s="64"/>
      <c r="J1045" s="64"/>
      <c r="K1045" s="64"/>
      <c r="L1045" s="64"/>
      <c r="M1045" s="64"/>
      <c r="N1045" s="64"/>
      <c r="O1045" s="64"/>
      <c r="P1045" s="64"/>
      <c r="Q1045" s="64"/>
      <c r="R1045" s="64"/>
      <c r="S1045" s="28"/>
    </row>
    <row r="1046" spans="1:19" x14ac:dyDescent="0.25">
      <c r="A1046" s="63"/>
      <c r="B1046" s="64"/>
      <c r="C1046" s="64"/>
      <c r="D1046" s="64"/>
      <c r="E1046" s="64"/>
      <c r="F1046" s="64"/>
      <c r="G1046" s="64"/>
      <c r="H1046" s="64"/>
      <c r="I1046" s="64"/>
      <c r="J1046" s="64"/>
      <c r="K1046" s="64"/>
      <c r="L1046" s="64"/>
      <c r="M1046" s="64"/>
      <c r="N1046" s="64"/>
      <c r="O1046" s="64"/>
      <c r="P1046" s="64"/>
      <c r="Q1046" s="64"/>
      <c r="R1046" s="64"/>
      <c r="S1046" s="28"/>
    </row>
    <row r="1047" spans="1:19" x14ac:dyDescent="0.25">
      <c r="A1047" s="63"/>
      <c r="B1047" s="64"/>
      <c r="C1047" s="64"/>
      <c r="D1047" s="64"/>
      <c r="E1047" s="64"/>
      <c r="F1047" s="64"/>
      <c r="G1047" s="64"/>
      <c r="H1047" s="64"/>
      <c r="I1047" s="64"/>
      <c r="J1047" s="64"/>
      <c r="K1047" s="64"/>
      <c r="L1047" s="64"/>
      <c r="M1047" s="64"/>
      <c r="N1047" s="64"/>
      <c r="O1047" s="64"/>
      <c r="P1047" s="64"/>
      <c r="Q1047" s="64"/>
      <c r="R1047" s="64"/>
      <c r="S1047" s="28"/>
    </row>
    <row r="1048" spans="1:19" x14ac:dyDescent="0.25">
      <c r="A1048" s="63"/>
      <c r="B1048" s="64"/>
      <c r="C1048" s="64"/>
      <c r="D1048" s="64"/>
      <c r="E1048" s="64"/>
      <c r="F1048" s="64"/>
      <c r="G1048" s="64"/>
      <c r="H1048" s="64"/>
      <c r="I1048" s="64"/>
      <c r="J1048" s="64"/>
      <c r="K1048" s="64"/>
      <c r="L1048" s="64"/>
      <c r="M1048" s="64"/>
      <c r="N1048" s="64"/>
      <c r="O1048" s="64"/>
      <c r="P1048" s="64"/>
      <c r="Q1048" s="64"/>
      <c r="R1048" s="64"/>
      <c r="S1048" s="28"/>
    </row>
    <row r="1049" spans="1:19" x14ac:dyDescent="0.25">
      <c r="A1049" s="63"/>
      <c r="B1049" s="64"/>
      <c r="C1049" s="64"/>
      <c r="D1049" s="64"/>
      <c r="E1049" s="64"/>
      <c r="F1049" s="64"/>
      <c r="G1049" s="64"/>
      <c r="H1049" s="64"/>
      <c r="I1049" s="64"/>
      <c r="J1049" s="64"/>
      <c r="K1049" s="64"/>
      <c r="L1049" s="64"/>
      <c r="M1049" s="64"/>
      <c r="N1049" s="64"/>
      <c r="O1049" s="64"/>
      <c r="P1049" s="64"/>
      <c r="Q1049" s="64"/>
      <c r="R1049" s="64"/>
      <c r="S1049" s="28"/>
    </row>
    <row r="1050" spans="1:19" x14ac:dyDescent="0.25">
      <c r="A1050" s="63"/>
      <c r="B1050" s="64"/>
      <c r="C1050" s="64"/>
      <c r="D1050" s="64"/>
      <c r="E1050" s="64"/>
      <c r="F1050" s="64"/>
      <c r="G1050" s="64"/>
      <c r="H1050" s="64"/>
      <c r="I1050" s="64"/>
      <c r="J1050" s="64"/>
      <c r="K1050" s="64"/>
      <c r="L1050" s="64"/>
      <c r="M1050" s="64"/>
      <c r="N1050" s="64"/>
      <c r="O1050" s="64"/>
      <c r="P1050" s="64"/>
      <c r="Q1050" s="64"/>
      <c r="R1050" s="64"/>
      <c r="S1050" s="28"/>
    </row>
    <row r="1051" spans="1:19" x14ac:dyDescent="0.25">
      <c r="A1051" s="63"/>
      <c r="B1051" s="64"/>
      <c r="C1051" s="64"/>
      <c r="D1051" s="64"/>
      <c r="E1051" s="64"/>
      <c r="F1051" s="64"/>
      <c r="G1051" s="64"/>
      <c r="H1051" s="64"/>
      <c r="I1051" s="64"/>
      <c r="J1051" s="64"/>
      <c r="K1051" s="64"/>
      <c r="L1051" s="64"/>
      <c r="M1051" s="64"/>
      <c r="N1051" s="64"/>
      <c r="O1051" s="64"/>
      <c r="P1051" s="64"/>
      <c r="Q1051" s="64"/>
      <c r="R1051" s="64"/>
      <c r="S1051" s="28"/>
    </row>
    <row r="1052" spans="1:19" x14ac:dyDescent="0.25">
      <c r="A1052" s="63"/>
      <c r="B1052" s="64"/>
      <c r="C1052" s="64"/>
      <c r="D1052" s="64"/>
      <c r="E1052" s="64"/>
      <c r="F1052" s="64"/>
      <c r="G1052" s="64"/>
      <c r="H1052" s="64"/>
      <c r="I1052" s="64"/>
      <c r="J1052" s="64"/>
      <c r="K1052" s="64"/>
      <c r="L1052" s="64"/>
      <c r="M1052" s="64"/>
      <c r="N1052" s="64"/>
      <c r="O1052" s="64"/>
      <c r="P1052" s="64"/>
      <c r="Q1052" s="64"/>
      <c r="R1052" s="64"/>
      <c r="S1052" s="28"/>
    </row>
    <row r="1053" spans="1:19" x14ac:dyDescent="0.25">
      <c r="A1053" s="63"/>
      <c r="B1053" s="64"/>
      <c r="C1053" s="64"/>
      <c r="D1053" s="64"/>
      <c r="E1053" s="64"/>
      <c r="F1053" s="64"/>
      <c r="G1053" s="64"/>
      <c r="H1053" s="64"/>
      <c r="I1053" s="64"/>
      <c r="J1053" s="64"/>
      <c r="K1053" s="64"/>
      <c r="L1053" s="64"/>
      <c r="M1053" s="64"/>
      <c r="N1053" s="64"/>
      <c r="O1053" s="64"/>
      <c r="P1053" s="64"/>
      <c r="Q1053" s="64"/>
      <c r="R1053" s="64"/>
      <c r="S1053" s="28"/>
    </row>
    <row r="1054" spans="1:19" x14ac:dyDescent="0.25">
      <c r="A1054" s="63"/>
      <c r="B1054" s="64"/>
      <c r="C1054" s="64"/>
      <c r="D1054" s="64"/>
      <c r="E1054" s="64"/>
      <c r="F1054" s="64"/>
      <c r="G1054" s="64"/>
      <c r="H1054" s="64"/>
      <c r="I1054" s="64"/>
      <c r="J1054" s="64"/>
      <c r="K1054" s="64"/>
      <c r="L1054" s="64"/>
      <c r="M1054" s="64"/>
      <c r="N1054" s="64"/>
      <c r="O1054" s="64"/>
      <c r="P1054" s="64"/>
      <c r="Q1054" s="64"/>
      <c r="R1054" s="64"/>
      <c r="S1054" s="28"/>
    </row>
    <row r="1055" spans="1:19" x14ac:dyDescent="0.25">
      <c r="A1055" s="63"/>
      <c r="B1055" s="64"/>
      <c r="C1055" s="64"/>
      <c r="D1055" s="64"/>
      <c r="E1055" s="64"/>
      <c r="F1055" s="64"/>
      <c r="G1055" s="64"/>
      <c r="H1055" s="64"/>
      <c r="I1055" s="64"/>
      <c r="J1055" s="64"/>
      <c r="K1055" s="64"/>
      <c r="L1055" s="64"/>
      <c r="M1055" s="64"/>
      <c r="N1055" s="64"/>
      <c r="O1055" s="64"/>
      <c r="P1055" s="64"/>
      <c r="Q1055" s="64"/>
      <c r="R1055" s="64"/>
      <c r="S1055" s="28"/>
    </row>
    <row r="1056" spans="1:19" x14ac:dyDescent="0.25">
      <c r="A1056" s="63"/>
      <c r="B1056" s="64"/>
      <c r="C1056" s="64"/>
      <c r="D1056" s="64"/>
      <c r="E1056" s="64"/>
      <c r="F1056" s="64"/>
      <c r="G1056" s="64"/>
      <c r="H1056" s="64"/>
      <c r="I1056" s="64"/>
      <c r="J1056" s="64"/>
      <c r="K1056" s="64"/>
      <c r="L1056" s="64"/>
      <c r="M1056" s="64"/>
      <c r="N1056" s="64"/>
      <c r="O1056" s="64"/>
      <c r="P1056" s="64"/>
      <c r="Q1056" s="64"/>
      <c r="R1056" s="64"/>
      <c r="S1056" s="28"/>
    </row>
    <row r="1057" spans="1:19" x14ac:dyDescent="0.25">
      <c r="A1057" s="63"/>
      <c r="B1057" s="64"/>
      <c r="C1057" s="64"/>
      <c r="D1057" s="64"/>
      <c r="E1057" s="64"/>
      <c r="F1057" s="64"/>
      <c r="G1057" s="64"/>
      <c r="H1057" s="64"/>
      <c r="I1057" s="64"/>
      <c r="J1057" s="64"/>
      <c r="K1057" s="64"/>
      <c r="L1057" s="64"/>
      <c r="M1057" s="64"/>
      <c r="N1057" s="64"/>
      <c r="O1057" s="64"/>
      <c r="P1057" s="64"/>
      <c r="Q1057" s="64"/>
      <c r="R1057" s="64"/>
      <c r="S1057" s="28"/>
    </row>
    <row r="1058" spans="1:19" x14ac:dyDescent="0.25">
      <c r="A1058" s="63"/>
      <c r="B1058" s="64"/>
      <c r="C1058" s="64"/>
      <c r="D1058" s="64"/>
      <c r="E1058" s="64"/>
      <c r="F1058" s="64"/>
      <c r="G1058" s="64"/>
      <c r="H1058" s="64"/>
      <c r="I1058" s="64"/>
      <c r="J1058" s="64"/>
      <c r="K1058" s="64"/>
      <c r="L1058" s="64"/>
      <c r="M1058" s="64"/>
      <c r="N1058" s="64"/>
      <c r="O1058" s="64"/>
      <c r="P1058" s="64"/>
      <c r="Q1058" s="64"/>
      <c r="R1058" s="64"/>
      <c r="S1058" s="28"/>
    </row>
    <row r="1059" spans="1:19" x14ac:dyDescent="0.25">
      <c r="A1059" s="63"/>
      <c r="B1059" s="64"/>
      <c r="C1059" s="64"/>
      <c r="D1059" s="64"/>
      <c r="E1059" s="64"/>
      <c r="F1059" s="64"/>
      <c r="G1059" s="64"/>
      <c r="H1059" s="64"/>
      <c r="I1059" s="64"/>
      <c r="J1059" s="64"/>
      <c r="K1059" s="64"/>
      <c r="L1059" s="64"/>
      <c r="M1059" s="64"/>
      <c r="N1059" s="64"/>
      <c r="O1059" s="64"/>
      <c r="P1059" s="64"/>
      <c r="Q1059" s="64"/>
      <c r="R1059" s="64"/>
      <c r="S1059" s="28"/>
    </row>
    <row r="1060" spans="1:19" x14ac:dyDescent="0.25">
      <c r="A1060" s="63"/>
      <c r="B1060" s="64"/>
      <c r="C1060" s="64"/>
      <c r="D1060" s="64"/>
      <c r="E1060" s="64"/>
      <c r="F1060" s="64"/>
      <c r="G1060" s="64"/>
      <c r="H1060" s="64"/>
      <c r="I1060" s="64"/>
      <c r="J1060" s="64"/>
      <c r="K1060" s="64"/>
      <c r="L1060" s="64"/>
      <c r="M1060" s="64"/>
      <c r="N1060" s="64"/>
      <c r="O1060" s="64"/>
      <c r="P1060" s="64"/>
      <c r="Q1060" s="64"/>
      <c r="R1060" s="64"/>
      <c r="S1060" s="28"/>
    </row>
    <row r="1061" spans="1:19" x14ac:dyDescent="0.25">
      <c r="A1061" s="63"/>
      <c r="B1061" s="64"/>
      <c r="C1061" s="64"/>
      <c r="D1061" s="64"/>
      <c r="E1061" s="64"/>
      <c r="F1061" s="64"/>
      <c r="G1061" s="64"/>
      <c r="H1061" s="64"/>
      <c r="I1061" s="64"/>
      <c r="J1061" s="64"/>
      <c r="K1061" s="64"/>
      <c r="L1061" s="64"/>
      <c r="M1061" s="64"/>
      <c r="N1061" s="64"/>
      <c r="O1061" s="64"/>
      <c r="P1061" s="64"/>
      <c r="Q1061" s="64"/>
      <c r="R1061" s="64"/>
      <c r="S1061" s="28"/>
    </row>
    <row r="1062" spans="1:19" x14ac:dyDescent="0.25">
      <c r="A1062" s="63"/>
      <c r="B1062" s="64"/>
      <c r="C1062" s="64"/>
      <c r="D1062" s="64"/>
      <c r="E1062" s="64"/>
      <c r="F1062" s="64"/>
      <c r="G1062" s="64"/>
      <c r="H1062" s="64"/>
      <c r="I1062" s="64"/>
      <c r="J1062" s="64"/>
      <c r="K1062" s="64"/>
      <c r="L1062" s="64"/>
      <c r="M1062" s="64"/>
      <c r="N1062" s="64"/>
      <c r="O1062" s="64"/>
      <c r="P1062" s="64"/>
      <c r="Q1062" s="64"/>
      <c r="R1062" s="64"/>
      <c r="S1062" s="28"/>
    </row>
    <row r="1063" spans="1:19" x14ac:dyDescent="0.25">
      <c r="A1063" s="63"/>
      <c r="B1063" s="64"/>
      <c r="C1063" s="64"/>
      <c r="D1063" s="64"/>
      <c r="E1063" s="64"/>
      <c r="F1063" s="64"/>
      <c r="G1063" s="64"/>
      <c r="H1063" s="64"/>
      <c r="I1063" s="64"/>
      <c r="J1063" s="64"/>
      <c r="K1063" s="64"/>
      <c r="L1063" s="64"/>
      <c r="M1063" s="64"/>
      <c r="N1063" s="64"/>
      <c r="O1063" s="64"/>
      <c r="P1063" s="64"/>
      <c r="Q1063" s="64"/>
      <c r="R1063" s="64"/>
      <c r="S1063" s="28"/>
    </row>
    <row r="1064" spans="1:19" x14ac:dyDescent="0.25">
      <c r="A1064" s="63"/>
      <c r="B1064" s="64"/>
      <c r="C1064" s="64"/>
      <c r="D1064" s="64"/>
      <c r="E1064" s="64"/>
      <c r="F1064" s="64"/>
      <c r="G1064" s="64"/>
      <c r="H1064" s="64"/>
      <c r="I1064" s="64"/>
      <c r="J1064" s="64"/>
      <c r="K1064" s="64"/>
      <c r="L1064" s="64"/>
      <c r="M1064" s="64"/>
      <c r="N1064" s="64"/>
      <c r="O1064" s="64"/>
      <c r="P1064" s="64"/>
      <c r="Q1064" s="64"/>
      <c r="R1064" s="64"/>
      <c r="S1064" s="28"/>
    </row>
    <row r="1065" spans="1:19" x14ac:dyDescent="0.25">
      <c r="A1065" s="63"/>
      <c r="B1065" s="64"/>
      <c r="C1065" s="64"/>
      <c r="D1065" s="64"/>
      <c r="E1065" s="64"/>
      <c r="F1065" s="64"/>
      <c r="G1065" s="64"/>
      <c r="H1065" s="64"/>
      <c r="I1065" s="64"/>
      <c r="J1065" s="64"/>
      <c r="K1065" s="64"/>
      <c r="L1065" s="64"/>
      <c r="M1065" s="64"/>
      <c r="N1065" s="64"/>
      <c r="O1065" s="64"/>
      <c r="P1065" s="64"/>
      <c r="Q1065" s="64"/>
      <c r="R1065" s="64"/>
      <c r="S1065" s="28"/>
    </row>
    <row r="1066" spans="1:19" x14ac:dyDescent="0.25">
      <c r="A1066" s="63"/>
      <c r="B1066" s="64"/>
      <c r="C1066" s="64"/>
      <c r="D1066" s="64"/>
      <c r="E1066" s="64"/>
      <c r="F1066" s="64"/>
      <c r="G1066" s="64"/>
      <c r="H1066" s="64"/>
      <c r="I1066" s="64"/>
      <c r="J1066" s="64"/>
      <c r="K1066" s="64"/>
      <c r="L1066" s="64"/>
      <c r="M1066" s="64"/>
      <c r="N1066" s="64"/>
      <c r="O1066" s="64"/>
      <c r="P1066" s="64"/>
      <c r="Q1066" s="64"/>
      <c r="R1066" s="64"/>
      <c r="S1066" s="28"/>
    </row>
    <row r="1067" spans="1:19" x14ac:dyDescent="0.25">
      <c r="A1067" s="63"/>
      <c r="B1067" s="64"/>
      <c r="C1067" s="64"/>
      <c r="D1067" s="64"/>
      <c r="E1067" s="64"/>
      <c r="F1067" s="64"/>
      <c r="G1067" s="64"/>
      <c r="H1067" s="64"/>
      <c r="I1067" s="64"/>
      <c r="J1067" s="64"/>
      <c r="K1067" s="64"/>
      <c r="L1067" s="64"/>
      <c r="M1067" s="64"/>
      <c r="N1067" s="64"/>
      <c r="O1067" s="64"/>
      <c r="P1067" s="64"/>
      <c r="Q1067" s="64"/>
      <c r="R1067" s="64"/>
      <c r="S1067" s="28"/>
    </row>
    <row r="1068" spans="1:19" x14ac:dyDescent="0.25">
      <c r="A1068" s="63"/>
      <c r="B1068" s="64"/>
      <c r="C1068" s="64"/>
      <c r="D1068" s="64"/>
      <c r="E1068" s="64"/>
      <c r="F1068" s="64"/>
      <c r="G1068" s="64"/>
      <c r="H1068" s="64"/>
      <c r="I1068" s="64"/>
      <c r="J1068" s="64"/>
      <c r="K1068" s="64"/>
      <c r="L1068" s="64"/>
      <c r="M1068" s="64"/>
      <c r="N1068" s="64"/>
      <c r="O1068" s="64"/>
      <c r="P1068" s="64"/>
      <c r="Q1068" s="64"/>
      <c r="R1068" s="64"/>
      <c r="S1068" s="28"/>
    </row>
    <row r="1069" spans="1:19" x14ac:dyDescent="0.25">
      <c r="A1069" s="63"/>
      <c r="B1069" s="64"/>
      <c r="C1069" s="64"/>
      <c r="D1069" s="64"/>
      <c r="E1069" s="64"/>
      <c r="F1069" s="64"/>
      <c r="G1069" s="64"/>
      <c r="H1069" s="64"/>
      <c r="I1069" s="64"/>
      <c r="J1069" s="64"/>
      <c r="K1069" s="64"/>
      <c r="L1069" s="64"/>
      <c r="M1069" s="64"/>
      <c r="N1069" s="64"/>
      <c r="O1069" s="64"/>
      <c r="P1069" s="64"/>
      <c r="Q1069" s="64"/>
      <c r="R1069" s="64"/>
      <c r="S1069" s="28"/>
    </row>
    <row r="1070" spans="1:19" x14ac:dyDescent="0.25">
      <c r="A1070" s="63"/>
      <c r="B1070" s="64"/>
      <c r="C1070" s="64"/>
      <c r="D1070" s="64"/>
      <c r="E1070" s="64"/>
      <c r="F1070" s="64"/>
      <c r="G1070" s="64"/>
      <c r="H1070" s="64"/>
      <c r="I1070" s="64"/>
      <c r="J1070" s="64"/>
      <c r="K1070" s="64"/>
      <c r="L1070" s="64"/>
      <c r="M1070" s="64"/>
      <c r="N1070" s="64"/>
      <c r="O1070" s="64"/>
      <c r="P1070" s="64"/>
      <c r="Q1070" s="64"/>
      <c r="R1070" s="64"/>
      <c r="S1070" s="28"/>
    </row>
    <row r="1071" spans="1:19" x14ac:dyDescent="0.25">
      <c r="A1071" s="63"/>
      <c r="B1071" s="64"/>
      <c r="C1071" s="64"/>
      <c r="D1071" s="64"/>
      <c r="E1071" s="64"/>
      <c r="F1071" s="64"/>
      <c r="G1071" s="64"/>
      <c r="H1071" s="64"/>
      <c r="I1071" s="64"/>
      <c r="J1071" s="64"/>
      <c r="K1071" s="64"/>
      <c r="L1071" s="64"/>
      <c r="M1071" s="64"/>
      <c r="N1071" s="64"/>
      <c r="O1071" s="64"/>
      <c r="P1071" s="64"/>
      <c r="Q1071" s="64"/>
      <c r="R1071" s="64"/>
      <c r="S1071" s="28"/>
    </row>
    <row r="1072" spans="1:19" x14ac:dyDescent="0.25">
      <c r="A1072" s="63"/>
      <c r="B1072" s="64"/>
      <c r="C1072" s="64"/>
      <c r="D1072" s="64"/>
      <c r="E1072" s="64"/>
      <c r="F1072" s="64"/>
      <c r="G1072" s="64"/>
      <c r="H1072" s="64"/>
      <c r="I1072" s="64"/>
      <c r="J1072" s="64"/>
      <c r="K1072" s="64"/>
      <c r="L1072" s="64"/>
      <c r="M1072" s="64"/>
      <c r="N1072" s="64"/>
      <c r="O1072" s="64"/>
      <c r="P1072" s="64"/>
      <c r="Q1072" s="64"/>
      <c r="R1072" s="64"/>
      <c r="S1072" s="28"/>
    </row>
    <row r="1073" spans="1:19" x14ac:dyDescent="0.25">
      <c r="A1073" s="63"/>
      <c r="B1073" s="64"/>
      <c r="C1073" s="64"/>
      <c r="D1073" s="64"/>
      <c r="E1073" s="64"/>
      <c r="F1073" s="64"/>
      <c r="G1073" s="64"/>
      <c r="H1073" s="64"/>
      <c r="I1073" s="64"/>
      <c r="J1073" s="64"/>
      <c r="K1073" s="64"/>
      <c r="L1073" s="64"/>
      <c r="M1073" s="64"/>
      <c r="N1073" s="64"/>
      <c r="O1073" s="64"/>
      <c r="P1073" s="64"/>
      <c r="Q1073" s="64"/>
      <c r="R1073" s="64"/>
      <c r="S1073" s="28"/>
    </row>
    <row r="1074" spans="1:19" x14ac:dyDescent="0.25">
      <c r="A1074" s="63"/>
      <c r="B1074" s="64"/>
      <c r="C1074" s="64"/>
      <c r="D1074" s="64"/>
      <c r="E1074" s="64"/>
      <c r="F1074" s="64"/>
      <c r="G1074" s="64"/>
      <c r="H1074" s="64"/>
      <c r="I1074" s="64"/>
      <c r="J1074" s="64"/>
      <c r="K1074" s="64"/>
      <c r="L1074" s="64"/>
      <c r="M1074" s="64"/>
      <c r="N1074" s="64"/>
      <c r="O1074" s="64"/>
      <c r="P1074" s="64"/>
      <c r="Q1074" s="64"/>
      <c r="R1074" s="64"/>
      <c r="S1074" s="28"/>
    </row>
    <row r="1075" spans="1:19" x14ac:dyDescent="0.25">
      <c r="A1075" s="63"/>
      <c r="B1075" s="64"/>
      <c r="C1075" s="64"/>
      <c r="D1075" s="64"/>
      <c r="E1075" s="64"/>
      <c r="F1075" s="64"/>
      <c r="G1075" s="64"/>
      <c r="H1075" s="64"/>
      <c r="I1075" s="64"/>
      <c r="J1075" s="64"/>
      <c r="K1075" s="64"/>
      <c r="L1075" s="64"/>
      <c r="M1075" s="64"/>
      <c r="N1075" s="64"/>
      <c r="O1075" s="64"/>
      <c r="P1075" s="64"/>
      <c r="Q1075" s="64"/>
      <c r="R1075" s="64"/>
      <c r="S1075" s="28"/>
    </row>
    <row r="1076" spans="1:19" x14ac:dyDescent="0.25">
      <c r="A1076" s="63"/>
      <c r="B1076" s="64"/>
      <c r="C1076" s="64"/>
      <c r="D1076" s="64"/>
      <c r="E1076" s="64"/>
      <c r="F1076" s="64"/>
      <c r="G1076" s="64"/>
      <c r="H1076" s="64"/>
      <c r="I1076" s="64"/>
      <c r="J1076" s="64"/>
      <c r="K1076" s="64"/>
      <c r="L1076" s="64"/>
      <c r="M1076" s="64"/>
      <c r="N1076" s="64"/>
      <c r="O1076" s="64"/>
      <c r="P1076" s="64"/>
      <c r="Q1076" s="64"/>
      <c r="R1076" s="64"/>
      <c r="S1076" s="28"/>
    </row>
    <row r="1077" spans="1:19" x14ac:dyDescent="0.25">
      <c r="A1077" s="63"/>
      <c r="B1077" s="64"/>
      <c r="C1077" s="64"/>
      <c r="D1077" s="64"/>
      <c r="E1077" s="64"/>
      <c r="F1077" s="64"/>
      <c r="G1077" s="64"/>
      <c r="H1077" s="64"/>
      <c r="I1077" s="64"/>
      <c r="J1077" s="64"/>
      <c r="K1077" s="64"/>
      <c r="L1077" s="64"/>
      <c r="M1077" s="64"/>
      <c r="N1077" s="64"/>
      <c r="O1077" s="64"/>
      <c r="P1077" s="64"/>
      <c r="Q1077" s="64"/>
      <c r="R1077" s="64"/>
      <c r="S1077" s="28"/>
    </row>
    <row r="1078" spans="1:19" x14ac:dyDescent="0.25">
      <c r="A1078" s="63"/>
      <c r="B1078" s="64"/>
      <c r="C1078" s="64"/>
      <c r="D1078" s="64"/>
      <c r="E1078" s="64"/>
      <c r="F1078" s="64"/>
      <c r="G1078" s="64"/>
      <c r="H1078" s="64"/>
      <c r="I1078" s="64"/>
      <c r="J1078" s="64"/>
      <c r="K1078" s="64"/>
      <c r="L1078" s="64"/>
      <c r="M1078" s="64"/>
      <c r="N1078" s="64"/>
      <c r="O1078" s="64"/>
      <c r="P1078" s="64"/>
      <c r="Q1078" s="64"/>
      <c r="R1078" s="64"/>
      <c r="S1078" s="28"/>
    </row>
    <row r="1079" spans="1:19" x14ac:dyDescent="0.25">
      <c r="A1079" s="63"/>
      <c r="B1079" s="64"/>
      <c r="C1079" s="64"/>
      <c r="D1079" s="64"/>
      <c r="E1079" s="64"/>
      <c r="F1079" s="64"/>
      <c r="G1079" s="64"/>
      <c r="H1079" s="64"/>
      <c r="I1079" s="64"/>
      <c r="J1079" s="64"/>
      <c r="K1079" s="64"/>
      <c r="L1079" s="64"/>
      <c r="M1079" s="64"/>
      <c r="N1079" s="64"/>
      <c r="O1079" s="64"/>
      <c r="P1079" s="64"/>
      <c r="Q1079" s="64"/>
      <c r="R1079" s="64"/>
      <c r="S1079" s="28"/>
    </row>
    <row r="1080" spans="1:19" x14ac:dyDescent="0.25">
      <c r="A1080" s="63"/>
      <c r="B1080" s="64"/>
      <c r="C1080" s="64"/>
      <c r="D1080" s="64"/>
      <c r="E1080" s="64"/>
      <c r="F1080" s="64"/>
      <c r="G1080" s="64"/>
      <c r="H1080" s="64"/>
      <c r="I1080" s="64"/>
      <c r="J1080" s="64"/>
      <c r="K1080" s="64"/>
      <c r="L1080" s="64"/>
      <c r="M1080" s="64"/>
      <c r="N1080" s="64"/>
      <c r="O1080" s="64"/>
      <c r="P1080" s="64"/>
      <c r="Q1080" s="64"/>
      <c r="R1080" s="64"/>
      <c r="S1080" s="28"/>
    </row>
    <row r="1081" spans="1:19" x14ac:dyDescent="0.25">
      <c r="A1081" s="63"/>
      <c r="B1081" s="64"/>
      <c r="C1081" s="64"/>
      <c r="D1081" s="64"/>
      <c r="E1081" s="64"/>
      <c r="F1081" s="64"/>
      <c r="G1081" s="64"/>
      <c r="H1081" s="64"/>
      <c r="I1081" s="64"/>
      <c r="J1081" s="64"/>
      <c r="K1081" s="64"/>
      <c r="L1081" s="64"/>
      <c r="M1081" s="64"/>
      <c r="N1081" s="64"/>
      <c r="O1081" s="64"/>
      <c r="P1081" s="64"/>
      <c r="Q1081" s="64"/>
      <c r="R1081" s="64"/>
      <c r="S1081" s="28"/>
    </row>
    <row r="1082" spans="1:19" x14ac:dyDescent="0.25">
      <c r="A1082" s="63"/>
      <c r="B1082" s="64"/>
      <c r="C1082" s="64"/>
      <c r="D1082" s="64"/>
      <c r="E1082" s="64"/>
      <c r="F1082" s="64"/>
      <c r="G1082" s="64"/>
      <c r="H1082" s="64"/>
      <c r="I1082" s="64"/>
      <c r="J1082" s="64"/>
      <c r="K1082" s="64"/>
      <c r="L1082" s="64"/>
      <c r="M1082" s="64"/>
      <c r="N1082" s="64"/>
      <c r="O1082" s="64"/>
      <c r="P1082" s="64"/>
      <c r="Q1082" s="64"/>
      <c r="R1082" s="64"/>
      <c r="S1082" s="28"/>
    </row>
    <row r="1083" spans="1:19" x14ac:dyDescent="0.25">
      <c r="A1083" s="63"/>
      <c r="B1083" s="64"/>
      <c r="C1083" s="64"/>
      <c r="D1083" s="64"/>
      <c r="E1083" s="64"/>
      <c r="F1083" s="64"/>
      <c r="G1083" s="64"/>
      <c r="H1083" s="64"/>
      <c r="I1083" s="64"/>
      <c r="J1083" s="64"/>
      <c r="K1083" s="64"/>
      <c r="L1083" s="64"/>
      <c r="M1083" s="64"/>
      <c r="N1083" s="64"/>
      <c r="O1083" s="64"/>
      <c r="P1083" s="64"/>
      <c r="Q1083" s="64"/>
      <c r="R1083" s="64"/>
      <c r="S1083" s="28"/>
    </row>
    <row r="1084" spans="1:19" x14ac:dyDescent="0.25">
      <c r="A1084" s="63"/>
      <c r="B1084" s="64"/>
      <c r="C1084" s="64"/>
      <c r="D1084" s="64"/>
      <c r="E1084" s="64"/>
      <c r="F1084" s="64"/>
      <c r="G1084" s="64"/>
      <c r="H1084" s="64"/>
      <c r="I1084" s="64"/>
      <c r="J1084" s="64"/>
      <c r="K1084" s="64"/>
      <c r="L1084" s="64"/>
      <c r="M1084" s="64"/>
      <c r="N1084" s="64"/>
      <c r="O1084" s="64"/>
      <c r="P1084" s="64"/>
      <c r="Q1084" s="64"/>
      <c r="R1084" s="64"/>
      <c r="S1084" s="28"/>
    </row>
    <row r="1085" spans="1:19" x14ac:dyDescent="0.25">
      <c r="A1085" s="63"/>
      <c r="B1085" s="64"/>
      <c r="C1085" s="64"/>
      <c r="D1085" s="64"/>
      <c r="E1085" s="64"/>
      <c r="F1085" s="64"/>
      <c r="G1085" s="64"/>
      <c r="H1085" s="64"/>
      <c r="I1085" s="64"/>
      <c r="J1085" s="64"/>
      <c r="K1085" s="64"/>
      <c r="L1085" s="64"/>
      <c r="M1085" s="64"/>
      <c r="N1085" s="64"/>
      <c r="O1085" s="64"/>
      <c r="P1085" s="64"/>
      <c r="Q1085" s="64"/>
      <c r="R1085" s="64"/>
      <c r="S1085" s="28"/>
    </row>
    <row r="1086" spans="1:19" x14ac:dyDescent="0.25">
      <c r="A1086" s="63"/>
      <c r="B1086" s="64"/>
      <c r="C1086" s="64"/>
      <c r="D1086" s="64"/>
      <c r="E1086" s="64"/>
      <c r="F1086" s="64"/>
      <c r="G1086" s="64"/>
      <c r="H1086" s="64"/>
      <c r="I1086" s="64"/>
      <c r="J1086" s="64"/>
      <c r="K1086" s="64"/>
      <c r="L1086" s="64"/>
      <c r="M1086" s="64"/>
      <c r="N1086" s="64"/>
      <c r="O1086" s="64"/>
      <c r="P1086" s="64"/>
      <c r="Q1086" s="64"/>
      <c r="R1086" s="64"/>
      <c r="S1086" s="28"/>
    </row>
    <row r="1087" spans="1:19" x14ac:dyDescent="0.25">
      <c r="A1087" s="63"/>
      <c r="B1087" s="64"/>
      <c r="C1087" s="64"/>
      <c r="D1087" s="64"/>
      <c r="E1087" s="64"/>
      <c r="F1087" s="64"/>
      <c r="G1087" s="64"/>
      <c r="H1087" s="64"/>
      <c r="I1087" s="64"/>
      <c r="J1087" s="64"/>
      <c r="K1087" s="64"/>
      <c r="L1087" s="64"/>
      <c r="M1087" s="64"/>
      <c r="N1087" s="64"/>
      <c r="O1087" s="64"/>
      <c r="P1087" s="64"/>
      <c r="Q1087" s="64"/>
      <c r="R1087" s="64"/>
      <c r="S1087" s="28"/>
    </row>
    <row r="1088" spans="1:19" x14ac:dyDescent="0.25">
      <c r="A1088" s="63"/>
      <c r="B1088" s="64"/>
      <c r="C1088" s="64"/>
      <c r="D1088" s="64"/>
      <c r="E1088" s="64"/>
      <c r="F1088" s="64"/>
      <c r="G1088" s="64"/>
      <c r="H1088" s="64"/>
      <c r="I1088" s="64"/>
      <c r="J1088" s="64"/>
      <c r="K1088" s="64"/>
      <c r="L1088" s="64"/>
      <c r="M1088" s="64"/>
      <c r="N1088" s="64"/>
      <c r="O1088" s="64"/>
      <c r="P1088" s="64"/>
      <c r="Q1088" s="64"/>
      <c r="R1088" s="64"/>
      <c r="S1088" s="28"/>
    </row>
    <row r="1089" spans="1:19" x14ac:dyDescent="0.25">
      <c r="A1089" s="63"/>
      <c r="B1089" s="64"/>
      <c r="C1089" s="64"/>
      <c r="D1089" s="64"/>
      <c r="E1089" s="64"/>
      <c r="F1089" s="64"/>
      <c r="G1089" s="64"/>
      <c r="H1089" s="64"/>
      <c r="I1089" s="64"/>
      <c r="J1089" s="64"/>
      <c r="K1089" s="64"/>
      <c r="L1089" s="64"/>
      <c r="M1089" s="64"/>
      <c r="N1089" s="64"/>
      <c r="O1089" s="64"/>
      <c r="P1089" s="64"/>
      <c r="Q1089" s="64"/>
      <c r="R1089" s="64"/>
      <c r="S1089" s="28"/>
    </row>
    <row r="1090" spans="1:19" x14ac:dyDescent="0.25">
      <c r="A1090" s="63"/>
      <c r="B1090" s="64"/>
      <c r="C1090" s="64"/>
      <c r="D1090" s="64"/>
      <c r="E1090" s="64"/>
      <c r="F1090" s="64"/>
      <c r="G1090" s="64"/>
      <c r="H1090" s="64"/>
      <c r="I1090" s="64"/>
      <c r="J1090" s="64"/>
      <c r="K1090" s="64"/>
      <c r="L1090" s="64"/>
      <c r="M1090" s="64"/>
      <c r="N1090" s="64"/>
      <c r="O1090" s="64"/>
      <c r="P1090" s="64"/>
      <c r="Q1090" s="64"/>
      <c r="R1090" s="64"/>
      <c r="S1090" s="28"/>
    </row>
    <row r="1091" spans="1:19" x14ac:dyDescent="0.25">
      <c r="A1091" s="63"/>
      <c r="B1091" s="64"/>
      <c r="C1091" s="64"/>
      <c r="D1091" s="64"/>
      <c r="E1091" s="64"/>
      <c r="F1091" s="64"/>
      <c r="G1091" s="64"/>
      <c r="H1091" s="64"/>
      <c r="I1091" s="64"/>
      <c r="J1091" s="64"/>
      <c r="K1091" s="64"/>
      <c r="L1091" s="64"/>
      <c r="M1091" s="64"/>
      <c r="N1091" s="64"/>
      <c r="O1091" s="64"/>
      <c r="P1091" s="64"/>
      <c r="Q1091" s="64"/>
      <c r="R1091" s="64"/>
      <c r="S1091" s="28"/>
    </row>
    <row r="1092" spans="1:19" x14ac:dyDescent="0.25">
      <c r="A1092" s="63"/>
      <c r="B1092" s="64"/>
      <c r="C1092" s="64"/>
      <c r="D1092" s="64"/>
      <c r="E1092" s="64"/>
      <c r="F1092" s="64"/>
      <c r="G1092" s="64"/>
      <c r="H1092" s="64"/>
      <c r="I1092" s="64"/>
      <c r="J1092" s="64"/>
      <c r="K1092" s="64"/>
      <c r="L1092" s="64"/>
      <c r="M1092" s="64"/>
      <c r="N1092" s="64"/>
      <c r="O1092" s="64"/>
      <c r="P1092" s="64"/>
      <c r="Q1092" s="64"/>
      <c r="R1092" s="64"/>
      <c r="S1092" s="28"/>
    </row>
    <row r="1093" spans="1:19" x14ac:dyDescent="0.25">
      <c r="A1093" s="63"/>
      <c r="B1093" s="64"/>
      <c r="C1093" s="64"/>
      <c r="D1093" s="64"/>
      <c r="E1093" s="64"/>
      <c r="F1093" s="64"/>
      <c r="G1093" s="64"/>
      <c r="H1093" s="64"/>
      <c r="I1093" s="64"/>
      <c r="J1093" s="64"/>
      <c r="K1093" s="64"/>
      <c r="L1093" s="64"/>
      <c r="M1093" s="64"/>
      <c r="N1093" s="64"/>
      <c r="O1093" s="64"/>
      <c r="P1093" s="64"/>
      <c r="Q1093" s="64"/>
      <c r="R1093" s="64"/>
      <c r="S1093" s="28"/>
    </row>
    <row r="1094" spans="1:19" x14ac:dyDescent="0.25">
      <c r="A1094" s="63"/>
      <c r="B1094" s="64"/>
      <c r="C1094" s="64"/>
      <c r="D1094" s="64"/>
      <c r="E1094" s="64"/>
      <c r="F1094" s="64"/>
      <c r="G1094" s="64"/>
      <c r="H1094" s="64"/>
      <c r="I1094" s="64"/>
      <c r="J1094" s="64"/>
      <c r="K1094" s="64"/>
      <c r="L1094" s="64"/>
      <c r="M1094" s="64"/>
      <c r="N1094" s="64"/>
      <c r="O1094" s="64"/>
      <c r="P1094" s="64"/>
      <c r="Q1094" s="64"/>
      <c r="R1094" s="64"/>
      <c r="S1094" s="28"/>
    </row>
    <row r="1095" spans="1:19" x14ac:dyDescent="0.25">
      <c r="A1095" s="63"/>
      <c r="B1095" s="64"/>
      <c r="C1095" s="64"/>
      <c r="D1095" s="64"/>
      <c r="E1095" s="64"/>
      <c r="F1095" s="64"/>
      <c r="G1095" s="64"/>
      <c r="H1095" s="64"/>
      <c r="I1095" s="64"/>
      <c r="J1095" s="64"/>
      <c r="K1095" s="64"/>
      <c r="L1095" s="64"/>
      <c r="M1095" s="64"/>
      <c r="N1095" s="64"/>
      <c r="O1095" s="64"/>
      <c r="P1095" s="64"/>
      <c r="Q1095" s="64"/>
      <c r="R1095" s="64"/>
      <c r="S1095" s="28"/>
    </row>
    <row r="1096" spans="1:19" x14ac:dyDescent="0.25">
      <c r="A1096" s="63"/>
      <c r="B1096" s="64"/>
      <c r="C1096" s="64"/>
      <c r="D1096" s="64"/>
      <c r="E1096" s="64"/>
      <c r="F1096" s="64"/>
      <c r="G1096" s="64"/>
      <c r="H1096" s="64"/>
      <c r="I1096" s="64"/>
      <c r="J1096" s="64"/>
      <c r="K1096" s="64"/>
      <c r="L1096" s="64"/>
      <c r="M1096" s="64"/>
      <c r="N1096" s="64"/>
      <c r="O1096" s="64"/>
      <c r="P1096" s="64"/>
      <c r="Q1096" s="64"/>
      <c r="R1096" s="64"/>
      <c r="S1096" s="28"/>
    </row>
    <row r="1097" spans="1:19" x14ac:dyDescent="0.25">
      <c r="A1097" s="63"/>
      <c r="B1097" s="64"/>
      <c r="C1097" s="64"/>
      <c r="D1097" s="64"/>
      <c r="E1097" s="64"/>
      <c r="F1097" s="64"/>
      <c r="G1097" s="64"/>
      <c r="H1097" s="64"/>
      <c r="I1097" s="64"/>
      <c r="J1097" s="64"/>
      <c r="K1097" s="64"/>
      <c r="L1097" s="64"/>
      <c r="M1097" s="64"/>
      <c r="N1097" s="64"/>
      <c r="O1097" s="64"/>
      <c r="P1097" s="64"/>
      <c r="Q1097" s="64"/>
      <c r="R1097" s="64"/>
      <c r="S1097" s="28"/>
    </row>
    <row r="1098" spans="1:19" x14ac:dyDescent="0.25">
      <c r="A1098" s="63"/>
      <c r="B1098" s="64"/>
      <c r="C1098" s="64"/>
      <c r="D1098" s="64"/>
      <c r="E1098" s="64"/>
      <c r="F1098" s="64"/>
      <c r="G1098" s="64"/>
      <c r="H1098" s="64"/>
      <c r="I1098" s="64"/>
      <c r="J1098" s="64"/>
      <c r="K1098" s="64"/>
      <c r="L1098" s="64"/>
      <c r="M1098" s="64"/>
      <c r="N1098" s="64"/>
      <c r="O1098" s="64"/>
      <c r="P1098" s="64"/>
      <c r="Q1098" s="64"/>
      <c r="R1098" s="64"/>
      <c r="S1098" s="28"/>
    </row>
    <row r="1099" spans="1:19" x14ac:dyDescent="0.25">
      <c r="A1099" s="63"/>
      <c r="B1099" s="64"/>
      <c r="C1099" s="64"/>
      <c r="D1099" s="64"/>
      <c r="E1099" s="64"/>
      <c r="F1099" s="64"/>
      <c r="G1099" s="64"/>
      <c r="H1099" s="64"/>
      <c r="I1099" s="64"/>
      <c r="J1099" s="64"/>
      <c r="K1099" s="64"/>
      <c r="L1099" s="64"/>
      <c r="M1099" s="64"/>
      <c r="N1099" s="64"/>
      <c r="O1099" s="64"/>
      <c r="P1099" s="64"/>
      <c r="Q1099" s="64"/>
      <c r="R1099" s="64"/>
      <c r="S1099" s="28"/>
    </row>
    <row r="1100" spans="1:19" x14ac:dyDescent="0.25">
      <c r="A1100" s="63"/>
      <c r="B1100" s="64"/>
      <c r="C1100" s="64"/>
      <c r="D1100" s="64"/>
      <c r="E1100" s="64"/>
      <c r="F1100" s="64"/>
      <c r="G1100" s="64"/>
      <c r="H1100" s="64"/>
      <c r="I1100" s="64"/>
      <c r="J1100" s="64"/>
      <c r="K1100" s="64"/>
      <c r="L1100" s="64"/>
      <c r="M1100" s="64"/>
      <c r="N1100" s="64"/>
      <c r="O1100" s="64"/>
      <c r="P1100" s="64"/>
      <c r="Q1100" s="64"/>
      <c r="R1100" s="64"/>
      <c r="S1100" s="28"/>
    </row>
    <row r="1101" spans="1:19" x14ac:dyDescent="0.25">
      <c r="A1101" s="63"/>
      <c r="B1101" s="64"/>
      <c r="C1101" s="64"/>
      <c r="D1101" s="64"/>
      <c r="E1101" s="64"/>
      <c r="F1101" s="64"/>
      <c r="G1101" s="64"/>
      <c r="H1101" s="64"/>
      <c r="I1101" s="64"/>
      <c r="J1101" s="64"/>
      <c r="K1101" s="64"/>
      <c r="L1101" s="64"/>
      <c r="M1101" s="64"/>
      <c r="N1101" s="64"/>
      <c r="O1101" s="64"/>
      <c r="P1101" s="64"/>
      <c r="Q1101" s="64"/>
      <c r="R1101" s="64"/>
      <c r="S1101" s="28"/>
    </row>
    <row r="1102" spans="1:19" x14ac:dyDescent="0.25">
      <c r="A1102" s="63"/>
      <c r="B1102" s="64"/>
      <c r="C1102" s="64"/>
      <c r="D1102" s="64"/>
      <c r="E1102" s="64"/>
      <c r="F1102" s="64"/>
      <c r="G1102" s="64"/>
      <c r="H1102" s="64"/>
      <c r="I1102" s="64"/>
      <c r="J1102" s="64"/>
      <c r="K1102" s="64"/>
      <c r="L1102" s="64"/>
      <c r="M1102" s="64"/>
      <c r="N1102" s="64"/>
      <c r="O1102" s="64"/>
      <c r="P1102" s="64"/>
      <c r="Q1102" s="64"/>
      <c r="R1102" s="64"/>
      <c r="S1102" s="28"/>
    </row>
    <row r="1103" spans="1:19" x14ac:dyDescent="0.25">
      <c r="A1103" s="63"/>
      <c r="B1103" s="64"/>
      <c r="C1103" s="64"/>
      <c r="D1103" s="64"/>
      <c r="E1103" s="64"/>
      <c r="F1103" s="64"/>
      <c r="G1103" s="64"/>
      <c r="H1103" s="64"/>
      <c r="I1103" s="64"/>
      <c r="J1103" s="64"/>
      <c r="K1103" s="64"/>
      <c r="L1103" s="64"/>
      <c r="M1103" s="64"/>
      <c r="N1103" s="64"/>
      <c r="O1103" s="64"/>
      <c r="P1103" s="64"/>
      <c r="Q1103" s="64"/>
      <c r="R1103" s="64"/>
      <c r="S1103" s="28"/>
    </row>
    <row r="1104" spans="1:19" x14ac:dyDescent="0.25">
      <c r="A1104" s="63"/>
      <c r="B1104" s="64"/>
      <c r="C1104" s="64"/>
      <c r="D1104" s="64"/>
      <c r="E1104" s="64"/>
      <c r="F1104" s="64"/>
      <c r="G1104" s="64"/>
      <c r="H1104" s="64"/>
      <c r="I1104" s="64"/>
      <c r="J1104" s="64"/>
      <c r="K1104" s="64"/>
      <c r="L1104" s="64"/>
      <c r="M1104" s="64"/>
      <c r="N1104" s="64"/>
      <c r="O1104" s="64"/>
      <c r="P1104" s="64"/>
      <c r="Q1104" s="64"/>
      <c r="R1104" s="64"/>
      <c r="S1104" s="28"/>
    </row>
    <row r="1105" spans="1:19" x14ac:dyDescent="0.25">
      <c r="A1105" s="63"/>
      <c r="B1105" s="64"/>
      <c r="C1105" s="64"/>
      <c r="D1105" s="64"/>
      <c r="E1105" s="64"/>
      <c r="F1105" s="64"/>
      <c r="G1105" s="64"/>
      <c r="H1105" s="64"/>
      <c r="I1105" s="64"/>
      <c r="J1105" s="64"/>
      <c r="K1105" s="64"/>
      <c r="L1105" s="64"/>
      <c r="M1105" s="64"/>
      <c r="N1105" s="64"/>
      <c r="O1105" s="64"/>
      <c r="P1105" s="64"/>
      <c r="Q1105" s="64"/>
      <c r="R1105" s="64"/>
      <c r="S1105" s="28"/>
    </row>
    <row r="1106" spans="1:19" x14ac:dyDescent="0.25">
      <c r="A1106" s="63"/>
      <c r="B1106" s="64"/>
      <c r="C1106" s="64"/>
      <c r="D1106" s="64"/>
      <c r="E1106" s="64"/>
      <c r="F1106" s="64"/>
      <c r="G1106" s="64"/>
      <c r="H1106" s="64"/>
      <c r="I1106" s="64"/>
      <c r="J1106" s="64"/>
      <c r="K1106" s="64"/>
      <c r="L1106" s="64"/>
      <c r="M1106" s="64"/>
      <c r="N1106" s="64"/>
      <c r="O1106" s="64"/>
      <c r="P1106" s="64"/>
      <c r="Q1106" s="64"/>
      <c r="R1106" s="64"/>
      <c r="S1106" s="28"/>
    </row>
    <row r="1107" spans="1:19" x14ac:dyDescent="0.25">
      <c r="A1107" s="63"/>
      <c r="B1107" s="64"/>
      <c r="C1107" s="64"/>
      <c r="D1107" s="64"/>
      <c r="E1107" s="64"/>
      <c r="F1107" s="64"/>
      <c r="G1107" s="64"/>
      <c r="H1107" s="64"/>
      <c r="I1107" s="64"/>
      <c r="J1107" s="64"/>
      <c r="K1107" s="64"/>
      <c r="L1107" s="64"/>
      <c r="M1107" s="64"/>
      <c r="N1107" s="64"/>
      <c r="O1107" s="64"/>
      <c r="P1107" s="64"/>
      <c r="Q1107" s="64"/>
      <c r="R1107" s="64"/>
      <c r="S1107" s="28"/>
    </row>
    <row r="1108" spans="1:19" x14ac:dyDescent="0.25">
      <c r="A1108" s="63"/>
      <c r="B1108" s="64"/>
      <c r="C1108" s="64"/>
      <c r="D1108" s="64"/>
      <c r="E1108" s="64"/>
      <c r="F1108" s="64"/>
      <c r="G1108" s="64"/>
      <c r="H1108" s="64"/>
      <c r="I1108" s="64"/>
      <c r="J1108" s="64"/>
      <c r="K1108" s="64"/>
      <c r="L1108" s="64"/>
      <c r="M1108" s="64"/>
      <c r="N1108" s="64"/>
      <c r="O1108" s="64"/>
      <c r="P1108" s="64"/>
      <c r="Q1108" s="64"/>
      <c r="R1108" s="64"/>
      <c r="S1108" s="28"/>
    </row>
    <row r="1109" spans="1:19" x14ac:dyDescent="0.25">
      <c r="A1109" s="63"/>
      <c r="B1109" s="64"/>
      <c r="C1109" s="64"/>
      <c r="D1109" s="64"/>
      <c r="E1109" s="64"/>
      <c r="F1109" s="64"/>
      <c r="G1109" s="64"/>
      <c r="H1109" s="64"/>
      <c r="I1109" s="64"/>
      <c r="J1109" s="64"/>
      <c r="K1109" s="64"/>
      <c r="L1109" s="64"/>
      <c r="M1109" s="64"/>
      <c r="N1109" s="64"/>
      <c r="O1109" s="64"/>
      <c r="P1109" s="64"/>
      <c r="Q1109" s="64"/>
      <c r="R1109" s="64"/>
      <c r="S1109" s="28"/>
    </row>
    <row r="1110" spans="1:19" x14ac:dyDescent="0.25">
      <c r="A1110" s="63"/>
      <c r="B1110" s="64"/>
      <c r="C1110" s="64"/>
      <c r="D1110" s="64"/>
      <c r="E1110" s="64"/>
      <c r="F1110" s="64"/>
      <c r="G1110" s="64"/>
      <c r="H1110" s="64"/>
      <c r="I1110" s="64"/>
      <c r="J1110" s="64"/>
      <c r="K1110" s="64"/>
      <c r="L1110" s="64"/>
      <c r="M1110" s="64"/>
      <c r="N1110" s="64"/>
      <c r="O1110" s="64"/>
      <c r="P1110" s="64"/>
      <c r="Q1110" s="64"/>
      <c r="R1110" s="64"/>
      <c r="S1110" s="28"/>
    </row>
    <row r="1111" spans="1:19" x14ac:dyDescent="0.25">
      <c r="A1111" s="63"/>
      <c r="B1111" s="64"/>
      <c r="C1111" s="64"/>
      <c r="D1111" s="64"/>
      <c r="E1111" s="64"/>
      <c r="F1111" s="64"/>
      <c r="G1111" s="64"/>
      <c r="H1111" s="64"/>
      <c r="I1111" s="64"/>
      <c r="J1111" s="64"/>
      <c r="K1111" s="64"/>
      <c r="L1111" s="64"/>
      <c r="M1111" s="64"/>
      <c r="N1111" s="64"/>
      <c r="O1111" s="64"/>
      <c r="P1111" s="64"/>
      <c r="Q1111" s="64"/>
      <c r="R1111" s="64"/>
      <c r="S1111" s="28"/>
    </row>
    <row r="1112" spans="1:19" x14ac:dyDescent="0.25">
      <c r="A1112" s="63"/>
      <c r="B1112" s="64"/>
      <c r="C1112" s="64"/>
      <c r="D1112" s="64"/>
      <c r="E1112" s="64"/>
      <c r="F1112" s="64"/>
      <c r="G1112" s="64"/>
      <c r="H1112" s="64"/>
      <c r="I1112" s="64"/>
      <c r="J1112" s="64"/>
      <c r="K1112" s="64"/>
      <c r="L1112" s="64"/>
      <c r="M1112" s="64"/>
      <c r="N1112" s="64"/>
      <c r="O1112" s="64"/>
      <c r="P1112" s="64"/>
      <c r="Q1112" s="64"/>
      <c r="R1112" s="64"/>
      <c r="S1112" s="28"/>
    </row>
    <row r="1113" spans="1:19" x14ac:dyDescent="0.25">
      <c r="A1113" s="63"/>
      <c r="B1113" s="64"/>
      <c r="C1113" s="64"/>
      <c r="D1113" s="64"/>
      <c r="E1113" s="64"/>
      <c r="F1113" s="64"/>
      <c r="G1113" s="64"/>
      <c r="H1113" s="64"/>
      <c r="I1113" s="64"/>
      <c r="J1113" s="64"/>
      <c r="K1113" s="64"/>
      <c r="L1113" s="64"/>
      <c r="M1113" s="64"/>
      <c r="N1113" s="64"/>
      <c r="O1113" s="64"/>
      <c r="P1113" s="64"/>
      <c r="Q1113" s="64"/>
      <c r="R1113" s="64"/>
      <c r="S1113" s="28"/>
    </row>
    <row r="1114" spans="1:19" x14ac:dyDescent="0.25">
      <c r="A1114" s="63"/>
      <c r="B1114" s="64"/>
      <c r="C1114" s="64"/>
      <c r="D1114" s="64"/>
      <c r="E1114" s="64"/>
      <c r="F1114" s="64"/>
      <c r="G1114" s="64"/>
      <c r="H1114" s="64"/>
      <c r="I1114" s="64"/>
      <c r="J1114" s="64"/>
      <c r="K1114" s="64"/>
      <c r="L1114" s="64"/>
      <c r="M1114" s="64"/>
      <c r="N1114" s="64"/>
      <c r="O1114" s="64"/>
      <c r="P1114" s="64"/>
      <c r="Q1114" s="64"/>
      <c r="R1114" s="64"/>
      <c r="S1114" s="28"/>
    </row>
    <row r="1115" spans="1:19" x14ac:dyDescent="0.25">
      <c r="A1115" s="63"/>
      <c r="B1115" s="64"/>
      <c r="C1115" s="64"/>
      <c r="D1115" s="64"/>
      <c r="E1115" s="64"/>
      <c r="F1115" s="64"/>
      <c r="G1115" s="64"/>
      <c r="H1115" s="64"/>
      <c r="I1115" s="64"/>
      <c r="J1115" s="64"/>
      <c r="K1115" s="64"/>
      <c r="L1115" s="64"/>
      <c r="M1115" s="64"/>
      <c r="N1115" s="64"/>
      <c r="O1115" s="64"/>
      <c r="P1115" s="64"/>
      <c r="Q1115" s="64"/>
      <c r="R1115" s="64"/>
      <c r="S1115" s="28"/>
    </row>
    <row r="1116" spans="1:19" x14ac:dyDescent="0.25">
      <c r="A1116" s="63"/>
      <c r="B1116" s="64"/>
      <c r="C1116" s="64"/>
      <c r="D1116" s="64"/>
      <c r="E1116" s="64"/>
      <c r="F1116" s="64"/>
      <c r="G1116" s="64"/>
      <c r="H1116" s="64"/>
      <c r="I1116" s="64"/>
      <c r="J1116" s="64"/>
      <c r="K1116" s="64"/>
      <c r="L1116" s="64"/>
      <c r="M1116" s="64"/>
      <c r="N1116" s="64"/>
      <c r="O1116" s="64"/>
      <c r="P1116" s="64"/>
      <c r="Q1116" s="64"/>
      <c r="R1116" s="64"/>
      <c r="S1116" s="28"/>
    </row>
    <row r="1117" spans="1:19" x14ac:dyDescent="0.25">
      <c r="A1117" s="63"/>
      <c r="B1117" s="64"/>
      <c r="C1117" s="64"/>
      <c r="D1117" s="64"/>
      <c r="E1117" s="64"/>
      <c r="F1117" s="64"/>
      <c r="G1117" s="64"/>
      <c r="H1117" s="64"/>
      <c r="I1117" s="64"/>
      <c r="J1117" s="64"/>
      <c r="K1117" s="64"/>
      <c r="L1117" s="64"/>
      <c r="M1117" s="64"/>
      <c r="N1117" s="64"/>
      <c r="O1117" s="64"/>
      <c r="P1117" s="64"/>
      <c r="Q1117" s="64"/>
      <c r="R1117" s="64"/>
      <c r="S1117" s="28"/>
    </row>
    <row r="1118" spans="1:19" x14ac:dyDescent="0.25">
      <c r="A1118" s="63"/>
      <c r="B1118" s="64"/>
      <c r="C1118" s="64"/>
      <c r="D1118" s="64"/>
      <c r="E1118" s="64"/>
      <c r="F1118" s="64"/>
      <c r="G1118" s="64"/>
      <c r="H1118" s="64"/>
      <c r="I1118" s="64"/>
      <c r="J1118" s="64"/>
      <c r="K1118" s="64"/>
      <c r="L1118" s="64"/>
      <c r="M1118" s="64"/>
      <c r="N1118" s="64"/>
      <c r="O1118" s="64"/>
      <c r="P1118" s="64"/>
      <c r="Q1118" s="64"/>
      <c r="R1118" s="64"/>
      <c r="S1118" s="28"/>
    </row>
    <row r="1119" spans="1:19" x14ac:dyDescent="0.25">
      <c r="A1119" s="63"/>
      <c r="B1119" s="64"/>
      <c r="C1119" s="64"/>
      <c r="D1119" s="64"/>
      <c r="E1119" s="64"/>
      <c r="F1119" s="64"/>
      <c r="G1119" s="64"/>
      <c r="H1119" s="64"/>
      <c r="I1119" s="64"/>
      <c r="J1119" s="64"/>
      <c r="K1119" s="64"/>
      <c r="L1119" s="64"/>
      <c r="M1119" s="64"/>
      <c r="N1119" s="64"/>
      <c r="O1119" s="64"/>
      <c r="P1119" s="64"/>
      <c r="Q1119" s="64"/>
      <c r="R1119" s="64"/>
      <c r="S1119" s="28"/>
    </row>
    <row r="1120" spans="1:19" x14ac:dyDescent="0.25">
      <c r="A1120" s="63"/>
      <c r="B1120" s="64"/>
      <c r="C1120" s="64"/>
      <c r="D1120" s="64"/>
      <c r="E1120" s="64"/>
      <c r="F1120" s="64"/>
      <c r="G1120" s="64"/>
      <c r="H1120" s="64"/>
      <c r="I1120" s="64"/>
      <c r="J1120" s="64"/>
      <c r="K1120" s="64"/>
      <c r="L1120" s="64"/>
      <c r="M1120" s="64"/>
      <c r="N1120" s="64"/>
      <c r="O1120" s="64"/>
      <c r="P1120" s="64"/>
      <c r="Q1120" s="64"/>
      <c r="R1120" s="64"/>
      <c r="S1120" s="28"/>
    </row>
    <row r="1121" spans="1:19" x14ac:dyDescent="0.25">
      <c r="A1121" s="63"/>
      <c r="B1121" s="64"/>
      <c r="C1121" s="64"/>
      <c r="D1121" s="64"/>
      <c r="E1121" s="64"/>
      <c r="F1121" s="64"/>
      <c r="G1121" s="64"/>
      <c r="H1121" s="64"/>
      <c r="I1121" s="64"/>
      <c r="J1121" s="64"/>
      <c r="K1121" s="64"/>
      <c r="L1121" s="64"/>
      <c r="M1121" s="64"/>
      <c r="N1121" s="64"/>
      <c r="O1121" s="64"/>
      <c r="P1121" s="64"/>
      <c r="Q1121" s="64"/>
      <c r="R1121" s="64"/>
      <c r="S1121" s="28"/>
    </row>
    <row r="1122" spans="1:19" x14ac:dyDescent="0.25">
      <c r="A1122" s="63"/>
      <c r="B1122" s="64"/>
      <c r="C1122" s="64"/>
      <c r="D1122" s="64"/>
      <c r="E1122" s="64"/>
      <c r="F1122" s="64"/>
      <c r="G1122" s="64"/>
      <c r="H1122" s="64"/>
      <c r="I1122" s="64"/>
      <c r="J1122" s="64"/>
      <c r="K1122" s="64"/>
      <c r="L1122" s="64"/>
      <c r="M1122" s="64"/>
      <c r="N1122" s="64"/>
      <c r="O1122" s="64"/>
      <c r="P1122" s="64"/>
      <c r="Q1122" s="64"/>
      <c r="R1122" s="64"/>
      <c r="S1122" s="28"/>
    </row>
    <row r="1123" spans="1:19" x14ac:dyDescent="0.25">
      <c r="A1123" s="63"/>
      <c r="B1123" s="64"/>
      <c r="C1123" s="64"/>
      <c r="D1123" s="64"/>
      <c r="E1123" s="64"/>
      <c r="F1123" s="64"/>
      <c r="G1123" s="64"/>
      <c r="H1123" s="64"/>
      <c r="I1123" s="64"/>
      <c r="J1123" s="64"/>
      <c r="K1123" s="64"/>
      <c r="L1123" s="64"/>
      <c r="M1123" s="64"/>
      <c r="N1123" s="64"/>
      <c r="O1123" s="64"/>
      <c r="P1123" s="64"/>
      <c r="Q1123" s="64"/>
      <c r="R1123" s="64"/>
      <c r="S1123" s="28"/>
    </row>
    <row r="1124" spans="1:19" x14ac:dyDescent="0.25">
      <c r="A1124" s="63"/>
      <c r="B1124" s="64"/>
      <c r="C1124" s="64"/>
      <c r="D1124" s="64"/>
      <c r="E1124" s="64"/>
      <c r="F1124" s="64"/>
      <c r="G1124" s="64"/>
      <c r="H1124" s="64"/>
      <c r="I1124" s="64"/>
      <c r="J1124" s="64"/>
      <c r="K1124" s="64"/>
      <c r="L1124" s="64"/>
      <c r="M1124" s="64"/>
      <c r="N1124" s="64"/>
      <c r="O1124" s="64"/>
      <c r="P1124" s="64"/>
      <c r="Q1124" s="64"/>
      <c r="R1124" s="64"/>
      <c r="S1124" s="28"/>
    </row>
    <row r="1125" spans="1:19" x14ac:dyDescent="0.25">
      <c r="A1125" s="63"/>
      <c r="B1125" s="64"/>
      <c r="C1125" s="64"/>
      <c r="D1125" s="64"/>
      <c r="E1125" s="64"/>
      <c r="F1125" s="64"/>
      <c r="G1125" s="64"/>
      <c r="H1125" s="64"/>
      <c r="I1125" s="64"/>
      <c r="J1125" s="64"/>
      <c r="K1125" s="64"/>
      <c r="L1125" s="64"/>
      <c r="M1125" s="64"/>
      <c r="N1125" s="64"/>
      <c r="O1125" s="64"/>
      <c r="P1125" s="64"/>
      <c r="Q1125" s="64"/>
      <c r="R1125" s="64"/>
      <c r="S1125" s="28"/>
    </row>
    <row r="1126" spans="1:19" x14ac:dyDescent="0.25">
      <c r="A1126" s="63"/>
      <c r="B1126" s="64"/>
      <c r="C1126" s="64"/>
      <c r="D1126" s="64"/>
      <c r="E1126" s="64"/>
      <c r="F1126" s="64"/>
      <c r="G1126" s="64"/>
      <c r="H1126" s="64"/>
      <c r="I1126" s="64"/>
      <c r="J1126" s="64"/>
      <c r="K1126" s="64"/>
      <c r="L1126" s="64"/>
      <c r="M1126" s="64"/>
      <c r="N1126" s="64"/>
      <c r="O1126" s="64"/>
      <c r="P1126" s="64"/>
      <c r="Q1126" s="64"/>
      <c r="R1126" s="64"/>
      <c r="S1126" s="28"/>
    </row>
    <row r="1127" spans="1:19" x14ac:dyDescent="0.25">
      <c r="A1127" s="63"/>
      <c r="B1127" s="64"/>
      <c r="C1127" s="64"/>
      <c r="D1127" s="64"/>
      <c r="E1127" s="64"/>
      <c r="F1127" s="64"/>
      <c r="G1127" s="64"/>
      <c r="H1127" s="64"/>
      <c r="I1127" s="64"/>
      <c r="J1127" s="64"/>
      <c r="K1127" s="64"/>
      <c r="L1127" s="64"/>
      <c r="M1127" s="64"/>
      <c r="N1127" s="64"/>
      <c r="O1127" s="64"/>
      <c r="P1127" s="64"/>
      <c r="Q1127" s="64"/>
      <c r="R1127" s="64"/>
      <c r="S1127" s="28"/>
    </row>
    <row r="1128" spans="1:19" x14ac:dyDescent="0.25">
      <c r="A1128" s="63"/>
      <c r="B1128" s="64"/>
      <c r="C1128" s="64"/>
      <c r="D1128" s="64"/>
      <c r="E1128" s="64"/>
      <c r="F1128" s="64"/>
      <c r="G1128" s="64"/>
      <c r="H1128" s="64"/>
      <c r="I1128" s="64"/>
      <c r="J1128" s="64"/>
      <c r="K1128" s="64"/>
      <c r="L1128" s="64"/>
      <c r="M1128" s="64"/>
      <c r="N1128" s="64"/>
      <c r="O1128" s="64"/>
      <c r="P1128" s="64"/>
      <c r="Q1128" s="64"/>
      <c r="R1128" s="64"/>
      <c r="S1128" s="28"/>
    </row>
    <row r="1129" spans="1:19" x14ac:dyDescent="0.25">
      <c r="A1129" s="63"/>
      <c r="B1129" s="64"/>
      <c r="C1129" s="64"/>
      <c r="D1129" s="64"/>
      <c r="E1129" s="64"/>
      <c r="F1129" s="64"/>
      <c r="G1129" s="64"/>
      <c r="H1129" s="64"/>
      <c r="I1129" s="64"/>
      <c r="J1129" s="64"/>
      <c r="K1129" s="64"/>
      <c r="L1129" s="64"/>
      <c r="M1129" s="64"/>
      <c r="N1129" s="64"/>
      <c r="O1129" s="64"/>
      <c r="P1129" s="64"/>
      <c r="Q1129" s="64"/>
      <c r="R1129" s="64"/>
      <c r="S1129" s="28"/>
    </row>
    <row r="1130" spans="1:19" x14ac:dyDescent="0.25">
      <c r="A1130" s="63"/>
      <c r="B1130" s="64"/>
      <c r="C1130" s="64"/>
      <c r="D1130" s="64"/>
      <c r="E1130" s="64"/>
      <c r="F1130" s="64"/>
      <c r="G1130" s="64"/>
      <c r="H1130" s="64"/>
      <c r="I1130" s="64"/>
      <c r="J1130" s="64"/>
      <c r="K1130" s="64"/>
      <c r="L1130" s="64"/>
      <c r="M1130" s="64"/>
      <c r="N1130" s="64"/>
      <c r="O1130" s="64"/>
      <c r="P1130" s="64"/>
      <c r="Q1130" s="64"/>
      <c r="R1130" s="64"/>
      <c r="S1130" s="28"/>
    </row>
    <row r="1131" spans="1:19" x14ac:dyDescent="0.25">
      <c r="A1131" s="63"/>
      <c r="B1131" s="64"/>
      <c r="C1131" s="64"/>
      <c r="D1131" s="64"/>
      <c r="E1131" s="64"/>
      <c r="F1131" s="64"/>
      <c r="G1131" s="64"/>
      <c r="H1131" s="64"/>
      <c r="I1131" s="64"/>
      <c r="J1131" s="64"/>
      <c r="K1131" s="64"/>
      <c r="L1131" s="64"/>
      <c r="M1131" s="64"/>
      <c r="N1131" s="64"/>
      <c r="O1131" s="64"/>
      <c r="P1131" s="64"/>
      <c r="Q1131" s="64"/>
      <c r="R1131" s="64"/>
      <c r="S1131" s="28"/>
    </row>
    <row r="1132" spans="1:19" x14ac:dyDescent="0.25">
      <c r="A1132" s="63"/>
      <c r="B1132" s="64"/>
      <c r="C1132" s="64"/>
      <c r="D1132" s="64"/>
      <c r="E1132" s="64"/>
      <c r="F1132" s="64"/>
      <c r="G1132" s="64"/>
      <c r="H1132" s="64"/>
      <c r="I1132" s="64"/>
      <c r="J1132" s="64"/>
      <c r="K1132" s="64"/>
      <c r="L1132" s="64"/>
      <c r="M1132" s="64"/>
      <c r="N1132" s="64"/>
      <c r="O1132" s="64"/>
      <c r="P1132" s="64"/>
      <c r="Q1132" s="64"/>
      <c r="R1132" s="64"/>
      <c r="S1132" s="28"/>
    </row>
    <row r="1133" spans="1:19" x14ac:dyDescent="0.25">
      <c r="A1133" s="63"/>
      <c r="B1133" s="64"/>
      <c r="C1133" s="64"/>
      <c r="D1133" s="64"/>
      <c r="E1133" s="64"/>
      <c r="F1133" s="64"/>
      <c r="G1133" s="64"/>
      <c r="H1133" s="64"/>
      <c r="I1133" s="64"/>
      <c r="J1133" s="64"/>
      <c r="K1133" s="64"/>
      <c r="L1133" s="64"/>
      <c r="M1133" s="64"/>
      <c r="N1133" s="64"/>
      <c r="O1133" s="64"/>
      <c r="P1133" s="64"/>
      <c r="Q1133" s="64"/>
      <c r="R1133" s="64"/>
      <c r="S1133" s="28"/>
    </row>
    <row r="1134" spans="1:19" x14ac:dyDescent="0.25">
      <c r="A1134" s="63"/>
      <c r="B1134" s="64"/>
      <c r="C1134" s="64"/>
      <c r="D1134" s="64"/>
      <c r="E1134" s="64"/>
      <c r="F1134" s="64"/>
      <c r="G1134" s="64"/>
      <c r="H1134" s="64"/>
      <c r="I1134" s="64"/>
      <c r="J1134" s="64"/>
      <c r="K1134" s="64"/>
      <c r="L1134" s="64"/>
      <c r="M1134" s="64"/>
      <c r="N1134" s="64"/>
      <c r="O1134" s="64"/>
      <c r="P1134" s="64"/>
      <c r="Q1134" s="64"/>
      <c r="R1134" s="64"/>
      <c r="S1134" s="28"/>
    </row>
    <row r="1135" spans="1:19" x14ac:dyDescent="0.25">
      <c r="A1135" s="63"/>
      <c r="B1135" s="64"/>
      <c r="C1135" s="64"/>
      <c r="D1135" s="64"/>
      <c r="E1135" s="64"/>
      <c r="F1135" s="64"/>
      <c r="G1135" s="64"/>
      <c r="H1135" s="64"/>
      <c r="I1135" s="64"/>
      <c r="J1135" s="64"/>
      <c r="K1135" s="64"/>
      <c r="L1135" s="64"/>
      <c r="M1135" s="64"/>
      <c r="N1135" s="64"/>
      <c r="O1135" s="64"/>
      <c r="P1135" s="64"/>
      <c r="Q1135" s="64"/>
      <c r="R1135" s="64"/>
      <c r="S1135" s="28"/>
    </row>
    <row r="1136" spans="1:19" x14ac:dyDescent="0.25">
      <c r="A1136" s="63"/>
      <c r="B1136" s="64"/>
      <c r="C1136" s="64"/>
      <c r="D1136" s="64"/>
      <c r="E1136" s="64"/>
      <c r="F1136" s="64"/>
      <c r="G1136" s="64"/>
      <c r="H1136" s="64"/>
      <c r="I1136" s="64"/>
      <c r="J1136" s="64"/>
      <c r="K1136" s="64"/>
      <c r="L1136" s="64"/>
      <c r="M1136" s="64"/>
      <c r="N1136" s="64"/>
      <c r="O1136" s="64"/>
      <c r="P1136" s="64"/>
      <c r="Q1136" s="64"/>
      <c r="R1136" s="64"/>
      <c r="S1136" s="28"/>
    </row>
    <row r="1137" spans="1:19" x14ac:dyDescent="0.25">
      <c r="A1137" s="63"/>
      <c r="B1137" s="64"/>
      <c r="C1137" s="64"/>
      <c r="D1137" s="64"/>
      <c r="E1137" s="64"/>
      <c r="F1137" s="64"/>
      <c r="G1137" s="64"/>
      <c r="H1137" s="64"/>
      <c r="I1137" s="64"/>
      <c r="J1137" s="64"/>
      <c r="K1137" s="64"/>
      <c r="L1137" s="64"/>
      <c r="M1137" s="64"/>
      <c r="N1137" s="64"/>
      <c r="O1137" s="64"/>
      <c r="P1137" s="64"/>
      <c r="Q1137" s="64"/>
      <c r="R1137" s="64"/>
      <c r="S1137" s="28"/>
    </row>
    <row r="1138" spans="1:19" x14ac:dyDescent="0.25">
      <c r="A1138" s="63"/>
      <c r="B1138" s="64"/>
      <c r="C1138" s="64"/>
      <c r="D1138" s="64"/>
      <c r="E1138" s="64"/>
      <c r="F1138" s="64"/>
      <c r="G1138" s="64"/>
      <c r="H1138" s="64"/>
      <c r="I1138" s="64"/>
      <c r="J1138" s="64"/>
      <c r="K1138" s="64"/>
      <c r="L1138" s="64"/>
      <c r="M1138" s="64"/>
      <c r="N1138" s="64"/>
      <c r="O1138" s="64"/>
      <c r="P1138" s="64"/>
      <c r="Q1138" s="64"/>
      <c r="R1138" s="64"/>
      <c r="S1138" s="28"/>
    </row>
    <row r="1139" spans="1:19" x14ac:dyDescent="0.25">
      <c r="A1139" s="63"/>
      <c r="B1139" s="64"/>
      <c r="C1139" s="64"/>
      <c r="D1139" s="64"/>
      <c r="E1139" s="64"/>
      <c r="F1139" s="64"/>
      <c r="G1139" s="64"/>
      <c r="H1139" s="64"/>
      <c r="I1139" s="64"/>
      <c r="J1139" s="64"/>
      <c r="K1139" s="64"/>
      <c r="L1139" s="64"/>
      <c r="M1139" s="64"/>
      <c r="N1139" s="64"/>
      <c r="O1139" s="64"/>
      <c r="P1139" s="64"/>
      <c r="Q1139" s="64"/>
      <c r="R1139" s="64"/>
      <c r="S1139" s="28"/>
    </row>
    <row r="1140" spans="1:19" x14ac:dyDescent="0.25">
      <c r="A1140" s="63"/>
      <c r="B1140" s="64"/>
      <c r="C1140" s="64"/>
      <c r="D1140" s="64"/>
      <c r="E1140" s="64"/>
      <c r="F1140" s="64"/>
      <c r="G1140" s="64"/>
      <c r="H1140" s="64"/>
      <c r="I1140" s="64"/>
      <c r="J1140" s="64"/>
      <c r="K1140" s="64"/>
      <c r="L1140" s="64"/>
      <c r="M1140" s="64"/>
      <c r="N1140" s="64"/>
      <c r="O1140" s="64"/>
      <c r="P1140" s="64"/>
      <c r="Q1140" s="64"/>
      <c r="R1140" s="64"/>
      <c r="S1140" s="28"/>
    </row>
    <row r="1141" spans="1:19" x14ac:dyDescent="0.25">
      <c r="A1141" s="63"/>
      <c r="B1141" s="64"/>
      <c r="C1141" s="64"/>
      <c r="D1141" s="64"/>
      <c r="E1141" s="64"/>
      <c r="F1141" s="64"/>
      <c r="G1141" s="64"/>
      <c r="H1141" s="64"/>
      <c r="I1141" s="64"/>
      <c r="J1141" s="64"/>
      <c r="K1141" s="64"/>
      <c r="L1141" s="64"/>
      <c r="M1141" s="64"/>
      <c r="N1141" s="64"/>
      <c r="O1141" s="64"/>
      <c r="P1141" s="64"/>
      <c r="Q1141" s="64"/>
      <c r="R1141" s="64"/>
      <c r="S1141" s="28"/>
    </row>
    <row r="1142" spans="1:19" x14ac:dyDescent="0.25">
      <c r="A1142" s="63"/>
      <c r="B1142" s="64"/>
      <c r="C1142" s="64"/>
      <c r="D1142" s="64"/>
      <c r="E1142" s="64"/>
      <c r="F1142" s="64"/>
      <c r="G1142" s="64"/>
      <c r="H1142" s="64"/>
      <c r="I1142" s="64"/>
      <c r="J1142" s="64"/>
      <c r="K1142" s="64"/>
      <c r="L1142" s="64"/>
      <c r="M1142" s="64"/>
      <c r="N1142" s="64"/>
      <c r="O1142" s="64"/>
      <c r="P1142" s="64"/>
      <c r="Q1142" s="64"/>
      <c r="R1142" s="64"/>
      <c r="S1142" s="28"/>
    </row>
    <row r="1143" spans="1:19" x14ac:dyDescent="0.25">
      <c r="A1143" s="63"/>
      <c r="B1143" s="64"/>
      <c r="C1143" s="64"/>
      <c r="D1143" s="64"/>
      <c r="E1143" s="64"/>
      <c r="F1143" s="64"/>
      <c r="G1143" s="64"/>
      <c r="H1143" s="64"/>
      <c r="I1143" s="64"/>
      <c r="J1143" s="64"/>
      <c r="K1143" s="64"/>
      <c r="L1143" s="64"/>
      <c r="M1143" s="64"/>
      <c r="N1143" s="64"/>
      <c r="O1143" s="64"/>
      <c r="P1143" s="64"/>
      <c r="Q1143" s="64"/>
      <c r="R1143" s="64"/>
      <c r="S1143" s="28"/>
    </row>
    <row r="1144" spans="1:19" x14ac:dyDescent="0.25">
      <c r="A1144" s="63"/>
      <c r="B1144" s="64"/>
      <c r="C1144" s="64"/>
      <c r="D1144" s="64"/>
      <c r="E1144" s="64"/>
      <c r="F1144" s="64"/>
      <c r="G1144" s="64"/>
      <c r="H1144" s="64"/>
      <c r="I1144" s="64"/>
      <c r="J1144" s="64"/>
      <c r="K1144" s="64"/>
      <c r="L1144" s="64"/>
      <c r="M1144" s="64"/>
      <c r="N1144" s="64"/>
      <c r="O1144" s="64"/>
      <c r="P1144" s="64"/>
      <c r="Q1144" s="64"/>
      <c r="R1144" s="64"/>
      <c r="S1144" s="28"/>
    </row>
    <row r="1145" spans="1:19" x14ac:dyDescent="0.25">
      <c r="A1145" s="63"/>
      <c r="B1145" s="64"/>
      <c r="C1145" s="64"/>
      <c r="D1145" s="64"/>
      <c r="E1145" s="64"/>
      <c r="F1145" s="64"/>
      <c r="G1145" s="64"/>
      <c r="H1145" s="64"/>
      <c r="I1145" s="64"/>
      <c r="J1145" s="64"/>
      <c r="K1145" s="64"/>
      <c r="L1145" s="64"/>
      <c r="M1145" s="64"/>
      <c r="N1145" s="64"/>
      <c r="O1145" s="64"/>
      <c r="P1145" s="64"/>
      <c r="Q1145" s="64"/>
      <c r="R1145" s="64"/>
      <c r="S1145" s="28"/>
    </row>
    <row r="1146" spans="1:19" x14ac:dyDescent="0.25">
      <c r="A1146" s="63"/>
      <c r="B1146" s="64"/>
      <c r="C1146" s="64"/>
      <c r="D1146" s="64"/>
      <c r="E1146" s="64"/>
      <c r="F1146" s="64"/>
      <c r="G1146" s="64"/>
      <c r="H1146" s="64"/>
      <c r="I1146" s="64"/>
      <c r="J1146" s="64"/>
      <c r="K1146" s="64"/>
      <c r="L1146" s="64"/>
      <c r="M1146" s="64"/>
      <c r="N1146" s="64"/>
      <c r="O1146" s="64"/>
      <c r="P1146" s="64"/>
      <c r="Q1146" s="64"/>
      <c r="R1146" s="64"/>
      <c r="S1146" s="28"/>
    </row>
    <row r="1147" spans="1:19" x14ac:dyDescent="0.25">
      <c r="A1147" s="63"/>
      <c r="B1147" s="64"/>
      <c r="C1147" s="64"/>
      <c r="D1147" s="64"/>
      <c r="E1147" s="64"/>
      <c r="F1147" s="64"/>
      <c r="G1147" s="64"/>
      <c r="H1147" s="64"/>
      <c r="I1147" s="64"/>
      <c r="J1147" s="64"/>
      <c r="K1147" s="64"/>
      <c r="L1147" s="64"/>
      <c r="M1147" s="64"/>
      <c r="N1147" s="64"/>
      <c r="O1147" s="64"/>
      <c r="P1147" s="64"/>
      <c r="Q1147" s="64"/>
      <c r="R1147" s="64"/>
      <c r="S1147" s="64"/>
    </row>
    <row r="1148" spans="1:19" x14ac:dyDescent="0.25">
      <c r="A1148" s="63"/>
      <c r="B1148" s="64"/>
      <c r="C1148" s="64"/>
      <c r="D1148" s="64"/>
      <c r="E1148" s="64"/>
      <c r="F1148" s="64"/>
      <c r="G1148" s="64"/>
      <c r="H1148" s="64"/>
      <c r="I1148" s="64"/>
      <c r="J1148" s="64"/>
      <c r="K1148" s="64"/>
      <c r="L1148" s="64"/>
      <c r="M1148" s="64"/>
      <c r="N1148" s="64"/>
      <c r="O1148" s="64"/>
      <c r="P1148" s="64"/>
      <c r="Q1148" s="64"/>
      <c r="R1148" s="64"/>
      <c r="S1148" s="64"/>
    </row>
    <row r="1149" spans="1:19" x14ac:dyDescent="0.25">
      <c r="A1149" s="63"/>
      <c r="B1149" s="64"/>
      <c r="C1149" s="64"/>
      <c r="D1149" s="64"/>
      <c r="E1149" s="64"/>
      <c r="F1149" s="64"/>
      <c r="G1149" s="64"/>
      <c r="H1149" s="64"/>
      <c r="I1149" s="64"/>
      <c r="J1149" s="64"/>
      <c r="K1149" s="64"/>
      <c r="L1149" s="64"/>
      <c r="M1149" s="64"/>
      <c r="N1149" s="64"/>
      <c r="O1149" s="64"/>
      <c r="P1149" s="64"/>
      <c r="Q1149" s="64"/>
      <c r="R1149" s="64"/>
      <c r="S1149" s="64"/>
    </row>
    <row r="1150" spans="1:19" x14ac:dyDescent="0.25">
      <c r="A1150" s="63"/>
      <c r="B1150" s="64"/>
      <c r="C1150" s="64"/>
      <c r="D1150" s="64"/>
      <c r="E1150" s="64"/>
      <c r="F1150" s="64"/>
      <c r="G1150" s="64"/>
      <c r="H1150" s="64"/>
      <c r="I1150" s="64"/>
      <c r="J1150" s="64"/>
      <c r="K1150" s="64"/>
      <c r="L1150" s="64"/>
      <c r="M1150" s="64"/>
      <c r="N1150" s="64"/>
      <c r="O1150" s="64"/>
      <c r="P1150" s="64"/>
      <c r="Q1150" s="64"/>
      <c r="R1150" s="64"/>
      <c r="S1150" s="64"/>
    </row>
    <row r="1151" spans="1:19" x14ac:dyDescent="0.25">
      <c r="A1151" s="63"/>
      <c r="B1151" s="64"/>
      <c r="C1151" s="64"/>
      <c r="D1151" s="64"/>
      <c r="E1151" s="64"/>
      <c r="F1151" s="64"/>
      <c r="G1151" s="64"/>
      <c r="H1151" s="64"/>
      <c r="I1151" s="64"/>
      <c r="J1151" s="64"/>
      <c r="K1151" s="64"/>
      <c r="L1151" s="64"/>
      <c r="M1151" s="64"/>
      <c r="N1151" s="64"/>
      <c r="O1151" s="64"/>
      <c r="P1151" s="64"/>
      <c r="Q1151" s="64"/>
      <c r="R1151" s="64"/>
      <c r="S1151" s="64"/>
    </row>
    <row r="1152" spans="1:19" x14ac:dyDescent="0.25">
      <c r="A1152" s="63"/>
      <c r="B1152" s="64"/>
      <c r="C1152" s="64"/>
      <c r="D1152" s="64"/>
      <c r="E1152" s="64"/>
      <c r="F1152" s="64"/>
      <c r="G1152" s="64"/>
      <c r="H1152" s="64"/>
      <c r="I1152" s="64"/>
      <c r="J1152" s="64"/>
      <c r="K1152" s="64"/>
      <c r="L1152" s="64"/>
      <c r="M1152" s="64"/>
      <c r="N1152" s="64"/>
      <c r="O1152" s="64"/>
      <c r="P1152" s="64"/>
      <c r="Q1152" s="64"/>
      <c r="R1152" s="64"/>
      <c r="S1152" s="64"/>
    </row>
    <row r="1153" spans="1:19" x14ac:dyDescent="0.25">
      <c r="A1153" s="63"/>
      <c r="B1153" s="64"/>
      <c r="C1153" s="64"/>
      <c r="D1153" s="64"/>
      <c r="E1153" s="64"/>
      <c r="F1153" s="64"/>
      <c r="G1153" s="64"/>
      <c r="H1153" s="64"/>
      <c r="I1153" s="64"/>
      <c r="J1153" s="64"/>
      <c r="K1153" s="64"/>
      <c r="L1153" s="64"/>
      <c r="M1153" s="64"/>
      <c r="N1153" s="64"/>
      <c r="O1153" s="64"/>
      <c r="P1153" s="64"/>
      <c r="Q1153" s="64"/>
      <c r="R1153" s="64"/>
      <c r="S1153" s="64"/>
    </row>
    <row r="1154" spans="1:19" x14ac:dyDescent="0.25">
      <c r="A1154" s="63"/>
      <c r="B1154" s="64"/>
      <c r="C1154" s="64"/>
      <c r="D1154" s="64"/>
      <c r="E1154" s="64"/>
      <c r="F1154" s="64"/>
      <c r="G1154" s="64"/>
      <c r="H1154" s="64"/>
      <c r="I1154" s="64"/>
      <c r="J1154" s="64"/>
      <c r="K1154" s="64"/>
      <c r="L1154" s="64"/>
      <c r="M1154" s="64"/>
      <c r="N1154" s="64"/>
      <c r="O1154" s="64"/>
      <c r="P1154" s="64"/>
      <c r="Q1154" s="64"/>
      <c r="R1154" s="64"/>
      <c r="S1154" s="64"/>
    </row>
    <row r="1155" spans="1:19" x14ac:dyDescent="0.25">
      <c r="A1155" s="63"/>
      <c r="B1155" s="64"/>
      <c r="C1155" s="64"/>
      <c r="D1155" s="64"/>
      <c r="E1155" s="64"/>
      <c r="F1155" s="64"/>
      <c r="G1155" s="64"/>
      <c r="H1155" s="64"/>
      <c r="I1155" s="64"/>
      <c r="J1155" s="64"/>
      <c r="K1155" s="64"/>
      <c r="L1155" s="64"/>
      <c r="M1155" s="64"/>
      <c r="N1155" s="64"/>
      <c r="O1155" s="64"/>
      <c r="P1155" s="64"/>
      <c r="Q1155" s="64"/>
      <c r="R1155" s="64"/>
      <c r="S1155" s="64"/>
    </row>
    <row r="1156" spans="1:19" x14ac:dyDescent="0.25">
      <c r="A1156" s="63"/>
      <c r="B1156" s="64"/>
      <c r="C1156" s="64"/>
      <c r="D1156" s="64"/>
      <c r="E1156" s="64"/>
      <c r="F1156" s="64"/>
      <c r="G1156" s="64"/>
      <c r="H1156" s="64"/>
      <c r="I1156" s="64"/>
      <c r="J1156" s="64"/>
      <c r="K1156" s="64"/>
      <c r="L1156" s="64"/>
      <c r="M1156" s="64"/>
      <c r="N1156" s="64"/>
      <c r="O1156" s="64"/>
      <c r="P1156" s="64"/>
      <c r="Q1156" s="64"/>
      <c r="R1156" s="64"/>
      <c r="S1156" s="64"/>
    </row>
    <row r="1157" spans="1:19" x14ac:dyDescent="0.25">
      <c r="A1157" s="63"/>
      <c r="B1157" s="64"/>
      <c r="C1157" s="64"/>
      <c r="D1157" s="64"/>
      <c r="E1157" s="64"/>
      <c r="F1157" s="64"/>
      <c r="G1157" s="64"/>
      <c r="H1157" s="64"/>
      <c r="I1157" s="64"/>
      <c r="J1157" s="64"/>
      <c r="K1157" s="64"/>
      <c r="L1157" s="64"/>
      <c r="M1157" s="64"/>
      <c r="N1157" s="64"/>
      <c r="O1157" s="64"/>
      <c r="P1157" s="64"/>
      <c r="Q1157" s="64"/>
      <c r="R1157" s="64"/>
      <c r="S1157" s="64"/>
    </row>
    <row r="1158" spans="1:19" x14ac:dyDescent="0.25">
      <c r="A1158" s="63"/>
      <c r="B1158" s="64"/>
      <c r="C1158" s="64"/>
      <c r="D1158" s="64"/>
      <c r="E1158" s="64"/>
      <c r="F1158" s="64"/>
      <c r="G1158" s="64"/>
      <c r="H1158" s="64"/>
      <c r="I1158" s="64"/>
      <c r="J1158" s="64"/>
      <c r="K1158" s="64"/>
      <c r="L1158" s="64"/>
      <c r="M1158" s="64"/>
      <c r="N1158" s="64"/>
      <c r="O1158" s="64"/>
      <c r="P1158" s="64"/>
      <c r="Q1158" s="64"/>
      <c r="R1158" s="64"/>
      <c r="S1158" s="64"/>
    </row>
    <row r="1159" spans="1:19" x14ac:dyDescent="0.25">
      <c r="A1159" s="63"/>
      <c r="B1159" s="64"/>
      <c r="C1159" s="64"/>
      <c r="D1159" s="64"/>
      <c r="E1159" s="64"/>
      <c r="F1159" s="64"/>
      <c r="G1159" s="64"/>
      <c r="H1159" s="64"/>
      <c r="I1159" s="64"/>
      <c r="J1159" s="64"/>
      <c r="K1159" s="64"/>
      <c r="L1159" s="64"/>
      <c r="M1159" s="64"/>
      <c r="N1159" s="64"/>
      <c r="O1159" s="64"/>
      <c r="P1159" s="64"/>
      <c r="Q1159" s="64"/>
      <c r="R1159" s="64"/>
      <c r="S1159" s="64"/>
    </row>
    <row r="1160" spans="1:19" x14ac:dyDescent="0.25">
      <c r="A1160" s="63"/>
      <c r="B1160" s="64"/>
      <c r="C1160" s="64"/>
      <c r="D1160" s="64"/>
      <c r="E1160" s="64"/>
      <c r="F1160" s="64"/>
      <c r="G1160" s="64"/>
      <c r="H1160" s="64"/>
      <c r="I1160" s="64"/>
      <c r="J1160" s="64"/>
      <c r="K1160" s="64"/>
      <c r="L1160" s="64"/>
      <c r="M1160" s="64"/>
      <c r="N1160" s="64"/>
      <c r="O1160" s="64"/>
      <c r="P1160" s="64"/>
      <c r="Q1160" s="64"/>
      <c r="R1160" s="64"/>
      <c r="S1160" s="64"/>
    </row>
    <row r="1161" spans="1:19" x14ac:dyDescent="0.25">
      <c r="A1161" s="63"/>
      <c r="B1161" s="64"/>
      <c r="C1161" s="64"/>
      <c r="D1161" s="64"/>
      <c r="E1161" s="64"/>
      <c r="F1161" s="64"/>
      <c r="G1161" s="64"/>
      <c r="H1161" s="64"/>
      <c r="I1161" s="64"/>
      <c r="J1161" s="64"/>
      <c r="K1161" s="64"/>
      <c r="L1161" s="64"/>
      <c r="M1161" s="64"/>
      <c r="N1161" s="64"/>
      <c r="O1161" s="64"/>
      <c r="P1161" s="64"/>
      <c r="Q1161" s="64"/>
      <c r="R1161" s="64"/>
      <c r="S1161" s="64"/>
    </row>
    <row r="1162" spans="1:19" x14ac:dyDescent="0.25">
      <c r="A1162" s="63"/>
      <c r="B1162" s="64"/>
      <c r="C1162" s="64"/>
      <c r="D1162" s="64"/>
      <c r="E1162" s="64"/>
      <c r="F1162" s="64"/>
      <c r="G1162" s="64"/>
      <c r="H1162" s="64"/>
      <c r="I1162" s="64"/>
      <c r="J1162" s="64"/>
      <c r="K1162" s="64"/>
      <c r="L1162" s="64"/>
      <c r="M1162" s="64"/>
      <c r="N1162" s="64"/>
      <c r="O1162" s="64"/>
      <c r="P1162" s="64"/>
      <c r="Q1162" s="64"/>
      <c r="R1162" s="64"/>
      <c r="S1162" s="64"/>
    </row>
    <row r="1163" spans="1:19" x14ac:dyDescent="0.25">
      <c r="A1163" s="63"/>
      <c r="B1163" s="64"/>
      <c r="C1163" s="64"/>
      <c r="D1163" s="64"/>
      <c r="E1163" s="64"/>
      <c r="F1163" s="64"/>
      <c r="G1163" s="64"/>
      <c r="H1163" s="64"/>
      <c r="I1163" s="64"/>
      <c r="J1163" s="64"/>
      <c r="K1163" s="64"/>
      <c r="L1163" s="64"/>
      <c r="M1163" s="64"/>
      <c r="N1163" s="64"/>
      <c r="O1163" s="64"/>
      <c r="P1163" s="64"/>
      <c r="Q1163" s="64"/>
      <c r="R1163" s="64"/>
      <c r="S1163" s="64"/>
    </row>
    <row r="1164" spans="1:19" x14ac:dyDescent="0.25">
      <c r="A1164" s="63"/>
      <c r="B1164" s="64"/>
      <c r="C1164" s="64"/>
      <c r="D1164" s="64"/>
      <c r="E1164" s="64"/>
      <c r="F1164" s="64"/>
      <c r="G1164" s="64"/>
      <c r="H1164" s="64"/>
      <c r="I1164" s="64"/>
      <c r="J1164" s="64"/>
      <c r="K1164" s="64"/>
      <c r="L1164" s="64"/>
      <c r="M1164" s="64"/>
      <c r="N1164" s="64"/>
      <c r="O1164" s="64"/>
      <c r="P1164" s="64"/>
      <c r="Q1164" s="64"/>
      <c r="R1164" s="64"/>
      <c r="S1164" s="64"/>
    </row>
    <row r="1165" spans="1:19" x14ac:dyDescent="0.25">
      <c r="A1165" s="63"/>
      <c r="B1165" s="64"/>
      <c r="C1165" s="64"/>
      <c r="D1165" s="64"/>
      <c r="E1165" s="64"/>
      <c r="F1165" s="64"/>
      <c r="G1165" s="64"/>
      <c r="H1165" s="64"/>
      <c r="I1165" s="64"/>
      <c r="J1165" s="64"/>
      <c r="K1165" s="64"/>
      <c r="L1165" s="64"/>
      <c r="M1165" s="64"/>
      <c r="N1165" s="64"/>
      <c r="O1165" s="64"/>
      <c r="P1165" s="64"/>
      <c r="Q1165" s="64"/>
      <c r="R1165" s="64"/>
      <c r="S1165" s="64"/>
    </row>
    <row r="1166" spans="1:19" x14ac:dyDescent="0.25">
      <c r="A1166" s="63"/>
      <c r="B1166" s="64"/>
      <c r="C1166" s="64"/>
      <c r="D1166" s="64"/>
      <c r="E1166" s="64"/>
      <c r="F1166" s="64"/>
      <c r="G1166" s="64"/>
      <c r="H1166" s="64"/>
      <c r="I1166" s="64"/>
      <c r="J1166" s="64"/>
      <c r="K1166" s="64"/>
      <c r="L1166" s="64"/>
      <c r="M1166" s="64"/>
      <c r="N1166" s="64"/>
      <c r="O1166" s="64"/>
      <c r="P1166" s="64"/>
      <c r="Q1166" s="64"/>
      <c r="R1166" s="64"/>
      <c r="S1166" s="64"/>
    </row>
    <row r="1167" spans="1:19" x14ac:dyDescent="0.25">
      <c r="A1167" s="63"/>
      <c r="B1167" s="64"/>
      <c r="C1167" s="64"/>
      <c r="D1167" s="64"/>
      <c r="E1167" s="64"/>
      <c r="F1167" s="64"/>
      <c r="G1167" s="64"/>
      <c r="H1167" s="64"/>
      <c r="I1167" s="64"/>
      <c r="J1167" s="64"/>
      <c r="K1167" s="64"/>
      <c r="L1167" s="64"/>
      <c r="M1167" s="64"/>
      <c r="N1167" s="64"/>
      <c r="O1167" s="64"/>
      <c r="P1167" s="64"/>
      <c r="Q1167" s="64"/>
      <c r="R1167" s="64"/>
      <c r="S1167" s="64"/>
    </row>
    <row r="1168" spans="1:19" x14ac:dyDescent="0.25">
      <c r="A1168" s="63"/>
      <c r="B1168" s="64"/>
      <c r="C1168" s="64"/>
      <c r="D1168" s="64"/>
      <c r="E1168" s="64"/>
      <c r="F1168" s="64"/>
      <c r="G1168" s="64"/>
      <c r="H1168" s="64"/>
      <c r="I1168" s="64"/>
      <c r="J1168" s="64"/>
      <c r="K1168" s="64"/>
      <c r="L1168" s="64"/>
      <c r="M1168" s="64"/>
      <c r="N1168" s="64"/>
      <c r="O1168" s="64"/>
      <c r="P1168" s="64"/>
      <c r="Q1168" s="64"/>
      <c r="R1168" s="64"/>
      <c r="S1168" s="64"/>
    </row>
    <row r="1169" spans="1:19" x14ac:dyDescent="0.25">
      <c r="A1169" s="63"/>
      <c r="B1169" s="64"/>
      <c r="C1169" s="64"/>
      <c r="D1169" s="64"/>
      <c r="E1169" s="64"/>
      <c r="F1169" s="64"/>
      <c r="G1169" s="64"/>
      <c r="H1169" s="64"/>
      <c r="I1169" s="64"/>
      <c r="J1169" s="64"/>
      <c r="K1169" s="64"/>
      <c r="L1169" s="64"/>
      <c r="M1169" s="64"/>
      <c r="N1169" s="64"/>
      <c r="O1169" s="64"/>
      <c r="P1169" s="64"/>
      <c r="Q1169" s="64"/>
      <c r="R1169" s="64"/>
      <c r="S1169" s="64"/>
    </row>
    <row r="1170" spans="1:19" x14ac:dyDescent="0.25">
      <c r="A1170" s="63"/>
      <c r="B1170" s="64"/>
      <c r="C1170" s="64"/>
      <c r="D1170" s="64"/>
      <c r="E1170" s="64"/>
      <c r="F1170" s="64"/>
      <c r="G1170" s="64"/>
      <c r="H1170" s="64"/>
      <c r="I1170" s="64"/>
      <c r="J1170" s="64"/>
      <c r="K1170" s="64"/>
      <c r="L1170" s="64"/>
      <c r="M1170" s="64"/>
      <c r="N1170" s="64"/>
      <c r="O1170" s="64"/>
      <c r="P1170" s="64"/>
      <c r="Q1170" s="64"/>
      <c r="R1170" s="64"/>
      <c r="S1170" s="64"/>
    </row>
    <row r="1171" spans="1:19" x14ac:dyDescent="0.25">
      <c r="A1171" s="63"/>
      <c r="B1171" s="64"/>
      <c r="C1171" s="64"/>
      <c r="D1171" s="64"/>
      <c r="E1171" s="64"/>
      <c r="F1171" s="64"/>
      <c r="G1171" s="64"/>
      <c r="H1171" s="64"/>
      <c r="I1171" s="64"/>
      <c r="J1171" s="64"/>
      <c r="K1171" s="64"/>
      <c r="L1171" s="64"/>
      <c r="M1171" s="64"/>
      <c r="N1171" s="64"/>
      <c r="O1171" s="64"/>
      <c r="P1171" s="64"/>
      <c r="Q1171" s="64"/>
      <c r="R1171" s="64"/>
      <c r="S1171" s="64"/>
    </row>
    <row r="1172" spans="1:19" x14ac:dyDescent="0.25">
      <c r="A1172" s="63"/>
      <c r="B1172" s="64"/>
      <c r="C1172" s="64"/>
      <c r="D1172" s="64"/>
      <c r="E1172" s="64"/>
      <c r="F1172" s="64"/>
      <c r="G1172" s="64"/>
      <c r="H1172" s="64"/>
      <c r="I1172" s="64"/>
      <c r="J1172" s="64"/>
      <c r="K1172" s="64"/>
      <c r="L1172" s="64"/>
      <c r="M1172" s="64"/>
      <c r="N1172" s="64"/>
      <c r="O1172" s="64"/>
      <c r="P1172" s="64"/>
      <c r="Q1172" s="64"/>
      <c r="R1172" s="64"/>
      <c r="S1172" s="64"/>
    </row>
    <row r="1173" spans="1:19" x14ac:dyDescent="0.25">
      <c r="A1173" s="63"/>
      <c r="B1173" s="64"/>
      <c r="C1173" s="64"/>
      <c r="D1173" s="64"/>
      <c r="E1173" s="64"/>
      <c r="F1173" s="64"/>
      <c r="G1173" s="64"/>
      <c r="H1173" s="64"/>
      <c r="I1173" s="64"/>
      <c r="J1173" s="64"/>
      <c r="K1173" s="64"/>
      <c r="L1173" s="64"/>
      <c r="M1173" s="64"/>
      <c r="N1173" s="64"/>
      <c r="O1173" s="64"/>
      <c r="P1173" s="64"/>
      <c r="Q1173" s="64"/>
      <c r="R1173" s="64"/>
      <c r="S1173" s="64"/>
    </row>
    <row r="1174" spans="1:19" x14ac:dyDescent="0.25">
      <c r="A1174" s="63"/>
      <c r="B1174" s="64"/>
      <c r="C1174" s="64"/>
      <c r="D1174" s="64"/>
      <c r="E1174" s="64"/>
      <c r="F1174" s="64"/>
      <c r="G1174" s="64"/>
      <c r="H1174" s="64"/>
      <c r="I1174" s="64"/>
      <c r="J1174" s="64"/>
      <c r="K1174" s="64"/>
      <c r="L1174" s="64"/>
      <c r="M1174" s="64"/>
      <c r="N1174" s="64"/>
      <c r="O1174" s="64"/>
      <c r="P1174" s="64"/>
      <c r="Q1174" s="64"/>
      <c r="R1174" s="64"/>
      <c r="S1174" s="64"/>
    </row>
    <row r="1175" spans="1:19" x14ac:dyDescent="0.25">
      <c r="A1175" s="63"/>
      <c r="B1175" s="64"/>
      <c r="C1175" s="64"/>
      <c r="D1175" s="64"/>
      <c r="E1175" s="64"/>
      <c r="F1175" s="64"/>
      <c r="G1175" s="64"/>
      <c r="H1175" s="64"/>
      <c r="I1175" s="64"/>
      <c r="J1175" s="64"/>
      <c r="K1175" s="64"/>
      <c r="L1175" s="64"/>
      <c r="M1175" s="64"/>
      <c r="N1175" s="64"/>
      <c r="O1175" s="64"/>
      <c r="P1175" s="64"/>
      <c r="Q1175" s="64"/>
      <c r="R1175" s="64"/>
      <c r="S1175" s="64"/>
    </row>
    <row r="1176" spans="1:19" x14ac:dyDescent="0.25">
      <c r="A1176" s="63"/>
      <c r="B1176" s="64"/>
      <c r="C1176" s="64"/>
      <c r="D1176" s="64"/>
      <c r="E1176" s="64"/>
      <c r="F1176" s="64"/>
      <c r="G1176" s="64"/>
      <c r="H1176" s="64"/>
      <c r="I1176" s="64"/>
      <c r="J1176" s="64"/>
      <c r="K1176" s="64"/>
      <c r="L1176" s="64"/>
      <c r="M1176" s="64"/>
      <c r="N1176" s="64"/>
      <c r="O1176" s="64"/>
      <c r="P1176" s="64"/>
      <c r="Q1176" s="64"/>
      <c r="R1176" s="64"/>
      <c r="S1176" s="64"/>
    </row>
    <row r="1177" spans="1:19" x14ac:dyDescent="0.25">
      <c r="A1177" s="63"/>
      <c r="B1177" s="64"/>
      <c r="C1177" s="64"/>
      <c r="D1177" s="64"/>
      <c r="E1177" s="64"/>
      <c r="F1177" s="64"/>
      <c r="G1177" s="64"/>
      <c r="H1177" s="64"/>
      <c r="I1177" s="64"/>
      <c r="J1177" s="64"/>
      <c r="K1177" s="64"/>
      <c r="L1177" s="64"/>
      <c r="M1177" s="64"/>
      <c r="N1177" s="64"/>
      <c r="O1177" s="64"/>
      <c r="P1177" s="64"/>
      <c r="Q1177" s="64"/>
      <c r="R1177" s="64"/>
      <c r="S1177" s="64"/>
    </row>
    <row r="1178" spans="1:19" x14ac:dyDescent="0.25">
      <c r="A1178" s="63"/>
      <c r="B1178" s="64"/>
      <c r="C1178" s="64"/>
      <c r="D1178" s="64"/>
      <c r="E1178" s="64"/>
      <c r="F1178" s="64"/>
      <c r="G1178" s="64"/>
      <c r="H1178" s="64"/>
      <c r="I1178" s="64"/>
      <c r="J1178" s="64"/>
      <c r="K1178" s="64"/>
      <c r="L1178" s="64"/>
      <c r="M1178" s="64"/>
      <c r="N1178" s="64"/>
      <c r="O1178" s="64"/>
      <c r="P1178" s="64"/>
      <c r="Q1178" s="64"/>
      <c r="R1178" s="64"/>
      <c r="S1178" s="64"/>
    </row>
    <row r="1179" spans="1:19" x14ac:dyDescent="0.25">
      <c r="A1179" s="63"/>
      <c r="B1179" s="64"/>
      <c r="C1179" s="64"/>
      <c r="D1179" s="64"/>
      <c r="E1179" s="64"/>
      <c r="F1179" s="64"/>
      <c r="G1179" s="64"/>
      <c r="H1179" s="64"/>
      <c r="I1179" s="64"/>
      <c r="J1179" s="64"/>
      <c r="K1179" s="64"/>
      <c r="L1179" s="64"/>
      <c r="M1179" s="64"/>
      <c r="N1179" s="64"/>
      <c r="O1179" s="64"/>
      <c r="P1179" s="64"/>
      <c r="Q1179" s="64"/>
      <c r="R1179" s="64"/>
      <c r="S1179" s="64"/>
    </row>
    <row r="1180" spans="1:19" x14ac:dyDescent="0.25">
      <c r="A1180" s="63"/>
      <c r="B1180" s="64"/>
      <c r="C1180" s="64"/>
      <c r="D1180" s="64"/>
      <c r="E1180" s="64"/>
      <c r="F1180" s="64"/>
      <c r="G1180" s="64"/>
      <c r="H1180" s="64"/>
      <c r="I1180" s="64"/>
      <c r="J1180" s="64"/>
      <c r="K1180" s="64"/>
      <c r="L1180" s="64"/>
      <c r="M1180" s="64"/>
      <c r="N1180" s="64"/>
      <c r="O1180" s="64"/>
      <c r="P1180" s="64"/>
      <c r="Q1180" s="64"/>
      <c r="R1180" s="64"/>
      <c r="S1180" s="64"/>
    </row>
    <row r="1181" spans="1:19" x14ac:dyDescent="0.25">
      <c r="A1181" s="63"/>
      <c r="B1181" s="64"/>
      <c r="C1181" s="64"/>
      <c r="D1181" s="64"/>
      <c r="E1181" s="64"/>
      <c r="F1181" s="64"/>
      <c r="G1181" s="64"/>
      <c r="H1181" s="64"/>
      <c r="I1181" s="64"/>
      <c r="J1181" s="64"/>
      <c r="K1181" s="64"/>
      <c r="L1181" s="64"/>
      <c r="M1181" s="64"/>
      <c r="N1181" s="64"/>
      <c r="O1181" s="64"/>
      <c r="P1181" s="64"/>
      <c r="Q1181" s="64"/>
      <c r="R1181" s="64"/>
      <c r="S1181" s="64"/>
    </row>
    <row r="1182" spans="1:19" x14ac:dyDescent="0.25">
      <c r="A1182" s="63"/>
      <c r="B1182" s="64"/>
      <c r="C1182" s="64"/>
      <c r="D1182" s="64"/>
      <c r="E1182" s="64"/>
      <c r="F1182" s="64"/>
      <c r="G1182" s="64"/>
      <c r="H1182" s="64"/>
      <c r="I1182" s="64"/>
      <c r="J1182" s="64"/>
      <c r="K1182" s="64"/>
      <c r="L1182" s="64"/>
      <c r="M1182" s="64"/>
      <c r="N1182" s="64"/>
      <c r="O1182" s="64"/>
      <c r="P1182" s="64"/>
      <c r="Q1182" s="64"/>
      <c r="R1182" s="64"/>
      <c r="S1182" s="64"/>
    </row>
    <row r="1183" spans="1:19" x14ac:dyDescent="0.25">
      <c r="A1183" s="63"/>
      <c r="B1183" s="64"/>
      <c r="C1183" s="64"/>
      <c r="D1183" s="64"/>
      <c r="E1183" s="64"/>
      <c r="F1183" s="64"/>
      <c r="G1183" s="64"/>
      <c r="H1183" s="64"/>
      <c r="I1183" s="64"/>
      <c r="J1183" s="64"/>
      <c r="K1183" s="64"/>
      <c r="L1183" s="64"/>
      <c r="M1183" s="64"/>
      <c r="N1183" s="64"/>
      <c r="O1183" s="64"/>
      <c r="P1183" s="64"/>
      <c r="Q1183" s="64"/>
      <c r="R1183" s="64"/>
      <c r="S1183" s="64"/>
    </row>
    <row r="1184" spans="1:19" x14ac:dyDescent="0.25">
      <c r="A1184" s="63"/>
      <c r="B1184" s="64"/>
      <c r="C1184" s="64"/>
      <c r="D1184" s="64"/>
      <c r="E1184" s="64"/>
      <c r="F1184" s="64"/>
      <c r="G1184" s="64"/>
      <c r="H1184" s="64"/>
      <c r="I1184" s="64"/>
      <c r="J1184" s="64"/>
      <c r="K1184" s="64"/>
      <c r="L1184" s="64"/>
      <c r="M1184" s="64"/>
      <c r="N1184" s="64"/>
      <c r="O1184" s="64"/>
      <c r="P1184" s="64"/>
      <c r="Q1184" s="64"/>
      <c r="R1184" s="64"/>
      <c r="S1184" s="64"/>
    </row>
    <row r="1185" spans="1:19" x14ac:dyDescent="0.25">
      <c r="A1185" s="63"/>
      <c r="B1185" s="64"/>
      <c r="C1185" s="64"/>
      <c r="D1185" s="64"/>
      <c r="E1185" s="64"/>
      <c r="F1185" s="64"/>
      <c r="G1185" s="64"/>
      <c r="H1185" s="64"/>
      <c r="I1185" s="64"/>
      <c r="J1185" s="64"/>
      <c r="K1185" s="64"/>
      <c r="L1185" s="64"/>
      <c r="M1185" s="64"/>
      <c r="N1185" s="64"/>
      <c r="O1185" s="64"/>
      <c r="P1185" s="64"/>
      <c r="Q1185" s="64"/>
      <c r="R1185" s="64"/>
      <c r="S1185" s="64"/>
    </row>
    <row r="1186" spans="1:19" x14ac:dyDescent="0.25">
      <c r="A1186" s="63"/>
      <c r="B1186" s="64"/>
      <c r="C1186" s="64"/>
      <c r="D1186" s="64"/>
      <c r="E1186" s="64"/>
      <c r="F1186" s="64"/>
      <c r="G1186" s="64"/>
      <c r="H1186" s="64"/>
      <c r="I1186" s="64"/>
      <c r="J1186" s="64"/>
      <c r="K1186" s="64"/>
      <c r="L1186" s="64"/>
      <c r="M1186" s="64"/>
      <c r="N1186" s="64"/>
      <c r="O1186" s="64"/>
      <c r="P1186" s="64"/>
      <c r="Q1186" s="64"/>
      <c r="R1186" s="64"/>
      <c r="S1186" s="64"/>
    </row>
    <row r="1187" spans="1:19" x14ac:dyDescent="0.25">
      <c r="A1187" s="63"/>
      <c r="B1187" s="64"/>
      <c r="C1187" s="64"/>
      <c r="D1187" s="64"/>
      <c r="E1187" s="64"/>
      <c r="F1187" s="64"/>
      <c r="G1187" s="64"/>
      <c r="H1187" s="64"/>
      <c r="I1187" s="64"/>
      <c r="J1187" s="64"/>
      <c r="K1187" s="64"/>
      <c r="L1187" s="64"/>
      <c r="M1187" s="64"/>
      <c r="N1187" s="64"/>
      <c r="O1187" s="64"/>
      <c r="P1187" s="64"/>
      <c r="Q1187" s="64"/>
      <c r="R1187" s="64"/>
      <c r="S1187" s="64"/>
    </row>
    <row r="1188" spans="1:19" x14ac:dyDescent="0.25">
      <c r="A1188" s="63"/>
      <c r="B1188" s="64"/>
      <c r="C1188" s="64"/>
      <c r="D1188" s="64"/>
      <c r="E1188" s="64"/>
      <c r="F1188" s="64"/>
      <c r="G1188" s="64"/>
      <c r="H1188" s="64"/>
      <c r="I1188" s="64"/>
      <c r="J1188" s="64"/>
      <c r="K1188" s="64"/>
      <c r="L1188" s="64"/>
      <c r="M1188" s="64"/>
      <c r="N1188" s="64"/>
      <c r="O1188" s="64"/>
      <c r="P1188" s="64"/>
      <c r="Q1188" s="64"/>
      <c r="R1188" s="64"/>
      <c r="S1188" s="64"/>
    </row>
    <row r="1189" spans="1:19" x14ac:dyDescent="0.25">
      <c r="A1189" s="63"/>
      <c r="B1189" s="64"/>
      <c r="C1189" s="64"/>
      <c r="D1189" s="64"/>
      <c r="E1189" s="64"/>
      <c r="F1189" s="64"/>
      <c r="G1189" s="64"/>
      <c r="H1189" s="64"/>
      <c r="I1189" s="64"/>
      <c r="J1189" s="64"/>
      <c r="K1189" s="64"/>
      <c r="L1189" s="64"/>
      <c r="M1189" s="64"/>
      <c r="N1189" s="64"/>
      <c r="O1189" s="64"/>
      <c r="P1189" s="64"/>
      <c r="Q1189" s="64"/>
      <c r="R1189" s="64"/>
      <c r="S1189" s="64"/>
    </row>
    <row r="1190" spans="1:19" x14ac:dyDescent="0.25">
      <c r="A1190" s="63"/>
      <c r="B1190" s="64"/>
      <c r="C1190" s="64"/>
      <c r="D1190" s="64"/>
      <c r="E1190" s="64"/>
      <c r="F1190" s="64"/>
      <c r="G1190" s="64"/>
      <c r="H1190" s="64"/>
      <c r="I1190" s="64"/>
      <c r="J1190" s="64"/>
      <c r="K1190" s="64"/>
      <c r="L1190" s="64"/>
      <c r="M1190" s="64"/>
      <c r="N1190" s="64"/>
      <c r="O1190" s="64"/>
      <c r="P1190" s="64"/>
      <c r="Q1190" s="64"/>
      <c r="R1190" s="64"/>
      <c r="S1190" s="64"/>
    </row>
    <row r="1191" spans="1:19" x14ac:dyDescent="0.25">
      <c r="A1191" s="63"/>
      <c r="B1191" s="64"/>
      <c r="C1191" s="64"/>
      <c r="D1191" s="64"/>
      <c r="E1191" s="64"/>
      <c r="F1191" s="64"/>
      <c r="G1191" s="64"/>
      <c r="H1191" s="64"/>
      <c r="I1191" s="64"/>
      <c r="J1191" s="64"/>
      <c r="K1191" s="64"/>
      <c r="L1191" s="64"/>
      <c r="M1191" s="64"/>
      <c r="N1191" s="64"/>
      <c r="O1191" s="64"/>
      <c r="P1191" s="64"/>
      <c r="Q1191" s="64"/>
      <c r="R1191" s="64"/>
      <c r="S1191" s="64"/>
    </row>
    <row r="1192" spans="1:19" x14ac:dyDescent="0.25">
      <c r="A1192" s="63"/>
      <c r="B1192" s="64"/>
      <c r="C1192" s="64"/>
      <c r="D1192" s="64"/>
      <c r="E1192" s="64"/>
      <c r="F1192" s="64"/>
      <c r="G1192" s="64"/>
      <c r="H1192" s="64"/>
      <c r="I1192" s="64"/>
      <c r="J1192" s="64"/>
      <c r="K1192" s="64"/>
      <c r="L1192" s="64"/>
      <c r="M1192" s="64"/>
      <c r="N1192" s="64"/>
      <c r="O1192" s="64"/>
      <c r="P1192" s="64"/>
      <c r="Q1192" s="64"/>
      <c r="R1192" s="64"/>
      <c r="S1192" s="64"/>
    </row>
    <row r="1193" spans="1:19" x14ac:dyDescent="0.25">
      <c r="A1193" s="63"/>
      <c r="B1193" s="64"/>
      <c r="C1193" s="64"/>
      <c r="D1193" s="64"/>
      <c r="E1193" s="64"/>
      <c r="F1193" s="64"/>
      <c r="G1193" s="64"/>
      <c r="H1193" s="64"/>
      <c r="I1193" s="64"/>
      <c r="J1193" s="64"/>
      <c r="K1193" s="64"/>
      <c r="L1193" s="64"/>
      <c r="M1193" s="64"/>
      <c r="N1193" s="64"/>
      <c r="O1193" s="64"/>
      <c r="P1193" s="64"/>
      <c r="Q1193" s="64"/>
      <c r="R1193" s="64"/>
      <c r="S1193" s="64"/>
    </row>
    <row r="1194" spans="1:19" x14ac:dyDescent="0.25">
      <c r="A1194" s="63"/>
      <c r="B1194" s="64"/>
      <c r="C1194" s="64"/>
      <c r="D1194" s="64"/>
      <c r="E1194" s="64"/>
      <c r="F1194" s="64"/>
      <c r="G1194" s="64"/>
      <c r="H1194" s="64"/>
      <c r="I1194" s="64"/>
      <c r="J1194" s="64"/>
      <c r="K1194" s="64"/>
      <c r="L1194" s="64"/>
      <c r="M1194" s="64"/>
      <c r="N1194" s="64"/>
      <c r="O1194" s="64"/>
      <c r="P1194" s="64"/>
      <c r="Q1194" s="64"/>
      <c r="R1194" s="64"/>
      <c r="S1194" s="64"/>
    </row>
    <row r="1195" spans="1:19" x14ac:dyDescent="0.25">
      <c r="A1195" s="63"/>
      <c r="B1195" s="64"/>
      <c r="C1195" s="64"/>
      <c r="D1195" s="64"/>
      <c r="E1195" s="64"/>
      <c r="F1195" s="64"/>
      <c r="G1195" s="64"/>
      <c r="H1195" s="64"/>
      <c r="I1195" s="64"/>
      <c r="J1195" s="64"/>
      <c r="K1195" s="64"/>
      <c r="L1195" s="64"/>
      <c r="M1195" s="64"/>
      <c r="N1195" s="64"/>
      <c r="O1195" s="64"/>
      <c r="P1195" s="64"/>
      <c r="Q1195" s="64"/>
      <c r="R1195" s="64"/>
      <c r="S1195" s="64"/>
    </row>
    <row r="1196" spans="1:19" x14ac:dyDescent="0.25">
      <c r="A1196" s="63"/>
      <c r="B1196" s="64"/>
      <c r="C1196" s="64"/>
      <c r="D1196" s="64"/>
      <c r="E1196" s="64"/>
      <c r="F1196" s="64"/>
      <c r="G1196" s="64"/>
      <c r="H1196" s="64"/>
      <c r="I1196" s="64"/>
      <c r="J1196" s="64"/>
      <c r="K1196" s="64"/>
      <c r="L1196" s="64"/>
      <c r="M1196" s="64"/>
      <c r="N1196" s="64"/>
      <c r="O1196" s="64"/>
      <c r="P1196" s="64"/>
      <c r="Q1196" s="64"/>
      <c r="R1196" s="64"/>
      <c r="S1196" s="64"/>
    </row>
    <row r="1197" spans="1:19" x14ac:dyDescent="0.25">
      <c r="A1197" s="63"/>
      <c r="B1197" s="64"/>
      <c r="C1197" s="64"/>
      <c r="D1197" s="64"/>
      <c r="E1197" s="64"/>
      <c r="F1197" s="64"/>
      <c r="G1197" s="64"/>
      <c r="H1197" s="64"/>
      <c r="I1197" s="64"/>
      <c r="J1197" s="64"/>
      <c r="K1197" s="64"/>
      <c r="L1197" s="64"/>
      <c r="M1197" s="64"/>
      <c r="N1197" s="64"/>
      <c r="O1197" s="64"/>
      <c r="P1197" s="64"/>
      <c r="Q1197" s="64"/>
      <c r="R1197" s="64"/>
      <c r="S1197" s="64"/>
    </row>
    <row r="1198" spans="1:19" x14ac:dyDescent="0.25">
      <c r="A1198" s="63"/>
      <c r="B1198" s="64"/>
      <c r="C1198" s="64"/>
      <c r="D1198" s="64"/>
      <c r="E1198" s="64"/>
      <c r="F1198" s="64"/>
      <c r="G1198" s="64"/>
      <c r="H1198" s="64"/>
      <c r="I1198" s="64"/>
      <c r="J1198" s="64"/>
      <c r="K1198" s="64"/>
      <c r="L1198" s="64"/>
      <c r="M1198" s="64"/>
      <c r="N1198" s="64"/>
      <c r="O1198" s="64"/>
      <c r="P1198" s="64"/>
      <c r="Q1198" s="64"/>
      <c r="R1198" s="64"/>
      <c r="S1198" s="64"/>
    </row>
    <row r="1199" spans="1:19" x14ac:dyDescent="0.25">
      <c r="A1199" s="63"/>
      <c r="B1199" s="64"/>
      <c r="C1199" s="64"/>
      <c r="D1199" s="64"/>
      <c r="E1199" s="64"/>
      <c r="F1199" s="64"/>
      <c r="G1199" s="64"/>
      <c r="H1199" s="64"/>
      <c r="I1199" s="64"/>
      <c r="J1199" s="64"/>
      <c r="K1199" s="64"/>
      <c r="L1199" s="64"/>
      <c r="M1199" s="64"/>
      <c r="N1199" s="64"/>
      <c r="O1199" s="64"/>
      <c r="P1199" s="64"/>
      <c r="Q1199" s="64"/>
      <c r="R1199" s="64"/>
      <c r="S1199" s="64"/>
    </row>
    <row r="1200" spans="1:19" x14ac:dyDescent="0.25">
      <c r="A1200" s="63"/>
      <c r="B1200" s="64"/>
      <c r="C1200" s="64"/>
      <c r="D1200" s="64"/>
      <c r="E1200" s="64"/>
      <c r="F1200" s="64"/>
      <c r="G1200" s="64"/>
      <c r="H1200" s="64"/>
      <c r="I1200" s="64"/>
      <c r="J1200" s="64"/>
      <c r="K1200" s="64"/>
      <c r="L1200" s="64"/>
      <c r="M1200" s="64"/>
      <c r="N1200" s="64"/>
      <c r="O1200" s="64"/>
      <c r="P1200" s="64"/>
      <c r="Q1200" s="64"/>
      <c r="R1200" s="64"/>
      <c r="S1200" s="64"/>
    </row>
    <row r="1201" spans="1:19" x14ac:dyDescent="0.25">
      <c r="A1201" s="63"/>
      <c r="B1201" s="64"/>
      <c r="C1201" s="64"/>
      <c r="D1201" s="64"/>
      <c r="E1201" s="64"/>
      <c r="F1201" s="64"/>
      <c r="G1201" s="64"/>
      <c r="H1201" s="64"/>
      <c r="I1201" s="64"/>
      <c r="J1201" s="64"/>
      <c r="K1201" s="64"/>
      <c r="L1201" s="64"/>
      <c r="M1201" s="64"/>
      <c r="N1201" s="64"/>
      <c r="O1201" s="64"/>
      <c r="P1201" s="64"/>
      <c r="Q1201" s="64"/>
      <c r="R1201" s="64"/>
      <c r="S1201" s="64"/>
    </row>
    <row r="1202" spans="1:19" x14ac:dyDescent="0.25">
      <c r="A1202" s="63"/>
      <c r="B1202" s="64"/>
      <c r="C1202" s="64"/>
      <c r="D1202" s="64"/>
      <c r="E1202" s="64"/>
      <c r="F1202" s="64"/>
      <c r="G1202" s="64"/>
      <c r="H1202" s="64"/>
      <c r="I1202" s="64"/>
      <c r="J1202" s="64"/>
      <c r="K1202" s="64"/>
      <c r="L1202" s="64"/>
      <c r="M1202" s="64"/>
      <c r="N1202" s="64"/>
      <c r="O1202" s="64"/>
      <c r="P1202" s="64"/>
      <c r="Q1202" s="64"/>
      <c r="R1202" s="64"/>
      <c r="S1202" s="64"/>
    </row>
    <row r="1203" spans="1:19" x14ac:dyDescent="0.25">
      <c r="A1203" s="63"/>
      <c r="B1203" s="64"/>
      <c r="C1203" s="64"/>
      <c r="D1203" s="64"/>
      <c r="E1203" s="64"/>
      <c r="F1203" s="64"/>
      <c r="G1203" s="64"/>
      <c r="H1203" s="64"/>
      <c r="I1203" s="64"/>
      <c r="J1203" s="64"/>
      <c r="K1203" s="64"/>
      <c r="L1203" s="64"/>
      <c r="M1203" s="64"/>
      <c r="N1203" s="64"/>
      <c r="O1203" s="64"/>
      <c r="P1203" s="64"/>
      <c r="Q1203" s="64"/>
      <c r="R1203" s="64"/>
      <c r="S1203" s="64"/>
    </row>
    <row r="1204" spans="1:19" x14ac:dyDescent="0.25">
      <c r="A1204" s="63"/>
      <c r="B1204" s="64"/>
      <c r="C1204" s="64"/>
      <c r="D1204" s="64"/>
      <c r="E1204" s="64"/>
      <c r="F1204" s="64"/>
      <c r="G1204" s="64"/>
      <c r="H1204" s="64"/>
      <c r="I1204" s="64"/>
      <c r="J1204" s="64"/>
      <c r="K1204" s="64"/>
      <c r="L1204" s="64"/>
      <c r="M1204" s="64"/>
      <c r="N1204" s="64"/>
      <c r="O1204" s="64"/>
      <c r="P1204" s="64"/>
      <c r="Q1204" s="64"/>
      <c r="R1204" s="64"/>
      <c r="S1204" s="64"/>
    </row>
    <row r="1205" spans="1:19" x14ac:dyDescent="0.25">
      <c r="A1205" s="63"/>
      <c r="B1205" s="64"/>
      <c r="C1205" s="64"/>
      <c r="D1205" s="64"/>
      <c r="E1205" s="64"/>
      <c r="F1205" s="64"/>
      <c r="G1205" s="64"/>
      <c r="H1205" s="64"/>
      <c r="I1205" s="64"/>
      <c r="J1205" s="64"/>
      <c r="K1205" s="64"/>
      <c r="L1205" s="64"/>
      <c r="M1205" s="64"/>
      <c r="N1205" s="64"/>
      <c r="O1205" s="64"/>
      <c r="P1205" s="64"/>
      <c r="Q1205" s="64"/>
      <c r="R1205" s="64"/>
      <c r="S1205" s="64"/>
    </row>
    <row r="1206" spans="1:19" x14ac:dyDescent="0.25">
      <c r="A1206" s="63"/>
      <c r="B1206" s="64"/>
      <c r="C1206" s="64"/>
      <c r="D1206" s="64"/>
      <c r="E1206" s="64"/>
      <c r="F1206" s="64"/>
      <c r="G1206" s="64"/>
      <c r="H1206" s="64"/>
      <c r="I1206" s="64"/>
      <c r="J1206" s="64"/>
      <c r="K1206" s="64"/>
      <c r="L1206" s="64"/>
      <c r="M1206" s="64"/>
      <c r="N1206" s="64"/>
      <c r="O1206" s="64"/>
      <c r="P1206" s="64"/>
      <c r="Q1206" s="64"/>
      <c r="R1206" s="64"/>
      <c r="S1206" s="64"/>
    </row>
    <row r="1207" spans="1:19" x14ac:dyDescent="0.25">
      <c r="A1207" s="63"/>
      <c r="B1207" s="64"/>
      <c r="C1207" s="64"/>
      <c r="D1207" s="64"/>
      <c r="E1207" s="64"/>
      <c r="F1207" s="64"/>
      <c r="G1207" s="64"/>
      <c r="H1207" s="64"/>
      <c r="I1207" s="64"/>
      <c r="J1207" s="64"/>
      <c r="K1207" s="64"/>
      <c r="L1207" s="64"/>
      <c r="M1207" s="64"/>
      <c r="N1207" s="64"/>
      <c r="O1207" s="64"/>
      <c r="P1207" s="64"/>
      <c r="Q1207" s="64"/>
      <c r="R1207" s="64"/>
      <c r="S1207" s="64"/>
    </row>
    <row r="1208" spans="1:19" x14ac:dyDescent="0.25">
      <c r="A1208" s="63"/>
      <c r="B1208" s="64"/>
      <c r="C1208" s="64"/>
      <c r="D1208" s="64"/>
      <c r="E1208" s="64"/>
      <c r="F1208" s="64"/>
      <c r="G1208" s="64"/>
      <c r="H1208" s="64"/>
      <c r="I1208" s="64"/>
      <c r="J1208" s="64"/>
      <c r="K1208" s="64"/>
      <c r="L1208" s="64"/>
      <c r="M1208" s="64"/>
      <c r="N1208" s="64"/>
      <c r="O1208" s="64"/>
      <c r="P1208" s="64"/>
      <c r="Q1208" s="64"/>
      <c r="R1208" s="64"/>
      <c r="S1208" s="64"/>
    </row>
    <row r="1209" spans="1:19" x14ac:dyDescent="0.25">
      <c r="A1209" s="63"/>
      <c r="B1209" s="64"/>
      <c r="C1209" s="64"/>
      <c r="D1209" s="64"/>
      <c r="E1209" s="64"/>
      <c r="F1209" s="64"/>
      <c r="G1209" s="64"/>
      <c r="H1209" s="64"/>
      <c r="I1209" s="64"/>
      <c r="J1209" s="64"/>
      <c r="K1209" s="64"/>
      <c r="L1209" s="64"/>
      <c r="M1209" s="64"/>
      <c r="N1209" s="64"/>
      <c r="O1209" s="64"/>
      <c r="P1209" s="64"/>
      <c r="Q1209" s="64"/>
      <c r="R1209" s="64"/>
      <c r="S1209" s="64"/>
    </row>
    <row r="1210" spans="1:19" x14ac:dyDescent="0.25">
      <c r="A1210" s="63"/>
      <c r="B1210" s="64"/>
      <c r="C1210" s="64"/>
      <c r="D1210" s="64"/>
      <c r="E1210" s="64"/>
      <c r="F1210" s="64"/>
      <c r="G1210" s="64"/>
      <c r="H1210" s="64"/>
      <c r="I1210" s="64"/>
      <c r="J1210" s="64"/>
      <c r="K1210" s="64"/>
      <c r="L1210" s="64"/>
      <c r="M1210" s="64"/>
      <c r="N1210" s="64"/>
      <c r="O1210" s="64"/>
      <c r="P1210" s="64"/>
      <c r="Q1210" s="64"/>
      <c r="R1210" s="64"/>
      <c r="S1210" s="64"/>
    </row>
    <row r="1211" spans="1:19" x14ac:dyDescent="0.25">
      <c r="A1211" s="63"/>
      <c r="B1211" s="64"/>
      <c r="C1211" s="64"/>
      <c r="D1211" s="64"/>
      <c r="E1211" s="64"/>
      <c r="F1211" s="64"/>
      <c r="G1211" s="64"/>
      <c r="H1211" s="64"/>
      <c r="I1211" s="64"/>
      <c r="J1211" s="64"/>
      <c r="K1211" s="64"/>
      <c r="L1211" s="64"/>
      <c r="M1211" s="64"/>
      <c r="N1211" s="64"/>
      <c r="O1211" s="64"/>
      <c r="P1211" s="64"/>
      <c r="Q1211" s="64"/>
      <c r="R1211" s="64"/>
      <c r="S1211" s="64"/>
    </row>
    <row r="1212" spans="1:19" x14ac:dyDescent="0.25">
      <c r="A1212" s="63"/>
      <c r="B1212" s="64"/>
      <c r="C1212" s="64"/>
      <c r="D1212" s="64"/>
      <c r="E1212" s="64"/>
      <c r="F1212" s="64"/>
      <c r="G1212" s="64"/>
      <c r="H1212" s="64"/>
      <c r="I1212" s="64"/>
      <c r="J1212" s="64"/>
      <c r="K1212" s="64"/>
      <c r="L1212" s="64"/>
      <c r="M1212" s="64"/>
      <c r="N1212" s="64"/>
      <c r="O1212" s="64"/>
      <c r="P1212" s="64"/>
      <c r="Q1212" s="64"/>
      <c r="R1212" s="64"/>
      <c r="S1212" s="64"/>
    </row>
    <row r="1213" spans="1:19" x14ac:dyDescent="0.25">
      <c r="A1213" s="63"/>
      <c r="B1213" s="64"/>
      <c r="C1213" s="64"/>
      <c r="D1213" s="64"/>
      <c r="E1213" s="64"/>
      <c r="F1213" s="64"/>
      <c r="G1213" s="64"/>
      <c r="H1213" s="64"/>
      <c r="I1213" s="64"/>
      <c r="J1213" s="64"/>
      <c r="K1213" s="64"/>
      <c r="L1213" s="64"/>
      <c r="M1213" s="64"/>
      <c r="N1213" s="64"/>
      <c r="O1213" s="64"/>
      <c r="P1213" s="64"/>
      <c r="Q1213" s="64"/>
      <c r="R1213" s="64"/>
      <c r="S1213" s="64"/>
    </row>
    <row r="1214" spans="1:19" x14ac:dyDescent="0.25">
      <c r="A1214" s="63"/>
      <c r="B1214" s="64"/>
      <c r="C1214" s="64"/>
      <c r="D1214" s="64"/>
      <c r="E1214" s="64"/>
      <c r="F1214" s="64"/>
      <c r="G1214" s="64"/>
      <c r="H1214" s="64"/>
      <c r="I1214" s="64"/>
      <c r="J1214" s="64"/>
      <c r="K1214" s="64"/>
      <c r="L1214" s="64"/>
      <c r="M1214" s="64"/>
      <c r="N1214" s="64"/>
      <c r="O1214" s="64"/>
      <c r="P1214" s="64"/>
      <c r="Q1214" s="64"/>
      <c r="R1214" s="64"/>
      <c r="S1214" s="64"/>
    </row>
    <row r="1215" spans="1:19" x14ac:dyDescent="0.25">
      <c r="A1215" s="63"/>
      <c r="B1215" s="64"/>
      <c r="C1215" s="64"/>
      <c r="D1215" s="64"/>
      <c r="E1215" s="64"/>
      <c r="F1215" s="64"/>
      <c r="G1215" s="64"/>
      <c r="H1215" s="64"/>
      <c r="I1215" s="64"/>
      <c r="J1215" s="64"/>
      <c r="K1215" s="64"/>
      <c r="L1215" s="64"/>
      <c r="M1215" s="64"/>
      <c r="N1215" s="64"/>
      <c r="O1215" s="64"/>
      <c r="P1215" s="64"/>
      <c r="Q1215" s="64"/>
      <c r="R1215" s="64"/>
      <c r="S1215" s="64"/>
    </row>
    <row r="1216" spans="1:19" x14ac:dyDescent="0.25">
      <c r="A1216" s="63"/>
      <c r="B1216" s="64"/>
      <c r="C1216" s="64"/>
      <c r="D1216" s="64"/>
      <c r="E1216" s="64"/>
      <c r="F1216" s="64"/>
      <c r="G1216" s="64"/>
      <c r="H1216" s="64"/>
      <c r="I1216" s="64"/>
      <c r="J1216" s="64"/>
      <c r="K1216" s="64"/>
      <c r="L1216" s="64"/>
      <c r="M1216" s="64"/>
      <c r="N1216" s="64"/>
      <c r="O1216" s="64"/>
      <c r="P1216" s="64"/>
      <c r="Q1216" s="64"/>
      <c r="R1216" s="64"/>
      <c r="S1216" s="64"/>
    </row>
    <row r="1217" spans="1:19" x14ac:dyDescent="0.25">
      <c r="A1217" s="63"/>
      <c r="B1217" s="64"/>
      <c r="C1217" s="64"/>
      <c r="D1217" s="64"/>
      <c r="E1217" s="64"/>
      <c r="F1217" s="64"/>
      <c r="G1217" s="64"/>
      <c r="H1217" s="64"/>
      <c r="I1217" s="64"/>
      <c r="J1217" s="64"/>
      <c r="K1217" s="64"/>
      <c r="L1217" s="64"/>
      <c r="M1217" s="64"/>
      <c r="N1217" s="64"/>
      <c r="O1217" s="64"/>
      <c r="P1217" s="64"/>
      <c r="Q1217" s="64"/>
      <c r="R1217" s="64"/>
      <c r="S1217" s="64"/>
    </row>
    <row r="1218" spans="1:19" x14ac:dyDescent="0.25">
      <c r="A1218" s="63"/>
      <c r="B1218" s="64"/>
      <c r="C1218" s="64"/>
      <c r="D1218" s="64"/>
      <c r="E1218" s="64"/>
      <c r="F1218" s="64"/>
      <c r="G1218" s="64"/>
      <c r="H1218" s="64"/>
      <c r="I1218" s="64"/>
      <c r="J1218" s="64"/>
      <c r="K1218" s="64"/>
      <c r="L1218" s="64"/>
      <c r="M1218" s="64"/>
      <c r="N1218" s="64"/>
      <c r="O1218" s="64"/>
      <c r="P1218" s="64"/>
      <c r="Q1218" s="64"/>
      <c r="R1218" s="64"/>
      <c r="S1218" s="64"/>
    </row>
    <row r="1219" spans="1:19" x14ac:dyDescent="0.25">
      <c r="A1219" s="63"/>
      <c r="B1219" s="64"/>
      <c r="C1219" s="64"/>
      <c r="D1219" s="64"/>
      <c r="E1219" s="64"/>
      <c r="F1219" s="64"/>
      <c r="G1219" s="64"/>
      <c r="H1219" s="64"/>
      <c r="I1219" s="64"/>
      <c r="J1219" s="64"/>
      <c r="K1219" s="64"/>
      <c r="L1219" s="64"/>
      <c r="M1219" s="64"/>
      <c r="N1219" s="64"/>
      <c r="O1219" s="64"/>
      <c r="P1219" s="64"/>
      <c r="Q1219" s="64"/>
      <c r="R1219" s="64"/>
      <c r="S1219" s="64"/>
    </row>
    <row r="1220" spans="1:19" x14ac:dyDescent="0.25">
      <c r="A1220" s="63"/>
      <c r="B1220" s="64"/>
      <c r="C1220" s="64"/>
      <c r="D1220" s="64"/>
      <c r="E1220" s="64"/>
      <c r="F1220" s="64"/>
      <c r="G1220" s="64"/>
      <c r="H1220" s="64"/>
      <c r="I1220" s="64"/>
      <c r="J1220" s="64"/>
      <c r="K1220" s="64"/>
      <c r="L1220" s="64"/>
      <c r="M1220" s="64"/>
      <c r="N1220" s="64"/>
      <c r="O1220" s="64"/>
      <c r="P1220" s="64"/>
      <c r="Q1220" s="64"/>
      <c r="R1220" s="64"/>
      <c r="S1220" s="64"/>
    </row>
    <row r="1221" spans="1:19" x14ac:dyDescent="0.25">
      <c r="A1221" s="63"/>
      <c r="B1221" s="64"/>
      <c r="C1221" s="64"/>
      <c r="D1221" s="64"/>
      <c r="E1221" s="64"/>
      <c r="F1221" s="64"/>
      <c r="G1221" s="64"/>
      <c r="H1221" s="64"/>
      <c r="I1221" s="64"/>
      <c r="J1221" s="64"/>
      <c r="K1221" s="64"/>
      <c r="L1221" s="64"/>
      <c r="M1221" s="64"/>
      <c r="N1221" s="64"/>
      <c r="O1221" s="64"/>
      <c r="P1221" s="64"/>
      <c r="Q1221" s="64"/>
      <c r="R1221" s="64"/>
      <c r="S1221" s="64"/>
    </row>
    <row r="1222" spans="1:19" x14ac:dyDescent="0.25">
      <c r="A1222" s="63"/>
      <c r="B1222" s="64"/>
      <c r="C1222" s="64"/>
      <c r="D1222" s="64"/>
      <c r="E1222" s="64"/>
      <c r="F1222" s="64"/>
      <c r="G1222" s="64"/>
      <c r="H1222" s="64"/>
      <c r="I1222" s="64"/>
      <c r="J1222" s="64"/>
      <c r="K1222" s="64"/>
      <c r="L1222" s="64"/>
      <c r="M1222" s="64"/>
      <c r="N1222" s="64"/>
      <c r="O1222" s="64"/>
      <c r="P1222" s="64"/>
      <c r="Q1222" s="64"/>
      <c r="R1222" s="64"/>
      <c r="S1222" s="64"/>
    </row>
    <row r="1223" spans="1:19" x14ac:dyDescent="0.25">
      <c r="A1223" s="63"/>
      <c r="B1223" s="64"/>
      <c r="C1223" s="64"/>
      <c r="D1223" s="64"/>
      <c r="E1223" s="64"/>
      <c r="F1223" s="64"/>
      <c r="G1223" s="64"/>
      <c r="H1223" s="64"/>
      <c r="I1223" s="64"/>
      <c r="J1223" s="64"/>
      <c r="K1223" s="64"/>
      <c r="L1223" s="64"/>
      <c r="M1223" s="64"/>
      <c r="N1223" s="64"/>
      <c r="O1223" s="64"/>
      <c r="P1223" s="64"/>
      <c r="Q1223" s="64"/>
      <c r="R1223" s="64"/>
      <c r="S1223" s="64"/>
    </row>
    <row r="1224" spans="1:19" x14ac:dyDescent="0.25">
      <c r="A1224" s="63"/>
      <c r="B1224" s="64"/>
      <c r="C1224" s="64"/>
      <c r="D1224" s="64"/>
      <c r="E1224" s="64"/>
      <c r="F1224" s="64"/>
      <c r="G1224" s="64"/>
      <c r="H1224" s="64"/>
      <c r="I1224" s="64"/>
      <c r="J1224" s="64"/>
      <c r="K1224" s="64"/>
      <c r="L1224" s="64"/>
      <c r="M1224" s="64"/>
      <c r="N1224" s="64"/>
      <c r="O1224" s="64"/>
      <c r="P1224" s="64"/>
      <c r="Q1224" s="64"/>
      <c r="R1224" s="64"/>
      <c r="S1224" s="64"/>
    </row>
    <row r="1225" spans="1:19" x14ac:dyDescent="0.25">
      <c r="A1225" s="63"/>
      <c r="B1225" s="64"/>
      <c r="C1225" s="64"/>
      <c r="D1225" s="64"/>
      <c r="E1225" s="64"/>
      <c r="F1225" s="64"/>
      <c r="G1225" s="64"/>
      <c r="H1225" s="64"/>
      <c r="I1225" s="64"/>
      <c r="J1225" s="64"/>
      <c r="K1225" s="64"/>
      <c r="L1225" s="64"/>
      <c r="M1225" s="64"/>
      <c r="N1225" s="64"/>
      <c r="O1225" s="64"/>
      <c r="P1225" s="64"/>
      <c r="Q1225" s="64"/>
      <c r="R1225" s="64"/>
      <c r="S1225" s="64"/>
    </row>
    <row r="1226" spans="1:19" x14ac:dyDescent="0.25">
      <c r="A1226" s="63"/>
      <c r="B1226" s="64"/>
      <c r="C1226" s="64"/>
      <c r="D1226" s="64"/>
      <c r="E1226" s="64"/>
      <c r="F1226" s="64"/>
      <c r="G1226" s="64"/>
      <c r="H1226" s="64"/>
      <c r="I1226" s="64"/>
      <c r="J1226" s="64"/>
      <c r="K1226" s="64"/>
      <c r="L1226" s="64"/>
      <c r="M1226" s="64"/>
      <c r="N1226" s="64"/>
      <c r="O1226" s="64"/>
      <c r="P1226" s="64"/>
      <c r="Q1226" s="64"/>
      <c r="R1226" s="64"/>
      <c r="S1226" s="64"/>
    </row>
    <row r="1227" spans="1:19" x14ac:dyDescent="0.25">
      <c r="A1227" s="63"/>
      <c r="B1227" s="64"/>
      <c r="C1227" s="64"/>
      <c r="D1227" s="64"/>
      <c r="E1227" s="64"/>
      <c r="F1227" s="64"/>
      <c r="G1227" s="64"/>
      <c r="H1227" s="64"/>
      <c r="I1227" s="64"/>
      <c r="J1227" s="64"/>
      <c r="K1227" s="64"/>
      <c r="L1227" s="64"/>
      <c r="M1227" s="64"/>
      <c r="N1227" s="64"/>
      <c r="O1227" s="64"/>
      <c r="P1227" s="64"/>
      <c r="Q1227" s="64"/>
      <c r="R1227" s="64"/>
      <c r="S1227" s="64"/>
    </row>
    <row r="1228" spans="1:19" x14ac:dyDescent="0.25">
      <c r="A1228" s="63"/>
      <c r="B1228" s="64"/>
      <c r="C1228" s="64"/>
      <c r="D1228" s="64"/>
      <c r="E1228" s="64"/>
      <c r="F1228" s="64"/>
      <c r="G1228" s="64"/>
      <c r="H1228" s="64"/>
      <c r="I1228" s="64"/>
      <c r="J1228" s="64"/>
      <c r="K1228" s="64"/>
      <c r="L1228" s="64"/>
      <c r="M1228" s="64"/>
      <c r="N1228" s="64"/>
      <c r="O1228" s="64"/>
      <c r="P1228" s="64"/>
      <c r="Q1228" s="64"/>
      <c r="R1228" s="64"/>
      <c r="S1228" s="64"/>
    </row>
    <row r="1229" spans="1:19" x14ac:dyDescent="0.25">
      <c r="A1229" s="63"/>
      <c r="B1229" s="64"/>
      <c r="C1229" s="64"/>
      <c r="D1229" s="64"/>
      <c r="E1229" s="64"/>
      <c r="F1229" s="64"/>
      <c r="G1229" s="64"/>
      <c r="H1229" s="64"/>
      <c r="I1229" s="64"/>
      <c r="J1229" s="64"/>
      <c r="K1229" s="64"/>
      <c r="L1229" s="64"/>
      <c r="M1229" s="64"/>
      <c r="N1229" s="64"/>
      <c r="O1229" s="64"/>
      <c r="P1229" s="64"/>
      <c r="Q1229" s="64"/>
      <c r="R1229" s="64"/>
      <c r="S1229" s="64"/>
    </row>
    <row r="1230" spans="1:19" x14ac:dyDescent="0.25">
      <c r="A1230" s="63"/>
      <c r="B1230" s="64"/>
      <c r="C1230" s="64"/>
      <c r="D1230" s="64"/>
      <c r="E1230" s="64"/>
      <c r="F1230" s="64"/>
      <c r="G1230" s="64"/>
      <c r="H1230" s="64"/>
      <c r="I1230" s="64"/>
      <c r="J1230" s="64"/>
      <c r="K1230" s="64"/>
      <c r="L1230" s="64"/>
      <c r="M1230" s="64"/>
      <c r="N1230" s="64"/>
      <c r="O1230" s="64"/>
      <c r="P1230" s="64"/>
      <c r="Q1230" s="64"/>
      <c r="R1230" s="64"/>
      <c r="S1230" s="64"/>
    </row>
    <row r="1231" spans="1:19" x14ac:dyDescent="0.25">
      <c r="A1231" s="63"/>
      <c r="B1231" s="64"/>
      <c r="C1231" s="64"/>
      <c r="D1231" s="64"/>
      <c r="E1231" s="64"/>
      <c r="F1231" s="64"/>
      <c r="G1231" s="64"/>
      <c r="H1231" s="64"/>
      <c r="I1231" s="64"/>
      <c r="J1231" s="64"/>
      <c r="K1231" s="64"/>
      <c r="L1231" s="64"/>
      <c r="M1231" s="64"/>
      <c r="N1231" s="64"/>
      <c r="O1231" s="64"/>
      <c r="P1231" s="64"/>
      <c r="Q1231" s="64"/>
      <c r="R1231" s="64"/>
      <c r="S1231" s="64"/>
    </row>
    <row r="1232" spans="1:19" x14ac:dyDescent="0.25">
      <c r="A1232" s="63"/>
      <c r="B1232" s="64"/>
      <c r="C1232" s="64"/>
      <c r="D1232" s="64"/>
      <c r="E1232" s="64"/>
      <c r="F1232" s="64"/>
      <c r="G1232" s="64"/>
      <c r="H1232" s="64"/>
      <c r="I1232" s="64"/>
      <c r="J1232" s="64"/>
      <c r="K1232" s="64"/>
      <c r="L1232" s="64"/>
      <c r="M1232" s="64"/>
      <c r="N1232" s="64"/>
      <c r="O1232" s="64"/>
      <c r="P1232" s="64"/>
      <c r="Q1232" s="64"/>
      <c r="R1232" s="64"/>
      <c r="S1232" s="64"/>
    </row>
    <row r="1233" spans="1:19" x14ac:dyDescent="0.25">
      <c r="A1233" s="63"/>
      <c r="B1233" s="64"/>
      <c r="C1233" s="64"/>
      <c r="D1233" s="64"/>
      <c r="E1233" s="64"/>
      <c r="F1233" s="64"/>
      <c r="G1233" s="64"/>
      <c r="H1233" s="64"/>
      <c r="I1233" s="64"/>
      <c r="J1233" s="64"/>
      <c r="K1233" s="64"/>
      <c r="L1233" s="64"/>
      <c r="M1233" s="64"/>
      <c r="N1233" s="64"/>
      <c r="O1233" s="64"/>
      <c r="P1233" s="64"/>
      <c r="Q1233" s="64"/>
      <c r="R1233" s="64"/>
      <c r="S1233" s="64"/>
    </row>
    <row r="1234" spans="1:19" x14ac:dyDescent="0.25">
      <c r="A1234" s="63"/>
      <c r="B1234" s="64"/>
      <c r="C1234" s="64"/>
      <c r="D1234" s="64"/>
      <c r="E1234" s="64"/>
      <c r="F1234" s="64"/>
      <c r="G1234" s="64"/>
      <c r="H1234" s="64"/>
      <c r="I1234" s="64"/>
      <c r="J1234" s="64"/>
      <c r="K1234" s="64"/>
      <c r="L1234" s="64"/>
      <c r="M1234" s="64"/>
      <c r="N1234" s="64"/>
      <c r="O1234" s="64"/>
      <c r="P1234" s="64"/>
      <c r="Q1234" s="64"/>
      <c r="R1234" s="64"/>
      <c r="S1234" s="64"/>
    </row>
    <row r="1235" spans="1:19" x14ac:dyDescent="0.25">
      <c r="A1235" s="63"/>
      <c r="B1235" s="64"/>
      <c r="C1235" s="64"/>
      <c r="D1235" s="64"/>
      <c r="E1235" s="64"/>
      <c r="F1235" s="64"/>
      <c r="G1235" s="64"/>
      <c r="H1235" s="64"/>
      <c r="I1235" s="64"/>
      <c r="J1235" s="64"/>
      <c r="K1235" s="64"/>
      <c r="L1235" s="64"/>
      <c r="M1235" s="64"/>
      <c r="N1235" s="64"/>
      <c r="O1235" s="64"/>
      <c r="P1235" s="64"/>
      <c r="Q1235" s="64"/>
      <c r="R1235" s="64"/>
      <c r="S1235" s="64"/>
    </row>
    <row r="1236" spans="1:19" x14ac:dyDescent="0.25">
      <c r="A1236" s="63"/>
      <c r="B1236" s="64"/>
      <c r="C1236" s="64"/>
      <c r="D1236" s="64"/>
      <c r="E1236" s="64"/>
      <c r="F1236" s="64"/>
      <c r="G1236" s="64"/>
      <c r="H1236" s="64"/>
      <c r="I1236" s="64"/>
      <c r="J1236" s="64"/>
      <c r="K1236" s="64"/>
      <c r="L1236" s="64"/>
      <c r="M1236" s="64"/>
      <c r="N1236" s="64"/>
      <c r="O1236" s="64"/>
      <c r="P1236" s="64"/>
      <c r="Q1236" s="64"/>
      <c r="R1236" s="64"/>
      <c r="S1236" s="64"/>
    </row>
    <row r="1237" spans="1:19" x14ac:dyDescent="0.25">
      <c r="A1237" s="63"/>
      <c r="B1237" s="64"/>
      <c r="C1237" s="64"/>
      <c r="D1237" s="64"/>
      <c r="E1237" s="64"/>
      <c r="F1237" s="64"/>
      <c r="G1237" s="64"/>
      <c r="H1237" s="64"/>
      <c r="I1237" s="64"/>
      <c r="J1237" s="64"/>
      <c r="K1237" s="64"/>
      <c r="L1237" s="64"/>
      <c r="M1237" s="64"/>
      <c r="N1237" s="64"/>
      <c r="O1237" s="64"/>
      <c r="P1237" s="64"/>
      <c r="Q1237" s="64"/>
      <c r="R1237" s="64"/>
      <c r="S1237" s="64"/>
    </row>
    <row r="1238" spans="1:19" x14ac:dyDescent="0.25">
      <c r="A1238" s="63"/>
      <c r="B1238" s="64"/>
      <c r="C1238" s="64"/>
      <c r="D1238" s="64"/>
      <c r="E1238" s="64"/>
      <c r="F1238" s="64"/>
      <c r="G1238" s="64"/>
      <c r="H1238" s="64"/>
      <c r="I1238" s="64"/>
      <c r="J1238" s="64"/>
      <c r="K1238" s="64"/>
      <c r="L1238" s="64"/>
      <c r="M1238" s="64"/>
      <c r="N1238" s="64"/>
      <c r="O1238" s="64"/>
      <c r="P1238" s="64"/>
      <c r="Q1238" s="64"/>
      <c r="R1238" s="64"/>
      <c r="S1238" s="64"/>
    </row>
    <row r="1239" spans="1:19" x14ac:dyDescent="0.25">
      <c r="A1239" s="63"/>
      <c r="B1239" s="64"/>
      <c r="C1239" s="64"/>
      <c r="D1239" s="64"/>
      <c r="E1239" s="64"/>
      <c r="F1239" s="64"/>
      <c r="G1239" s="64"/>
      <c r="H1239" s="64"/>
      <c r="I1239" s="64"/>
      <c r="J1239" s="64"/>
      <c r="K1239" s="64"/>
      <c r="L1239" s="64"/>
      <c r="M1239" s="64"/>
      <c r="N1239" s="64"/>
      <c r="O1239" s="64"/>
      <c r="P1239" s="64"/>
      <c r="Q1239" s="64"/>
      <c r="R1239" s="64"/>
      <c r="S1239" s="64"/>
    </row>
    <row r="1240" spans="1:19" x14ac:dyDescent="0.25">
      <c r="A1240" s="63"/>
      <c r="B1240" s="64"/>
      <c r="C1240" s="64"/>
      <c r="D1240" s="64"/>
      <c r="E1240" s="64"/>
      <c r="F1240" s="64"/>
      <c r="G1240" s="64"/>
      <c r="H1240" s="64"/>
      <c r="I1240" s="64"/>
      <c r="J1240" s="64"/>
      <c r="K1240" s="64"/>
      <c r="L1240" s="64"/>
      <c r="M1240" s="64"/>
      <c r="N1240" s="64"/>
      <c r="O1240" s="64"/>
      <c r="P1240" s="64"/>
      <c r="Q1240" s="64"/>
      <c r="R1240" s="64"/>
      <c r="S1240" s="64"/>
    </row>
    <row r="1241" spans="1:19" x14ac:dyDescent="0.25">
      <c r="A1241" s="63"/>
      <c r="B1241" s="64"/>
      <c r="C1241" s="64"/>
      <c r="D1241" s="64"/>
      <c r="E1241" s="64"/>
      <c r="F1241" s="64"/>
      <c r="G1241" s="64"/>
      <c r="H1241" s="64"/>
      <c r="I1241" s="64"/>
      <c r="J1241" s="64"/>
      <c r="K1241" s="64"/>
      <c r="L1241" s="64"/>
      <c r="M1241" s="64"/>
      <c r="N1241" s="64"/>
      <c r="O1241" s="64"/>
      <c r="P1241" s="64"/>
      <c r="Q1241" s="64"/>
      <c r="R1241" s="64"/>
      <c r="S1241" s="64"/>
    </row>
    <row r="1242" spans="1:19" x14ac:dyDescent="0.25">
      <c r="A1242" s="63"/>
      <c r="B1242" s="64"/>
      <c r="C1242" s="64"/>
      <c r="D1242" s="64"/>
      <c r="E1242" s="64"/>
      <c r="F1242" s="64"/>
      <c r="G1242" s="64"/>
      <c r="H1242" s="64"/>
      <c r="I1242" s="64"/>
      <c r="J1242" s="64"/>
      <c r="K1242" s="64"/>
      <c r="L1242" s="64"/>
      <c r="M1242" s="64"/>
      <c r="N1242" s="64"/>
      <c r="O1242" s="64"/>
      <c r="P1242" s="64"/>
      <c r="Q1242" s="64"/>
      <c r="R1242" s="64"/>
      <c r="S1242" s="64"/>
    </row>
    <row r="1243" spans="1:19" x14ac:dyDescent="0.25">
      <c r="A1243" s="63"/>
      <c r="B1243" s="64"/>
      <c r="C1243" s="64"/>
      <c r="D1243" s="64"/>
      <c r="E1243" s="64"/>
      <c r="F1243" s="64"/>
      <c r="G1243" s="64"/>
      <c r="H1243" s="64"/>
      <c r="I1243" s="64"/>
      <c r="J1243" s="64"/>
      <c r="K1243" s="64"/>
      <c r="L1243" s="64"/>
      <c r="M1243" s="64"/>
      <c r="N1243" s="64"/>
      <c r="O1243" s="64"/>
      <c r="P1243" s="64"/>
      <c r="Q1243" s="64"/>
      <c r="R1243" s="64"/>
      <c r="S1243" s="64"/>
    </row>
    <row r="1244" spans="1:19" x14ac:dyDescent="0.25">
      <c r="A1244" s="63"/>
      <c r="B1244" s="64"/>
      <c r="C1244" s="64"/>
      <c r="D1244" s="64"/>
      <c r="E1244" s="64"/>
      <c r="F1244" s="64"/>
      <c r="G1244" s="64"/>
      <c r="H1244" s="64"/>
      <c r="I1244" s="64"/>
      <c r="J1244" s="64"/>
      <c r="K1244" s="64"/>
      <c r="L1244" s="64"/>
      <c r="M1244" s="64"/>
      <c r="N1244" s="64"/>
      <c r="O1244" s="64"/>
      <c r="P1244" s="64"/>
      <c r="Q1244" s="64"/>
      <c r="R1244" s="64"/>
      <c r="S1244" s="64"/>
    </row>
    <row r="1245" spans="1:19" x14ac:dyDescent="0.25">
      <c r="A1245" s="63"/>
      <c r="B1245" s="64"/>
      <c r="C1245" s="64"/>
      <c r="D1245" s="64"/>
      <c r="E1245" s="64"/>
      <c r="F1245" s="64"/>
      <c r="G1245" s="64"/>
      <c r="H1245" s="64"/>
      <c r="I1245" s="64"/>
      <c r="J1245" s="64"/>
      <c r="K1245" s="64"/>
      <c r="L1245" s="64"/>
      <c r="M1245" s="64"/>
      <c r="N1245" s="64"/>
      <c r="O1245" s="64"/>
      <c r="P1245" s="64"/>
      <c r="Q1245" s="64"/>
      <c r="R1245" s="64"/>
      <c r="S1245" s="64"/>
    </row>
    <row r="1246" spans="1:19" x14ac:dyDescent="0.25">
      <c r="A1246" s="63"/>
      <c r="B1246" s="64"/>
      <c r="C1246" s="64"/>
      <c r="D1246" s="64"/>
      <c r="E1246" s="64"/>
      <c r="F1246" s="64"/>
      <c r="G1246" s="64"/>
      <c r="H1246" s="64"/>
      <c r="I1246" s="64"/>
      <c r="J1246" s="64"/>
      <c r="K1246" s="64"/>
      <c r="L1246" s="64"/>
      <c r="M1246" s="64"/>
      <c r="N1246" s="64"/>
      <c r="O1246" s="64"/>
      <c r="P1246" s="64"/>
      <c r="Q1246" s="64"/>
      <c r="R1246" s="64"/>
      <c r="S1246" s="64"/>
    </row>
    <row r="1247" spans="1:19" x14ac:dyDescent="0.25">
      <c r="A1247" s="63"/>
      <c r="B1247" s="64"/>
      <c r="C1247" s="64"/>
      <c r="D1247" s="64"/>
      <c r="E1247" s="64"/>
      <c r="F1247" s="64"/>
      <c r="G1247" s="64"/>
      <c r="H1247" s="64"/>
      <c r="I1247" s="64"/>
      <c r="J1247" s="64"/>
      <c r="K1247" s="64"/>
      <c r="L1247" s="64"/>
      <c r="M1247" s="64"/>
      <c r="N1247" s="64"/>
      <c r="O1247" s="64"/>
      <c r="P1247" s="64"/>
      <c r="Q1247" s="64"/>
      <c r="R1247" s="64"/>
      <c r="S1247" s="64"/>
    </row>
    <row r="1248" spans="1:19" x14ac:dyDescent="0.25">
      <c r="A1248" s="63"/>
      <c r="B1248" s="64"/>
      <c r="C1248" s="64"/>
      <c r="D1248" s="64"/>
      <c r="E1248" s="64"/>
      <c r="F1248" s="64"/>
      <c r="G1248" s="64"/>
      <c r="H1248" s="64"/>
      <c r="I1248" s="64"/>
      <c r="J1248" s="64"/>
      <c r="K1248" s="64"/>
      <c r="L1248" s="64"/>
      <c r="M1248" s="64"/>
      <c r="N1248" s="64"/>
      <c r="O1248" s="64"/>
      <c r="P1248" s="64"/>
      <c r="Q1248" s="64"/>
      <c r="R1248" s="64"/>
      <c r="S1248" s="64"/>
    </row>
    <row r="1249" spans="1:19" x14ac:dyDescent="0.25">
      <c r="A1249" s="63"/>
      <c r="B1249" s="64"/>
      <c r="C1249" s="64"/>
      <c r="D1249" s="64"/>
      <c r="E1249" s="64"/>
      <c r="F1249" s="64"/>
      <c r="G1249" s="64"/>
      <c r="H1249" s="64"/>
      <c r="I1249" s="64"/>
      <c r="J1249" s="64"/>
      <c r="K1249" s="64"/>
      <c r="L1249" s="64"/>
      <c r="M1249" s="64"/>
      <c r="N1249" s="64"/>
      <c r="O1249" s="64"/>
      <c r="P1249" s="64"/>
      <c r="Q1249" s="64"/>
      <c r="R1249" s="64"/>
      <c r="S1249" s="64"/>
    </row>
    <row r="1250" spans="1:19" x14ac:dyDescent="0.25">
      <c r="A1250" s="63"/>
      <c r="B1250" s="64"/>
      <c r="C1250" s="64"/>
      <c r="D1250" s="64"/>
      <c r="E1250" s="64"/>
      <c r="F1250" s="64"/>
      <c r="G1250" s="64"/>
      <c r="H1250" s="64"/>
      <c r="I1250" s="64"/>
      <c r="J1250" s="64"/>
      <c r="K1250" s="64"/>
      <c r="L1250" s="64"/>
      <c r="M1250" s="64"/>
      <c r="N1250" s="64"/>
      <c r="O1250" s="64"/>
      <c r="P1250" s="64"/>
      <c r="Q1250" s="64"/>
      <c r="R1250" s="64"/>
      <c r="S1250" s="64"/>
    </row>
    <row r="1251" spans="1:19" x14ac:dyDescent="0.25">
      <c r="A1251" s="63"/>
      <c r="B1251" s="64"/>
      <c r="C1251" s="64"/>
      <c r="D1251" s="64"/>
      <c r="E1251" s="64"/>
      <c r="F1251" s="64"/>
      <c r="G1251" s="64"/>
      <c r="H1251" s="64"/>
      <c r="I1251" s="64"/>
      <c r="J1251" s="64"/>
      <c r="K1251" s="64"/>
      <c r="L1251" s="64"/>
      <c r="M1251" s="64"/>
      <c r="N1251" s="64"/>
      <c r="O1251" s="64"/>
      <c r="P1251" s="64"/>
      <c r="Q1251" s="64"/>
      <c r="R1251" s="64"/>
      <c r="S1251" s="64"/>
    </row>
    <row r="1252" spans="1:19" x14ac:dyDescent="0.25">
      <c r="A1252" s="63"/>
      <c r="B1252" s="64"/>
      <c r="C1252" s="64"/>
      <c r="D1252" s="64"/>
      <c r="E1252" s="64"/>
      <c r="F1252" s="64"/>
      <c r="G1252" s="64"/>
      <c r="H1252" s="64"/>
      <c r="I1252" s="64"/>
      <c r="J1252" s="64"/>
      <c r="K1252" s="64"/>
      <c r="L1252" s="64"/>
      <c r="M1252" s="64"/>
      <c r="N1252" s="64"/>
      <c r="O1252" s="64"/>
      <c r="P1252" s="64"/>
      <c r="Q1252" s="64"/>
      <c r="R1252" s="64"/>
      <c r="S1252" s="64"/>
    </row>
    <row r="1253" spans="1:19" x14ac:dyDescent="0.25">
      <c r="A1253" s="63"/>
      <c r="B1253" s="64"/>
      <c r="C1253" s="64"/>
      <c r="D1253" s="64"/>
      <c r="E1253" s="64"/>
      <c r="F1253" s="64"/>
      <c r="G1253" s="64"/>
      <c r="H1253" s="64"/>
      <c r="I1253" s="64"/>
      <c r="J1253" s="64"/>
      <c r="K1253" s="64"/>
      <c r="L1253" s="64"/>
      <c r="M1253" s="64"/>
      <c r="N1253" s="64"/>
      <c r="O1253" s="64"/>
      <c r="P1253" s="64"/>
      <c r="Q1253" s="64"/>
      <c r="R1253" s="64"/>
      <c r="S1253" s="64"/>
    </row>
    <row r="1254" spans="1:19" x14ac:dyDescent="0.25">
      <c r="A1254" s="63"/>
      <c r="B1254" s="64"/>
      <c r="C1254" s="64"/>
      <c r="D1254" s="64"/>
      <c r="E1254" s="64"/>
      <c r="F1254" s="64"/>
      <c r="G1254" s="64"/>
      <c r="H1254" s="64"/>
      <c r="I1254" s="64"/>
      <c r="J1254" s="64"/>
      <c r="K1254" s="64"/>
      <c r="L1254" s="64"/>
      <c r="M1254" s="64"/>
      <c r="N1254" s="64"/>
      <c r="O1254" s="64"/>
      <c r="P1254" s="64"/>
      <c r="Q1254" s="64"/>
      <c r="R1254" s="64"/>
      <c r="S1254" s="64"/>
    </row>
    <row r="1255" spans="1:19" x14ac:dyDescent="0.25">
      <c r="A1255" s="63"/>
      <c r="B1255" s="64"/>
      <c r="C1255" s="64"/>
      <c r="D1255" s="64"/>
      <c r="E1255" s="64"/>
      <c r="F1255" s="64"/>
      <c r="G1255" s="64"/>
      <c r="H1255" s="64"/>
      <c r="I1255" s="64"/>
      <c r="J1255" s="64"/>
      <c r="K1255" s="64"/>
      <c r="L1255" s="64"/>
      <c r="M1255" s="64"/>
      <c r="N1255" s="64"/>
      <c r="O1255" s="64"/>
      <c r="P1255" s="64"/>
      <c r="Q1255" s="64"/>
      <c r="R1255" s="64"/>
      <c r="S1255" s="64"/>
    </row>
    <row r="1256" spans="1:19" x14ac:dyDescent="0.25">
      <c r="A1256" s="63"/>
      <c r="B1256" s="64"/>
      <c r="C1256" s="64"/>
      <c r="D1256" s="64"/>
      <c r="E1256" s="64"/>
      <c r="F1256" s="64"/>
      <c r="G1256" s="64"/>
      <c r="H1256" s="64"/>
      <c r="I1256" s="64"/>
      <c r="J1256" s="64"/>
      <c r="K1256" s="64"/>
      <c r="L1256" s="64"/>
      <c r="M1256" s="64"/>
      <c r="N1256" s="64"/>
      <c r="O1256" s="64"/>
      <c r="P1256" s="64"/>
      <c r="Q1256" s="64"/>
      <c r="R1256" s="64"/>
      <c r="S1256" s="64"/>
    </row>
    <row r="1257" spans="1:19" x14ac:dyDescent="0.25">
      <c r="A1257" s="63"/>
      <c r="B1257" s="64"/>
      <c r="C1257" s="64"/>
      <c r="D1257" s="64"/>
      <c r="E1257" s="64"/>
      <c r="F1257" s="64"/>
      <c r="G1257" s="64"/>
      <c r="H1257" s="64"/>
      <c r="I1257" s="64"/>
      <c r="J1257" s="64"/>
      <c r="K1257" s="64"/>
      <c r="L1257" s="64"/>
      <c r="M1257" s="64"/>
      <c r="N1257" s="64"/>
      <c r="O1257" s="64"/>
      <c r="P1257" s="64"/>
      <c r="Q1257" s="64"/>
      <c r="R1257" s="64"/>
      <c r="S1257" s="64"/>
    </row>
    <row r="1258" spans="1:19" x14ac:dyDescent="0.25">
      <c r="A1258" s="63"/>
      <c r="B1258" s="64"/>
      <c r="C1258" s="64"/>
      <c r="D1258" s="64"/>
      <c r="E1258" s="64"/>
      <c r="F1258" s="64"/>
      <c r="G1258" s="64"/>
      <c r="H1258" s="64"/>
      <c r="I1258" s="64"/>
      <c r="J1258" s="64"/>
      <c r="K1258" s="64"/>
      <c r="L1258" s="64"/>
      <c r="M1258" s="64"/>
      <c r="N1258" s="64"/>
      <c r="O1258" s="64"/>
      <c r="P1258" s="64"/>
      <c r="Q1258" s="64"/>
      <c r="R1258" s="64"/>
      <c r="S1258" s="64"/>
    </row>
    <row r="1259" spans="1:19" x14ac:dyDescent="0.25">
      <c r="A1259" s="63"/>
      <c r="B1259" s="64"/>
      <c r="C1259" s="64"/>
      <c r="D1259" s="64"/>
      <c r="E1259" s="64"/>
      <c r="F1259" s="64"/>
      <c r="G1259" s="64"/>
      <c r="H1259" s="64"/>
      <c r="I1259" s="64"/>
      <c r="J1259" s="64"/>
      <c r="K1259" s="64"/>
      <c r="L1259" s="64"/>
      <c r="M1259" s="64"/>
      <c r="N1259" s="64"/>
      <c r="O1259" s="64"/>
      <c r="P1259" s="64"/>
      <c r="Q1259" s="64"/>
      <c r="R1259" s="64"/>
      <c r="S1259" s="64"/>
    </row>
    <row r="1260" spans="1:19" x14ac:dyDescent="0.25">
      <c r="A1260" s="63"/>
      <c r="B1260" s="64"/>
      <c r="C1260" s="64"/>
      <c r="D1260" s="64"/>
      <c r="E1260" s="64"/>
      <c r="F1260" s="64"/>
      <c r="G1260" s="64"/>
      <c r="H1260" s="64"/>
      <c r="I1260" s="64"/>
      <c r="J1260" s="64"/>
      <c r="K1260" s="64"/>
      <c r="L1260" s="64"/>
      <c r="M1260" s="64"/>
      <c r="N1260" s="64"/>
      <c r="O1260" s="64"/>
      <c r="P1260" s="64"/>
      <c r="Q1260" s="64"/>
      <c r="R1260" s="64"/>
      <c r="S1260" s="64"/>
    </row>
    <row r="1261" spans="1:19" x14ac:dyDescent="0.25">
      <c r="A1261" s="63"/>
      <c r="B1261" s="64"/>
      <c r="C1261" s="64"/>
      <c r="D1261" s="64"/>
      <c r="E1261" s="64"/>
      <c r="F1261" s="64"/>
      <c r="G1261" s="64"/>
      <c r="H1261" s="64"/>
      <c r="I1261" s="64"/>
      <c r="J1261" s="64"/>
      <c r="K1261" s="64"/>
      <c r="L1261" s="64"/>
      <c r="M1261" s="64"/>
      <c r="N1261" s="64"/>
      <c r="O1261" s="64"/>
      <c r="P1261" s="64"/>
      <c r="Q1261" s="64"/>
      <c r="R1261" s="64"/>
      <c r="S1261" s="64"/>
    </row>
    <row r="1262" spans="1:19" x14ac:dyDescent="0.25">
      <c r="A1262" s="63"/>
      <c r="B1262" s="64"/>
      <c r="C1262" s="64"/>
      <c r="D1262" s="64"/>
      <c r="E1262" s="64"/>
      <c r="F1262" s="64"/>
      <c r="G1262" s="64"/>
      <c r="H1262" s="64"/>
      <c r="I1262" s="64"/>
      <c r="J1262" s="64"/>
      <c r="K1262" s="64"/>
      <c r="L1262" s="64"/>
      <c r="M1262" s="64"/>
      <c r="N1262" s="64"/>
      <c r="O1262" s="64"/>
      <c r="P1262" s="64"/>
      <c r="Q1262" s="64"/>
      <c r="R1262" s="64"/>
      <c r="S1262" s="64"/>
    </row>
    <row r="1263" spans="1:19" x14ac:dyDescent="0.25">
      <c r="A1263" s="63"/>
      <c r="B1263" s="64"/>
      <c r="C1263" s="64"/>
      <c r="D1263" s="64"/>
      <c r="E1263" s="64"/>
      <c r="F1263" s="64"/>
      <c r="G1263" s="64"/>
      <c r="H1263" s="64"/>
      <c r="I1263" s="64"/>
      <c r="J1263" s="64"/>
      <c r="K1263" s="64"/>
      <c r="L1263" s="64"/>
      <c r="M1263" s="64"/>
      <c r="N1263" s="64"/>
      <c r="O1263" s="64"/>
      <c r="P1263" s="64"/>
      <c r="Q1263" s="64"/>
      <c r="R1263" s="64"/>
      <c r="S1263" s="64"/>
    </row>
    <row r="1264" spans="1:19" x14ac:dyDescent="0.25">
      <c r="A1264" s="63"/>
      <c r="B1264" s="64"/>
      <c r="C1264" s="64"/>
      <c r="D1264" s="64"/>
      <c r="E1264" s="64"/>
      <c r="F1264" s="64"/>
      <c r="G1264" s="64"/>
      <c r="H1264" s="64"/>
      <c r="I1264" s="64"/>
      <c r="J1264" s="64"/>
      <c r="K1264" s="64"/>
      <c r="L1264" s="64"/>
      <c r="M1264" s="64"/>
      <c r="N1264" s="64"/>
      <c r="O1264" s="64"/>
      <c r="P1264" s="64"/>
      <c r="Q1264" s="64"/>
      <c r="R1264" s="64"/>
      <c r="S1264" s="64"/>
    </row>
    <row r="1265" spans="1:19" x14ac:dyDescent="0.25">
      <c r="A1265" s="63"/>
      <c r="B1265" s="64"/>
      <c r="C1265" s="64"/>
      <c r="D1265" s="64"/>
      <c r="E1265" s="64"/>
      <c r="F1265" s="64"/>
      <c r="G1265" s="64"/>
      <c r="H1265" s="64"/>
      <c r="I1265" s="64"/>
      <c r="J1265" s="64"/>
      <c r="K1265" s="64"/>
      <c r="L1265" s="64"/>
      <c r="M1265" s="64"/>
      <c r="N1265" s="64"/>
      <c r="O1265" s="64"/>
      <c r="P1265" s="64"/>
      <c r="Q1265" s="64"/>
      <c r="R1265" s="64"/>
      <c r="S1265" s="64"/>
    </row>
    <row r="1266" spans="1:19" x14ac:dyDescent="0.25">
      <c r="A1266" s="63"/>
      <c r="B1266" s="64"/>
      <c r="C1266" s="64"/>
      <c r="D1266" s="64"/>
      <c r="E1266" s="64"/>
      <c r="F1266" s="64"/>
      <c r="G1266" s="64"/>
      <c r="H1266" s="64"/>
      <c r="I1266" s="64"/>
      <c r="J1266" s="64"/>
      <c r="K1266" s="64"/>
      <c r="L1266" s="64"/>
      <c r="M1266" s="64"/>
      <c r="N1266" s="64"/>
      <c r="O1266" s="64"/>
      <c r="P1266" s="64"/>
      <c r="Q1266" s="64"/>
      <c r="R1266" s="64"/>
      <c r="S1266" s="64"/>
    </row>
    <row r="1267" spans="1:19" x14ac:dyDescent="0.25">
      <c r="A1267" s="63"/>
      <c r="B1267" s="64"/>
      <c r="C1267" s="64"/>
      <c r="D1267" s="64"/>
      <c r="E1267" s="64"/>
      <c r="F1267" s="64"/>
      <c r="G1267" s="64"/>
      <c r="H1267" s="64"/>
      <c r="I1267" s="64"/>
      <c r="J1267" s="64"/>
      <c r="K1267" s="64"/>
      <c r="L1267" s="64"/>
      <c r="M1267" s="64"/>
      <c r="N1267" s="64"/>
      <c r="O1267" s="64"/>
      <c r="P1267" s="64"/>
      <c r="Q1267" s="64"/>
      <c r="R1267" s="64"/>
      <c r="S1267" s="64"/>
    </row>
    <row r="1268" spans="1:19" x14ac:dyDescent="0.25">
      <c r="A1268" s="63"/>
      <c r="B1268" s="64"/>
      <c r="C1268" s="64"/>
      <c r="D1268" s="64"/>
      <c r="E1268" s="64"/>
      <c r="F1268" s="64"/>
      <c r="G1268" s="64"/>
      <c r="H1268" s="64"/>
      <c r="I1268" s="64"/>
      <c r="J1268" s="64"/>
      <c r="K1268" s="64"/>
      <c r="L1268" s="64"/>
      <c r="M1268" s="64"/>
      <c r="N1268" s="64"/>
      <c r="O1268" s="64"/>
      <c r="P1268" s="64"/>
      <c r="Q1268" s="64"/>
      <c r="R1268" s="64"/>
      <c r="S1268" s="64"/>
    </row>
    <row r="1269" spans="1:19" x14ac:dyDescent="0.25">
      <c r="A1269" s="63"/>
      <c r="B1269" s="64"/>
      <c r="C1269" s="64"/>
      <c r="D1269" s="64"/>
      <c r="E1269" s="64"/>
      <c r="F1269" s="64"/>
      <c r="G1269" s="64"/>
      <c r="H1269" s="64"/>
      <c r="I1269" s="64"/>
      <c r="J1269" s="64"/>
      <c r="K1269" s="64"/>
      <c r="L1269" s="64"/>
      <c r="M1269" s="64"/>
      <c r="N1269" s="64"/>
      <c r="O1269" s="64"/>
      <c r="P1269" s="64"/>
      <c r="Q1269" s="64"/>
      <c r="R1269" s="64"/>
      <c r="S1269" s="64"/>
    </row>
    <row r="1270" spans="1:19" x14ac:dyDescent="0.25">
      <c r="A1270" s="63"/>
      <c r="B1270" s="64"/>
      <c r="C1270" s="64"/>
      <c r="D1270" s="64"/>
      <c r="E1270" s="64"/>
      <c r="F1270" s="64"/>
      <c r="G1270" s="64"/>
      <c r="H1270" s="64"/>
      <c r="I1270" s="64"/>
      <c r="J1270" s="64"/>
      <c r="K1270" s="64"/>
      <c r="L1270" s="64"/>
      <c r="M1270" s="64"/>
      <c r="N1270" s="64"/>
      <c r="O1270" s="64"/>
      <c r="P1270" s="64"/>
      <c r="Q1270" s="64"/>
      <c r="R1270" s="64"/>
      <c r="S1270" s="64"/>
    </row>
    <row r="1271" spans="1:19" x14ac:dyDescent="0.25">
      <c r="A1271" s="63"/>
      <c r="B1271" s="64"/>
      <c r="C1271" s="64"/>
      <c r="D1271" s="64"/>
      <c r="E1271" s="64"/>
      <c r="F1271" s="64"/>
      <c r="G1271" s="64"/>
      <c r="H1271" s="64"/>
      <c r="I1271" s="64"/>
      <c r="J1271" s="64"/>
      <c r="K1271" s="64"/>
      <c r="L1271" s="64"/>
      <c r="M1271" s="64"/>
      <c r="N1271" s="64"/>
      <c r="O1271" s="64"/>
      <c r="P1271" s="64"/>
      <c r="Q1271" s="64"/>
      <c r="R1271" s="64"/>
      <c r="S1271" s="64"/>
    </row>
    <row r="1272" spans="1:19" x14ac:dyDescent="0.25">
      <c r="A1272" s="63"/>
      <c r="B1272" s="64"/>
      <c r="C1272" s="64"/>
      <c r="D1272" s="64"/>
      <c r="E1272" s="64"/>
      <c r="F1272" s="64"/>
      <c r="G1272" s="64"/>
      <c r="H1272" s="64"/>
      <c r="I1272" s="64"/>
      <c r="J1272" s="64"/>
      <c r="K1272" s="64"/>
      <c r="L1272" s="64"/>
      <c r="M1272" s="64"/>
      <c r="N1272" s="64"/>
      <c r="O1272" s="64"/>
      <c r="P1272" s="64"/>
      <c r="Q1272" s="64"/>
      <c r="R1272" s="64"/>
      <c r="S1272" s="64"/>
    </row>
    <row r="1273" spans="1:19" x14ac:dyDescent="0.25">
      <c r="A1273" s="63"/>
      <c r="B1273" s="64"/>
      <c r="C1273" s="64"/>
      <c r="D1273" s="64"/>
      <c r="E1273" s="64"/>
      <c r="F1273" s="64"/>
      <c r="G1273" s="64"/>
      <c r="H1273" s="64"/>
      <c r="I1273" s="64"/>
      <c r="J1273" s="64"/>
      <c r="K1273" s="64"/>
      <c r="L1273" s="64"/>
      <c r="M1273" s="64"/>
      <c r="N1273" s="64"/>
      <c r="O1273" s="64"/>
      <c r="P1273" s="64"/>
      <c r="Q1273" s="64"/>
      <c r="R1273" s="64"/>
      <c r="S1273" s="64"/>
    </row>
    <row r="1274" spans="1:19" x14ac:dyDescent="0.25">
      <c r="A1274" s="63"/>
      <c r="B1274" s="64"/>
      <c r="C1274" s="64"/>
      <c r="D1274" s="64"/>
      <c r="E1274" s="64"/>
      <c r="F1274" s="64"/>
      <c r="G1274" s="64"/>
      <c r="H1274" s="64"/>
      <c r="I1274" s="64"/>
      <c r="J1274" s="64"/>
      <c r="K1274" s="64"/>
      <c r="L1274" s="64"/>
      <c r="M1274" s="64"/>
      <c r="N1274" s="64"/>
      <c r="O1274" s="64"/>
      <c r="P1274" s="64"/>
      <c r="Q1274" s="64"/>
      <c r="R1274" s="64"/>
      <c r="S1274" s="64"/>
    </row>
    <row r="1275" spans="1:19" x14ac:dyDescent="0.25">
      <c r="A1275" s="63"/>
      <c r="B1275" s="64"/>
      <c r="C1275" s="64"/>
      <c r="D1275" s="64"/>
      <c r="E1275" s="64"/>
      <c r="F1275" s="64"/>
      <c r="G1275" s="64"/>
      <c r="H1275" s="64"/>
      <c r="I1275" s="64"/>
      <c r="J1275" s="64"/>
      <c r="K1275" s="64"/>
      <c r="L1275" s="64"/>
      <c r="M1275" s="64"/>
      <c r="N1275" s="64"/>
      <c r="O1275" s="64"/>
      <c r="P1275" s="64"/>
      <c r="Q1275" s="64"/>
      <c r="R1275" s="64"/>
      <c r="S1275" s="64"/>
    </row>
    <row r="1276" spans="1:19" x14ac:dyDescent="0.25">
      <c r="A1276" s="63"/>
      <c r="B1276" s="64"/>
      <c r="C1276" s="64"/>
      <c r="D1276" s="64"/>
      <c r="E1276" s="64"/>
      <c r="F1276" s="64"/>
      <c r="G1276" s="64"/>
      <c r="H1276" s="64"/>
      <c r="I1276" s="64"/>
      <c r="J1276" s="64"/>
      <c r="K1276" s="64"/>
      <c r="L1276" s="64"/>
      <c r="M1276" s="64"/>
      <c r="N1276" s="64"/>
      <c r="O1276" s="64"/>
      <c r="P1276" s="64"/>
      <c r="Q1276" s="64"/>
      <c r="R1276" s="64"/>
      <c r="S1276" s="64"/>
    </row>
    <row r="1277" spans="1:19" x14ac:dyDescent="0.25">
      <c r="A1277" s="63"/>
      <c r="B1277" s="64"/>
      <c r="C1277" s="64"/>
      <c r="D1277" s="64"/>
      <c r="E1277" s="64"/>
      <c r="F1277" s="64"/>
      <c r="G1277" s="64"/>
      <c r="H1277" s="64"/>
      <c r="I1277" s="64"/>
      <c r="J1277" s="64"/>
      <c r="K1277" s="64"/>
      <c r="L1277" s="64"/>
      <c r="M1277" s="64"/>
      <c r="N1277" s="64"/>
      <c r="O1277" s="64"/>
      <c r="P1277" s="64"/>
      <c r="Q1277" s="64"/>
      <c r="R1277" s="64"/>
      <c r="S1277" s="64"/>
    </row>
    <row r="1278" spans="1:19" x14ac:dyDescent="0.25">
      <c r="A1278" s="63"/>
      <c r="B1278" s="64"/>
      <c r="C1278" s="64"/>
      <c r="D1278" s="64"/>
      <c r="E1278" s="64"/>
      <c r="F1278" s="64"/>
      <c r="G1278" s="64"/>
      <c r="H1278" s="64"/>
      <c r="I1278" s="64"/>
      <c r="J1278" s="64"/>
      <c r="K1278" s="64"/>
      <c r="L1278" s="64"/>
      <c r="M1278" s="64"/>
      <c r="N1278" s="64"/>
      <c r="O1278" s="64"/>
      <c r="P1278" s="64"/>
      <c r="Q1278" s="64"/>
      <c r="R1278" s="64"/>
      <c r="S1278" s="64"/>
    </row>
    <row r="1279" spans="1:19" x14ac:dyDescent="0.25">
      <c r="A1279" s="63"/>
      <c r="B1279" s="64"/>
      <c r="C1279" s="64"/>
      <c r="D1279" s="64"/>
      <c r="E1279" s="64"/>
      <c r="F1279" s="64"/>
      <c r="G1279" s="64"/>
      <c r="H1279" s="64"/>
      <c r="I1279" s="64"/>
      <c r="J1279" s="64"/>
      <c r="K1279" s="64"/>
      <c r="L1279" s="64"/>
      <c r="M1279" s="64"/>
      <c r="N1279" s="64"/>
      <c r="O1279" s="64"/>
      <c r="P1279" s="64"/>
      <c r="Q1279" s="64"/>
      <c r="R1279" s="64"/>
      <c r="S1279" s="64"/>
    </row>
    <row r="1280" spans="1:19" x14ac:dyDescent="0.25">
      <c r="A1280" s="63"/>
      <c r="B1280" s="64"/>
      <c r="C1280" s="64"/>
      <c r="D1280" s="64"/>
      <c r="E1280" s="64"/>
      <c r="F1280" s="64"/>
      <c r="G1280" s="64"/>
      <c r="H1280" s="64"/>
      <c r="I1280" s="64"/>
      <c r="J1280" s="64"/>
      <c r="K1280" s="64"/>
      <c r="L1280" s="64"/>
      <c r="M1280" s="64"/>
      <c r="N1280" s="64"/>
      <c r="O1280" s="64"/>
      <c r="P1280" s="64"/>
      <c r="Q1280" s="64"/>
      <c r="R1280" s="64"/>
      <c r="S1280" s="64"/>
    </row>
    <row r="1281" spans="1:19" x14ac:dyDescent="0.25">
      <c r="A1281" s="63"/>
      <c r="B1281" s="64"/>
      <c r="C1281" s="64"/>
      <c r="D1281" s="64"/>
      <c r="E1281" s="64"/>
      <c r="F1281" s="64"/>
      <c r="G1281" s="64"/>
      <c r="H1281" s="64"/>
      <c r="I1281" s="64"/>
      <c r="J1281" s="64"/>
      <c r="K1281" s="64"/>
      <c r="L1281" s="64"/>
      <c r="M1281" s="64"/>
      <c r="N1281" s="64"/>
      <c r="O1281" s="64"/>
      <c r="P1281" s="64"/>
      <c r="Q1281" s="64"/>
      <c r="R1281" s="64"/>
      <c r="S1281" s="64"/>
    </row>
    <row r="1282" spans="1:19" x14ac:dyDescent="0.25">
      <c r="A1282" s="63"/>
      <c r="B1282" s="64"/>
      <c r="C1282" s="64"/>
      <c r="D1282" s="64"/>
      <c r="E1282" s="64"/>
      <c r="F1282" s="64"/>
      <c r="G1282" s="64"/>
      <c r="H1282" s="64"/>
      <c r="I1282" s="64"/>
      <c r="J1282" s="64"/>
      <c r="K1282" s="64"/>
      <c r="L1282" s="64"/>
      <c r="M1282" s="64"/>
      <c r="N1282" s="64"/>
      <c r="O1282" s="64"/>
      <c r="P1282" s="64"/>
      <c r="Q1282" s="64"/>
      <c r="R1282" s="64"/>
      <c r="S1282" s="64"/>
    </row>
    <row r="1283" spans="1:19" x14ac:dyDescent="0.25">
      <c r="A1283" s="63"/>
      <c r="B1283" s="64"/>
      <c r="C1283" s="64"/>
      <c r="D1283" s="64"/>
      <c r="E1283" s="64"/>
      <c r="F1283" s="64"/>
      <c r="G1283" s="64"/>
      <c r="H1283" s="64"/>
      <c r="I1283" s="64"/>
      <c r="J1283" s="64"/>
      <c r="K1283" s="64"/>
      <c r="L1283" s="64"/>
      <c r="M1283" s="64"/>
      <c r="N1283" s="64"/>
      <c r="O1283" s="64"/>
      <c r="P1283" s="64"/>
      <c r="Q1283" s="64"/>
      <c r="R1283" s="64"/>
      <c r="S1283" s="64"/>
    </row>
    <row r="1284" spans="1:19" x14ac:dyDescent="0.25">
      <c r="A1284" s="63"/>
      <c r="B1284" s="64"/>
      <c r="C1284" s="64"/>
      <c r="D1284" s="64"/>
      <c r="E1284" s="64"/>
      <c r="F1284" s="64"/>
      <c r="G1284" s="64"/>
      <c r="H1284" s="64"/>
      <c r="I1284" s="64"/>
      <c r="J1284" s="64"/>
      <c r="K1284" s="64"/>
      <c r="L1284" s="64"/>
      <c r="M1284" s="64"/>
      <c r="N1284" s="64"/>
      <c r="O1284" s="64"/>
      <c r="P1284" s="64"/>
      <c r="Q1284" s="64"/>
      <c r="R1284" s="64"/>
      <c r="S1284" s="64"/>
    </row>
    <row r="1285" spans="1:19" x14ac:dyDescent="0.25">
      <c r="A1285" s="63"/>
      <c r="B1285" s="64"/>
      <c r="C1285" s="64"/>
      <c r="D1285" s="64"/>
      <c r="E1285" s="64"/>
      <c r="F1285" s="64"/>
      <c r="G1285" s="64"/>
      <c r="H1285" s="64"/>
      <c r="I1285" s="64"/>
      <c r="J1285" s="64"/>
      <c r="K1285" s="64"/>
      <c r="L1285" s="64"/>
      <c r="M1285" s="64"/>
      <c r="N1285" s="64"/>
      <c r="O1285" s="64"/>
      <c r="P1285" s="64"/>
      <c r="Q1285" s="64"/>
      <c r="R1285" s="64"/>
      <c r="S1285" s="64"/>
    </row>
    <row r="1286" spans="1:19" x14ac:dyDescent="0.25">
      <c r="A1286" s="63"/>
      <c r="B1286" s="64"/>
      <c r="C1286" s="64"/>
      <c r="D1286" s="64"/>
      <c r="E1286" s="64"/>
      <c r="F1286" s="64"/>
      <c r="G1286" s="64"/>
      <c r="H1286" s="64"/>
      <c r="I1286" s="64"/>
      <c r="J1286" s="64"/>
      <c r="K1286" s="64"/>
      <c r="L1286" s="64"/>
      <c r="M1286" s="64"/>
      <c r="N1286" s="64"/>
      <c r="O1286" s="64"/>
      <c r="P1286" s="64"/>
      <c r="Q1286" s="64"/>
      <c r="R1286" s="64"/>
      <c r="S1286" s="64"/>
    </row>
    <row r="1287" spans="1:19" x14ac:dyDescent="0.25">
      <c r="A1287" s="63"/>
      <c r="B1287" s="64"/>
      <c r="C1287" s="64"/>
      <c r="D1287" s="64"/>
      <c r="E1287" s="64"/>
      <c r="F1287" s="64"/>
      <c r="G1287" s="64"/>
      <c r="H1287" s="64"/>
      <c r="I1287" s="64"/>
      <c r="J1287" s="64"/>
      <c r="K1287" s="64"/>
      <c r="L1287" s="64"/>
      <c r="M1287" s="64"/>
      <c r="N1287" s="64"/>
      <c r="O1287" s="64"/>
      <c r="P1287" s="64"/>
      <c r="Q1287" s="64"/>
      <c r="R1287" s="64"/>
      <c r="S1287" s="64"/>
    </row>
    <row r="1288" spans="1:19" x14ac:dyDescent="0.25">
      <c r="A1288" s="63"/>
      <c r="B1288" s="64"/>
      <c r="C1288" s="64"/>
      <c r="D1288" s="64"/>
      <c r="E1288" s="64"/>
      <c r="F1288" s="64"/>
      <c r="G1288" s="64"/>
      <c r="H1288" s="64"/>
      <c r="I1288" s="64"/>
      <c r="J1288" s="64"/>
      <c r="K1288" s="64"/>
      <c r="L1288" s="64"/>
      <c r="M1288" s="64"/>
      <c r="N1288" s="64"/>
      <c r="O1288" s="64"/>
      <c r="P1288" s="64"/>
      <c r="Q1288" s="64"/>
      <c r="R1288" s="64"/>
      <c r="S1288" s="64"/>
    </row>
    <row r="1289" spans="1:19" x14ac:dyDescent="0.25">
      <c r="A1289" s="63"/>
      <c r="B1289" s="64"/>
      <c r="C1289" s="64"/>
      <c r="D1289" s="64"/>
      <c r="E1289" s="64"/>
      <c r="F1289" s="64"/>
      <c r="G1289" s="64"/>
      <c r="H1289" s="64"/>
      <c r="I1289" s="64"/>
      <c r="J1289" s="64"/>
      <c r="K1289" s="64"/>
      <c r="L1289" s="64"/>
      <c r="M1289" s="64"/>
      <c r="N1289" s="64"/>
      <c r="O1289" s="64"/>
      <c r="P1289" s="64"/>
      <c r="Q1289" s="64"/>
      <c r="R1289" s="64"/>
      <c r="S1289" s="64"/>
    </row>
    <row r="1290" spans="1:19" x14ac:dyDescent="0.25">
      <c r="A1290" s="63"/>
      <c r="B1290" s="64"/>
      <c r="C1290" s="64"/>
      <c r="D1290" s="64"/>
      <c r="E1290" s="64"/>
      <c r="F1290" s="64"/>
      <c r="G1290" s="64"/>
      <c r="H1290" s="64"/>
      <c r="I1290" s="64"/>
      <c r="J1290" s="64"/>
      <c r="K1290" s="64"/>
      <c r="L1290" s="64"/>
      <c r="M1290" s="64"/>
      <c r="N1290" s="64"/>
      <c r="O1290" s="64"/>
      <c r="P1290" s="64"/>
      <c r="Q1290" s="64"/>
      <c r="R1290" s="64"/>
      <c r="S1290" s="64"/>
    </row>
    <row r="1291" spans="1:19" x14ac:dyDescent="0.25">
      <c r="A1291" s="63"/>
      <c r="B1291" s="64"/>
      <c r="C1291" s="64"/>
      <c r="D1291" s="64"/>
      <c r="E1291" s="64"/>
      <c r="F1291" s="64"/>
      <c r="G1291" s="64"/>
      <c r="H1291" s="64"/>
      <c r="I1291" s="64"/>
      <c r="J1291" s="64"/>
      <c r="K1291" s="64"/>
      <c r="L1291" s="64"/>
      <c r="M1291" s="64"/>
      <c r="N1291" s="64"/>
      <c r="O1291" s="64"/>
      <c r="P1291" s="64"/>
      <c r="Q1291" s="64"/>
      <c r="R1291" s="64"/>
      <c r="S1291" s="64"/>
    </row>
    <row r="1292" spans="1:19" x14ac:dyDescent="0.25">
      <c r="A1292" s="63"/>
      <c r="B1292" s="64"/>
      <c r="C1292" s="64"/>
      <c r="D1292" s="64"/>
      <c r="E1292" s="64"/>
      <c r="F1292" s="64"/>
      <c r="G1292" s="64"/>
      <c r="H1292" s="64"/>
      <c r="I1292" s="64"/>
      <c r="J1292" s="64"/>
      <c r="K1292" s="64"/>
      <c r="L1292" s="64"/>
      <c r="M1292" s="64"/>
      <c r="N1292" s="64"/>
      <c r="O1292" s="64"/>
      <c r="P1292" s="64"/>
      <c r="Q1292" s="64"/>
      <c r="R1292" s="64"/>
      <c r="S1292" s="64"/>
    </row>
    <row r="1293" spans="1:19" x14ac:dyDescent="0.25">
      <c r="A1293" s="63"/>
      <c r="B1293" s="64"/>
      <c r="C1293" s="64"/>
      <c r="D1293" s="64"/>
      <c r="E1293" s="64"/>
      <c r="F1293" s="64"/>
      <c r="G1293" s="64"/>
      <c r="H1293" s="64"/>
      <c r="I1293" s="64"/>
      <c r="J1293" s="64"/>
      <c r="K1293" s="64"/>
      <c r="L1293" s="64"/>
      <c r="M1293" s="64"/>
      <c r="N1293" s="64"/>
      <c r="O1293" s="64"/>
      <c r="P1293" s="64"/>
      <c r="Q1293" s="64"/>
      <c r="R1293" s="64"/>
      <c r="S1293" s="64"/>
    </row>
    <row r="1294" spans="1:19" x14ac:dyDescent="0.25">
      <c r="A1294" s="63"/>
      <c r="B1294" s="64"/>
      <c r="C1294" s="64"/>
      <c r="D1294" s="64"/>
      <c r="E1294" s="64"/>
      <c r="F1294" s="64"/>
      <c r="G1294" s="64"/>
      <c r="H1294" s="64"/>
      <c r="I1294" s="64"/>
      <c r="J1294" s="64"/>
      <c r="K1294" s="64"/>
      <c r="L1294" s="64"/>
      <c r="M1294" s="64"/>
      <c r="N1294" s="64"/>
      <c r="O1294" s="64"/>
      <c r="P1294" s="64"/>
      <c r="Q1294" s="64"/>
      <c r="R1294" s="64"/>
      <c r="S1294" s="64"/>
    </row>
    <row r="1295" spans="1:19" x14ac:dyDescent="0.25">
      <c r="A1295" s="63"/>
      <c r="B1295" s="64"/>
      <c r="C1295" s="64"/>
      <c r="D1295" s="64"/>
      <c r="E1295" s="64"/>
      <c r="F1295" s="64"/>
      <c r="G1295" s="64"/>
      <c r="H1295" s="64"/>
      <c r="I1295" s="64"/>
      <c r="J1295" s="64"/>
      <c r="K1295" s="64"/>
      <c r="L1295" s="64"/>
      <c r="M1295" s="64"/>
      <c r="N1295" s="64"/>
      <c r="O1295" s="64"/>
      <c r="P1295" s="64"/>
      <c r="Q1295" s="64"/>
      <c r="R1295" s="64"/>
      <c r="S1295" s="64"/>
    </row>
    <row r="1296" spans="1:19" x14ac:dyDescent="0.25">
      <c r="A1296" s="63"/>
      <c r="B1296" s="64"/>
      <c r="C1296" s="64"/>
      <c r="D1296" s="64"/>
      <c r="E1296" s="64"/>
      <c r="F1296" s="64"/>
      <c r="G1296" s="64"/>
      <c r="H1296" s="64"/>
      <c r="I1296" s="64"/>
      <c r="J1296" s="64"/>
      <c r="K1296" s="64"/>
      <c r="L1296" s="64"/>
      <c r="M1296" s="64"/>
      <c r="N1296" s="64"/>
      <c r="O1296" s="64"/>
      <c r="P1296" s="64"/>
      <c r="Q1296" s="64"/>
      <c r="R1296" s="64"/>
      <c r="S1296" s="64"/>
    </row>
    <row r="1297" spans="1:19" x14ac:dyDescent="0.25">
      <c r="A1297" s="63"/>
      <c r="B1297" s="64"/>
      <c r="C1297" s="64"/>
      <c r="D1297" s="64"/>
      <c r="E1297" s="64"/>
      <c r="F1297" s="64"/>
      <c r="G1297" s="64"/>
      <c r="H1297" s="64"/>
      <c r="I1297" s="64"/>
      <c r="J1297" s="64"/>
      <c r="K1297" s="64"/>
      <c r="L1297" s="64"/>
      <c r="M1297" s="64"/>
      <c r="N1297" s="64"/>
      <c r="O1297" s="64"/>
      <c r="P1297" s="64"/>
      <c r="Q1297" s="64"/>
      <c r="R1297" s="64"/>
      <c r="S1297" s="64"/>
    </row>
    <row r="1298" spans="1:19" x14ac:dyDescent="0.25">
      <c r="A1298" s="63"/>
      <c r="B1298" s="64"/>
      <c r="C1298" s="64"/>
      <c r="D1298" s="64"/>
      <c r="E1298" s="64"/>
      <c r="F1298" s="64"/>
      <c r="G1298" s="64"/>
      <c r="H1298" s="64"/>
      <c r="I1298" s="64"/>
      <c r="J1298" s="64"/>
      <c r="K1298" s="64"/>
      <c r="L1298" s="64"/>
      <c r="M1298" s="64"/>
      <c r="N1298" s="64"/>
      <c r="O1298" s="64"/>
      <c r="P1298" s="64"/>
      <c r="Q1298" s="64"/>
      <c r="R1298" s="64"/>
      <c r="S1298" s="64"/>
    </row>
    <row r="1299" spans="1:19" x14ac:dyDescent="0.25">
      <c r="A1299" s="63"/>
      <c r="B1299" s="64"/>
      <c r="C1299" s="64"/>
      <c r="D1299" s="64"/>
      <c r="E1299" s="64"/>
      <c r="F1299" s="64"/>
      <c r="G1299" s="64"/>
      <c r="H1299" s="64"/>
      <c r="I1299" s="64"/>
      <c r="J1299" s="64"/>
      <c r="K1299" s="64"/>
      <c r="L1299" s="64"/>
      <c r="M1299" s="64"/>
      <c r="N1299" s="64"/>
      <c r="O1299" s="64"/>
      <c r="P1299" s="64"/>
      <c r="Q1299" s="64"/>
      <c r="R1299" s="64"/>
      <c r="S1299" s="64"/>
    </row>
    <row r="1300" spans="1:19" x14ac:dyDescent="0.25">
      <c r="A1300" s="63"/>
      <c r="B1300" s="64"/>
      <c r="C1300" s="64"/>
      <c r="D1300" s="64"/>
      <c r="E1300" s="64"/>
      <c r="F1300" s="64"/>
      <c r="G1300" s="64"/>
      <c r="H1300" s="64"/>
      <c r="I1300" s="64"/>
      <c r="J1300" s="64"/>
      <c r="K1300" s="64"/>
      <c r="L1300" s="64"/>
      <c r="M1300" s="64"/>
      <c r="N1300" s="64"/>
      <c r="O1300" s="64"/>
      <c r="P1300" s="64"/>
      <c r="Q1300" s="64"/>
      <c r="R1300" s="64"/>
      <c r="S1300" s="64"/>
    </row>
    <row r="1301" spans="1:19" x14ac:dyDescent="0.25">
      <c r="A1301" s="63"/>
      <c r="B1301" s="64"/>
      <c r="C1301" s="64"/>
      <c r="D1301" s="64"/>
      <c r="E1301" s="64"/>
      <c r="F1301" s="64"/>
      <c r="G1301" s="64"/>
      <c r="H1301" s="64"/>
      <c r="I1301" s="64"/>
      <c r="J1301" s="64"/>
      <c r="K1301" s="64"/>
      <c r="L1301" s="64"/>
      <c r="M1301" s="64"/>
      <c r="N1301" s="64"/>
      <c r="O1301" s="64"/>
      <c r="P1301" s="64"/>
      <c r="Q1301" s="64"/>
      <c r="R1301" s="64"/>
      <c r="S1301" s="64"/>
    </row>
    <row r="1302" spans="1:19" x14ac:dyDescent="0.25">
      <c r="A1302" s="63"/>
      <c r="B1302" s="64"/>
      <c r="C1302" s="64"/>
      <c r="D1302" s="64"/>
      <c r="E1302" s="64"/>
      <c r="F1302" s="64"/>
      <c r="G1302" s="64"/>
      <c r="H1302" s="64"/>
      <c r="I1302" s="64"/>
      <c r="J1302" s="64"/>
      <c r="K1302" s="64"/>
      <c r="L1302" s="64"/>
      <c r="M1302" s="64"/>
      <c r="N1302" s="64"/>
      <c r="O1302" s="64"/>
      <c r="P1302" s="64"/>
      <c r="Q1302" s="64"/>
      <c r="R1302" s="64"/>
      <c r="S1302" s="64"/>
    </row>
    <row r="1303" spans="1:19" x14ac:dyDescent="0.25">
      <c r="A1303" s="63"/>
      <c r="B1303" s="64"/>
      <c r="C1303" s="64"/>
      <c r="D1303" s="64"/>
      <c r="E1303" s="64"/>
      <c r="F1303" s="64"/>
      <c r="G1303" s="64"/>
      <c r="H1303" s="64"/>
      <c r="I1303" s="64"/>
      <c r="J1303" s="64"/>
      <c r="K1303" s="64"/>
      <c r="L1303" s="64"/>
      <c r="M1303" s="64"/>
      <c r="N1303" s="64"/>
      <c r="O1303" s="64"/>
      <c r="P1303" s="64"/>
      <c r="Q1303" s="64"/>
      <c r="R1303" s="64"/>
      <c r="S1303" s="64"/>
    </row>
    <row r="1304" spans="1:19" x14ac:dyDescent="0.25">
      <c r="A1304" s="63"/>
      <c r="B1304" s="64"/>
      <c r="C1304" s="64"/>
      <c r="D1304" s="64"/>
      <c r="E1304" s="64"/>
      <c r="F1304" s="64"/>
      <c r="G1304" s="64"/>
      <c r="H1304" s="64"/>
      <c r="I1304" s="64"/>
      <c r="J1304" s="64"/>
      <c r="K1304" s="64"/>
      <c r="L1304" s="64"/>
      <c r="M1304" s="64"/>
      <c r="N1304" s="64"/>
      <c r="O1304" s="64"/>
      <c r="P1304" s="64"/>
      <c r="Q1304" s="64"/>
      <c r="R1304" s="64"/>
      <c r="S1304" s="64"/>
    </row>
    <row r="1305" spans="1:19" x14ac:dyDescent="0.25">
      <c r="A1305" s="63"/>
      <c r="B1305" s="64"/>
      <c r="C1305" s="64"/>
      <c r="D1305" s="64"/>
      <c r="E1305" s="64"/>
      <c r="F1305" s="64"/>
      <c r="G1305" s="64"/>
      <c r="H1305" s="64"/>
      <c r="I1305" s="64"/>
      <c r="J1305" s="64"/>
      <c r="K1305" s="64"/>
      <c r="L1305" s="64"/>
      <c r="M1305" s="64"/>
      <c r="N1305" s="64"/>
      <c r="O1305" s="64"/>
      <c r="P1305" s="64"/>
      <c r="Q1305" s="64"/>
      <c r="R1305" s="64"/>
      <c r="S1305" s="64"/>
    </row>
    <row r="1306" spans="1:19" x14ac:dyDescent="0.25">
      <c r="A1306" s="63"/>
      <c r="B1306" s="64"/>
      <c r="C1306" s="64"/>
      <c r="D1306" s="64"/>
      <c r="E1306" s="64"/>
      <c r="F1306" s="64"/>
      <c r="G1306" s="64"/>
      <c r="H1306" s="64"/>
      <c r="I1306" s="64"/>
      <c r="J1306" s="64"/>
      <c r="K1306" s="64"/>
      <c r="L1306" s="64"/>
      <c r="M1306" s="64"/>
      <c r="N1306" s="64"/>
      <c r="O1306" s="64"/>
      <c r="P1306" s="64"/>
      <c r="Q1306" s="64"/>
      <c r="R1306" s="64"/>
      <c r="S1306" s="64"/>
    </row>
    <row r="1307" spans="1:19" x14ac:dyDescent="0.25">
      <c r="A1307" s="63"/>
      <c r="B1307" s="64"/>
      <c r="C1307" s="64"/>
      <c r="D1307" s="64"/>
      <c r="E1307" s="64"/>
      <c r="F1307" s="64"/>
      <c r="G1307" s="64"/>
      <c r="H1307" s="64"/>
      <c r="I1307" s="64"/>
      <c r="J1307" s="64"/>
      <c r="K1307" s="64"/>
      <c r="L1307" s="64"/>
      <c r="M1307" s="64"/>
      <c r="N1307" s="64"/>
      <c r="O1307" s="64"/>
      <c r="P1307" s="64"/>
      <c r="Q1307" s="64"/>
      <c r="R1307" s="64"/>
      <c r="S1307" s="64"/>
    </row>
    <row r="1308" spans="1:19" x14ac:dyDescent="0.25">
      <c r="A1308" s="63"/>
      <c r="B1308" s="64"/>
      <c r="C1308" s="64"/>
      <c r="D1308" s="64"/>
      <c r="E1308" s="64"/>
      <c r="F1308" s="64"/>
      <c r="G1308" s="64"/>
      <c r="H1308" s="64"/>
      <c r="I1308" s="64"/>
      <c r="J1308" s="64"/>
      <c r="K1308" s="64"/>
      <c r="L1308" s="64"/>
      <c r="M1308" s="64"/>
      <c r="N1308" s="64"/>
      <c r="O1308" s="64"/>
      <c r="P1308" s="64"/>
      <c r="Q1308" s="64"/>
      <c r="R1308" s="64"/>
      <c r="S1308" s="64"/>
    </row>
    <row r="1309" spans="1:19" x14ac:dyDescent="0.25">
      <c r="A1309" s="63"/>
      <c r="B1309" s="64"/>
      <c r="C1309" s="64"/>
      <c r="D1309" s="64"/>
      <c r="E1309" s="64"/>
      <c r="F1309" s="64"/>
      <c r="G1309" s="64"/>
      <c r="H1309" s="64"/>
      <c r="I1309" s="64"/>
      <c r="J1309" s="64"/>
      <c r="K1309" s="64"/>
      <c r="L1309" s="64"/>
      <c r="M1309" s="64"/>
      <c r="N1309" s="64"/>
      <c r="O1309" s="64"/>
      <c r="P1309" s="64"/>
      <c r="Q1309" s="64"/>
      <c r="R1309" s="64"/>
      <c r="S1309" s="64"/>
    </row>
    <row r="1310" spans="1:19" x14ac:dyDescent="0.25">
      <c r="A1310" s="63"/>
      <c r="B1310" s="64"/>
      <c r="C1310" s="64"/>
      <c r="D1310" s="64"/>
      <c r="E1310" s="64"/>
      <c r="F1310" s="64"/>
      <c r="G1310" s="64"/>
      <c r="H1310" s="64"/>
      <c r="I1310" s="64"/>
      <c r="J1310" s="64"/>
      <c r="K1310" s="64"/>
      <c r="L1310" s="64"/>
      <c r="M1310" s="64"/>
      <c r="N1310" s="64"/>
      <c r="O1310" s="64"/>
      <c r="P1310" s="64"/>
      <c r="Q1310" s="64"/>
      <c r="R1310" s="64"/>
      <c r="S1310" s="64"/>
    </row>
    <row r="1311" spans="1:19" x14ac:dyDescent="0.25">
      <c r="A1311" s="63"/>
      <c r="B1311" s="64"/>
      <c r="C1311" s="64"/>
      <c r="D1311" s="64"/>
      <c r="E1311" s="64"/>
      <c r="F1311" s="64"/>
      <c r="G1311" s="64"/>
      <c r="H1311" s="64"/>
      <c r="I1311" s="64"/>
      <c r="J1311" s="64"/>
      <c r="K1311" s="64"/>
      <c r="L1311" s="64"/>
      <c r="M1311" s="64"/>
      <c r="N1311" s="64"/>
      <c r="O1311" s="64"/>
      <c r="P1311" s="64"/>
      <c r="Q1311" s="64"/>
      <c r="R1311" s="64"/>
      <c r="S1311" s="64"/>
    </row>
    <row r="1312" spans="1:19" x14ac:dyDescent="0.25">
      <c r="A1312" s="63"/>
      <c r="B1312" s="64"/>
      <c r="C1312" s="64"/>
      <c r="D1312" s="64"/>
      <c r="E1312" s="64"/>
      <c r="F1312" s="64"/>
      <c r="G1312" s="64"/>
      <c r="H1312" s="64"/>
      <c r="I1312" s="64"/>
      <c r="J1312" s="64"/>
      <c r="K1312" s="64"/>
      <c r="L1312" s="64"/>
      <c r="M1312" s="64"/>
      <c r="N1312" s="64"/>
      <c r="O1312" s="64"/>
      <c r="P1312" s="64"/>
      <c r="Q1312" s="64"/>
      <c r="R1312" s="64"/>
      <c r="S1312" s="64"/>
    </row>
    <row r="1313" spans="1:19" x14ac:dyDescent="0.25">
      <c r="A1313" s="63"/>
      <c r="B1313" s="64"/>
      <c r="C1313" s="64"/>
      <c r="D1313" s="64"/>
      <c r="E1313" s="64"/>
      <c r="F1313" s="64"/>
      <c r="G1313" s="64"/>
      <c r="H1313" s="64"/>
      <c r="I1313" s="64"/>
      <c r="J1313" s="64"/>
      <c r="K1313" s="64"/>
      <c r="L1313" s="64"/>
      <c r="M1313" s="64"/>
      <c r="N1313" s="64"/>
      <c r="O1313" s="64"/>
      <c r="P1313" s="64"/>
      <c r="Q1313" s="64"/>
      <c r="R1313" s="64"/>
      <c r="S1313" s="64"/>
    </row>
    <row r="1314" spans="1:19" x14ac:dyDescent="0.25">
      <c r="A1314" s="63"/>
      <c r="B1314" s="64"/>
      <c r="C1314" s="64"/>
      <c r="D1314" s="64"/>
      <c r="E1314" s="64"/>
      <c r="F1314" s="64"/>
      <c r="G1314" s="64"/>
      <c r="H1314" s="64"/>
      <c r="I1314" s="64"/>
      <c r="J1314" s="64"/>
      <c r="K1314" s="64"/>
      <c r="L1314" s="64"/>
      <c r="M1314" s="64"/>
      <c r="N1314" s="64"/>
      <c r="O1314" s="64"/>
      <c r="P1314" s="64"/>
      <c r="Q1314" s="64"/>
      <c r="R1314" s="64"/>
      <c r="S1314" s="64"/>
    </row>
    <row r="1315" spans="1:19" x14ac:dyDescent="0.25">
      <c r="A1315" s="63"/>
      <c r="B1315" s="64"/>
      <c r="C1315" s="64"/>
      <c r="D1315" s="64"/>
      <c r="E1315" s="64"/>
      <c r="F1315" s="64"/>
      <c r="G1315" s="64"/>
      <c r="H1315" s="64"/>
      <c r="I1315" s="64"/>
      <c r="J1315" s="64"/>
      <c r="K1315" s="64"/>
      <c r="L1315" s="64"/>
      <c r="M1315" s="64"/>
      <c r="N1315" s="64"/>
      <c r="O1315" s="64"/>
      <c r="P1315" s="64"/>
      <c r="Q1315" s="64"/>
      <c r="R1315" s="64"/>
      <c r="S1315" s="64"/>
    </row>
    <row r="1316" spans="1:19" x14ac:dyDescent="0.25">
      <c r="A1316" s="63"/>
      <c r="B1316" s="64"/>
      <c r="C1316" s="64"/>
      <c r="D1316" s="64"/>
      <c r="E1316" s="64"/>
      <c r="F1316" s="64"/>
      <c r="G1316" s="64"/>
      <c r="H1316" s="64"/>
      <c r="I1316" s="64"/>
      <c r="J1316" s="64"/>
      <c r="K1316" s="64"/>
      <c r="L1316" s="64"/>
      <c r="M1316" s="64"/>
      <c r="N1316" s="64"/>
      <c r="O1316" s="64"/>
      <c r="P1316" s="64"/>
      <c r="Q1316" s="64"/>
      <c r="R1316" s="64"/>
      <c r="S1316" s="64"/>
    </row>
    <row r="1317" spans="1:19" x14ac:dyDescent="0.25">
      <c r="A1317" s="63"/>
      <c r="B1317" s="64"/>
      <c r="C1317" s="64"/>
      <c r="D1317" s="64"/>
      <c r="E1317" s="64"/>
      <c r="F1317" s="64"/>
      <c r="G1317" s="64"/>
      <c r="H1317" s="64"/>
      <c r="I1317" s="64"/>
      <c r="J1317" s="64"/>
      <c r="K1317" s="64"/>
      <c r="L1317" s="64"/>
      <c r="M1317" s="64"/>
      <c r="N1317" s="64"/>
      <c r="O1317" s="64"/>
      <c r="P1317" s="64"/>
      <c r="Q1317" s="64"/>
      <c r="R1317" s="64"/>
      <c r="S1317" s="64"/>
    </row>
    <row r="1318" spans="1:19" x14ac:dyDescent="0.25">
      <c r="A1318" s="63"/>
      <c r="B1318" s="64"/>
      <c r="C1318" s="64"/>
      <c r="D1318" s="64"/>
      <c r="E1318" s="64"/>
      <c r="F1318" s="64"/>
      <c r="G1318" s="64"/>
      <c r="H1318" s="64"/>
      <c r="I1318" s="64"/>
      <c r="J1318" s="64"/>
      <c r="K1318" s="64"/>
      <c r="L1318" s="64"/>
      <c r="M1318" s="64"/>
      <c r="N1318" s="64"/>
      <c r="O1318" s="64"/>
      <c r="P1318" s="64"/>
      <c r="Q1318" s="64"/>
      <c r="R1318" s="64"/>
      <c r="S1318" s="64"/>
    </row>
    <row r="1319" spans="1:19" x14ac:dyDescent="0.25">
      <c r="A1319" s="63"/>
      <c r="B1319" s="64"/>
      <c r="C1319" s="64"/>
      <c r="D1319" s="64"/>
      <c r="E1319" s="64"/>
      <c r="F1319" s="64"/>
      <c r="G1319" s="64"/>
      <c r="H1319" s="64"/>
      <c r="I1319" s="64"/>
      <c r="J1319" s="64"/>
      <c r="K1319" s="64"/>
      <c r="L1319" s="64"/>
      <c r="M1319" s="64"/>
      <c r="N1319" s="64"/>
      <c r="O1319" s="64"/>
      <c r="P1319" s="64"/>
      <c r="Q1319" s="64"/>
      <c r="R1319" s="64"/>
      <c r="S1319" s="64"/>
    </row>
    <row r="1320" spans="1:19" x14ac:dyDescent="0.25">
      <c r="A1320" s="63"/>
      <c r="B1320" s="64"/>
      <c r="C1320" s="64"/>
      <c r="D1320" s="64"/>
      <c r="E1320" s="64"/>
      <c r="F1320" s="64"/>
      <c r="G1320" s="64"/>
      <c r="H1320" s="64"/>
      <c r="I1320" s="64"/>
      <c r="J1320" s="64"/>
      <c r="K1320" s="64"/>
      <c r="L1320" s="64"/>
      <c r="M1320" s="64"/>
      <c r="N1320" s="64"/>
      <c r="O1320" s="64"/>
      <c r="P1320" s="64"/>
      <c r="Q1320" s="64"/>
      <c r="R1320" s="64"/>
      <c r="S1320" s="64"/>
    </row>
    <row r="1321" spans="1:19" x14ac:dyDescent="0.25">
      <c r="A1321" s="63"/>
      <c r="B1321" s="64"/>
      <c r="C1321" s="64"/>
      <c r="D1321" s="64"/>
      <c r="E1321" s="64"/>
      <c r="F1321" s="64"/>
      <c r="G1321" s="64"/>
      <c r="H1321" s="64"/>
      <c r="I1321" s="64"/>
      <c r="J1321" s="64"/>
      <c r="K1321" s="64"/>
      <c r="L1321" s="64"/>
      <c r="M1321" s="64"/>
      <c r="N1321" s="64"/>
      <c r="O1321" s="64"/>
      <c r="P1321" s="64"/>
      <c r="Q1321" s="64"/>
      <c r="R1321" s="64"/>
      <c r="S1321" s="64"/>
    </row>
    <row r="1322" spans="1:19" x14ac:dyDescent="0.25">
      <c r="A1322" s="63"/>
      <c r="B1322" s="64"/>
      <c r="C1322" s="64"/>
      <c r="D1322" s="64"/>
      <c r="E1322" s="64"/>
      <c r="F1322" s="64"/>
      <c r="G1322" s="64"/>
      <c r="H1322" s="64"/>
      <c r="I1322" s="64"/>
      <c r="J1322" s="64"/>
      <c r="K1322" s="64"/>
      <c r="L1322" s="64"/>
      <c r="M1322" s="64"/>
      <c r="N1322" s="64"/>
      <c r="O1322" s="64"/>
      <c r="P1322" s="64"/>
      <c r="Q1322" s="64"/>
      <c r="R1322" s="64"/>
      <c r="S1322" s="64"/>
    </row>
    <row r="1323" spans="1:19" x14ac:dyDescent="0.25">
      <c r="A1323" s="63"/>
      <c r="B1323" s="64"/>
      <c r="C1323" s="64"/>
      <c r="D1323" s="64"/>
      <c r="E1323" s="64"/>
      <c r="F1323" s="64"/>
      <c r="G1323" s="64"/>
      <c r="H1323" s="64"/>
      <c r="I1323" s="64"/>
      <c r="J1323" s="64"/>
      <c r="K1323" s="64"/>
      <c r="L1323" s="64"/>
      <c r="M1323" s="64"/>
      <c r="N1323" s="64"/>
      <c r="O1323" s="64"/>
      <c r="P1323" s="64"/>
      <c r="Q1323" s="64"/>
      <c r="R1323" s="64"/>
      <c r="S1323" s="64"/>
    </row>
    <row r="1324" spans="1:19" x14ac:dyDescent="0.25">
      <c r="A1324" s="63"/>
      <c r="B1324" s="64"/>
      <c r="C1324" s="64"/>
      <c r="D1324" s="64"/>
      <c r="E1324" s="64"/>
      <c r="F1324" s="64"/>
      <c r="G1324" s="64"/>
      <c r="H1324" s="64"/>
      <c r="I1324" s="64"/>
      <c r="J1324" s="64"/>
      <c r="K1324" s="64"/>
      <c r="L1324" s="64"/>
      <c r="M1324" s="64"/>
      <c r="N1324" s="64"/>
      <c r="O1324" s="64"/>
      <c r="P1324" s="64"/>
      <c r="Q1324" s="64"/>
      <c r="R1324" s="64"/>
      <c r="S1324" s="64"/>
    </row>
    <row r="1325" spans="1:19" x14ac:dyDescent="0.25">
      <c r="A1325" s="63"/>
      <c r="B1325" s="64"/>
      <c r="C1325" s="64"/>
      <c r="D1325" s="64"/>
      <c r="E1325" s="64"/>
      <c r="F1325" s="64"/>
      <c r="G1325" s="64"/>
      <c r="H1325" s="64"/>
      <c r="I1325" s="64"/>
      <c r="J1325" s="64"/>
      <c r="K1325" s="64"/>
      <c r="L1325" s="64"/>
      <c r="M1325" s="64"/>
      <c r="N1325" s="64"/>
      <c r="O1325" s="64"/>
      <c r="P1325" s="64"/>
      <c r="Q1325" s="64"/>
      <c r="R1325" s="64"/>
      <c r="S1325" s="64"/>
    </row>
    <row r="1326" spans="1:19" x14ac:dyDescent="0.25">
      <c r="A1326" s="63"/>
      <c r="B1326" s="64"/>
      <c r="C1326" s="64"/>
      <c r="D1326" s="64"/>
      <c r="E1326" s="64"/>
      <c r="F1326" s="64"/>
      <c r="G1326" s="64"/>
      <c r="H1326" s="64"/>
      <c r="I1326" s="64"/>
      <c r="J1326" s="64"/>
      <c r="K1326" s="64"/>
      <c r="L1326" s="64"/>
      <c r="M1326" s="64"/>
      <c r="N1326" s="64"/>
      <c r="O1326" s="64"/>
      <c r="P1326" s="64"/>
      <c r="Q1326" s="64"/>
      <c r="R1326" s="64"/>
      <c r="S1326" s="64"/>
    </row>
    <row r="1327" spans="1:19" x14ac:dyDescent="0.25">
      <c r="A1327" s="63"/>
      <c r="B1327" s="64"/>
      <c r="C1327" s="64"/>
      <c r="D1327" s="64"/>
      <c r="E1327" s="64"/>
      <c r="F1327" s="64"/>
      <c r="G1327" s="64"/>
      <c r="H1327" s="64"/>
      <c r="I1327" s="64"/>
      <c r="J1327" s="64"/>
      <c r="K1327" s="64"/>
      <c r="L1327" s="64"/>
      <c r="M1327" s="64"/>
      <c r="N1327" s="64"/>
      <c r="O1327" s="64"/>
      <c r="P1327" s="64"/>
      <c r="Q1327" s="64"/>
      <c r="R1327" s="64"/>
      <c r="S1327" s="64"/>
    </row>
    <row r="1328" spans="1:19" x14ac:dyDescent="0.25">
      <c r="A1328" s="63"/>
      <c r="B1328" s="64"/>
      <c r="C1328" s="64"/>
      <c r="D1328" s="64"/>
      <c r="E1328" s="64"/>
      <c r="F1328" s="64"/>
      <c r="G1328" s="64"/>
      <c r="H1328" s="64"/>
      <c r="I1328" s="64"/>
      <c r="J1328" s="64"/>
      <c r="K1328" s="64"/>
      <c r="L1328" s="64"/>
      <c r="M1328" s="64"/>
      <c r="N1328" s="64"/>
      <c r="O1328" s="64"/>
      <c r="P1328" s="64"/>
      <c r="Q1328" s="64"/>
      <c r="R1328" s="64"/>
      <c r="S1328" s="64"/>
    </row>
    <row r="1329" spans="1:19" x14ac:dyDescent="0.25">
      <c r="A1329" s="63"/>
      <c r="B1329" s="64"/>
      <c r="C1329" s="64"/>
      <c r="D1329" s="64"/>
      <c r="E1329" s="64"/>
      <c r="F1329" s="64"/>
      <c r="G1329" s="64"/>
      <c r="H1329" s="64"/>
      <c r="I1329" s="64"/>
      <c r="J1329" s="64"/>
      <c r="K1329" s="64"/>
      <c r="L1329" s="64"/>
      <c r="M1329" s="64"/>
      <c r="N1329" s="64"/>
      <c r="O1329" s="64"/>
      <c r="P1329" s="64"/>
      <c r="Q1329" s="64"/>
      <c r="R1329" s="64"/>
      <c r="S1329" s="64"/>
    </row>
    <row r="1330" spans="1:19" x14ac:dyDescent="0.25">
      <c r="A1330" s="63"/>
      <c r="B1330" s="64"/>
      <c r="C1330" s="64"/>
      <c r="D1330" s="64"/>
      <c r="E1330" s="64"/>
      <c r="F1330" s="64"/>
      <c r="G1330" s="64"/>
      <c r="H1330" s="64"/>
      <c r="I1330" s="64"/>
      <c r="J1330" s="64"/>
      <c r="K1330" s="64"/>
      <c r="L1330" s="64"/>
      <c r="M1330" s="64"/>
      <c r="N1330" s="64"/>
      <c r="O1330" s="64"/>
      <c r="P1330" s="64"/>
      <c r="Q1330" s="64"/>
      <c r="R1330" s="64"/>
      <c r="S1330" s="64"/>
    </row>
    <row r="1331" spans="1:19" x14ac:dyDescent="0.25">
      <c r="A1331" s="63"/>
      <c r="B1331" s="64"/>
      <c r="C1331" s="64"/>
      <c r="D1331" s="64"/>
      <c r="E1331" s="64"/>
      <c r="F1331" s="64"/>
      <c r="G1331" s="64"/>
      <c r="H1331" s="64"/>
      <c r="I1331" s="64"/>
      <c r="J1331" s="64"/>
      <c r="K1331" s="64"/>
      <c r="L1331" s="64"/>
      <c r="M1331" s="64"/>
      <c r="N1331" s="64"/>
      <c r="O1331" s="64"/>
      <c r="P1331" s="64"/>
      <c r="Q1331" s="64"/>
      <c r="R1331" s="64"/>
      <c r="S1331" s="64"/>
    </row>
    <row r="1332" spans="1:19" x14ac:dyDescent="0.25">
      <c r="A1332" s="63"/>
      <c r="B1332" s="64"/>
      <c r="C1332" s="64"/>
      <c r="D1332" s="64"/>
      <c r="E1332" s="64"/>
      <c r="F1332" s="64"/>
      <c r="G1332" s="64"/>
      <c r="H1332" s="64"/>
      <c r="I1332" s="64"/>
      <c r="J1332" s="64"/>
      <c r="K1332" s="64"/>
      <c r="L1332" s="64"/>
      <c r="M1332" s="64"/>
      <c r="N1332" s="64"/>
      <c r="O1332" s="64"/>
      <c r="P1332" s="64"/>
      <c r="Q1332" s="64"/>
      <c r="R1332" s="64"/>
      <c r="S1332" s="64"/>
    </row>
    <row r="1333" spans="1:19" x14ac:dyDescent="0.25">
      <c r="A1333" s="63"/>
      <c r="B1333" s="64"/>
      <c r="C1333" s="64"/>
      <c r="D1333" s="64"/>
      <c r="E1333" s="64"/>
      <c r="F1333" s="64"/>
      <c r="G1333" s="64"/>
      <c r="H1333" s="64"/>
      <c r="I1333" s="64"/>
      <c r="J1333" s="64"/>
      <c r="K1333" s="64"/>
      <c r="L1333" s="64"/>
      <c r="M1333" s="64"/>
      <c r="N1333" s="64"/>
      <c r="O1333" s="64"/>
      <c r="P1333" s="64"/>
      <c r="Q1333" s="64"/>
      <c r="R1333" s="64"/>
      <c r="S1333" s="64"/>
    </row>
    <row r="1334" spans="1:19" x14ac:dyDescent="0.25">
      <c r="A1334" s="63"/>
      <c r="B1334" s="64"/>
      <c r="C1334" s="64"/>
      <c r="D1334" s="64"/>
      <c r="E1334" s="64"/>
      <c r="F1334" s="64"/>
      <c r="G1334" s="64"/>
      <c r="H1334" s="64"/>
      <c r="I1334" s="64"/>
      <c r="J1334" s="64"/>
      <c r="K1334" s="64"/>
      <c r="L1334" s="64"/>
      <c r="M1334" s="64"/>
      <c r="N1334" s="64"/>
      <c r="O1334" s="64"/>
      <c r="P1334" s="64"/>
      <c r="Q1334" s="64"/>
      <c r="R1334" s="64"/>
      <c r="S1334" s="64"/>
    </row>
    <row r="1335" spans="1:19" x14ac:dyDescent="0.25">
      <c r="A1335" s="63"/>
      <c r="B1335" s="64"/>
      <c r="C1335" s="64"/>
      <c r="D1335" s="64"/>
      <c r="E1335" s="64"/>
      <c r="F1335" s="64"/>
      <c r="G1335" s="64"/>
      <c r="H1335" s="64"/>
      <c r="I1335" s="64"/>
      <c r="J1335" s="64"/>
      <c r="K1335" s="64"/>
      <c r="L1335" s="64"/>
      <c r="M1335" s="64"/>
      <c r="N1335" s="64"/>
      <c r="O1335" s="64"/>
      <c r="P1335" s="64"/>
      <c r="Q1335" s="64"/>
      <c r="R1335" s="64"/>
      <c r="S1335" s="64"/>
    </row>
    <row r="1336" spans="1:19" x14ac:dyDescent="0.25">
      <c r="A1336" s="63"/>
      <c r="B1336" s="64"/>
      <c r="C1336" s="64"/>
      <c r="D1336" s="64"/>
      <c r="E1336" s="64"/>
      <c r="F1336" s="64"/>
      <c r="G1336" s="64"/>
      <c r="H1336" s="64"/>
      <c r="I1336" s="64"/>
      <c r="J1336" s="64"/>
      <c r="K1336" s="64"/>
      <c r="L1336" s="64"/>
      <c r="M1336" s="64"/>
      <c r="N1336" s="64"/>
      <c r="O1336" s="64"/>
      <c r="P1336" s="64"/>
      <c r="Q1336" s="64"/>
      <c r="R1336" s="64"/>
      <c r="S1336" s="64"/>
    </row>
    <row r="1337" spans="1:19" x14ac:dyDescent="0.25">
      <c r="A1337" s="63"/>
      <c r="B1337" s="64"/>
      <c r="C1337" s="64"/>
      <c r="D1337" s="64"/>
      <c r="E1337" s="64"/>
      <c r="F1337" s="64"/>
      <c r="G1337" s="64"/>
      <c r="H1337" s="64"/>
      <c r="I1337" s="64"/>
      <c r="J1337" s="64"/>
      <c r="K1337" s="64"/>
      <c r="L1337" s="64"/>
      <c r="M1337" s="64"/>
      <c r="N1337" s="64"/>
      <c r="O1337" s="64"/>
      <c r="P1337" s="64"/>
      <c r="Q1337" s="64"/>
      <c r="R1337" s="64"/>
      <c r="S1337" s="64"/>
    </row>
    <row r="1338" spans="1:19" x14ac:dyDescent="0.25">
      <c r="A1338" s="63"/>
      <c r="B1338" s="64"/>
      <c r="C1338" s="64"/>
      <c r="D1338" s="64"/>
      <c r="E1338" s="64"/>
      <c r="F1338" s="64"/>
      <c r="G1338" s="64"/>
      <c r="H1338" s="64"/>
      <c r="I1338" s="64"/>
      <c r="J1338" s="64"/>
      <c r="K1338" s="64"/>
      <c r="L1338" s="64"/>
      <c r="M1338" s="64"/>
      <c r="N1338" s="64"/>
      <c r="O1338" s="64"/>
      <c r="P1338" s="64"/>
      <c r="Q1338" s="64"/>
      <c r="R1338" s="64"/>
      <c r="S1338" s="64"/>
    </row>
    <row r="1339" spans="1:19" x14ac:dyDescent="0.25">
      <c r="A1339" s="63"/>
      <c r="B1339" s="64"/>
      <c r="C1339" s="64"/>
      <c r="D1339" s="64"/>
      <c r="E1339" s="64"/>
      <c r="F1339" s="64"/>
      <c r="G1339" s="64"/>
      <c r="H1339" s="64"/>
      <c r="I1339" s="64"/>
      <c r="J1339" s="64"/>
      <c r="K1339" s="64"/>
      <c r="L1339" s="64"/>
      <c r="M1339" s="64"/>
      <c r="N1339" s="64"/>
      <c r="O1339" s="64"/>
      <c r="P1339" s="64"/>
      <c r="Q1339" s="64"/>
      <c r="R1339" s="64"/>
      <c r="S1339" s="64"/>
    </row>
    <row r="1340" spans="1:19" x14ac:dyDescent="0.25">
      <c r="A1340" s="63"/>
      <c r="B1340" s="64"/>
      <c r="C1340" s="64"/>
      <c r="D1340" s="64"/>
      <c r="E1340" s="64"/>
      <c r="F1340" s="64"/>
      <c r="G1340" s="64"/>
      <c r="H1340" s="64"/>
      <c r="I1340" s="64"/>
      <c r="J1340" s="64"/>
      <c r="K1340" s="64"/>
      <c r="L1340" s="64"/>
      <c r="M1340" s="64"/>
      <c r="N1340" s="64"/>
      <c r="O1340" s="64"/>
      <c r="P1340" s="64"/>
      <c r="Q1340" s="64"/>
      <c r="R1340" s="64"/>
      <c r="S1340" s="64"/>
    </row>
    <row r="1341" spans="1:19" x14ac:dyDescent="0.25">
      <c r="A1341" s="63"/>
      <c r="B1341" s="64"/>
      <c r="C1341" s="64"/>
      <c r="D1341" s="64"/>
      <c r="E1341" s="64"/>
      <c r="F1341" s="64"/>
      <c r="G1341" s="64"/>
      <c r="H1341" s="64"/>
      <c r="I1341" s="64"/>
      <c r="J1341" s="64"/>
      <c r="K1341" s="64"/>
      <c r="L1341" s="64"/>
      <c r="M1341" s="64"/>
      <c r="N1341" s="64"/>
      <c r="O1341" s="64"/>
      <c r="P1341" s="64"/>
      <c r="Q1341" s="64"/>
      <c r="R1341" s="64"/>
      <c r="S1341" s="64"/>
    </row>
    <row r="1342" spans="1:19" x14ac:dyDescent="0.25">
      <c r="A1342" s="63"/>
      <c r="B1342" s="64"/>
      <c r="C1342" s="64"/>
      <c r="D1342" s="64"/>
      <c r="E1342" s="64"/>
      <c r="F1342" s="64"/>
      <c r="G1342" s="64"/>
      <c r="H1342" s="64"/>
      <c r="I1342" s="64"/>
      <c r="J1342" s="64"/>
      <c r="K1342" s="64"/>
      <c r="L1342" s="64"/>
      <c r="M1342" s="64"/>
      <c r="N1342" s="64"/>
      <c r="O1342" s="64"/>
      <c r="P1342" s="64"/>
      <c r="Q1342" s="64"/>
      <c r="R1342" s="64"/>
      <c r="S1342" s="64"/>
    </row>
    <row r="1343" spans="1:19" x14ac:dyDescent="0.25">
      <c r="A1343" s="63"/>
      <c r="B1343" s="64"/>
      <c r="C1343" s="64"/>
      <c r="D1343" s="64"/>
      <c r="E1343" s="64"/>
      <c r="F1343" s="64"/>
      <c r="G1343" s="64"/>
      <c r="H1343" s="64"/>
      <c r="I1343" s="64"/>
      <c r="J1343" s="64"/>
      <c r="K1343" s="64"/>
      <c r="L1343" s="64"/>
      <c r="M1343" s="64"/>
      <c r="N1343" s="64"/>
      <c r="O1343" s="64"/>
      <c r="P1343" s="64"/>
      <c r="Q1343" s="64"/>
      <c r="R1343" s="64"/>
      <c r="S1343" s="64"/>
    </row>
    <row r="1344" spans="1:19" x14ac:dyDescent="0.25">
      <c r="A1344" s="63"/>
      <c r="B1344" s="64"/>
      <c r="C1344" s="64"/>
      <c r="D1344" s="64"/>
      <c r="E1344" s="64"/>
      <c r="F1344" s="64"/>
      <c r="G1344" s="64"/>
      <c r="H1344" s="64"/>
      <c r="I1344" s="64"/>
      <c r="J1344" s="64"/>
      <c r="K1344" s="64"/>
      <c r="L1344" s="64"/>
      <c r="M1344" s="64"/>
      <c r="N1344" s="64"/>
      <c r="O1344" s="64"/>
      <c r="P1344" s="64"/>
      <c r="Q1344" s="64"/>
      <c r="R1344" s="64"/>
      <c r="S1344" s="64"/>
    </row>
    <row r="1345" spans="1:19" x14ac:dyDescent="0.25">
      <c r="A1345" s="63"/>
      <c r="B1345" s="64"/>
      <c r="C1345" s="64"/>
      <c r="D1345" s="64"/>
      <c r="E1345" s="64"/>
      <c r="F1345" s="64"/>
      <c r="G1345" s="64"/>
      <c r="H1345" s="64"/>
      <c r="I1345" s="64"/>
      <c r="J1345" s="64"/>
      <c r="K1345" s="64"/>
      <c r="L1345" s="64"/>
      <c r="M1345" s="64"/>
      <c r="N1345" s="64"/>
      <c r="O1345" s="64"/>
      <c r="P1345" s="64"/>
      <c r="Q1345" s="64"/>
      <c r="R1345" s="64"/>
      <c r="S1345" s="64"/>
    </row>
    <row r="1346" spans="1:19" x14ac:dyDescent="0.25">
      <c r="A1346" s="63"/>
      <c r="B1346" s="64"/>
      <c r="C1346" s="64"/>
      <c r="D1346" s="64"/>
      <c r="E1346" s="64"/>
      <c r="F1346" s="64"/>
      <c r="G1346" s="64"/>
      <c r="H1346" s="64"/>
      <c r="I1346" s="64"/>
      <c r="J1346" s="64"/>
      <c r="K1346" s="64"/>
      <c r="L1346" s="64"/>
      <c r="M1346" s="64"/>
      <c r="N1346" s="64"/>
      <c r="O1346" s="64"/>
      <c r="P1346" s="64"/>
      <c r="Q1346" s="64"/>
      <c r="R1346" s="64"/>
      <c r="S1346" s="64"/>
    </row>
    <row r="1347" spans="1:19" x14ac:dyDescent="0.25">
      <c r="A1347" s="63"/>
      <c r="B1347" s="64"/>
      <c r="C1347" s="64"/>
      <c r="D1347" s="64"/>
      <c r="E1347" s="64"/>
      <c r="F1347" s="64"/>
      <c r="G1347" s="64"/>
      <c r="H1347" s="64"/>
      <c r="I1347" s="64"/>
      <c r="J1347" s="64"/>
      <c r="K1347" s="64"/>
      <c r="L1347" s="64"/>
      <c r="M1347" s="64"/>
      <c r="N1347" s="64"/>
      <c r="O1347" s="64"/>
      <c r="P1347" s="64"/>
      <c r="Q1347" s="64"/>
      <c r="R1347" s="64"/>
      <c r="S1347" s="64"/>
    </row>
    <row r="1348" spans="1:19" x14ac:dyDescent="0.25">
      <c r="A1348" s="63"/>
      <c r="B1348" s="64"/>
      <c r="C1348" s="64"/>
      <c r="D1348" s="64"/>
      <c r="E1348" s="64"/>
      <c r="F1348" s="64"/>
      <c r="G1348" s="64"/>
      <c r="H1348" s="64"/>
      <c r="I1348" s="64"/>
      <c r="J1348" s="64"/>
      <c r="K1348" s="64"/>
      <c r="L1348" s="64"/>
      <c r="M1348" s="64"/>
      <c r="N1348" s="64"/>
      <c r="O1348" s="64"/>
      <c r="P1348" s="64"/>
      <c r="Q1348" s="64"/>
      <c r="R1348" s="64"/>
      <c r="S1348" s="64"/>
    </row>
    <row r="1349" spans="1:19" x14ac:dyDescent="0.25">
      <c r="A1349" s="63"/>
      <c r="B1349" s="64"/>
      <c r="C1349" s="64"/>
      <c r="D1349" s="64"/>
      <c r="E1349" s="64"/>
      <c r="F1349" s="64"/>
      <c r="G1349" s="64"/>
      <c r="H1349" s="64"/>
      <c r="I1349" s="64"/>
      <c r="J1349" s="64"/>
      <c r="K1349" s="64"/>
      <c r="L1349" s="64"/>
      <c r="M1349" s="64"/>
      <c r="N1349" s="64"/>
      <c r="O1349" s="64"/>
      <c r="P1349" s="64"/>
      <c r="Q1349" s="64"/>
      <c r="R1349" s="64"/>
      <c r="S1349" s="64"/>
    </row>
    <row r="1350" spans="1:19" x14ac:dyDescent="0.25">
      <c r="A1350" s="63"/>
      <c r="B1350" s="64"/>
      <c r="C1350" s="64"/>
      <c r="D1350" s="64"/>
      <c r="E1350" s="64"/>
      <c r="F1350" s="64"/>
      <c r="G1350" s="64"/>
      <c r="H1350" s="64"/>
      <c r="I1350" s="64"/>
      <c r="J1350" s="64"/>
      <c r="K1350" s="64"/>
      <c r="L1350" s="64"/>
      <c r="M1350" s="64"/>
      <c r="N1350" s="64"/>
      <c r="O1350" s="64"/>
      <c r="P1350" s="64"/>
      <c r="Q1350" s="64"/>
      <c r="R1350" s="64"/>
      <c r="S1350" s="64"/>
    </row>
    <row r="1351" spans="1:19" x14ac:dyDescent="0.25">
      <c r="A1351" s="63"/>
      <c r="B1351" s="64"/>
      <c r="C1351" s="64"/>
      <c r="D1351" s="64"/>
      <c r="E1351" s="64"/>
      <c r="F1351" s="64"/>
      <c r="G1351" s="64"/>
      <c r="H1351" s="64"/>
      <c r="I1351" s="64"/>
      <c r="J1351" s="64"/>
      <c r="K1351" s="64"/>
      <c r="L1351" s="64"/>
      <c r="M1351" s="64"/>
      <c r="N1351" s="64"/>
      <c r="O1351" s="64"/>
      <c r="P1351" s="64"/>
      <c r="Q1351" s="64"/>
      <c r="R1351" s="64"/>
      <c r="S1351" s="64"/>
    </row>
    <row r="1352" spans="1:19" x14ac:dyDescent="0.25">
      <c r="A1352" s="63"/>
      <c r="B1352" s="64"/>
      <c r="C1352" s="64"/>
      <c r="D1352" s="64"/>
      <c r="E1352" s="64"/>
      <c r="F1352" s="64"/>
      <c r="G1352" s="64"/>
      <c r="H1352" s="64"/>
      <c r="I1352" s="64"/>
      <c r="J1352" s="64"/>
      <c r="K1352" s="64"/>
      <c r="L1352" s="64"/>
      <c r="M1352" s="64"/>
      <c r="N1352" s="64"/>
      <c r="O1352" s="64"/>
      <c r="P1352" s="64"/>
      <c r="Q1352" s="64"/>
      <c r="R1352" s="64"/>
      <c r="S1352" s="64"/>
    </row>
    <row r="1353" spans="1:19" x14ac:dyDescent="0.25">
      <c r="A1353" s="63"/>
      <c r="B1353" s="64"/>
      <c r="C1353" s="64"/>
      <c r="D1353" s="64"/>
      <c r="E1353" s="64"/>
      <c r="F1353" s="64"/>
      <c r="G1353" s="64"/>
      <c r="H1353" s="64"/>
      <c r="I1353" s="64"/>
      <c r="J1353" s="64"/>
      <c r="K1353" s="64"/>
      <c r="L1353" s="64"/>
      <c r="M1353" s="64"/>
      <c r="N1353" s="64"/>
      <c r="O1353" s="64"/>
      <c r="P1353" s="64"/>
      <c r="Q1353" s="64"/>
      <c r="R1353" s="64"/>
      <c r="S1353" s="64"/>
    </row>
    <row r="1354" spans="1:19" x14ac:dyDescent="0.25">
      <c r="A1354" s="63"/>
      <c r="B1354" s="64"/>
      <c r="C1354" s="64"/>
      <c r="D1354" s="64"/>
      <c r="E1354" s="64"/>
      <c r="F1354" s="64"/>
      <c r="G1354" s="64"/>
      <c r="H1354" s="64"/>
      <c r="I1354" s="64"/>
      <c r="J1354" s="64"/>
      <c r="K1354" s="64"/>
      <c r="L1354" s="64"/>
      <c r="M1354" s="64"/>
      <c r="N1354" s="64"/>
      <c r="O1354" s="64"/>
      <c r="P1354" s="64"/>
      <c r="Q1354" s="64"/>
      <c r="R1354" s="64"/>
      <c r="S1354" s="64"/>
    </row>
    <row r="1355" spans="1:19" x14ac:dyDescent="0.25">
      <c r="A1355" s="63"/>
      <c r="B1355" s="64"/>
      <c r="C1355" s="64"/>
      <c r="D1355" s="64"/>
      <c r="E1355" s="64"/>
      <c r="F1355" s="64"/>
      <c r="G1355" s="64"/>
      <c r="H1355" s="64"/>
      <c r="I1355" s="64"/>
      <c r="J1355" s="64"/>
      <c r="K1355" s="64"/>
      <c r="L1355" s="64"/>
      <c r="M1355" s="64"/>
      <c r="N1355" s="64"/>
      <c r="O1355" s="64"/>
      <c r="P1355" s="64"/>
      <c r="Q1355" s="64"/>
      <c r="R1355" s="64"/>
      <c r="S1355" s="64"/>
    </row>
    <row r="1356" spans="1:19" x14ac:dyDescent="0.25">
      <c r="A1356" s="63"/>
      <c r="B1356" s="64"/>
      <c r="C1356" s="64"/>
      <c r="D1356" s="64"/>
      <c r="E1356" s="64"/>
      <c r="F1356" s="64"/>
      <c r="G1356" s="64"/>
      <c r="H1356" s="64"/>
      <c r="I1356" s="64"/>
      <c r="J1356" s="64"/>
      <c r="K1356" s="64"/>
      <c r="L1356" s="64"/>
      <c r="M1356" s="64"/>
      <c r="N1356" s="64"/>
      <c r="O1356" s="64"/>
      <c r="P1356" s="64"/>
      <c r="Q1356" s="64"/>
      <c r="R1356" s="64"/>
      <c r="S1356" s="64"/>
    </row>
    <row r="1357" spans="1:19" x14ac:dyDescent="0.25">
      <c r="A1357" s="63"/>
      <c r="B1357" s="64"/>
      <c r="C1357" s="64"/>
      <c r="D1357" s="64"/>
      <c r="E1357" s="64"/>
      <c r="F1357" s="64"/>
      <c r="G1357" s="64"/>
      <c r="H1357" s="64"/>
      <c r="I1357" s="64"/>
      <c r="J1357" s="64"/>
      <c r="K1357" s="64"/>
      <c r="L1357" s="64"/>
      <c r="M1357" s="64"/>
      <c r="N1357" s="64"/>
      <c r="O1357" s="64"/>
      <c r="P1357" s="64"/>
      <c r="Q1357" s="64"/>
      <c r="R1357" s="64"/>
      <c r="S1357" s="64"/>
    </row>
    <row r="1358" spans="1:19" x14ac:dyDescent="0.25">
      <c r="A1358" s="63"/>
      <c r="B1358" s="64"/>
      <c r="C1358" s="64"/>
      <c r="D1358" s="64"/>
      <c r="E1358" s="64"/>
      <c r="F1358" s="64"/>
      <c r="G1358" s="64"/>
      <c r="H1358" s="64"/>
      <c r="I1358" s="64"/>
      <c r="J1358" s="64"/>
      <c r="K1358" s="64"/>
      <c r="L1358" s="64"/>
      <c r="M1358" s="64"/>
      <c r="N1358" s="64"/>
      <c r="O1358" s="64"/>
      <c r="P1358" s="64"/>
      <c r="Q1358" s="64"/>
      <c r="R1358" s="64"/>
      <c r="S1358" s="64"/>
    </row>
    <row r="1359" spans="1:19" x14ac:dyDescent="0.25">
      <c r="A1359" s="63"/>
      <c r="B1359" s="64"/>
      <c r="C1359" s="64"/>
      <c r="D1359" s="64"/>
      <c r="E1359" s="64"/>
      <c r="F1359" s="64"/>
      <c r="G1359" s="64"/>
      <c r="H1359" s="64"/>
      <c r="I1359" s="64"/>
      <c r="J1359" s="64"/>
      <c r="K1359" s="64"/>
      <c r="L1359" s="64"/>
      <c r="M1359" s="64"/>
      <c r="N1359" s="64"/>
      <c r="O1359" s="64"/>
      <c r="P1359" s="64"/>
      <c r="Q1359" s="64"/>
      <c r="R1359" s="64"/>
      <c r="S1359" s="64"/>
    </row>
    <row r="1360" spans="1:19" x14ac:dyDescent="0.25">
      <c r="A1360" s="63"/>
      <c r="B1360" s="64"/>
      <c r="C1360" s="64"/>
      <c r="D1360" s="64"/>
      <c r="E1360" s="64"/>
      <c r="F1360" s="64"/>
      <c r="G1360" s="64"/>
      <c r="H1360" s="64"/>
      <c r="I1360" s="64"/>
      <c r="J1360" s="64"/>
      <c r="K1360" s="64"/>
      <c r="L1360" s="64"/>
      <c r="M1360" s="64"/>
      <c r="N1360" s="64"/>
      <c r="O1360" s="64"/>
      <c r="P1360" s="64"/>
      <c r="Q1360" s="64"/>
      <c r="R1360" s="64"/>
      <c r="S1360" s="64"/>
    </row>
    <row r="1361" spans="1:19" x14ac:dyDescent="0.25">
      <c r="A1361" s="63"/>
      <c r="B1361" s="64"/>
      <c r="C1361" s="64"/>
      <c r="D1361" s="64"/>
      <c r="E1361" s="64"/>
      <c r="F1361" s="64"/>
      <c r="G1361" s="64"/>
      <c r="H1361" s="64"/>
      <c r="I1361" s="64"/>
      <c r="J1361" s="64"/>
      <c r="K1361" s="64"/>
      <c r="L1361" s="64"/>
      <c r="M1361" s="64"/>
      <c r="N1361" s="64"/>
      <c r="O1361" s="64"/>
      <c r="P1361" s="64"/>
      <c r="Q1361" s="64"/>
      <c r="R1361" s="64"/>
      <c r="S1361" s="64"/>
    </row>
    <row r="1362" spans="1:19" x14ac:dyDescent="0.25">
      <c r="A1362" s="63"/>
      <c r="B1362" s="64"/>
      <c r="C1362" s="64"/>
      <c r="D1362" s="64"/>
      <c r="E1362" s="64"/>
      <c r="F1362" s="64"/>
      <c r="G1362" s="64"/>
      <c r="H1362" s="64"/>
      <c r="I1362" s="64"/>
      <c r="J1362" s="64"/>
      <c r="K1362" s="64"/>
      <c r="L1362" s="64"/>
      <c r="M1362" s="64"/>
      <c r="N1362" s="64"/>
      <c r="O1362" s="64"/>
      <c r="P1362" s="64"/>
      <c r="Q1362" s="64"/>
      <c r="R1362" s="64"/>
      <c r="S1362" s="64"/>
    </row>
    <row r="1363" spans="1:19" x14ac:dyDescent="0.25">
      <c r="A1363" s="63"/>
      <c r="B1363" s="64"/>
      <c r="C1363" s="64"/>
      <c r="D1363" s="64"/>
      <c r="E1363" s="64"/>
      <c r="F1363" s="64"/>
      <c r="G1363" s="64"/>
      <c r="H1363" s="64"/>
      <c r="I1363" s="64"/>
      <c r="J1363" s="64"/>
      <c r="K1363" s="64"/>
      <c r="L1363" s="64"/>
      <c r="M1363" s="64"/>
      <c r="N1363" s="64"/>
      <c r="O1363" s="64"/>
      <c r="P1363" s="64"/>
      <c r="Q1363" s="64"/>
      <c r="R1363" s="64"/>
      <c r="S1363" s="64"/>
    </row>
    <row r="1364" spans="1:19" x14ac:dyDescent="0.25">
      <c r="A1364" s="63"/>
      <c r="B1364" s="64"/>
      <c r="C1364" s="64"/>
      <c r="D1364" s="64"/>
      <c r="E1364" s="64"/>
      <c r="F1364" s="64"/>
      <c r="G1364" s="64"/>
      <c r="H1364" s="64"/>
      <c r="I1364" s="64"/>
      <c r="J1364" s="64"/>
      <c r="K1364" s="64"/>
      <c r="L1364" s="64"/>
      <c r="M1364" s="64"/>
      <c r="N1364" s="64"/>
      <c r="O1364" s="64"/>
      <c r="P1364" s="64"/>
      <c r="Q1364" s="64"/>
      <c r="R1364" s="64"/>
      <c r="S1364" s="64"/>
    </row>
    <row r="1365" spans="1:19" x14ac:dyDescent="0.25">
      <c r="A1365" s="63"/>
      <c r="B1365" s="64"/>
      <c r="C1365" s="64"/>
      <c r="D1365" s="64"/>
      <c r="E1365" s="64"/>
      <c r="F1365" s="64"/>
      <c r="G1365" s="64"/>
      <c r="H1365" s="64"/>
      <c r="I1365" s="64"/>
      <c r="J1365" s="64"/>
      <c r="K1365" s="64"/>
      <c r="L1365" s="64"/>
      <c r="M1365" s="64"/>
      <c r="N1365" s="64"/>
      <c r="O1365" s="64"/>
      <c r="P1365" s="64"/>
      <c r="Q1365" s="64"/>
      <c r="R1365" s="64"/>
      <c r="S1365" s="64"/>
    </row>
    <row r="1366" spans="1:19" x14ac:dyDescent="0.25">
      <c r="A1366" s="63"/>
      <c r="B1366" s="64"/>
      <c r="C1366" s="64"/>
      <c r="D1366" s="64"/>
      <c r="E1366" s="64"/>
      <c r="F1366" s="64"/>
      <c r="G1366" s="64"/>
      <c r="H1366" s="64"/>
      <c r="I1366" s="64"/>
      <c r="J1366" s="64"/>
      <c r="K1366" s="64"/>
      <c r="L1366" s="64"/>
      <c r="M1366" s="64"/>
      <c r="N1366" s="64"/>
      <c r="O1366" s="64"/>
      <c r="P1366" s="64"/>
      <c r="Q1366" s="64"/>
      <c r="R1366" s="64"/>
      <c r="S1366" s="64"/>
    </row>
    <row r="1367" spans="1:19" x14ac:dyDescent="0.25">
      <c r="A1367" s="63"/>
      <c r="B1367" s="64"/>
      <c r="C1367" s="64"/>
      <c r="D1367" s="64"/>
      <c r="E1367" s="64"/>
      <c r="F1367" s="64"/>
      <c r="G1367" s="64"/>
      <c r="H1367" s="64"/>
      <c r="I1367" s="64"/>
      <c r="J1367" s="64"/>
      <c r="K1367" s="64"/>
      <c r="L1367" s="64"/>
      <c r="M1367" s="64"/>
      <c r="N1367" s="64"/>
      <c r="O1367" s="64"/>
      <c r="P1367" s="64"/>
      <c r="Q1367" s="64"/>
      <c r="R1367" s="64"/>
      <c r="S1367" s="64"/>
    </row>
    <row r="1368" spans="1:19" x14ac:dyDescent="0.25">
      <c r="A1368" s="63"/>
      <c r="B1368" s="64"/>
      <c r="C1368" s="64"/>
      <c r="D1368" s="64"/>
      <c r="E1368" s="64"/>
      <c r="F1368" s="64"/>
      <c r="G1368" s="64"/>
      <c r="H1368" s="64"/>
      <c r="I1368" s="64"/>
      <c r="J1368" s="64"/>
      <c r="K1368" s="64"/>
      <c r="L1368" s="64"/>
      <c r="M1368" s="64"/>
      <c r="N1368" s="64"/>
      <c r="O1368" s="64"/>
      <c r="P1368" s="64"/>
      <c r="Q1368" s="64"/>
      <c r="R1368" s="64"/>
      <c r="S1368" s="64"/>
    </row>
    <row r="1369" spans="1:19" x14ac:dyDescent="0.25">
      <c r="A1369" s="63"/>
      <c r="B1369" s="64"/>
      <c r="C1369" s="64"/>
      <c r="D1369" s="64"/>
      <c r="E1369" s="64"/>
      <c r="F1369" s="64"/>
      <c r="G1369" s="64"/>
      <c r="H1369" s="64"/>
      <c r="I1369" s="64"/>
      <c r="J1369" s="64"/>
      <c r="K1369" s="64"/>
      <c r="L1369" s="64"/>
      <c r="M1369" s="64"/>
      <c r="N1369" s="64"/>
      <c r="O1369" s="64"/>
      <c r="P1369" s="64"/>
      <c r="Q1369" s="64"/>
      <c r="R1369" s="64"/>
      <c r="S1369" s="64"/>
    </row>
    <row r="1370" spans="1:19" x14ac:dyDescent="0.25">
      <c r="A1370" s="63"/>
      <c r="B1370" s="64"/>
      <c r="C1370" s="64"/>
      <c r="D1370" s="64"/>
      <c r="E1370" s="64"/>
      <c r="F1370" s="64"/>
      <c r="G1370" s="64"/>
      <c r="H1370" s="64"/>
      <c r="I1370" s="64"/>
      <c r="J1370" s="64"/>
      <c r="K1370" s="64"/>
      <c r="L1370" s="64"/>
      <c r="M1370" s="64"/>
      <c r="N1370" s="64"/>
      <c r="O1370" s="64"/>
      <c r="P1370" s="64"/>
      <c r="Q1370" s="64"/>
      <c r="R1370" s="64"/>
      <c r="S1370" s="64"/>
    </row>
    <row r="1371" spans="1:19" x14ac:dyDescent="0.25">
      <c r="A1371" s="63"/>
      <c r="B1371" s="64"/>
      <c r="C1371" s="64"/>
      <c r="D1371" s="64"/>
      <c r="E1371" s="64"/>
      <c r="F1371" s="64"/>
      <c r="G1371" s="64"/>
      <c r="H1371" s="64"/>
      <c r="I1371" s="64"/>
      <c r="J1371" s="64"/>
      <c r="K1371" s="64"/>
      <c r="L1371" s="64"/>
      <c r="M1371" s="64"/>
      <c r="N1371" s="64"/>
      <c r="O1371" s="64"/>
      <c r="P1371" s="64"/>
      <c r="Q1371" s="64"/>
      <c r="R1371" s="64"/>
      <c r="S1371" s="64"/>
    </row>
    <row r="1372" spans="1:19" x14ac:dyDescent="0.25">
      <c r="A1372" s="63"/>
      <c r="B1372" s="64"/>
      <c r="C1372" s="64"/>
      <c r="D1372" s="64"/>
      <c r="E1372" s="64"/>
      <c r="F1372" s="64"/>
      <c r="G1372" s="64"/>
      <c r="H1372" s="64"/>
      <c r="I1372" s="64"/>
      <c r="J1372" s="64"/>
      <c r="K1372" s="64"/>
      <c r="L1372" s="64"/>
      <c r="M1372" s="64"/>
      <c r="N1372" s="64"/>
      <c r="O1372" s="64"/>
      <c r="P1372" s="64"/>
      <c r="Q1372" s="64"/>
      <c r="R1372" s="64"/>
      <c r="S1372" s="64"/>
    </row>
    <row r="1373" spans="1:19" x14ac:dyDescent="0.25">
      <c r="A1373" s="63"/>
      <c r="B1373" s="64"/>
      <c r="C1373" s="64"/>
      <c r="D1373" s="64"/>
      <c r="E1373" s="64"/>
      <c r="F1373" s="64"/>
      <c r="G1373" s="64"/>
      <c r="H1373" s="64"/>
      <c r="I1373" s="64"/>
      <c r="J1373" s="64"/>
      <c r="K1373" s="64"/>
      <c r="L1373" s="64"/>
      <c r="M1373" s="64"/>
      <c r="N1373" s="64"/>
      <c r="O1373" s="64"/>
      <c r="P1373" s="64"/>
      <c r="Q1373" s="64"/>
      <c r="R1373" s="64"/>
      <c r="S1373" s="64"/>
    </row>
    <row r="1374" spans="1:19" x14ac:dyDescent="0.25">
      <c r="A1374" s="63"/>
      <c r="B1374" s="64"/>
      <c r="C1374" s="64"/>
      <c r="D1374" s="64"/>
      <c r="E1374" s="64"/>
      <c r="F1374" s="64"/>
      <c r="G1374" s="64"/>
      <c r="H1374" s="64"/>
      <c r="I1374" s="64"/>
      <c r="J1374" s="64"/>
      <c r="K1374" s="64"/>
      <c r="L1374" s="64"/>
      <c r="M1374" s="64"/>
      <c r="N1374" s="64"/>
      <c r="O1374" s="64"/>
      <c r="P1374" s="64"/>
      <c r="Q1374" s="64"/>
      <c r="R1374" s="64"/>
      <c r="S1374" s="64"/>
    </row>
    <row r="1375" spans="1:19" x14ac:dyDescent="0.25">
      <c r="A1375" s="63"/>
      <c r="B1375" s="64"/>
      <c r="C1375" s="64"/>
      <c r="D1375" s="64"/>
      <c r="E1375" s="64"/>
      <c r="F1375" s="64"/>
      <c r="G1375" s="64"/>
      <c r="H1375" s="64"/>
      <c r="I1375" s="64"/>
      <c r="J1375" s="64"/>
      <c r="K1375" s="64"/>
      <c r="L1375" s="64"/>
      <c r="M1375" s="64"/>
      <c r="N1375" s="64"/>
      <c r="O1375" s="64"/>
      <c r="P1375" s="64"/>
      <c r="Q1375" s="64"/>
      <c r="R1375" s="64"/>
      <c r="S1375" s="64"/>
    </row>
    <row r="1376" spans="1:19" x14ac:dyDescent="0.25">
      <c r="A1376" s="63"/>
      <c r="B1376" s="64"/>
      <c r="C1376" s="64"/>
      <c r="D1376" s="64"/>
      <c r="E1376" s="64"/>
      <c r="F1376" s="64"/>
      <c r="G1376" s="64"/>
      <c r="H1376" s="64"/>
      <c r="I1376" s="64"/>
      <c r="J1376" s="64"/>
      <c r="K1376" s="64"/>
      <c r="L1376" s="64"/>
      <c r="M1376" s="64"/>
      <c r="N1376" s="64"/>
      <c r="O1376" s="64"/>
      <c r="P1376" s="64"/>
      <c r="Q1376" s="64"/>
      <c r="R1376" s="64"/>
      <c r="S1376" s="64"/>
    </row>
    <row r="1377" spans="1:19" x14ac:dyDescent="0.25">
      <c r="A1377" s="63"/>
      <c r="B1377" s="64"/>
      <c r="C1377" s="64"/>
      <c r="D1377" s="64"/>
      <c r="E1377" s="64"/>
      <c r="F1377" s="64"/>
      <c r="G1377" s="64"/>
      <c r="H1377" s="64"/>
      <c r="I1377" s="64"/>
      <c r="J1377" s="64"/>
      <c r="K1377" s="64"/>
      <c r="L1377" s="64"/>
      <c r="M1377" s="64"/>
      <c r="N1377" s="64"/>
      <c r="O1377" s="64"/>
      <c r="P1377" s="64"/>
      <c r="Q1377" s="64"/>
      <c r="R1377" s="64"/>
      <c r="S1377" s="64"/>
    </row>
    <row r="1378" spans="1:19" x14ac:dyDescent="0.25">
      <c r="A1378" s="63"/>
      <c r="B1378" s="64"/>
      <c r="C1378" s="64"/>
      <c r="D1378" s="64"/>
      <c r="E1378" s="64"/>
      <c r="F1378" s="64"/>
      <c r="G1378" s="64"/>
      <c r="H1378" s="64"/>
      <c r="I1378" s="64"/>
      <c r="J1378" s="64"/>
      <c r="K1378" s="64"/>
      <c r="L1378" s="64"/>
      <c r="M1378" s="64"/>
      <c r="N1378" s="64"/>
      <c r="O1378" s="64"/>
      <c r="P1378" s="64"/>
      <c r="Q1378" s="64"/>
      <c r="R1378" s="64"/>
      <c r="S1378" s="64"/>
    </row>
    <row r="1379" spans="1:19" x14ac:dyDescent="0.25">
      <c r="A1379" s="63"/>
      <c r="B1379" s="64"/>
      <c r="C1379" s="64"/>
      <c r="D1379" s="64"/>
      <c r="E1379" s="64"/>
      <c r="F1379" s="64"/>
      <c r="G1379" s="64"/>
      <c r="H1379" s="64"/>
      <c r="I1379" s="64"/>
      <c r="J1379" s="64"/>
      <c r="K1379" s="64"/>
      <c r="L1379" s="64"/>
      <c r="M1379" s="64"/>
      <c r="N1379" s="64"/>
      <c r="O1379" s="64"/>
      <c r="P1379" s="64"/>
      <c r="Q1379" s="64"/>
      <c r="R1379" s="64"/>
      <c r="S1379" s="64"/>
    </row>
    <row r="1380" spans="1:19" x14ac:dyDescent="0.25">
      <c r="A1380" s="63"/>
      <c r="B1380" s="64"/>
      <c r="C1380" s="64"/>
      <c r="D1380" s="64"/>
      <c r="E1380" s="64"/>
      <c r="F1380" s="64"/>
      <c r="G1380" s="64"/>
      <c r="H1380" s="64"/>
      <c r="I1380" s="64"/>
      <c r="J1380" s="64"/>
      <c r="K1380" s="64"/>
      <c r="L1380" s="64"/>
      <c r="M1380" s="64"/>
      <c r="N1380" s="64"/>
      <c r="O1380" s="64"/>
      <c r="P1380" s="64"/>
      <c r="Q1380" s="64"/>
      <c r="R1380" s="64"/>
      <c r="S1380" s="64"/>
    </row>
    <row r="1381" spans="1:19" x14ac:dyDescent="0.25">
      <c r="A1381" s="63"/>
      <c r="B1381" s="64"/>
      <c r="C1381" s="64"/>
      <c r="D1381" s="64"/>
      <c r="E1381" s="64"/>
      <c r="F1381" s="64"/>
      <c r="G1381" s="64"/>
      <c r="H1381" s="64"/>
      <c r="I1381" s="64"/>
      <c r="J1381" s="64"/>
      <c r="K1381" s="64"/>
      <c r="L1381" s="64"/>
      <c r="M1381" s="64"/>
      <c r="N1381" s="64"/>
      <c r="O1381" s="64"/>
      <c r="P1381" s="64"/>
      <c r="Q1381" s="64"/>
      <c r="R1381" s="64"/>
      <c r="S1381" s="64"/>
    </row>
    <row r="1382" spans="1:19" x14ac:dyDescent="0.25">
      <c r="A1382" s="63"/>
      <c r="B1382" s="64"/>
      <c r="C1382" s="64"/>
      <c r="D1382" s="64"/>
      <c r="E1382" s="64"/>
      <c r="F1382" s="64"/>
      <c r="G1382" s="64"/>
      <c r="H1382" s="64"/>
      <c r="I1382" s="64"/>
      <c r="J1382" s="64"/>
      <c r="K1382" s="64"/>
      <c r="L1382" s="64"/>
      <c r="M1382" s="64"/>
      <c r="N1382" s="64"/>
      <c r="O1382" s="64"/>
      <c r="P1382" s="64"/>
      <c r="Q1382" s="64"/>
      <c r="R1382" s="64"/>
      <c r="S1382" s="64"/>
    </row>
    <row r="1383" spans="1:19" x14ac:dyDescent="0.25">
      <c r="A1383" s="63"/>
      <c r="B1383" s="64"/>
      <c r="C1383" s="64"/>
      <c r="D1383" s="64"/>
      <c r="E1383" s="64"/>
      <c r="F1383" s="64"/>
      <c r="G1383" s="64"/>
      <c r="H1383" s="64"/>
      <c r="I1383" s="64"/>
      <c r="J1383" s="64"/>
      <c r="K1383" s="64"/>
      <c r="L1383" s="64"/>
      <c r="M1383" s="64"/>
      <c r="N1383" s="64"/>
      <c r="O1383" s="64"/>
      <c r="P1383" s="64"/>
      <c r="Q1383" s="64"/>
      <c r="R1383" s="64"/>
      <c r="S1383" s="64"/>
    </row>
    <row r="1384" spans="1:19" x14ac:dyDescent="0.25">
      <c r="A1384" s="63"/>
      <c r="B1384" s="64"/>
      <c r="C1384" s="64"/>
      <c r="D1384" s="64"/>
      <c r="E1384" s="64"/>
      <c r="F1384" s="64"/>
      <c r="G1384" s="64"/>
      <c r="H1384" s="64"/>
      <c r="I1384" s="64"/>
      <c r="J1384" s="64"/>
      <c r="K1384" s="64"/>
      <c r="L1384" s="64"/>
      <c r="M1384" s="64"/>
      <c r="N1384" s="64"/>
      <c r="O1384" s="64"/>
      <c r="P1384" s="64"/>
      <c r="Q1384" s="64"/>
      <c r="R1384" s="64"/>
      <c r="S1384" s="64"/>
    </row>
    <row r="1385" spans="1:19" x14ac:dyDescent="0.25">
      <c r="A1385" s="63"/>
      <c r="B1385" s="64"/>
      <c r="C1385" s="64"/>
      <c r="D1385" s="64"/>
      <c r="E1385" s="64"/>
      <c r="F1385" s="64"/>
      <c r="G1385" s="64"/>
      <c r="H1385" s="64"/>
      <c r="I1385" s="64"/>
      <c r="J1385" s="64"/>
      <c r="K1385" s="64"/>
      <c r="L1385" s="64"/>
      <c r="M1385" s="64"/>
      <c r="N1385" s="64"/>
      <c r="O1385" s="64"/>
      <c r="P1385" s="64"/>
      <c r="Q1385" s="64"/>
      <c r="R1385" s="64"/>
      <c r="S1385" s="64"/>
    </row>
    <row r="1386" spans="1:19" x14ac:dyDescent="0.25">
      <c r="A1386" s="63"/>
      <c r="B1386" s="64"/>
      <c r="C1386" s="64"/>
      <c r="D1386" s="64"/>
      <c r="E1386" s="64"/>
      <c r="F1386" s="64"/>
      <c r="G1386" s="64"/>
      <c r="H1386" s="64"/>
      <c r="I1386" s="64"/>
      <c r="J1386" s="64"/>
      <c r="K1386" s="64"/>
      <c r="L1386" s="64"/>
      <c r="M1386" s="64"/>
      <c r="N1386" s="64"/>
      <c r="O1386" s="64"/>
      <c r="P1386" s="64"/>
      <c r="Q1386" s="64"/>
      <c r="R1386" s="64"/>
      <c r="S1386" s="64"/>
    </row>
    <row r="1387" spans="1:19" x14ac:dyDescent="0.25">
      <c r="A1387" s="63"/>
      <c r="B1387" s="64"/>
      <c r="C1387" s="64"/>
      <c r="D1387" s="64"/>
      <c r="E1387" s="64"/>
      <c r="F1387" s="64"/>
      <c r="G1387" s="64"/>
      <c r="H1387" s="64"/>
      <c r="I1387" s="64"/>
      <c r="J1387" s="64"/>
      <c r="K1387" s="64"/>
      <c r="L1387" s="64"/>
      <c r="M1387" s="64"/>
      <c r="N1387" s="64"/>
      <c r="O1387" s="64"/>
      <c r="P1387" s="64"/>
      <c r="Q1387" s="64"/>
      <c r="R1387" s="64"/>
      <c r="S1387" s="64"/>
    </row>
    <row r="1388" spans="1:19" x14ac:dyDescent="0.25">
      <c r="A1388" s="63"/>
      <c r="B1388" s="64"/>
      <c r="C1388" s="64"/>
      <c r="D1388" s="64"/>
      <c r="E1388" s="64"/>
      <c r="F1388" s="64"/>
      <c r="G1388" s="64"/>
      <c r="H1388" s="64"/>
      <c r="I1388" s="64"/>
      <c r="J1388" s="64"/>
      <c r="K1388" s="64"/>
      <c r="L1388" s="64"/>
      <c r="M1388" s="64"/>
      <c r="N1388" s="64"/>
      <c r="O1388" s="64"/>
      <c r="P1388" s="64"/>
      <c r="Q1388" s="64"/>
      <c r="R1388" s="64"/>
      <c r="S1388" s="64"/>
    </row>
    <row r="1389" spans="1:19" x14ac:dyDescent="0.25">
      <c r="A1389" s="63"/>
      <c r="B1389" s="64"/>
      <c r="C1389" s="64"/>
      <c r="D1389" s="64"/>
      <c r="E1389" s="64"/>
      <c r="F1389" s="64"/>
      <c r="G1389" s="64"/>
      <c r="H1389" s="64"/>
      <c r="I1389" s="64"/>
      <c r="J1389" s="64"/>
      <c r="K1389" s="64"/>
      <c r="L1389" s="64"/>
      <c r="M1389" s="64"/>
      <c r="N1389" s="64"/>
      <c r="O1389" s="64"/>
      <c r="P1389" s="64"/>
      <c r="Q1389" s="64"/>
      <c r="R1389" s="64"/>
      <c r="S1389" s="64"/>
    </row>
    <row r="1390" spans="1:19" x14ac:dyDescent="0.25">
      <c r="A1390" s="63"/>
      <c r="B1390" s="64"/>
      <c r="C1390" s="64"/>
      <c r="D1390" s="64"/>
      <c r="E1390" s="64"/>
      <c r="F1390" s="64"/>
      <c r="G1390" s="64"/>
      <c r="H1390" s="64"/>
      <c r="I1390" s="64"/>
      <c r="J1390" s="64"/>
      <c r="K1390" s="64"/>
      <c r="L1390" s="64"/>
      <c r="M1390" s="64"/>
      <c r="N1390" s="64"/>
      <c r="O1390" s="64"/>
      <c r="P1390" s="64"/>
      <c r="Q1390" s="64"/>
      <c r="R1390" s="64"/>
      <c r="S1390" s="64"/>
    </row>
    <row r="1391" spans="1:19" x14ac:dyDescent="0.25">
      <c r="A1391" s="63"/>
      <c r="B1391" s="64"/>
      <c r="C1391" s="64"/>
      <c r="D1391" s="64"/>
      <c r="E1391" s="64"/>
      <c r="F1391" s="64"/>
      <c r="G1391" s="64"/>
      <c r="H1391" s="64"/>
      <c r="I1391" s="64"/>
      <c r="J1391" s="64"/>
      <c r="K1391" s="64"/>
      <c r="L1391" s="64"/>
      <c r="M1391" s="64"/>
      <c r="N1391" s="64"/>
      <c r="O1391" s="64"/>
      <c r="P1391" s="64"/>
      <c r="Q1391" s="64"/>
      <c r="R1391" s="64"/>
      <c r="S1391" s="64"/>
    </row>
    <row r="1392" spans="1:19" x14ac:dyDescent="0.25">
      <c r="A1392" s="63"/>
      <c r="B1392" s="64"/>
      <c r="C1392" s="64"/>
      <c r="D1392" s="64"/>
      <c r="E1392" s="64"/>
      <c r="F1392" s="64"/>
      <c r="G1392" s="64"/>
      <c r="H1392" s="64"/>
      <c r="I1392" s="64"/>
      <c r="J1392" s="64"/>
      <c r="K1392" s="64"/>
      <c r="L1392" s="64"/>
      <c r="M1392" s="64"/>
      <c r="N1392" s="64"/>
      <c r="O1392" s="64"/>
      <c r="P1392" s="64"/>
      <c r="Q1392" s="64"/>
      <c r="R1392" s="64"/>
      <c r="S1392" s="64"/>
    </row>
    <row r="1393" spans="1:19" x14ac:dyDescent="0.25">
      <c r="A1393" s="63"/>
      <c r="B1393" s="64"/>
      <c r="C1393" s="64"/>
      <c r="D1393" s="64"/>
      <c r="E1393" s="64"/>
      <c r="F1393" s="64"/>
      <c r="G1393" s="64"/>
      <c r="H1393" s="64"/>
      <c r="I1393" s="64"/>
      <c r="J1393" s="64"/>
      <c r="K1393" s="64"/>
      <c r="L1393" s="64"/>
      <c r="M1393" s="64"/>
      <c r="N1393" s="64"/>
      <c r="O1393" s="64"/>
      <c r="P1393" s="64"/>
      <c r="Q1393" s="64"/>
      <c r="R1393" s="64"/>
      <c r="S1393" s="64"/>
    </row>
    <row r="1394" spans="1:19" x14ac:dyDescent="0.25">
      <c r="A1394" s="63"/>
      <c r="B1394" s="64"/>
      <c r="C1394" s="64"/>
      <c r="D1394" s="64"/>
      <c r="E1394" s="64"/>
      <c r="F1394" s="64"/>
      <c r="G1394" s="64"/>
      <c r="H1394" s="64"/>
      <c r="I1394" s="64"/>
      <c r="J1394" s="64"/>
      <c r="K1394" s="64"/>
      <c r="L1394" s="64"/>
      <c r="M1394" s="64"/>
      <c r="N1394" s="64"/>
      <c r="O1394" s="64"/>
      <c r="P1394" s="64"/>
      <c r="Q1394" s="64"/>
      <c r="R1394" s="64"/>
      <c r="S1394" s="64"/>
    </row>
    <row r="1395" spans="1:19" x14ac:dyDescent="0.25">
      <c r="A1395" s="63"/>
      <c r="B1395" s="64"/>
      <c r="C1395" s="64"/>
      <c r="D1395" s="64"/>
      <c r="E1395" s="64"/>
      <c r="F1395" s="64"/>
      <c r="G1395" s="64"/>
      <c r="H1395" s="64"/>
      <c r="I1395" s="64"/>
      <c r="J1395" s="64"/>
      <c r="K1395" s="64"/>
      <c r="L1395" s="64"/>
      <c r="M1395" s="64"/>
      <c r="N1395" s="64"/>
      <c r="O1395" s="64"/>
      <c r="P1395" s="64"/>
      <c r="Q1395" s="64"/>
      <c r="R1395" s="64"/>
      <c r="S1395" s="64"/>
    </row>
    <row r="1396" spans="1:19" x14ac:dyDescent="0.25">
      <c r="A1396" s="63"/>
      <c r="B1396" s="64"/>
      <c r="C1396" s="64"/>
      <c r="D1396" s="64"/>
      <c r="E1396" s="64"/>
      <c r="F1396" s="64"/>
      <c r="G1396" s="64"/>
      <c r="H1396" s="64"/>
      <c r="I1396" s="64"/>
      <c r="J1396" s="64"/>
      <c r="K1396" s="64"/>
      <c r="L1396" s="64"/>
      <c r="M1396" s="64"/>
      <c r="N1396" s="64"/>
      <c r="O1396" s="64"/>
      <c r="P1396" s="64"/>
      <c r="Q1396" s="64"/>
      <c r="R1396" s="64"/>
      <c r="S1396" s="64"/>
    </row>
    <row r="1397" spans="1:19" x14ac:dyDescent="0.25">
      <c r="A1397" s="63"/>
      <c r="B1397" s="64"/>
      <c r="C1397" s="64"/>
      <c r="D1397" s="64"/>
      <c r="E1397" s="64"/>
      <c r="F1397" s="64"/>
      <c r="G1397" s="64"/>
      <c r="H1397" s="64"/>
      <c r="I1397" s="64"/>
      <c r="J1397" s="64"/>
      <c r="K1397" s="64"/>
      <c r="L1397" s="64"/>
      <c r="M1397" s="64"/>
      <c r="N1397" s="64"/>
      <c r="O1397" s="64"/>
      <c r="P1397" s="64"/>
      <c r="Q1397" s="64"/>
      <c r="R1397" s="64"/>
      <c r="S1397" s="64"/>
    </row>
    <row r="1398" spans="1:19" x14ac:dyDescent="0.25">
      <c r="A1398" s="63"/>
      <c r="B1398" s="64"/>
      <c r="C1398" s="64"/>
      <c r="D1398" s="64"/>
      <c r="E1398" s="64"/>
      <c r="F1398" s="64"/>
      <c r="G1398" s="64"/>
      <c r="H1398" s="64"/>
      <c r="I1398" s="64"/>
      <c r="J1398" s="64"/>
      <c r="K1398" s="64"/>
      <c r="L1398" s="64"/>
      <c r="M1398" s="64"/>
      <c r="N1398" s="64"/>
      <c r="O1398" s="64"/>
      <c r="P1398" s="64"/>
      <c r="Q1398" s="64"/>
      <c r="R1398" s="64"/>
      <c r="S1398" s="64"/>
    </row>
    <row r="1399" spans="1:19" x14ac:dyDescent="0.25">
      <c r="A1399" s="63"/>
      <c r="B1399" s="64"/>
      <c r="C1399" s="64"/>
      <c r="D1399" s="64"/>
      <c r="E1399" s="64"/>
      <c r="F1399" s="64"/>
      <c r="G1399" s="64"/>
      <c r="H1399" s="64"/>
      <c r="I1399" s="64"/>
      <c r="J1399" s="64"/>
      <c r="K1399" s="64"/>
      <c r="L1399" s="64"/>
      <c r="M1399" s="64"/>
      <c r="N1399" s="64"/>
      <c r="O1399" s="64"/>
      <c r="P1399" s="64"/>
      <c r="Q1399" s="64"/>
      <c r="R1399" s="64"/>
      <c r="S1399" s="64"/>
    </row>
    <row r="1400" spans="1:19" x14ac:dyDescent="0.25">
      <c r="A1400" s="63"/>
      <c r="B1400" s="64"/>
      <c r="C1400" s="64"/>
      <c r="D1400" s="64"/>
      <c r="E1400" s="64"/>
      <c r="F1400" s="64"/>
      <c r="G1400" s="64"/>
      <c r="H1400" s="64"/>
      <c r="I1400" s="64"/>
      <c r="J1400" s="64"/>
      <c r="K1400" s="64"/>
      <c r="L1400" s="64"/>
      <c r="M1400" s="64"/>
      <c r="N1400" s="64"/>
      <c r="O1400" s="64"/>
      <c r="P1400" s="64"/>
      <c r="Q1400" s="64"/>
      <c r="R1400" s="64"/>
      <c r="S1400" s="64"/>
    </row>
    <row r="1401" spans="1:19" x14ac:dyDescent="0.25">
      <c r="A1401" s="63"/>
      <c r="B1401" s="64"/>
      <c r="C1401" s="64"/>
      <c r="D1401" s="64"/>
      <c r="E1401" s="64"/>
      <c r="F1401" s="64"/>
      <c r="G1401" s="64"/>
      <c r="H1401" s="64"/>
      <c r="I1401" s="64"/>
      <c r="J1401" s="64"/>
      <c r="K1401" s="64"/>
      <c r="L1401" s="64"/>
      <c r="M1401" s="64"/>
      <c r="N1401" s="64"/>
      <c r="O1401" s="64"/>
      <c r="P1401" s="64"/>
      <c r="Q1401" s="64"/>
      <c r="R1401" s="64"/>
      <c r="S1401" s="64"/>
    </row>
    <row r="1402" spans="1:19" x14ac:dyDescent="0.25">
      <c r="A1402" s="63"/>
      <c r="B1402" s="64"/>
      <c r="C1402" s="64"/>
      <c r="D1402" s="64"/>
      <c r="E1402" s="64"/>
      <c r="F1402" s="64"/>
      <c r="G1402" s="64"/>
      <c r="H1402" s="64"/>
      <c r="I1402" s="64"/>
      <c r="J1402" s="64"/>
      <c r="K1402" s="64"/>
      <c r="L1402" s="64"/>
      <c r="M1402" s="64"/>
      <c r="N1402" s="64"/>
      <c r="O1402" s="64"/>
      <c r="P1402" s="64"/>
      <c r="Q1402" s="64"/>
      <c r="R1402" s="64"/>
      <c r="S1402" s="64"/>
    </row>
    <row r="1403" spans="1:19" x14ac:dyDescent="0.25">
      <c r="A1403" s="63"/>
      <c r="B1403" s="64"/>
      <c r="C1403" s="64"/>
      <c r="D1403" s="64"/>
      <c r="E1403" s="64"/>
      <c r="F1403" s="64"/>
      <c r="G1403" s="64"/>
      <c r="H1403" s="64"/>
      <c r="I1403" s="64"/>
      <c r="J1403" s="64"/>
      <c r="K1403" s="64"/>
      <c r="L1403" s="64"/>
      <c r="M1403" s="64"/>
      <c r="N1403" s="64"/>
      <c r="O1403" s="64"/>
      <c r="P1403" s="64"/>
      <c r="Q1403" s="64"/>
      <c r="R1403" s="64"/>
      <c r="S1403" s="64"/>
    </row>
    <row r="1404" spans="1:19" x14ac:dyDescent="0.25">
      <c r="A1404" s="63"/>
      <c r="B1404" s="64"/>
      <c r="C1404" s="64"/>
      <c r="D1404" s="64"/>
      <c r="E1404" s="64"/>
      <c r="F1404" s="64"/>
      <c r="G1404" s="64"/>
      <c r="H1404" s="64"/>
      <c r="I1404" s="64"/>
      <c r="J1404" s="64"/>
      <c r="K1404" s="64"/>
      <c r="L1404" s="64"/>
      <c r="M1404" s="64"/>
      <c r="N1404" s="64"/>
      <c r="O1404" s="64"/>
      <c r="P1404" s="64"/>
      <c r="Q1404" s="64"/>
      <c r="R1404" s="64"/>
      <c r="S1404" s="64"/>
    </row>
    <row r="1405" spans="1:19" x14ac:dyDescent="0.25">
      <c r="A1405" s="63"/>
      <c r="B1405" s="64"/>
      <c r="C1405" s="64"/>
      <c r="D1405" s="64"/>
      <c r="E1405" s="64"/>
      <c r="F1405" s="64"/>
      <c r="G1405" s="64"/>
      <c r="H1405" s="64"/>
      <c r="I1405" s="64"/>
      <c r="J1405" s="64"/>
      <c r="K1405" s="64"/>
      <c r="L1405" s="64"/>
      <c r="M1405" s="64"/>
      <c r="N1405" s="64"/>
      <c r="O1405" s="64"/>
      <c r="P1405" s="64"/>
      <c r="Q1405" s="64"/>
      <c r="R1405" s="64"/>
      <c r="S1405" s="64"/>
    </row>
    <row r="1406" spans="1:19" x14ac:dyDescent="0.25">
      <c r="A1406" s="63"/>
      <c r="B1406" s="64"/>
      <c r="C1406" s="64"/>
      <c r="D1406" s="64"/>
      <c r="E1406" s="64"/>
      <c r="F1406" s="64"/>
      <c r="G1406" s="64"/>
      <c r="H1406" s="64"/>
      <c r="I1406" s="64"/>
      <c r="J1406" s="64"/>
      <c r="K1406" s="64"/>
      <c r="L1406" s="64"/>
      <c r="M1406" s="64"/>
      <c r="N1406" s="64"/>
      <c r="O1406" s="64"/>
      <c r="P1406" s="64"/>
      <c r="Q1406" s="64"/>
      <c r="R1406" s="64"/>
      <c r="S1406" s="64"/>
    </row>
    <row r="1407" spans="1:19" x14ac:dyDescent="0.25">
      <c r="A1407" s="63"/>
      <c r="B1407" s="64"/>
      <c r="C1407" s="64"/>
      <c r="D1407" s="64"/>
      <c r="E1407" s="64"/>
      <c r="F1407" s="64"/>
      <c r="G1407" s="64"/>
      <c r="H1407" s="64"/>
      <c r="I1407" s="64"/>
      <c r="J1407" s="64"/>
      <c r="K1407" s="64"/>
      <c r="L1407" s="64"/>
      <c r="M1407" s="64"/>
      <c r="N1407" s="64"/>
      <c r="O1407" s="64"/>
      <c r="P1407" s="64"/>
      <c r="Q1407" s="64"/>
      <c r="R1407" s="64"/>
      <c r="S1407" s="64"/>
    </row>
    <row r="1408" spans="1:19" x14ac:dyDescent="0.25">
      <c r="A1408" s="63"/>
      <c r="B1408" s="64"/>
      <c r="C1408" s="64"/>
      <c r="D1408" s="64"/>
      <c r="E1408" s="64"/>
      <c r="F1408" s="64"/>
      <c r="G1408" s="64"/>
      <c r="H1408" s="64"/>
      <c r="I1408" s="64"/>
      <c r="J1408" s="64"/>
      <c r="K1408" s="64"/>
      <c r="L1408" s="64"/>
      <c r="M1408" s="64"/>
      <c r="N1408" s="64"/>
      <c r="O1408" s="64"/>
      <c r="P1408" s="64"/>
      <c r="Q1408" s="64"/>
      <c r="R1408" s="64"/>
      <c r="S1408" s="64"/>
    </row>
    <row r="1409" spans="1:19" x14ac:dyDescent="0.25">
      <c r="A1409" s="63"/>
      <c r="B1409" s="64"/>
      <c r="C1409" s="64"/>
      <c r="D1409" s="64"/>
      <c r="E1409" s="64"/>
      <c r="F1409" s="64"/>
      <c r="G1409" s="64"/>
      <c r="H1409" s="64"/>
      <c r="I1409" s="64"/>
      <c r="J1409" s="64"/>
      <c r="K1409" s="64"/>
      <c r="L1409" s="64"/>
      <c r="M1409" s="64"/>
      <c r="N1409" s="64"/>
      <c r="O1409" s="64"/>
      <c r="P1409" s="64"/>
      <c r="Q1409" s="64"/>
      <c r="R1409" s="64"/>
      <c r="S1409" s="64"/>
    </row>
    <row r="1410" spans="1:19" x14ac:dyDescent="0.25">
      <c r="A1410" s="63"/>
      <c r="B1410" s="64"/>
      <c r="C1410" s="64"/>
      <c r="D1410" s="64"/>
      <c r="E1410" s="64"/>
      <c r="F1410" s="64"/>
      <c r="G1410" s="64"/>
      <c r="H1410" s="64"/>
      <c r="I1410" s="64"/>
      <c r="J1410" s="64"/>
      <c r="K1410" s="64"/>
      <c r="L1410" s="64"/>
      <c r="M1410" s="64"/>
      <c r="N1410" s="64"/>
      <c r="O1410" s="64"/>
      <c r="P1410" s="64"/>
      <c r="Q1410" s="64"/>
      <c r="R1410" s="64"/>
      <c r="S1410" s="64"/>
    </row>
    <row r="1411" spans="1:19" x14ac:dyDescent="0.25">
      <c r="A1411" s="63"/>
      <c r="B1411" s="64"/>
      <c r="C1411" s="64"/>
      <c r="D1411" s="64"/>
      <c r="E1411" s="64"/>
      <c r="F1411" s="64"/>
      <c r="G1411" s="64"/>
      <c r="H1411" s="64"/>
      <c r="I1411" s="64"/>
      <c r="J1411" s="64"/>
      <c r="K1411" s="64"/>
      <c r="L1411" s="64"/>
      <c r="M1411" s="64"/>
      <c r="N1411" s="64"/>
      <c r="O1411" s="64"/>
      <c r="P1411" s="64"/>
      <c r="Q1411" s="64"/>
      <c r="R1411" s="64"/>
      <c r="S1411" s="64"/>
    </row>
    <row r="1412" spans="1:19" x14ac:dyDescent="0.25">
      <c r="A1412" s="63"/>
      <c r="B1412" s="64"/>
      <c r="C1412" s="64"/>
      <c r="D1412" s="64"/>
      <c r="E1412" s="64"/>
      <c r="F1412" s="64"/>
      <c r="G1412" s="64"/>
      <c r="H1412" s="64"/>
      <c r="I1412" s="64"/>
      <c r="J1412" s="64"/>
      <c r="K1412" s="64"/>
      <c r="L1412" s="64"/>
      <c r="M1412" s="64"/>
      <c r="N1412" s="64"/>
      <c r="O1412" s="64"/>
      <c r="P1412" s="64"/>
      <c r="Q1412" s="64"/>
      <c r="R1412" s="64"/>
      <c r="S1412" s="64"/>
    </row>
    <row r="1413" spans="1:19" x14ac:dyDescent="0.25">
      <c r="A1413" s="63"/>
      <c r="B1413" s="64"/>
      <c r="C1413" s="64"/>
      <c r="D1413" s="64"/>
      <c r="E1413" s="64"/>
      <c r="F1413" s="64"/>
      <c r="G1413" s="64"/>
      <c r="H1413" s="64"/>
      <c r="I1413" s="64"/>
      <c r="J1413" s="64"/>
      <c r="K1413" s="64"/>
      <c r="L1413" s="64"/>
      <c r="M1413" s="64"/>
      <c r="N1413" s="64"/>
      <c r="O1413" s="64"/>
      <c r="P1413" s="64"/>
      <c r="Q1413" s="64"/>
      <c r="R1413" s="64"/>
      <c r="S1413" s="64"/>
    </row>
    <row r="1414" spans="1:19" x14ac:dyDescent="0.25">
      <c r="A1414" s="63"/>
      <c r="B1414" s="64"/>
      <c r="C1414" s="64"/>
      <c r="D1414" s="64"/>
      <c r="E1414" s="64"/>
      <c r="F1414" s="64"/>
      <c r="G1414" s="64"/>
      <c r="H1414" s="64"/>
      <c r="I1414" s="64"/>
      <c r="J1414" s="64"/>
      <c r="K1414" s="64"/>
      <c r="L1414" s="64"/>
      <c r="M1414" s="64"/>
      <c r="N1414" s="64"/>
      <c r="O1414" s="64"/>
      <c r="P1414" s="64"/>
      <c r="Q1414" s="64"/>
      <c r="R1414" s="64"/>
      <c r="S1414" s="64"/>
    </row>
    <row r="1415" spans="1:19" x14ac:dyDescent="0.25">
      <c r="A1415" s="63"/>
      <c r="B1415" s="64"/>
      <c r="C1415" s="64"/>
      <c r="D1415" s="64"/>
      <c r="E1415" s="64"/>
      <c r="F1415" s="64"/>
      <c r="G1415" s="64"/>
      <c r="H1415" s="64"/>
      <c r="I1415" s="64"/>
      <c r="J1415" s="64"/>
      <c r="K1415" s="64"/>
      <c r="L1415" s="64"/>
      <c r="M1415" s="64"/>
      <c r="N1415" s="64"/>
      <c r="O1415" s="64"/>
      <c r="P1415" s="64"/>
      <c r="Q1415" s="64"/>
      <c r="R1415" s="64"/>
      <c r="S1415" s="64"/>
    </row>
    <row r="1416" spans="1:19" x14ac:dyDescent="0.25">
      <c r="A1416" s="63"/>
      <c r="B1416" s="64"/>
      <c r="C1416" s="64"/>
      <c r="D1416" s="64"/>
      <c r="E1416" s="64"/>
      <c r="F1416" s="64"/>
      <c r="G1416" s="64"/>
      <c r="H1416" s="64"/>
      <c r="I1416" s="64"/>
      <c r="J1416" s="64"/>
      <c r="K1416" s="64"/>
      <c r="L1416" s="64"/>
      <c r="M1416" s="64"/>
      <c r="N1416" s="64"/>
      <c r="O1416" s="64"/>
      <c r="P1416" s="64"/>
      <c r="Q1416" s="64"/>
      <c r="R1416" s="64"/>
      <c r="S1416" s="64"/>
    </row>
    <row r="1417" spans="1:19" x14ac:dyDescent="0.25">
      <c r="A1417" s="63"/>
      <c r="B1417" s="64"/>
      <c r="C1417" s="64"/>
      <c r="D1417" s="64"/>
      <c r="E1417" s="64"/>
      <c r="F1417" s="64"/>
      <c r="G1417" s="64"/>
      <c r="H1417" s="64"/>
      <c r="I1417" s="64"/>
      <c r="J1417" s="64"/>
      <c r="K1417" s="64"/>
      <c r="L1417" s="64"/>
      <c r="M1417" s="64"/>
      <c r="N1417" s="64"/>
      <c r="O1417" s="64"/>
      <c r="P1417" s="64"/>
      <c r="Q1417" s="64"/>
      <c r="R1417" s="64"/>
      <c r="S1417" s="64"/>
    </row>
    <row r="1418" spans="1:19" x14ac:dyDescent="0.25">
      <c r="A1418" s="63"/>
      <c r="B1418" s="64"/>
      <c r="C1418" s="64"/>
      <c r="D1418" s="64"/>
      <c r="E1418" s="64"/>
      <c r="F1418" s="64"/>
      <c r="G1418" s="64"/>
      <c r="H1418" s="64"/>
      <c r="I1418" s="64"/>
      <c r="J1418" s="64"/>
      <c r="K1418" s="64"/>
      <c r="L1418" s="64"/>
      <c r="M1418" s="64"/>
      <c r="N1418" s="64"/>
      <c r="O1418" s="64"/>
      <c r="P1418" s="64"/>
      <c r="Q1418" s="64"/>
      <c r="R1418" s="64"/>
      <c r="S1418" s="64"/>
    </row>
    <row r="1419" spans="1:19" x14ac:dyDescent="0.25">
      <c r="A1419" s="63"/>
      <c r="B1419" s="64"/>
      <c r="C1419" s="64"/>
      <c r="D1419" s="64"/>
      <c r="E1419" s="64"/>
      <c r="F1419" s="64"/>
      <c r="G1419" s="64"/>
      <c r="H1419" s="64"/>
      <c r="I1419" s="64"/>
      <c r="J1419" s="64"/>
      <c r="K1419" s="64"/>
      <c r="L1419" s="64"/>
      <c r="M1419" s="64"/>
      <c r="N1419" s="64"/>
      <c r="O1419" s="64"/>
      <c r="P1419" s="64"/>
      <c r="Q1419" s="64"/>
      <c r="R1419" s="64"/>
      <c r="S1419" s="64"/>
    </row>
    <row r="1420" spans="1:19" x14ac:dyDescent="0.25">
      <c r="A1420" s="63"/>
      <c r="B1420" s="64"/>
      <c r="C1420" s="64"/>
      <c r="D1420" s="64"/>
      <c r="E1420" s="64"/>
      <c r="F1420" s="64"/>
      <c r="G1420" s="64"/>
      <c r="H1420" s="64"/>
      <c r="I1420" s="64"/>
      <c r="J1420" s="64"/>
      <c r="K1420" s="64"/>
      <c r="L1420" s="64"/>
      <c r="M1420" s="64"/>
      <c r="N1420" s="64"/>
      <c r="O1420" s="64"/>
      <c r="P1420" s="64"/>
      <c r="Q1420" s="64"/>
      <c r="R1420" s="64"/>
      <c r="S1420" s="64"/>
    </row>
    <row r="1421" spans="1:19" x14ac:dyDescent="0.25">
      <c r="A1421" s="63"/>
      <c r="B1421" s="64"/>
      <c r="C1421" s="64"/>
      <c r="D1421" s="64"/>
      <c r="E1421" s="64"/>
      <c r="F1421" s="64"/>
      <c r="G1421" s="64"/>
      <c r="H1421" s="64"/>
      <c r="I1421" s="64"/>
      <c r="J1421" s="64"/>
      <c r="K1421" s="64"/>
      <c r="L1421" s="64"/>
      <c r="M1421" s="64"/>
      <c r="N1421" s="64"/>
      <c r="O1421" s="64"/>
      <c r="P1421" s="64"/>
      <c r="Q1421" s="64"/>
      <c r="R1421" s="64"/>
      <c r="S1421" s="64"/>
    </row>
    <row r="1422" spans="1:19" x14ac:dyDescent="0.25">
      <c r="A1422" s="63"/>
      <c r="B1422" s="64"/>
      <c r="C1422" s="64"/>
      <c r="D1422" s="64"/>
      <c r="E1422" s="64"/>
      <c r="F1422" s="64"/>
      <c r="G1422" s="64"/>
      <c r="H1422" s="64"/>
      <c r="I1422" s="64"/>
      <c r="J1422" s="64"/>
      <c r="K1422" s="64"/>
      <c r="L1422" s="64"/>
      <c r="M1422" s="64"/>
      <c r="N1422" s="64"/>
      <c r="O1422" s="64"/>
      <c r="P1422" s="64"/>
      <c r="Q1422" s="64"/>
      <c r="R1422" s="64"/>
      <c r="S1422" s="64"/>
    </row>
    <row r="1423" spans="1:19" x14ac:dyDescent="0.25">
      <c r="A1423" s="63"/>
      <c r="B1423" s="64"/>
      <c r="C1423" s="64"/>
      <c r="D1423" s="64"/>
      <c r="E1423" s="64"/>
      <c r="F1423" s="64"/>
      <c r="G1423" s="64"/>
      <c r="H1423" s="64"/>
      <c r="I1423" s="64"/>
      <c r="J1423" s="64"/>
      <c r="K1423" s="64"/>
      <c r="L1423" s="64"/>
      <c r="M1423" s="64"/>
      <c r="N1423" s="64"/>
      <c r="O1423" s="64"/>
      <c r="P1423" s="64"/>
      <c r="Q1423" s="64"/>
      <c r="R1423" s="64"/>
      <c r="S1423" s="64"/>
    </row>
    <row r="1424" spans="1:19" x14ac:dyDescent="0.25">
      <c r="A1424" s="63"/>
      <c r="B1424" s="64"/>
      <c r="C1424" s="64"/>
      <c r="D1424" s="64"/>
      <c r="E1424" s="64"/>
      <c r="F1424" s="64"/>
      <c r="G1424" s="64"/>
      <c r="H1424" s="64"/>
      <c r="I1424" s="64"/>
      <c r="J1424" s="64"/>
      <c r="K1424" s="64"/>
      <c r="L1424" s="64"/>
      <c r="M1424" s="64"/>
      <c r="N1424" s="64"/>
      <c r="O1424" s="64"/>
      <c r="P1424" s="64"/>
      <c r="Q1424" s="64"/>
      <c r="R1424" s="64"/>
      <c r="S1424" s="64"/>
    </row>
    <row r="1425" spans="1:19" x14ac:dyDescent="0.25">
      <c r="A1425" s="63"/>
      <c r="B1425" s="64"/>
      <c r="C1425" s="64"/>
      <c r="D1425" s="64"/>
      <c r="E1425" s="64"/>
      <c r="F1425" s="64"/>
      <c r="G1425" s="64"/>
      <c r="H1425" s="64"/>
      <c r="I1425" s="64"/>
      <c r="J1425" s="64"/>
      <c r="K1425" s="64"/>
      <c r="L1425" s="64"/>
      <c r="M1425" s="64"/>
      <c r="N1425" s="64"/>
      <c r="O1425" s="64"/>
      <c r="P1425" s="64"/>
      <c r="Q1425" s="64"/>
      <c r="R1425" s="64"/>
      <c r="S1425" s="64"/>
    </row>
    <row r="1426" spans="1:19" x14ac:dyDescent="0.25">
      <c r="A1426" s="63"/>
      <c r="B1426" s="64"/>
      <c r="C1426" s="64"/>
      <c r="D1426" s="64"/>
      <c r="E1426" s="64"/>
      <c r="F1426" s="64"/>
      <c r="G1426" s="64"/>
      <c r="H1426" s="64"/>
      <c r="I1426" s="64"/>
      <c r="J1426" s="64"/>
      <c r="K1426" s="64"/>
      <c r="L1426" s="64"/>
      <c r="M1426" s="64"/>
      <c r="N1426" s="64"/>
      <c r="O1426" s="64"/>
      <c r="P1426" s="64"/>
      <c r="Q1426" s="64"/>
      <c r="R1426" s="64"/>
      <c r="S1426" s="64"/>
    </row>
    <row r="1427" spans="1:19" x14ac:dyDescent="0.25">
      <c r="A1427" s="63"/>
      <c r="B1427" s="64"/>
      <c r="C1427" s="64"/>
      <c r="D1427" s="64"/>
      <c r="E1427" s="64"/>
      <c r="F1427" s="64"/>
      <c r="G1427" s="64"/>
      <c r="H1427" s="64"/>
      <c r="I1427" s="64"/>
      <c r="J1427" s="64"/>
      <c r="K1427" s="64"/>
      <c r="L1427" s="64"/>
      <c r="M1427" s="64"/>
      <c r="N1427" s="64"/>
      <c r="O1427" s="64"/>
      <c r="P1427" s="64"/>
      <c r="Q1427" s="64"/>
      <c r="R1427" s="64"/>
      <c r="S1427" s="64"/>
    </row>
    <row r="1428" spans="1:19" x14ac:dyDescent="0.25">
      <c r="A1428" s="63"/>
      <c r="B1428" s="64"/>
      <c r="C1428" s="64"/>
      <c r="D1428" s="64"/>
      <c r="E1428" s="64"/>
      <c r="F1428" s="64"/>
      <c r="G1428" s="64"/>
      <c r="H1428" s="64"/>
      <c r="I1428" s="64"/>
      <c r="J1428" s="64"/>
      <c r="K1428" s="64"/>
      <c r="L1428" s="64"/>
      <c r="M1428" s="64"/>
      <c r="N1428" s="64"/>
      <c r="O1428" s="64"/>
      <c r="P1428" s="64"/>
      <c r="Q1428" s="64"/>
      <c r="R1428" s="64"/>
      <c r="S1428" s="64"/>
    </row>
    <row r="1429" spans="1:19" x14ac:dyDescent="0.25">
      <c r="A1429" s="63"/>
      <c r="B1429" s="64"/>
      <c r="C1429" s="64"/>
      <c r="D1429" s="64"/>
      <c r="E1429" s="64"/>
      <c r="F1429" s="64"/>
      <c r="G1429" s="64"/>
      <c r="H1429" s="64"/>
      <c r="I1429" s="64"/>
      <c r="J1429" s="64"/>
      <c r="K1429" s="64"/>
      <c r="L1429" s="64"/>
      <c r="M1429" s="64"/>
      <c r="N1429" s="64"/>
      <c r="O1429" s="64"/>
      <c r="P1429" s="64"/>
      <c r="Q1429" s="64"/>
      <c r="R1429" s="64"/>
      <c r="S1429" s="64"/>
    </row>
    <row r="1430" spans="1:19" x14ac:dyDescent="0.25">
      <c r="A1430" s="63"/>
      <c r="B1430" s="64"/>
      <c r="C1430" s="64"/>
      <c r="D1430" s="64"/>
      <c r="E1430" s="64"/>
      <c r="F1430" s="64"/>
      <c r="G1430" s="64"/>
      <c r="H1430" s="64"/>
      <c r="I1430" s="64"/>
      <c r="J1430" s="64"/>
      <c r="K1430" s="64"/>
      <c r="L1430" s="64"/>
      <c r="M1430" s="64"/>
      <c r="N1430" s="64"/>
      <c r="O1430" s="64"/>
      <c r="P1430" s="64"/>
      <c r="Q1430" s="64"/>
      <c r="R1430" s="64"/>
      <c r="S1430" s="64"/>
    </row>
    <row r="1431" spans="1:19" x14ac:dyDescent="0.25">
      <c r="A1431" s="63"/>
      <c r="B1431" s="64"/>
      <c r="C1431" s="64"/>
      <c r="D1431" s="64"/>
      <c r="E1431" s="64"/>
      <c r="F1431" s="64"/>
      <c r="G1431" s="64"/>
      <c r="H1431" s="64"/>
      <c r="I1431" s="64"/>
      <c r="J1431" s="64"/>
      <c r="K1431" s="64"/>
      <c r="L1431" s="64"/>
      <c r="M1431" s="64"/>
      <c r="N1431" s="64"/>
      <c r="O1431" s="64"/>
      <c r="P1431" s="64"/>
      <c r="Q1431" s="64"/>
      <c r="R1431" s="64"/>
      <c r="S1431" s="64"/>
    </row>
    <row r="1432" spans="1:19" x14ac:dyDescent="0.25">
      <c r="A1432" s="63"/>
      <c r="B1432" s="64"/>
      <c r="C1432" s="64"/>
      <c r="D1432" s="64"/>
      <c r="E1432" s="64"/>
      <c r="F1432" s="64"/>
      <c r="G1432" s="64"/>
      <c r="H1432" s="64"/>
      <c r="I1432" s="64"/>
      <c r="J1432" s="64"/>
      <c r="K1432" s="64"/>
      <c r="L1432" s="64"/>
      <c r="M1432" s="64"/>
      <c r="N1432" s="64"/>
      <c r="O1432" s="64"/>
      <c r="P1432" s="64"/>
      <c r="Q1432" s="64"/>
      <c r="R1432" s="64"/>
      <c r="S1432" s="64"/>
    </row>
    <row r="1433" spans="1:19" x14ac:dyDescent="0.25">
      <c r="A1433" s="63"/>
      <c r="B1433" s="64"/>
      <c r="C1433" s="64"/>
      <c r="D1433" s="64"/>
      <c r="E1433" s="64"/>
      <c r="F1433" s="64"/>
      <c r="G1433" s="64"/>
      <c r="H1433" s="64"/>
      <c r="I1433" s="64"/>
      <c r="J1433" s="64"/>
      <c r="K1433" s="64"/>
      <c r="L1433" s="64"/>
      <c r="M1433" s="64"/>
      <c r="N1433" s="64"/>
      <c r="O1433" s="64"/>
      <c r="P1433" s="64"/>
      <c r="Q1433" s="64"/>
      <c r="R1433" s="64"/>
      <c r="S1433" s="64"/>
    </row>
    <row r="1434" spans="1:19" x14ac:dyDescent="0.25">
      <c r="A1434" s="63"/>
      <c r="B1434" s="64"/>
      <c r="C1434" s="64"/>
      <c r="D1434" s="64"/>
      <c r="E1434" s="64"/>
      <c r="F1434" s="64"/>
      <c r="G1434" s="64"/>
      <c r="H1434" s="64"/>
      <c r="I1434" s="64"/>
      <c r="J1434" s="64"/>
      <c r="K1434" s="64"/>
      <c r="L1434" s="64"/>
      <c r="M1434" s="64"/>
      <c r="N1434" s="64"/>
      <c r="O1434" s="64"/>
      <c r="P1434" s="64"/>
      <c r="Q1434" s="64"/>
      <c r="R1434" s="64"/>
      <c r="S1434" s="64"/>
    </row>
    <row r="1435" spans="1:19" x14ac:dyDescent="0.25">
      <c r="A1435" s="63"/>
      <c r="B1435" s="64"/>
      <c r="C1435" s="64"/>
      <c r="D1435" s="64"/>
      <c r="E1435" s="64"/>
      <c r="F1435" s="64"/>
      <c r="G1435" s="64"/>
      <c r="H1435" s="64"/>
      <c r="I1435" s="64"/>
      <c r="J1435" s="64"/>
      <c r="K1435" s="64"/>
      <c r="L1435" s="64"/>
      <c r="M1435" s="64"/>
      <c r="N1435" s="64"/>
      <c r="O1435" s="64"/>
      <c r="P1435" s="64"/>
      <c r="Q1435" s="64"/>
      <c r="R1435" s="64"/>
      <c r="S1435" s="64"/>
    </row>
    <row r="1436" spans="1:19" x14ac:dyDescent="0.25">
      <c r="A1436" s="63"/>
      <c r="B1436" s="64"/>
      <c r="C1436" s="64"/>
      <c r="D1436" s="64"/>
      <c r="E1436" s="64"/>
      <c r="F1436" s="64"/>
      <c r="G1436" s="64"/>
      <c r="H1436" s="64"/>
      <c r="I1436" s="64"/>
      <c r="J1436" s="64"/>
      <c r="K1436" s="64"/>
      <c r="L1436" s="64"/>
      <c r="M1436" s="64"/>
      <c r="N1436" s="64"/>
      <c r="O1436" s="64"/>
      <c r="P1436" s="64"/>
      <c r="Q1436" s="64"/>
      <c r="R1436" s="64"/>
      <c r="S1436" s="64"/>
    </row>
    <row r="1437" spans="1:19" x14ac:dyDescent="0.25">
      <c r="A1437" s="63"/>
      <c r="B1437" s="64"/>
      <c r="C1437" s="64"/>
      <c r="D1437" s="64"/>
      <c r="E1437" s="64"/>
      <c r="F1437" s="64"/>
      <c r="G1437" s="64"/>
      <c r="H1437" s="64"/>
      <c r="I1437" s="64"/>
      <c r="J1437" s="64"/>
      <c r="K1437" s="64"/>
      <c r="L1437" s="64"/>
      <c r="M1437" s="64"/>
      <c r="N1437" s="64"/>
      <c r="O1437" s="64"/>
      <c r="P1437" s="64"/>
      <c r="Q1437" s="64"/>
      <c r="R1437" s="64"/>
      <c r="S1437" s="64"/>
    </row>
    <row r="1438" spans="1:19" x14ac:dyDescent="0.25">
      <c r="A1438" s="63"/>
      <c r="B1438" s="64"/>
      <c r="C1438" s="64"/>
      <c r="D1438" s="64"/>
      <c r="E1438" s="64"/>
      <c r="F1438" s="64"/>
      <c r="G1438" s="64"/>
      <c r="H1438" s="64"/>
      <c r="I1438" s="64"/>
      <c r="J1438" s="64"/>
      <c r="K1438" s="64"/>
      <c r="L1438" s="64"/>
      <c r="M1438" s="64"/>
      <c r="N1438" s="64"/>
      <c r="O1438" s="64"/>
      <c r="P1438" s="64"/>
      <c r="Q1438" s="64"/>
      <c r="R1438" s="64"/>
      <c r="S1438" s="64"/>
    </row>
    <row r="1439" spans="1:19" x14ac:dyDescent="0.25">
      <c r="A1439" s="63"/>
      <c r="B1439" s="64"/>
      <c r="C1439" s="64"/>
      <c r="D1439" s="64"/>
      <c r="E1439" s="64"/>
      <c r="F1439" s="64"/>
      <c r="G1439" s="64"/>
      <c r="H1439" s="64"/>
      <c r="I1439" s="64"/>
      <c r="J1439" s="64"/>
      <c r="K1439" s="64"/>
      <c r="L1439" s="64"/>
      <c r="M1439" s="64"/>
      <c r="N1439" s="64"/>
      <c r="O1439" s="64"/>
      <c r="P1439" s="64"/>
      <c r="Q1439" s="64"/>
      <c r="R1439" s="64"/>
      <c r="S1439" s="64"/>
    </row>
    <row r="1440" spans="1:19" x14ac:dyDescent="0.25">
      <c r="A1440" s="63"/>
      <c r="B1440" s="64"/>
      <c r="C1440" s="64"/>
      <c r="D1440" s="64"/>
      <c r="E1440" s="64"/>
      <c r="F1440" s="64"/>
      <c r="G1440" s="64"/>
      <c r="H1440" s="64"/>
      <c r="I1440" s="64"/>
      <c r="J1440" s="64"/>
      <c r="K1440" s="64"/>
      <c r="L1440" s="64"/>
      <c r="M1440" s="64"/>
      <c r="N1440" s="64"/>
      <c r="O1440" s="64"/>
      <c r="P1440" s="64"/>
      <c r="Q1440" s="64"/>
      <c r="R1440" s="64"/>
      <c r="S1440" s="64"/>
    </row>
    <row r="1441" spans="1:19" x14ac:dyDescent="0.25">
      <c r="A1441" s="63"/>
      <c r="B1441" s="64"/>
      <c r="C1441" s="64"/>
      <c r="D1441" s="64"/>
      <c r="E1441" s="64"/>
      <c r="F1441" s="64"/>
      <c r="G1441" s="64"/>
      <c r="H1441" s="64"/>
      <c r="I1441" s="64"/>
      <c r="J1441" s="64"/>
      <c r="K1441" s="64"/>
      <c r="L1441" s="64"/>
      <c r="M1441" s="64"/>
      <c r="N1441" s="64"/>
      <c r="O1441" s="64"/>
      <c r="P1441" s="64"/>
      <c r="Q1441" s="64"/>
      <c r="R1441" s="64"/>
      <c r="S1441" s="64"/>
    </row>
    <row r="1442" spans="1:19" x14ac:dyDescent="0.25">
      <c r="A1442" s="63"/>
      <c r="B1442" s="64"/>
      <c r="C1442" s="64"/>
      <c r="D1442" s="64"/>
      <c r="E1442" s="64"/>
      <c r="F1442" s="64"/>
      <c r="G1442" s="64"/>
      <c r="H1442" s="64"/>
      <c r="I1442" s="64"/>
      <c r="J1442" s="64"/>
      <c r="K1442" s="64"/>
      <c r="L1442" s="64"/>
      <c r="M1442" s="64"/>
      <c r="N1442" s="64"/>
      <c r="O1442" s="64"/>
      <c r="P1442" s="64"/>
      <c r="Q1442" s="64"/>
      <c r="R1442" s="64"/>
      <c r="S1442" s="64"/>
    </row>
    <row r="1443" spans="1:19" x14ac:dyDescent="0.25">
      <c r="A1443" s="63"/>
      <c r="B1443" s="64"/>
      <c r="C1443" s="64"/>
      <c r="D1443" s="64"/>
      <c r="E1443" s="64"/>
      <c r="F1443" s="64"/>
      <c r="G1443" s="64"/>
      <c r="H1443" s="64"/>
      <c r="I1443" s="64"/>
      <c r="J1443" s="64"/>
      <c r="K1443" s="64"/>
      <c r="L1443" s="64"/>
      <c r="M1443" s="64"/>
      <c r="N1443" s="64"/>
      <c r="O1443" s="64"/>
      <c r="P1443" s="64"/>
      <c r="Q1443" s="64"/>
      <c r="R1443" s="64"/>
      <c r="S1443" s="64"/>
    </row>
    <row r="1444" spans="1:19" x14ac:dyDescent="0.25">
      <c r="A1444" s="63"/>
      <c r="B1444" s="64"/>
      <c r="C1444" s="64"/>
      <c r="D1444" s="64"/>
      <c r="E1444" s="64"/>
      <c r="F1444" s="64"/>
      <c r="G1444" s="64"/>
      <c r="H1444" s="64"/>
      <c r="I1444" s="64"/>
      <c r="J1444" s="64"/>
      <c r="K1444" s="64"/>
      <c r="L1444" s="64"/>
      <c r="M1444" s="64"/>
      <c r="N1444" s="64"/>
      <c r="O1444" s="64"/>
      <c r="P1444" s="64"/>
      <c r="Q1444" s="64"/>
      <c r="R1444" s="64"/>
      <c r="S1444" s="64"/>
    </row>
    <row r="1445" spans="1:19" x14ac:dyDescent="0.25">
      <c r="A1445" s="63"/>
      <c r="B1445" s="64"/>
      <c r="C1445" s="64"/>
      <c r="D1445" s="64"/>
      <c r="E1445" s="64"/>
      <c r="F1445" s="64"/>
      <c r="G1445" s="64"/>
      <c r="H1445" s="64"/>
      <c r="I1445" s="64"/>
      <c r="J1445" s="64"/>
      <c r="K1445" s="64"/>
      <c r="L1445" s="64"/>
      <c r="M1445" s="64"/>
      <c r="N1445" s="64"/>
      <c r="O1445" s="64"/>
      <c r="P1445" s="64"/>
      <c r="Q1445" s="64"/>
      <c r="R1445" s="64"/>
      <c r="S1445" s="64"/>
    </row>
    <row r="1446" spans="1:19" x14ac:dyDescent="0.25">
      <c r="A1446" s="63"/>
      <c r="B1446" s="64"/>
      <c r="C1446" s="64"/>
      <c r="D1446" s="64"/>
      <c r="E1446" s="64"/>
      <c r="F1446" s="64"/>
      <c r="G1446" s="64"/>
      <c r="H1446" s="64"/>
      <c r="I1446" s="64"/>
      <c r="J1446" s="64"/>
      <c r="K1446" s="64"/>
      <c r="L1446" s="64"/>
      <c r="M1446" s="64"/>
      <c r="N1446" s="64"/>
      <c r="O1446" s="64"/>
      <c r="P1446" s="64"/>
      <c r="Q1446" s="64"/>
      <c r="R1446" s="64"/>
      <c r="S1446" s="64"/>
    </row>
    <row r="1447" spans="1:19" x14ac:dyDescent="0.25">
      <c r="A1447" s="63"/>
      <c r="B1447" s="64"/>
      <c r="C1447" s="64"/>
      <c r="D1447" s="64"/>
      <c r="E1447" s="64"/>
      <c r="F1447" s="64"/>
      <c r="G1447" s="64"/>
      <c r="H1447" s="64"/>
      <c r="I1447" s="64"/>
      <c r="J1447" s="64"/>
      <c r="K1447" s="64"/>
      <c r="L1447" s="64"/>
      <c r="M1447" s="64"/>
      <c r="N1447" s="64"/>
      <c r="O1447" s="64"/>
      <c r="P1447" s="64"/>
      <c r="Q1447" s="64"/>
      <c r="R1447" s="64"/>
      <c r="S1447" s="64"/>
    </row>
    <row r="1448" spans="1:19" x14ac:dyDescent="0.25">
      <c r="A1448" s="63"/>
      <c r="B1448" s="64"/>
      <c r="C1448" s="64"/>
      <c r="D1448" s="64"/>
      <c r="E1448" s="64"/>
      <c r="F1448" s="64"/>
      <c r="G1448" s="64"/>
      <c r="H1448" s="64"/>
      <c r="I1448" s="64"/>
      <c r="J1448" s="64"/>
      <c r="K1448" s="64"/>
      <c r="L1448" s="64"/>
      <c r="M1448" s="64"/>
      <c r="N1448" s="64"/>
      <c r="O1448" s="64"/>
      <c r="P1448" s="64"/>
      <c r="Q1448" s="64"/>
      <c r="R1448" s="64"/>
      <c r="S1448" s="64"/>
    </row>
    <row r="1449" spans="1:19" x14ac:dyDescent="0.25">
      <c r="A1449" s="63"/>
      <c r="B1449" s="64"/>
      <c r="C1449" s="64"/>
      <c r="D1449" s="64"/>
      <c r="E1449" s="64"/>
      <c r="F1449" s="64"/>
      <c r="G1449" s="64"/>
      <c r="H1449" s="64"/>
      <c r="I1449" s="64"/>
      <c r="J1449" s="64"/>
      <c r="K1449" s="64"/>
      <c r="L1449" s="64"/>
      <c r="M1449" s="64"/>
      <c r="N1449" s="64"/>
      <c r="O1449" s="64"/>
      <c r="P1449" s="64"/>
      <c r="Q1449" s="64"/>
      <c r="R1449" s="64"/>
      <c r="S1449" s="64"/>
    </row>
    <row r="1450" spans="1:19" x14ac:dyDescent="0.25">
      <c r="A1450" s="63"/>
      <c r="B1450" s="64"/>
      <c r="C1450" s="64"/>
      <c r="D1450" s="64"/>
      <c r="E1450" s="64"/>
      <c r="F1450" s="64"/>
      <c r="G1450" s="64"/>
      <c r="H1450" s="64"/>
      <c r="I1450" s="64"/>
      <c r="J1450" s="64"/>
      <c r="K1450" s="64"/>
      <c r="L1450" s="64"/>
      <c r="M1450" s="64"/>
      <c r="N1450" s="64"/>
      <c r="O1450" s="64"/>
      <c r="P1450" s="64"/>
      <c r="Q1450" s="64"/>
      <c r="R1450" s="64"/>
      <c r="S1450" s="64"/>
    </row>
    <row r="1451" spans="1:19" x14ac:dyDescent="0.25">
      <c r="A1451" s="63"/>
      <c r="B1451" s="64"/>
      <c r="C1451" s="64"/>
      <c r="D1451" s="64"/>
      <c r="E1451" s="64"/>
      <c r="F1451" s="64"/>
      <c r="G1451" s="64"/>
      <c r="H1451" s="64"/>
      <c r="I1451" s="64"/>
      <c r="J1451" s="64"/>
      <c r="K1451" s="64"/>
      <c r="L1451" s="64"/>
      <c r="M1451" s="64"/>
      <c r="N1451" s="64"/>
      <c r="O1451" s="64"/>
      <c r="P1451" s="64"/>
      <c r="Q1451" s="64"/>
      <c r="R1451" s="64"/>
      <c r="S1451" s="64"/>
    </row>
    <row r="1452" spans="1:19" x14ac:dyDescent="0.25">
      <c r="A1452" s="63"/>
      <c r="B1452" s="64"/>
      <c r="C1452" s="64"/>
      <c r="D1452" s="64"/>
      <c r="E1452" s="64"/>
      <c r="F1452" s="64"/>
      <c r="G1452" s="64"/>
      <c r="H1452" s="64"/>
      <c r="I1452" s="64"/>
      <c r="J1452" s="64"/>
      <c r="K1452" s="64"/>
      <c r="L1452" s="64"/>
      <c r="M1452" s="64"/>
      <c r="N1452" s="64"/>
      <c r="O1452" s="64"/>
      <c r="P1452" s="64"/>
      <c r="Q1452" s="64"/>
      <c r="R1452" s="64"/>
      <c r="S1452" s="64"/>
    </row>
    <row r="1453" spans="1:19" x14ac:dyDescent="0.25">
      <c r="A1453" s="63"/>
      <c r="B1453" s="64"/>
      <c r="C1453" s="64"/>
      <c r="D1453" s="64"/>
      <c r="E1453" s="64"/>
      <c r="F1453" s="64"/>
      <c r="G1453" s="64"/>
      <c r="H1453" s="64"/>
      <c r="I1453" s="64"/>
      <c r="J1453" s="64"/>
      <c r="K1453" s="64"/>
      <c r="L1453" s="64"/>
      <c r="M1453" s="64"/>
      <c r="N1453" s="64"/>
      <c r="O1453" s="64"/>
      <c r="P1453" s="64"/>
      <c r="Q1453" s="64"/>
      <c r="R1453" s="64"/>
      <c r="S1453" s="64"/>
    </row>
    <row r="1454" spans="1:19" x14ac:dyDescent="0.25">
      <c r="A1454" s="63"/>
      <c r="B1454" s="64"/>
      <c r="C1454" s="64"/>
      <c r="D1454" s="64"/>
      <c r="E1454" s="64"/>
      <c r="F1454" s="64"/>
      <c r="G1454" s="64"/>
      <c r="H1454" s="64"/>
      <c r="I1454" s="64"/>
      <c r="J1454" s="64"/>
      <c r="K1454" s="64"/>
      <c r="L1454" s="64"/>
      <c r="M1454" s="64"/>
      <c r="N1454" s="64"/>
      <c r="O1454" s="64"/>
      <c r="P1454" s="64"/>
      <c r="Q1454" s="64"/>
      <c r="R1454" s="64"/>
      <c r="S1454" s="64"/>
    </row>
    <row r="1455" spans="1:19" x14ac:dyDescent="0.25">
      <c r="A1455" s="63"/>
      <c r="B1455" s="64"/>
      <c r="C1455" s="64"/>
      <c r="D1455" s="64"/>
      <c r="E1455" s="64"/>
      <c r="F1455" s="64"/>
      <c r="G1455" s="64"/>
      <c r="H1455" s="64"/>
      <c r="I1455" s="64"/>
      <c r="J1455" s="64"/>
      <c r="K1455" s="64"/>
      <c r="L1455" s="64"/>
      <c r="M1455" s="64"/>
      <c r="N1455" s="64"/>
      <c r="O1455" s="64"/>
      <c r="P1455" s="64"/>
      <c r="Q1455" s="64"/>
      <c r="R1455" s="64"/>
      <c r="S1455" s="64"/>
    </row>
    <row r="1456" spans="1:19" x14ac:dyDescent="0.25">
      <c r="A1456" s="63"/>
      <c r="B1456" s="64"/>
      <c r="C1456" s="64"/>
      <c r="D1456" s="64"/>
      <c r="E1456" s="64"/>
      <c r="F1456" s="64"/>
      <c r="G1456" s="64"/>
      <c r="H1456" s="64"/>
      <c r="I1456" s="64"/>
      <c r="J1456" s="64"/>
      <c r="K1456" s="64"/>
      <c r="L1456" s="64"/>
      <c r="M1456" s="64"/>
      <c r="N1456" s="64"/>
      <c r="O1456" s="64"/>
      <c r="P1456" s="64"/>
      <c r="Q1456" s="64"/>
      <c r="R1456" s="64"/>
      <c r="S1456" s="64"/>
    </row>
    <row r="1457" spans="1:19" x14ac:dyDescent="0.25">
      <c r="A1457" s="63"/>
      <c r="B1457" s="64"/>
      <c r="C1457" s="64"/>
      <c r="D1457" s="64"/>
      <c r="E1457" s="64"/>
      <c r="F1457" s="64"/>
      <c r="G1457" s="64"/>
      <c r="H1457" s="64"/>
      <c r="I1457" s="64"/>
      <c r="J1457" s="64"/>
      <c r="K1457" s="64"/>
      <c r="L1457" s="64"/>
      <c r="M1457" s="64"/>
      <c r="N1457" s="64"/>
      <c r="O1457" s="64"/>
      <c r="P1457" s="64"/>
      <c r="Q1457" s="64"/>
      <c r="R1457" s="64"/>
      <c r="S1457" s="64"/>
    </row>
    <row r="1458" spans="1:19" x14ac:dyDescent="0.25">
      <c r="A1458" s="63"/>
      <c r="B1458" s="64"/>
      <c r="C1458" s="64"/>
      <c r="D1458" s="64"/>
      <c r="E1458" s="64"/>
      <c r="F1458" s="64"/>
      <c r="G1458" s="64"/>
      <c r="H1458" s="64"/>
      <c r="I1458" s="64"/>
      <c r="J1458" s="64"/>
      <c r="K1458" s="64"/>
      <c r="L1458" s="64"/>
      <c r="M1458" s="64"/>
      <c r="N1458" s="64"/>
      <c r="O1458" s="64"/>
      <c r="P1458" s="64"/>
      <c r="Q1458" s="64"/>
      <c r="R1458" s="64"/>
      <c r="S1458" s="64"/>
    </row>
    <row r="1459" spans="1:19" x14ac:dyDescent="0.25">
      <c r="A1459" s="63"/>
      <c r="B1459" s="64"/>
      <c r="C1459" s="64"/>
      <c r="D1459" s="64"/>
      <c r="E1459" s="64"/>
      <c r="F1459" s="64"/>
      <c r="G1459" s="64"/>
      <c r="H1459" s="64"/>
      <c r="I1459" s="64"/>
      <c r="J1459" s="64"/>
      <c r="K1459" s="64"/>
      <c r="L1459" s="64"/>
      <c r="M1459" s="64"/>
      <c r="N1459" s="64"/>
      <c r="O1459" s="64"/>
      <c r="P1459" s="64"/>
      <c r="Q1459" s="64"/>
      <c r="R1459" s="64"/>
      <c r="S1459" s="64"/>
    </row>
    <row r="1460" spans="1:19" x14ac:dyDescent="0.25">
      <c r="A1460" s="63"/>
      <c r="B1460" s="64"/>
      <c r="C1460" s="64"/>
      <c r="D1460" s="64"/>
      <c r="E1460" s="64"/>
      <c r="F1460" s="64"/>
      <c r="G1460" s="64"/>
      <c r="H1460" s="64"/>
      <c r="I1460" s="64"/>
      <c r="J1460" s="64"/>
      <c r="K1460" s="64"/>
      <c r="L1460" s="64"/>
      <c r="M1460" s="64"/>
      <c r="N1460" s="64"/>
      <c r="O1460" s="64"/>
      <c r="P1460" s="64"/>
      <c r="Q1460" s="64"/>
      <c r="R1460" s="64"/>
      <c r="S1460" s="64"/>
    </row>
    <row r="1461" spans="1:19" x14ac:dyDescent="0.25">
      <c r="A1461" s="63"/>
      <c r="B1461" s="64"/>
      <c r="C1461" s="64"/>
      <c r="D1461" s="64"/>
      <c r="E1461" s="64"/>
      <c r="F1461" s="64"/>
      <c r="G1461" s="64"/>
      <c r="H1461" s="64"/>
      <c r="I1461" s="64"/>
      <c r="J1461" s="64"/>
      <c r="K1461" s="64"/>
      <c r="L1461" s="64"/>
      <c r="M1461" s="64"/>
      <c r="N1461" s="64"/>
      <c r="O1461" s="64"/>
      <c r="P1461" s="64"/>
      <c r="Q1461" s="64"/>
      <c r="R1461" s="64"/>
      <c r="S1461" s="64"/>
    </row>
    <row r="1462" spans="1:19" x14ac:dyDescent="0.25">
      <c r="A1462" s="63"/>
      <c r="B1462" s="64"/>
      <c r="C1462" s="64"/>
      <c r="D1462" s="64"/>
      <c r="E1462" s="64"/>
      <c r="F1462" s="64"/>
      <c r="G1462" s="64"/>
      <c r="H1462" s="64"/>
      <c r="I1462" s="64"/>
      <c r="J1462" s="64"/>
      <c r="K1462" s="64"/>
      <c r="L1462" s="64"/>
      <c r="M1462" s="64"/>
      <c r="N1462" s="64"/>
      <c r="O1462" s="64"/>
      <c r="P1462" s="64"/>
      <c r="Q1462" s="64"/>
      <c r="R1462" s="64"/>
      <c r="S1462" s="64"/>
    </row>
    <row r="1463" spans="1:19" x14ac:dyDescent="0.25">
      <c r="A1463" s="63"/>
      <c r="B1463" s="64"/>
      <c r="C1463" s="64"/>
      <c r="D1463" s="64"/>
      <c r="E1463" s="64"/>
      <c r="F1463" s="64"/>
      <c r="G1463" s="64"/>
      <c r="H1463" s="64"/>
      <c r="I1463" s="64"/>
      <c r="J1463" s="64"/>
      <c r="K1463" s="64"/>
      <c r="L1463" s="64"/>
      <c r="M1463" s="64"/>
      <c r="N1463" s="64"/>
      <c r="O1463" s="64"/>
      <c r="P1463" s="64"/>
      <c r="Q1463" s="64"/>
      <c r="R1463" s="64"/>
      <c r="S1463" s="64"/>
    </row>
    <row r="1464" spans="1:19" x14ac:dyDescent="0.25">
      <c r="A1464" s="63"/>
      <c r="B1464" s="64"/>
      <c r="C1464" s="64"/>
      <c r="D1464" s="64"/>
      <c r="E1464" s="64"/>
      <c r="F1464" s="64"/>
      <c r="G1464" s="64"/>
      <c r="H1464" s="64"/>
      <c r="I1464" s="64"/>
      <c r="J1464" s="64"/>
      <c r="K1464" s="64"/>
      <c r="L1464" s="64"/>
      <c r="M1464" s="64"/>
      <c r="N1464" s="64"/>
      <c r="O1464" s="64"/>
      <c r="P1464" s="64"/>
      <c r="Q1464" s="64"/>
      <c r="R1464" s="64"/>
      <c r="S1464" s="64"/>
    </row>
    <row r="1465" spans="1:19" x14ac:dyDescent="0.25">
      <c r="A1465" s="63"/>
      <c r="B1465" s="64"/>
      <c r="C1465" s="64"/>
      <c r="D1465" s="64"/>
      <c r="E1465" s="64"/>
      <c r="F1465" s="64"/>
      <c r="G1465" s="64"/>
      <c r="H1465" s="64"/>
      <c r="I1465" s="64"/>
      <c r="J1465" s="64"/>
      <c r="K1465" s="64"/>
      <c r="L1465" s="64"/>
      <c r="M1465" s="64"/>
      <c r="N1465" s="64"/>
      <c r="O1465" s="64"/>
      <c r="P1465" s="64"/>
      <c r="Q1465" s="64"/>
      <c r="R1465" s="64"/>
      <c r="S1465" s="64"/>
    </row>
    <row r="1466" spans="1:19" x14ac:dyDescent="0.25">
      <c r="A1466" s="63"/>
      <c r="B1466" s="64"/>
      <c r="C1466" s="64"/>
      <c r="D1466" s="64"/>
      <c r="E1466" s="64"/>
      <c r="F1466" s="64"/>
      <c r="G1466" s="64"/>
      <c r="H1466" s="64"/>
      <c r="I1466" s="64"/>
      <c r="J1466" s="64"/>
      <c r="K1466" s="64"/>
      <c r="L1466" s="64"/>
      <c r="M1466" s="64"/>
      <c r="N1466" s="64"/>
      <c r="O1466" s="64"/>
      <c r="P1466" s="64"/>
      <c r="Q1466" s="64"/>
      <c r="R1466" s="64"/>
      <c r="S1466" s="64"/>
    </row>
    <row r="1467" spans="1:19" x14ac:dyDescent="0.25">
      <c r="A1467" s="63"/>
      <c r="B1467" s="64"/>
      <c r="C1467" s="64"/>
      <c r="D1467" s="64"/>
      <c r="E1467" s="64"/>
      <c r="F1467" s="64"/>
      <c r="G1467" s="64"/>
      <c r="H1467" s="64"/>
      <c r="I1467" s="64"/>
      <c r="J1467" s="64"/>
      <c r="K1467" s="64"/>
      <c r="L1467" s="64"/>
      <c r="M1467" s="64"/>
      <c r="N1467" s="64"/>
      <c r="O1467" s="64"/>
      <c r="P1467" s="64"/>
      <c r="Q1467" s="64"/>
      <c r="R1467" s="64"/>
      <c r="S1467" s="64"/>
    </row>
    <row r="1468" spans="1:19" x14ac:dyDescent="0.25">
      <c r="A1468" s="63"/>
      <c r="B1468" s="64"/>
      <c r="C1468" s="64"/>
      <c r="D1468" s="64"/>
      <c r="E1468" s="64"/>
      <c r="F1468" s="64"/>
      <c r="G1468" s="64"/>
      <c r="H1468" s="64"/>
      <c r="I1468" s="64"/>
      <c r="J1468" s="64"/>
      <c r="K1468" s="64"/>
      <c r="L1468" s="64"/>
      <c r="M1468" s="64"/>
      <c r="N1468" s="64"/>
      <c r="O1468" s="64"/>
      <c r="P1468" s="64"/>
      <c r="Q1468" s="64"/>
      <c r="R1468" s="64"/>
      <c r="S1468" s="64"/>
    </row>
    <row r="1469" spans="1:19" x14ac:dyDescent="0.25">
      <c r="A1469" s="63"/>
      <c r="B1469" s="64"/>
      <c r="C1469" s="64"/>
      <c r="D1469" s="64"/>
      <c r="E1469" s="64"/>
      <c r="F1469" s="64"/>
      <c r="G1469" s="64"/>
      <c r="H1469" s="64"/>
      <c r="I1469" s="64"/>
      <c r="J1469" s="64"/>
      <c r="K1469" s="64"/>
      <c r="L1469" s="64"/>
      <c r="M1469" s="64"/>
      <c r="N1469" s="64"/>
      <c r="O1469" s="64"/>
      <c r="P1469" s="64"/>
      <c r="Q1469" s="64"/>
      <c r="R1469" s="64"/>
      <c r="S1469" s="64"/>
    </row>
    <row r="1470" spans="1:19" x14ac:dyDescent="0.25">
      <c r="A1470" s="63"/>
      <c r="B1470" s="64"/>
      <c r="C1470" s="64"/>
      <c r="D1470" s="64"/>
      <c r="E1470" s="64"/>
      <c r="F1470" s="64"/>
      <c r="G1470" s="64"/>
      <c r="H1470" s="64"/>
      <c r="I1470" s="64"/>
      <c r="J1470" s="64"/>
      <c r="K1470" s="64"/>
      <c r="L1470" s="64"/>
      <c r="M1470" s="64"/>
      <c r="N1470" s="64"/>
      <c r="O1470" s="64"/>
      <c r="P1470" s="64"/>
      <c r="Q1470" s="64"/>
      <c r="R1470" s="64"/>
      <c r="S1470" s="64"/>
    </row>
    <row r="1471" spans="1:19" x14ac:dyDescent="0.25">
      <c r="A1471" s="63"/>
      <c r="B1471" s="64"/>
      <c r="C1471" s="64"/>
      <c r="D1471" s="64"/>
      <c r="E1471" s="64"/>
      <c r="F1471" s="64"/>
      <c r="G1471" s="64"/>
      <c r="H1471" s="64"/>
      <c r="I1471" s="64"/>
      <c r="J1471" s="64"/>
      <c r="K1471" s="64"/>
      <c r="L1471" s="64"/>
      <c r="M1471" s="64"/>
      <c r="N1471" s="64"/>
      <c r="O1471" s="64"/>
      <c r="P1471" s="64"/>
      <c r="Q1471" s="64"/>
      <c r="R1471" s="64"/>
      <c r="S1471" s="64"/>
    </row>
    <row r="1472" spans="1:19" x14ac:dyDescent="0.25">
      <c r="A1472" s="63"/>
      <c r="B1472" s="64"/>
      <c r="C1472" s="64"/>
      <c r="D1472" s="64"/>
      <c r="E1472" s="64"/>
      <c r="F1472" s="64"/>
      <c r="G1472" s="64"/>
      <c r="H1472" s="64"/>
      <c r="I1472" s="64"/>
      <c r="J1472" s="64"/>
      <c r="K1472" s="64"/>
      <c r="L1472" s="64"/>
      <c r="M1472" s="64"/>
      <c r="N1472" s="64"/>
      <c r="O1472" s="64"/>
      <c r="P1472" s="64"/>
      <c r="Q1472" s="64"/>
      <c r="R1472" s="64"/>
      <c r="S1472" s="64"/>
    </row>
    <row r="1473" spans="1:19" x14ac:dyDescent="0.25">
      <c r="A1473" s="63"/>
      <c r="B1473" s="64"/>
      <c r="C1473" s="64"/>
      <c r="D1473" s="64"/>
      <c r="E1473" s="64"/>
      <c r="F1473" s="64"/>
      <c r="G1473" s="64"/>
      <c r="H1473" s="64"/>
      <c r="I1473" s="64"/>
      <c r="J1473" s="64"/>
      <c r="K1473" s="64"/>
      <c r="L1473" s="64"/>
      <c r="M1473" s="64"/>
      <c r="N1473" s="64"/>
      <c r="O1473" s="64"/>
      <c r="P1473" s="64"/>
      <c r="Q1473" s="64"/>
      <c r="R1473" s="64"/>
      <c r="S1473" s="64"/>
    </row>
    <row r="1474" spans="1:19" x14ac:dyDescent="0.25">
      <c r="A1474" s="63"/>
      <c r="B1474" s="64"/>
      <c r="C1474" s="64"/>
      <c r="D1474" s="64"/>
      <c r="E1474" s="64"/>
      <c r="F1474" s="64"/>
      <c r="G1474" s="64"/>
      <c r="H1474" s="64"/>
      <c r="I1474" s="64"/>
      <c r="J1474" s="64"/>
      <c r="K1474" s="64"/>
      <c r="L1474" s="64"/>
      <c r="M1474" s="64"/>
      <c r="N1474" s="64"/>
      <c r="O1474" s="64"/>
      <c r="P1474" s="64"/>
      <c r="Q1474" s="64"/>
      <c r="R1474" s="64"/>
      <c r="S1474" s="64"/>
    </row>
    <row r="1475" spans="1:19" x14ac:dyDescent="0.25">
      <c r="A1475" s="63"/>
      <c r="B1475" s="64"/>
      <c r="C1475" s="64"/>
      <c r="D1475" s="64"/>
      <c r="E1475" s="64"/>
      <c r="F1475" s="64"/>
      <c r="G1475" s="64"/>
      <c r="H1475" s="64"/>
      <c r="I1475" s="64"/>
      <c r="J1475" s="64"/>
      <c r="K1475" s="64"/>
      <c r="L1475" s="64"/>
      <c r="M1475" s="64"/>
      <c r="N1475" s="64"/>
      <c r="O1475" s="64"/>
      <c r="P1475" s="64"/>
      <c r="Q1475" s="64"/>
      <c r="R1475" s="64"/>
      <c r="S1475" s="64"/>
    </row>
    <row r="1476" spans="1:19" x14ac:dyDescent="0.25">
      <c r="A1476" s="63"/>
      <c r="B1476" s="64"/>
      <c r="C1476" s="64"/>
      <c r="D1476" s="64"/>
      <c r="E1476" s="64"/>
      <c r="F1476" s="64"/>
      <c r="G1476" s="64"/>
      <c r="H1476" s="64"/>
      <c r="I1476" s="64"/>
      <c r="J1476" s="64"/>
      <c r="K1476" s="64"/>
      <c r="L1476" s="64"/>
      <c r="M1476" s="64"/>
      <c r="N1476" s="64"/>
      <c r="O1476" s="64"/>
      <c r="P1476" s="64"/>
      <c r="Q1476" s="64"/>
      <c r="R1476" s="64"/>
      <c r="S1476" s="64"/>
    </row>
    <row r="1477" spans="1:19" x14ac:dyDescent="0.25">
      <c r="A1477" s="63"/>
      <c r="B1477" s="64"/>
      <c r="C1477" s="64"/>
      <c r="D1477" s="64"/>
      <c r="E1477" s="64"/>
      <c r="F1477" s="64"/>
      <c r="G1477" s="64"/>
      <c r="H1477" s="64"/>
      <c r="I1477" s="64"/>
      <c r="J1477" s="64"/>
      <c r="K1477" s="64"/>
      <c r="L1477" s="64"/>
      <c r="M1477" s="64"/>
      <c r="N1477" s="64"/>
      <c r="O1477" s="64"/>
      <c r="P1477" s="64"/>
      <c r="Q1477" s="64"/>
      <c r="R1477" s="64"/>
      <c r="S1477" s="64"/>
    </row>
    <row r="1478" spans="1:19" x14ac:dyDescent="0.25">
      <c r="A1478" s="63"/>
      <c r="B1478" s="64"/>
      <c r="C1478" s="64"/>
      <c r="D1478" s="64"/>
      <c r="E1478" s="64"/>
      <c r="F1478" s="64"/>
      <c r="G1478" s="64"/>
      <c r="H1478" s="64"/>
      <c r="I1478" s="64"/>
      <c r="J1478" s="64"/>
      <c r="K1478" s="64"/>
      <c r="L1478" s="64"/>
      <c r="M1478" s="64"/>
      <c r="N1478" s="64"/>
      <c r="O1478" s="64"/>
      <c r="P1478" s="64"/>
      <c r="Q1478" s="64"/>
      <c r="R1478" s="64"/>
      <c r="S1478" s="64"/>
    </row>
    <row r="1479" spans="1:19" x14ac:dyDescent="0.25">
      <c r="A1479" s="63"/>
      <c r="B1479" s="64"/>
      <c r="C1479" s="64"/>
      <c r="D1479" s="64"/>
      <c r="E1479" s="64"/>
      <c r="F1479" s="64"/>
      <c r="G1479" s="64"/>
      <c r="H1479" s="64"/>
      <c r="I1479" s="64"/>
      <c r="J1479" s="64"/>
      <c r="K1479" s="64"/>
      <c r="L1479" s="64"/>
      <c r="M1479" s="64"/>
      <c r="N1479" s="64"/>
      <c r="O1479" s="64"/>
      <c r="P1479" s="64"/>
      <c r="Q1479" s="64"/>
      <c r="R1479" s="64"/>
      <c r="S1479" s="64"/>
    </row>
    <row r="1480" spans="1:19" x14ac:dyDescent="0.25">
      <c r="A1480" s="63"/>
      <c r="B1480" s="64"/>
      <c r="C1480" s="64"/>
      <c r="D1480" s="64"/>
      <c r="E1480" s="64"/>
      <c r="F1480" s="64"/>
      <c r="G1480" s="64"/>
      <c r="H1480" s="64"/>
      <c r="I1480" s="64"/>
      <c r="J1480" s="64"/>
      <c r="K1480" s="64"/>
      <c r="L1480" s="64"/>
      <c r="M1480" s="64"/>
      <c r="N1480" s="64"/>
      <c r="O1480" s="64"/>
      <c r="P1480" s="64"/>
      <c r="Q1480" s="64"/>
      <c r="R1480" s="64"/>
      <c r="S1480" s="64"/>
    </row>
    <row r="1481" spans="1:19" x14ac:dyDescent="0.25">
      <c r="A1481" s="63"/>
      <c r="B1481" s="64"/>
      <c r="C1481" s="64"/>
      <c r="D1481" s="64"/>
      <c r="E1481" s="64"/>
      <c r="F1481" s="64"/>
      <c r="G1481" s="64"/>
      <c r="H1481" s="64"/>
      <c r="I1481" s="64"/>
      <c r="J1481" s="64"/>
      <c r="K1481" s="64"/>
      <c r="L1481" s="64"/>
      <c r="M1481" s="64"/>
      <c r="N1481" s="64"/>
      <c r="O1481" s="64"/>
      <c r="P1481" s="64"/>
      <c r="Q1481" s="64"/>
      <c r="R1481" s="64"/>
      <c r="S1481" s="64"/>
    </row>
    <row r="1482" spans="1:19" x14ac:dyDescent="0.25">
      <c r="A1482" s="63"/>
      <c r="B1482" s="64"/>
      <c r="C1482" s="64"/>
      <c r="D1482" s="64"/>
      <c r="E1482" s="64"/>
      <c r="F1482" s="64"/>
      <c r="G1482" s="64"/>
      <c r="H1482" s="64"/>
      <c r="I1482" s="64"/>
      <c r="J1482" s="64"/>
      <c r="K1482" s="64"/>
      <c r="L1482" s="64"/>
      <c r="M1482" s="64"/>
      <c r="N1482" s="64"/>
      <c r="O1482" s="64"/>
      <c r="P1482" s="64"/>
      <c r="Q1482" s="64"/>
      <c r="R1482" s="64"/>
      <c r="S1482" s="64"/>
    </row>
    <row r="1483" spans="1:19" x14ac:dyDescent="0.25">
      <c r="A1483" s="63"/>
      <c r="B1483" s="64"/>
      <c r="C1483" s="64"/>
      <c r="D1483" s="64"/>
      <c r="E1483" s="64"/>
      <c r="F1483" s="64"/>
      <c r="G1483" s="64"/>
      <c r="H1483" s="64"/>
      <c r="I1483" s="64"/>
      <c r="J1483" s="64"/>
      <c r="K1483" s="64"/>
      <c r="L1483" s="64"/>
      <c r="M1483" s="64"/>
      <c r="N1483" s="64"/>
      <c r="O1483" s="64"/>
      <c r="P1483" s="64"/>
      <c r="Q1483" s="64"/>
      <c r="R1483" s="64"/>
      <c r="S1483" s="64"/>
    </row>
    <row r="1484" spans="1:19" x14ac:dyDescent="0.25">
      <c r="A1484" s="63"/>
      <c r="B1484" s="64"/>
      <c r="C1484" s="64"/>
      <c r="D1484" s="64"/>
      <c r="E1484" s="64"/>
      <c r="F1484" s="64"/>
      <c r="G1484" s="64"/>
      <c r="H1484" s="64"/>
      <c r="I1484" s="64"/>
      <c r="J1484" s="64"/>
      <c r="K1484" s="64"/>
      <c r="L1484" s="64"/>
      <c r="M1484" s="64"/>
      <c r="N1484" s="64"/>
      <c r="O1484" s="64"/>
      <c r="P1484" s="64"/>
      <c r="Q1484" s="64"/>
      <c r="R1484" s="64"/>
      <c r="S1484" s="64"/>
    </row>
    <row r="1485" spans="1:19" x14ac:dyDescent="0.25">
      <c r="A1485" s="63"/>
      <c r="B1485" s="64"/>
      <c r="C1485" s="64"/>
      <c r="D1485" s="64"/>
      <c r="E1485" s="64"/>
      <c r="F1485" s="64"/>
      <c r="G1485" s="64"/>
      <c r="H1485" s="64"/>
      <c r="I1485" s="64"/>
      <c r="J1485" s="64"/>
      <c r="K1485" s="64"/>
      <c r="L1485" s="64"/>
      <c r="M1485" s="64"/>
      <c r="N1485" s="64"/>
      <c r="O1485" s="64"/>
      <c r="P1485" s="64"/>
      <c r="Q1485" s="64"/>
      <c r="R1485" s="64"/>
      <c r="S1485" s="64"/>
    </row>
    <row r="1486" spans="1:19" x14ac:dyDescent="0.25">
      <c r="A1486" s="63"/>
      <c r="B1486" s="64"/>
      <c r="C1486" s="64"/>
      <c r="D1486" s="64"/>
      <c r="E1486" s="64"/>
      <c r="F1486" s="64"/>
      <c r="G1486" s="64"/>
      <c r="H1486" s="64"/>
      <c r="I1486" s="64"/>
      <c r="J1486" s="64"/>
      <c r="K1486" s="64"/>
      <c r="L1486" s="64"/>
      <c r="M1486" s="64"/>
      <c r="N1486" s="64"/>
      <c r="O1486" s="64"/>
      <c r="P1486" s="64"/>
      <c r="Q1486" s="64"/>
      <c r="R1486" s="64"/>
      <c r="S1486" s="64"/>
    </row>
    <row r="1487" spans="1:19" x14ac:dyDescent="0.25">
      <c r="A1487" s="63"/>
      <c r="B1487" s="64"/>
      <c r="C1487" s="64"/>
      <c r="D1487" s="64"/>
      <c r="E1487" s="64"/>
      <c r="F1487" s="64"/>
      <c r="G1487" s="64"/>
      <c r="H1487" s="64"/>
      <c r="I1487" s="64"/>
      <c r="J1487" s="64"/>
      <c r="K1487" s="64"/>
      <c r="L1487" s="64"/>
      <c r="M1487" s="64"/>
      <c r="N1487" s="64"/>
      <c r="O1487" s="64"/>
      <c r="P1487" s="64"/>
      <c r="Q1487" s="64"/>
      <c r="R1487" s="64"/>
      <c r="S1487" s="64"/>
    </row>
    <row r="1488" spans="1:19" x14ac:dyDescent="0.25">
      <c r="A1488" s="63"/>
      <c r="B1488" s="64"/>
      <c r="C1488" s="64"/>
      <c r="D1488" s="64"/>
      <c r="E1488" s="64"/>
      <c r="F1488" s="64"/>
      <c r="G1488" s="64"/>
      <c r="H1488" s="64"/>
      <c r="I1488" s="64"/>
      <c r="J1488" s="64"/>
      <c r="K1488" s="64"/>
      <c r="L1488" s="64"/>
      <c r="M1488" s="64"/>
      <c r="N1488" s="64"/>
      <c r="O1488" s="64"/>
      <c r="P1488" s="64"/>
      <c r="Q1488" s="64"/>
      <c r="R1488" s="64"/>
      <c r="S1488" s="64"/>
    </row>
    <row r="1489" spans="1:19" x14ac:dyDescent="0.25">
      <c r="A1489" s="63"/>
      <c r="B1489" s="64"/>
      <c r="C1489" s="64"/>
      <c r="D1489" s="64"/>
      <c r="E1489" s="64"/>
      <c r="F1489" s="64"/>
      <c r="G1489" s="64"/>
      <c r="H1489" s="64"/>
      <c r="I1489" s="64"/>
      <c r="J1489" s="64"/>
      <c r="K1489" s="64"/>
      <c r="L1489" s="64"/>
      <c r="M1489" s="64"/>
      <c r="N1489" s="64"/>
      <c r="O1489" s="64"/>
      <c r="P1489" s="64"/>
      <c r="Q1489" s="64"/>
      <c r="R1489" s="64"/>
      <c r="S1489" s="64"/>
    </row>
    <row r="1490" spans="1:19" x14ac:dyDescent="0.25">
      <c r="A1490" s="63"/>
      <c r="B1490" s="64"/>
      <c r="C1490" s="64"/>
      <c r="D1490" s="64"/>
      <c r="E1490" s="64"/>
      <c r="F1490" s="64"/>
      <c r="G1490" s="64"/>
      <c r="H1490" s="64"/>
      <c r="I1490" s="64"/>
      <c r="J1490" s="64"/>
      <c r="K1490" s="64"/>
      <c r="L1490" s="64"/>
      <c r="M1490" s="64"/>
      <c r="N1490" s="64"/>
      <c r="O1490" s="64"/>
      <c r="P1490" s="64"/>
      <c r="Q1490" s="64"/>
      <c r="R1490" s="64"/>
      <c r="S1490" s="64"/>
    </row>
    <row r="1491" spans="1:19" x14ac:dyDescent="0.25">
      <c r="A1491" s="63"/>
      <c r="B1491" s="64"/>
      <c r="C1491" s="64"/>
      <c r="D1491" s="64"/>
      <c r="E1491" s="64"/>
      <c r="F1491" s="64"/>
      <c r="G1491" s="64"/>
      <c r="H1491" s="64"/>
      <c r="I1491" s="64"/>
      <c r="J1491" s="64"/>
      <c r="K1491" s="64"/>
      <c r="L1491" s="64"/>
      <c r="M1491" s="64"/>
      <c r="N1491" s="64"/>
      <c r="O1491" s="64"/>
      <c r="P1491" s="64"/>
      <c r="Q1491" s="64"/>
      <c r="R1491" s="64"/>
      <c r="S1491" s="64"/>
    </row>
    <row r="1492" spans="1:19" x14ac:dyDescent="0.25">
      <c r="A1492" s="63"/>
      <c r="B1492" s="64"/>
      <c r="C1492" s="64"/>
      <c r="D1492" s="64"/>
      <c r="E1492" s="64"/>
      <c r="F1492" s="64"/>
      <c r="G1492" s="64"/>
      <c r="H1492" s="64"/>
      <c r="I1492" s="64"/>
      <c r="J1492" s="64"/>
      <c r="K1492" s="64"/>
      <c r="L1492" s="64"/>
      <c r="M1492" s="64"/>
      <c r="N1492" s="64"/>
      <c r="O1492" s="64"/>
      <c r="P1492" s="64"/>
      <c r="Q1492" s="64"/>
      <c r="R1492" s="64"/>
      <c r="S1492" s="64"/>
    </row>
    <row r="1493" spans="1:19" x14ac:dyDescent="0.25">
      <c r="A1493" s="63"/>
      <c r="B1493" s="64"/>
      <c r="C1493" s="64"/>
      <c r="D1493" s="64"/>
      <c r="E1493" s="64"/>
      <c r="F1493" s="64"/>
      <c r="G1493" s="64"/>
      <c r="H1493" s="64"/>
      <c r="I1493" s="64"/>
      <c r="J1493" s="64"/>
      <c r="K1493" s="64"/>
      <c r="L1493" s="64"/>
      <c r="M1493" s="64"/>
      <c r="N1493" s="64"/>
      <c r="O1493" s="64"/>
      <c r="P1493" s="64"/>
      <c r="Q1493" s="64"/>
      <c r="R1493" s="64"/>
      <c r="S1493" s="64"/>
    </row>
    <row r="1494" spans="1:19" x14ac:dyDescent="0.25">
      <c r="A1494" s="63"/>
      <c r="B1494" s="64"/>
      <c r="C1494" s="64"/>
      <c r="D1494" s="64"/>
      <c r="E1494" s="64"/>
      <c r="F1494" s="64"/>
      <c r="G1494" s="64"/>
      <c r="H1494" s="64"/>
      <c r="I1494" s="64"/>
      <c r="J1494" s="64"/>
      <c r="K1494" s="64"/>
      <c r="L1494" s="64"/>
      <c r="M1494" s="64"/>
      <c r="N1494" s="64"/>
      <c r="O1494" s="64"/>
      <c r="P1494" s="64"/>
      <c r="Q1494" s="64"/>
      <c r="R1494" s="64"/>
      <c r="S1494" s="64"/>
    </row>
    <row r="1495" spans="1:19" x14ac:dyDescent="0.25">
      <c r="A1495" s="63"/>
      <c r="B1495" s="64"/>
      <c r="C1495" s="64"/>
      <c r="D1495" s="64"/>
      <c r="E1495" s="64"/>
      <c r="F1495" s="64"/>
      <c r="G1495" s="64"/>
      <c r="H1495" s="64"/>
      <c r="I1495" s="64"/>
      <c r="J1495" s="64"/>
      <c r="K1495" s="64"/>
      <c r="L1495" s="64"/>
      <c r="M1495" s="64"/>
      <c r="N1495" s="64"/>
      <c r="O1495" s="64"/>
      <c r="P1495" s="64"/>
      <c r="Q1495" s="64"/>
      <c r="R1495" s="64"/>
      <c r="S1495" s="64"/>
    </row>
    <row r="1496" spans="1:19" x14ac:dyDescent="0.25">
      <c r="A1496" s="63"/>
      <c r="B1496" s="64"/>
      <c r="C1496" s="64"/>
      <c r="D1496" s="64"/>
      <c r="E1496" s="64"/>
      <c r="F1496" s="64"/>
      <c r="G1496" s="64"/>
      <c r="H1496" s="64"/>
      <c r="I1496" s="64"/>
      <c r="J1496" s="64"/>
      <c r="K1496" s="64"/>
      <c r="L1496" s="64"/>
      <c r="M1496" s="64"/>
      <c r="N1496" s="64"/>
      <c r="O1496" s="64"/>
      <c r="P1496" s="64"/>
      <c r="Q1496" s="64"/>
      <c r="R1496" s="64"/>
      <c r="S1496" s="64"/>
    </row>
    <row r="1497" spans="1:19" x14ac:dyDescent="0.25">
      <c r="A1497" s="63"/>
      <c r="B1497" s="64"/>
      <c r="C1497" s="64"/>
      <c r="D1497" s="64"/>
      <c r="E1497" s="64"/>
      <c r="F1497" s="64"/>
      <c r="G1497" s="64"/>
      <c r="H1497" s="64"/>
      <c r="I1497" s="64"/>
      <c r="J1497" s="64"/>
      <c r="K1497" s="64"/>
      <c r="L1497" s="64"/>
      <c r="M1497" s="64"/>
      <c r="N1497" s="64"/>
      <c r="O1497" s="64"/>
      <c r="P1497" s="64"/>
      <c r="Q1497" s="64"/>
      <c r="R1497" s="64"/>
      <c r="S1497" s="64"/>
    </row>
    <row r="1498" spans="1:19" x14ac:dyDescent="0.25">
      <c r="A1498" s="63"/>
      <c r="B1498" s="64"/>
      <c r="C1498" s="64"/>
      <c r="D1498" s="64"/>
      <c r="E1498" s="64"/>
      <c r="F1498" s="64"/>
      <c r="G1498" s="64"/>
      <c r="H1498" s="64"/>
      <c r="I1498" s="64"/>
      <c r="J1498" s="64"/>
      <c r="K1498" s="64"/>
      <c r="L1498" s="64"/>
      <c r="M1498" s="64"/>
      <c r="N1498" s="64"/>
      <c r="O1498" s="64"/>
      <c r="P1498" s="64"/>
      <c r="Q1498" s="64"/>
      <c r="R1498" s="64"/>
      <c r="S1498" s="64"/>
    </row>
    <row r="1499" spans="1:19" x14ac:dyDescent="0.25">
      <c r="A1499" s="63"/>
      <c r="B1499" s="64"/>
      <c r="C1499" s="64"/>
      <c r="D1499" s="64"/>
      <c r="E1499" s="64"/>
      <c r="F1499" s="64"/>
      <c r="G1499" s="64"/>
      <c r="H1499" s="64"/>
      <c r="I1499" s="64"/>
      <c r="J1499" s="64"/>
      <c r="K1499" s="64"/>
      <c r="L1499" s="64"/>
      <c r="M1499" s="64"/>
      <c r="N1499" s="64"/>
      <c r="O1499" s="64"/>
      <c r="P1499" s="64"/>
      <c r="Q1499" s="64"/>
      <c r="R1499" s="64"/>
      <c r="S1499" s="64"/>
    </row>
    <row r="1500" spans="1:19" x14ac:dyDescent="0.25">
      <c r="A1500" s="63"/>
      <c r="B1500" s="64"/>
      <c r="C1500" s="64"/>
      <c r="D1500" s="64"/>
      <c r="E1500" s="64"/>
      <c r="F1500" s="64"/>
      <c r="G1500" s="64"/>
      <c r="H1500" s="64"/>
      <c r="I1500" s="64"/>
      <c r="J1500" s="64"/>
      <c r="K1500" s="64"/>
      <c r="L1500" s="64"/>
      <c r="M1500" s="64"/>
      <c r="N1500" s="64"/>
      <c r="O1500" s="64"/>
      <c r="P1500" s="64"/>
      <c r="Q1500" s="64"/>
      <c r="R1500" s="64"/>
      <c r="S1500" s="64"/>
    </row>
    <row r="1501" spans="1:19" x14ac:dyDescent="0.25">
      <c r="A1501" s="63"/>
      <c r="B1501" s="64"/>
      <c r="C1501" s="64"/>
      <c r="D1501" s="64"/>
      <c r="E1501" s="64"/>
      <c r="F1501" s="64"/>
      <c r="G1501" s="64"/>
      <c r="H1501" s="64"/>
      <c r="I1501" s="64"/>
      <c r="J1501" s="64"/>
      <c r="K1501" s="64"/>
      <c r="L1501" s="64"/>
      <c r="M1501" s="64"/>
      <c r="N1501" s="64"/>
      <c r="O1501" s="64"/>
      <c r="P1501" s="64"/>
      <c r="Q1501" s="64"/>
      <c r="R1501" s="64"/>
      <c r="S1501" s="64"/>
    </row>
    <row r="1502" spans="1:19" x14ac:dyDescent="0.25">
      <c r="A1502" s="63"/>
      <c r="B1502" s="64"/>
      <c r="C1502" s="64"/>
      <c r="D1502" s="64"/>
      <c r="E1502" s="64"/>
      <c r="F1502" s="64"/>
      <c r="G1502" s="64"/>
      <c r="H1502" s="64"/>
      <c r="I1502" s="64"/>
      <c r="J1502" s="64"/>
      <c r="K1502" s="64"/>
      <c r="L1502" s="64"/>
      <c r="M1502" s="64"/>
      <c r="N1502" s="64"/>
      <c r="O1502" s="64"/>
      <c r="P1502" s="64"/>
      <c r="Q1502" s="64"/>
      <c r="R1502" s="64"/>
      <c r="S1502" s="64"/>
    </row>
    <row r="1503" spans="1:19" x14ac:dyDescent="0.25">
      <c r="A1503" s="63"/>
      <c r="B1503" s="64"/>
      <c r="C1503" s="64"/>
      <c r="D1503" s="64"/>
      <c r="E1503" s="64"/>
      <c r="F1503" s="64"/>
      <c r="G1503" s="64"/>
      <c r="H1503" s="64"/>
      <c r="I1503" s="64"/>
      <c r="J1503" s="64"/>
      <c r="K1503" s="64"/>
      <c r="L1503" s="64"/>
      <c r="M1503" s="64"/>
      <c r="N1503" s="64"/>
      <c r="O1503" s="64"/>
      <c r="P1503" s="64"/>
      <c r="Q1503" s="64"/>
      <c r="R1503" s="64"/>
      <c r="S1503" s="64"/>
    </row>
    <row r="1504" spans="1:19" x14ac:dyDescent="0.25">
      <c r="A1504" s="63"/>
      <c r="B1504" s="64"/>
      <c r="C1504" s="64"/>
      <c r="D1504" s="64"/>
      <c r="E1504" s="64"/>
      <c r="F1504" s="64"/>
      <c r="G1504" s="64"/>
      <c r="H1504" s="64"/>
      <c r="I1504" s="64"/>
      <c r="J1504" s="64"/>
      <c r="K1504" s="64"/>
      <c r="L1504" s="64"/>
      <c r="M1504" s="64"/>
      <c r="N1504" s="64"/>
      <c r="O1504" s="64"/>
      <c r="P1504" s="64"/>
      <c r="Q1504" s="64"/>
      <c r="R1504" s="64"/>
      <c r="S1504" s="64"/>
    </row>
    <row r="1505" spans="1:19" x14ac:dyDescent="0.25">
      <c r="A1505" s="63"/>
      <c r="B1505" s="64"/>
      <c r="C1505" s="64"/>
      <c r="D1505" s="64"/>
      <c r="E1505" s="64"/>
      <c r="F1505" s="64"/>
      <c r="G1505" s="64"/>
      <c r="H1505" s="64"/>
      <c r="I1505" s="64"/>
      <c r="J1505" s="64"/>
      <c r="K1505" s="64"/>
      <c r="L1505" s="64"/>
      <c r="M1505" s="64"/>
      <c r="N1505" s="64"/>
      <c r="O1505" s="64"/>
      <c r="P1505" s="64"/>
      <c r="Q1505" s="64"/>
      <c r="R1505" s="64"/>
      <c r="S1505" s="64"/>
    </row>
    <row r="1506" spans="1:19" x14ac:dyDescent="0.25">
      <c r="A1506" s="63"/>
      <c r="B1506" s="64"/>
      <c r="C1506" s="64"/>
      <c r="D1506" s="64"/>
      <c r="E1506" s="64"/>
      <c r="F1506" s="64"/>
      <c r="G1506" s="64"/>
      <c r="H1506" s="64"/>
      <c r="I1506" s="64"/>
      <c r="J1506" s="64"/>
      <c r="K1506" s="64"/>
      <c r="L1506" s="64"/>
      <c r="M1506" s="64"/>
      <c r="N1506" s="64"/>
      <c r="O1506" s="64"/>
      <c r="P1506" s="64"/>
      <c r="Q1506" s="64"/>
      <c r="R1506" s="64"/>
      <c r="S1506" s="64"/>
    </row>
    <row r="1507" spans="1:19" x14ac:dyDescent="0.25">
      <c r="A1507" s="63"/>
      <c r="B1507" s="64"/>
      <c r="C1507" s="64"/>
      <c r="D1507" s="64"/>
      <c r="E1507" s="64"/>
      <c r="F1507" s="64"/>
      <c r="G1507" s="64"/>
      <c r="H1507" s="64"/>
      <c r="I1507" s="64"/>
      <c r="J1507" s="64"/>
      <c r="K1507" s="64"/>
      <c r="L1507" s="64"/>
      <c r="M1507" s="64"/>
      <c r="N1507" s="64"/>
      <c r="O1507" s="64"/>
      <c r="P1507" s="64"/>
      <c r="Q1507" s="64"/>
      <c r="R1507" s="64"/>
      <c r="S1507" s="64"/>
    </row>
    <row r="1508" spans="1:19" x14ac:dyDescent="0.25">
      <c r="A1508" s="63"/>
      <c r="B1508" s="64"/>
      <c r="C1508" s="64"/>
      <c r="D1508" s="64"/>
      <c r="E1508" s="64"/>
      <c r="F1508" s="64"/>
      <c r="G1508" s="64"/>
      <c r="H1508" s="64"/>
      <c r="I1508" s="64"/>
      <c r="J1508" s="64"/>
      <c r="K1508" s="64"/>
      <c r="L1508" s="64"/>
      <c r="M1508" s="64"/>
      <c r="N1508" s="64"/>
      <c r="O1508" s="64"/>
      <c r="P1508" s="64"/>
      <c r="Q1508" s="64"/>
      <c r="R1508" s="64"/>
      <c r="S1508" s="64"/>
    </row>
    <row r="1509" spans="1:19" x14ac:dyDescent="0.25">
      <c r="A1509" s="63"/>
      <c r="B1509" s="64"/>
      <c r="C1509" s="64"/>
      <c r="D1509" s="64"/>
      <c r="E1509" s="64"/>
      <c r="F1509" s="64"/>
      <c r="G1509" s="64"/>
      <c r="H1509" s="64"/>
      <c r="I1509" s="64"/>
      <c r="J1509" s="64"/>
      <c r="K1509" s="64"/>
      <c r="L1509" s="64"/>
      <c r="M1509" s="64"/>
      <c r="N1509" s="64"/>
      <c r="O1509" s="64"/>
      <c r="P1509" s="64"/>
      <c r="Q1509" s="64"/>
      <c r="R1509" s="64"/>
      <c r="S1509" s="64"/>
    </row>
    <row r="1510" spans="1:19" x14ac:dyDescent="0.25">
      <c r="A1510" s="63"/>
      <c r="B1510" s="64"/>
      <c r="C1510" s="64"/>
      <c r="D1510" s="64"/>
      <c r="E1510" s="64"/>
      <c r="F1510" s="64"/>
      <c r="G1510" s="64"/>
      <c r="H1510" s="64"/>
      <c r="I1510" s="64"/>
      <c r="J1510" s="64"/>
      <c r="K1510" s="64"/>
      <c r="L1510" s="64"/>
      <c r="M1510" s="64"/>
      <c r="N1510" s="64"/>
      <c r="O1510" s="64"/>
      <c r="P1510" s="64"/>
      <c r="Q1510" s="64"/>
      <c r="R1510" s="64"/>
      <c r="S1510" s="64"/>
    </row>
    <row r="1511" spans="1:19" x14ac:dyDescent="0.25">
      <c r="A1511" s="63"/>
      <c r="B1511" s="64"/>
      <c r="C1511" s="64"/>
      <c r="D1511" s="64"/>
      <c r="E1511" s="64"/>
      <c r="F1511" s="64"/>
      <c r="G1511" s="64"/>
      <c r="H1511" s="64"/>
      <c r="I1511" s="64"/>
      <c r="J1511" s="64"/>
      <c r="K1511" s="64"/>
      <c r="L1511" s="64"/>
      <c r="M1511" s="64"/>
      <c r="N1511" s="64"/>
      <c r="O1511" s="64"/>
      <c r="P1511" s="64"/>
      <c r="Q1511" s="64"/>
      <c r="R1511" s="64"/>
      <c r="S1511" s="64"/>
    </row>
    <row r="1512" spans="1:19" x14ac:dyDescent="0.25">
      <c r="A1512" s="63"/>
      <c r="B1512" s="64"/>
      <c r="C1512" s="64"/>
      <c r="D1512" s="64"/>
      <c r="E1512" s="64"/>
      <c r="F1512" s="64"/>
      <c r="G1512" s="64"/>
      <c r="H1512" s="64"/>
      <c r="I1512" s="64"/>
      <c r="J1512" s="64"/>
      <c r="K1512" s="64"/>
      <c r="L1512" s="64"/>
      <c r="M1512" s="64"/>
      <c r="N1512" s="64"/>
      <c r="O1512" s="64"/>
      <c r="P1512" s="64"/>
      <c r="Q1512" s="64"/>
      <c r="R1512" s="64"/>
      <c r="S1512" s="64"/>
    </row>
    <row r="1513" spans="1:19" x14ac:dyDescent="0.25">
      <c r="A1513" s="63"/>
      <c r="B1513" s="64"/>
      <c r="C1513" s="64"/>
      <c r="D1513" s="64"/>
      <c r="E1513" s="64"/>
      <c r="F1513" s="64"/>
      <c r="G1513" s="64"/>
      <c r="H1513" s="64"/>
      <c r="I1513" s="64"/>
      <c r="J1513" s="64"/>
      <c r="K1513" s="64"/>
      <c r="L1513" s="64"/>
      <c r="M1513" s="64"/>
      <c r="N1513" s="64"/>
      <c r="O1513" s="64"/>
      <c r="P1513" s="64"/>
      <c r="Q1513" s="64"/>
      <c r="R1513" s="64"/>
      <c r="S1513" s="64"/>
    </row>
    <row r="1514" spans="1:19" x14ac:dyDescent="0.25">
      <c r="A1514" s="63"/>
      <c r="B1514" s="64"/>
      <c r="C1514" s="64"/>
      <c r="D1514" s="64"/>
      <c r="E1514" s="64"/>
      <c r="F1514" s="64"/>
      <c r="G1514" s="64"/>
      <c r="H1514" s="64"/>
      <c r="I1514" s="64"/>
      <c r="J1514" s="64"/>
      <c r="K1514" s="64"/>
      <c r="L1514" s="64"/>
      <c r="M1514" s="64"/>
      <c r="N1514" s="64"/>
      <c r="O1514" s="64"/>
      <c r="P1514" s="64"/>
      <c r="Q1514" s="64"/>
      <c r="R1514" s="64"/>
      <c r="S1514" s="64"/>
    </row>
    <row r="1515" spans="1:19" x14ac:dyDescent="0.25">
      <c r="A1515" s="63"/>
      <c r="B1515" s="64"/>
      <c r="C1515" s="64"/>
      <c r="D1515" s="64"/>
      <c r="E1515" s="64"/>
      <c r="F1515" s="64"/>
      <c r="G1515" s="64"/>
      <c r="H1515" s="64"/>
      <c r="I1515" s="64"/>
      <c r="J1515" s="64"/>
      <c r="K1515" s="64"/>
      <c r="L1515" s="64"/>
      <c r="M1515" s="64"/>
      <c r="N1515" s="64"/>
      <c r="O1515" s="64"/>
      <c r="P1515" s="64"/>
      <c r="Q1515" s="64"/>
      <c r="R1515" s="64"/>
      <c r="S1515" s="64"/>
    </row>
    <row r="1516" spans="1:19" x14ac:dyDescent="0.25">
      <c r="A1516" s="63"/>
      <c r="B1516" s="64"/>
      <c r="C1516" s="64"/>
      <c r="D1516" s="64"/>
      <c r="E1516" s="64"/>
      <c r="F1516" s="64"/>
      <c r="G1516" s="64"/>
      <c r="H1516" s="64"/>
      <c r="I1516" s="64"/>
      <c r="J1516" s="64"/>
      <c r="K1516" s="64"/>
      <c r="L1516" s="64"/>
      <c r="M1516" s="64"/>
      <c r="N1516" s="64"/>
      <c r="O1516" s="64"/>
      <c r="P1516" s="64"/>
      <c r="Q1516" s="64"/>
      <c r="R1516" s="64"/>
      <c r="S1516" s="64"/>
    </row>
    <row r="1517" spans="1:19" x14ac:dyDescent="0.25">
      <c r="A1517" s="63"/>
      <c r="B1517" s="64"/>
      <c r="C1517" s="64"/>
      <c r="D1517" s="64"/>
      <c r="E1517" s="64"/>
      <c r="F1517" s="64"/>
      <c r="G1517" s="64"/>
      <c r="H1517" s="64"/>
      <c r="I1517" s="64"/>
      <c r="J1517" s="64"/>
      <c r="K1517" s="64"/>
      <c r="L1517" s="64"/>
      <c r="M1517" s="64"/>
      <c r="N1517" s="64"/>
      <c r="O1517" s="64"/>
      <c r="P1517" s="64"/>
      <c r="Q1517" s="64"/>
      <c r="R1517" s="64"/>
      <c r="S1517" s="64"/>
    </row>
    <row r="1518" spans="1:19" x14ac:dyDescent="0.25">
      <c r="A1518" s="63"/>
      <c r="B1518" s="64"/>
      <c r="C1518" s="64"/>
      <c r="D1518" s="64"/>
      <c r="E1518" s="64"/>
      <c r="F1518" s="64"/>
      <c r="G1518" s="64"/>
      <c r="H1518" s="64"/>
      <c r="I1518" s="64"/>
      <c r="J1518" s="64"/>
      <c r="K1518" s="64"/>
      <c r="L1518" s="64"/>
      <c r="M1518" s="64"/>
      <c r="N1518" s="64"/>
      <c r="O1518" s="64"/>
      <c r="P1518" s="64"/>
      <c r="Q1518" s="64"/>
      <c r="R1518" s="64"/>
      <c r="S1518" s="64"/>
    </row>
    <row r="1519" spans="1:19" x14ac:dyDescent="0.25">
      <c r="A1519" s="63"/>
      <c r="B1519" s="64"/>
      <c r="C1519" s="64"/>
      <c r="D1519" s="64"/>
      <c r="E1519" s="64"/>
      <c r="F1519" s="64"/>
      <c r="G1519" s="64"/>
      <c r="H1519" s="64"/>
      <c r="I1519" s="64"/>
      <c r="J1519" s="64"/>
      <c r="K1519" s="64"/>
      <c r="L1519" s="64"/>
      <c r="M1519" s="64"/>
      <c r="N1519" s="64"/>
      <c r="O1519" s="64"/>
      <c r="P1519" s="64"/>
      <c r="Q1519" s="64"/>
      <c r="R1519" s="64"/>
      <c r="S1519" s="64"/>
    </row>
    <row r="1520" spans="1:19" x14ac:dyDescent="0.25">
      <c r="A1520" s="63"/>
      <c r="B1520" s="64"/>
      <c r="C1520" s="64"/>
      <c r="D1520" s="64"/>
      <c r="E1520" s="64"/>
      <c r="F1520" s="64"/>
      <c r="G1520" s="64"/>
      <c r="H1520" s="64"/>
      <c r="I1520" s="64"/>
      <c r="J1520" s="64"/>
      <c r="K1520" s="64"/>
      <c r="L1520" s="64"/>
      <c r="M1520" s="64"/>
      <c r="N1520" s="64"/>
      <c r="O1520" s="64"/>
      <c r="P1520" s="64"/>
      <c r="Q1520" s="64"/>
      <c r="R1520" s="64"/>
      <c r="S1520" s="64"/>
    </row>
    <row r="1521" spans="1:19" x14ac:dyDescent="0.25">
      <c r="A1521" s="63"/>
      <c r="B1521" s="64"/>
      <c r="C1521" s="64"/>
      <c r="D1521" s="64"/>
      <c r="E1521" s="64"/>
      <c r="F1521" s="64"/>
      <c r="G1521" s="64"/>
      <c r="H1521" s="64"/>
      <c r="I1521" s="64"/>
      <c r="J1521" s="64"/>
      <c r="K1521" s="64"/>
      <c r="L1521" s="64"/>
      <c r="M1521" s="64"/>
      <c r="N1521" s="64"/>
      <c r="O1521" s="64"/>
      <c r="P1521" s="64"/>
      <c r="Q1521" s="64"/>
      <c r="R1521" s="64"/>
      <c r="S1521" s="64"/>
    </row>
    <row r="1522" spans="1:19" x14ac:dyDescent="0.25">
      <c r="A1522" s="63"/>
      <c r="B1522" s="64"/>
      <c r="C1522" s="64"/>
      <c r="D1522" s="64"/>
      <c r="E1522" s="64"/>
      <c r="F1522" s="64"/>
      <c r="G1522" s="64"/>
      <c r="H1522" s="64"/>
      <c r="I1522" s="64"/>
      <c r="J1522" s="64"/>
      <c r="K1522" s="64"/>
      <c r="L1522" s="64"/>
      <c r="M1522" s="64"/>
      <c r="N1522" s="64"/>
      <c r="O1522" s="64"/>
      <c r="P1522" s="64"/>
      <c r="Q1522" s="64"/>
      <c r="R1522" s="64"/>
      <c r="S1522" s="64"/>
    </row>
    <row r="1523" spans="1:19" x14ac:dyDescent="0.25">
      <c r="A1523" s="63"/>
      <c r="B1523" s="64"/>
      <c r="C1523" s="64"/>
      <c r="D1523" s="64"/>
      <c r="E1523" s="64"/>
      <c r="F1523" s="64"/>
      <c r="G1523" s="64"/>
      <c r="H1523" s="64"/>
      <c r="I1523" s="64"/>
      <c r="J1523" s="64"/>
      <c r="K1523" s="64"/>
      <c r="L1523" s="64"/>
      <c r="M1523" s="64"/>
      <c r="N1523" s="64"/>
      <c r="O1523" s="64"/>
      <c r="P1523" s="64"/>
      <c r="Q1523" s="64"/>
      <c r="R1523" s="64"/>
      <c r="S1523" s="64"/>
    </row>
    <row r="1524" spans="1:19" x14ac:dyDescent="0.25">
      <c r="A1524" s="63"/>
      <c r="B1524" s="64"/>
      <c r="C1524" s="64"/>
      <c r="D1524" s="64"/>
      <c r="E1524" s="64"/>
      <c r="F1524" s="64"/>
      <c r="G1524" s="64"/>
      <c r="H1524" s="64"/>
      <c r="I1524" s="64"/>
      <c r="J1524" s="64"/>
      <c r="K1524" s="64"/>
      <c r="L1524" s="64"/>
      <c r="M1524" s="64"/>
      <c r="N1524" s="64"/>
      <c r="O1524" s="64"/>
      <c r="P1524" s="64"/>
      <c r="Q1524" s="64"/>
      <c r="R1524" s="64"/>
      <c r="S1524" s="64"/>
    </row>
    <row r="1525" spans="1:19" x14ac:dyDescent="0.25">
      <c r="A1525" s="63"/>
      <c r="B1525" s="64"/>
      <c r="C1525" s="64"/>
      <c r="D1525" s="64"/>
      <c r="E1525" s="64"/>
      <c r="F1525" s="64"/>
      <c r="G1525" s="64"/>
      <c r="H1525" s="64"/>
      <c r="I1525" s="64"/>
      <c r="J1525" s="64"/>
      <c r="K1525" s="64"/>
      <c r="L1525" s="64"/>
      <c r="M1525" s="64"/>
      <c r="N1525" s="64"/>
      <c r="O1525" s="64"/>
      <c r="P1525" s="64"/>
      <c r="Q1525" s="64"/>
      <c r="R1525" s="64"/>
      <c r="S1525" s="64"/>
    </row>
    <row r="1526" spans="1:19" x14ac:dyDescent="0.25">
      <c r="A1526" s="63"/>
      <c r="B1526" s="64"/>
      <c r="C1526" s="64"/>
      <c r="D1526" s="64"/>
      <c r="E1526" s="64"/>
      <c r="F1526" s="64"/>
      <c r="G1526" s="64"/>
      <c r="H1526" s="64"/>
      <c r="I1526" s="64"/>
      <c r="J1526" s="64"/>
      <c r="K1526" s="64"/>
      <c r="L1526" s="64"/>
      <c r="M1526" s="64"/>
      <c r="N1526" s="64"/>
      <c r="O1526" s="64"/>
      <c r="P1526" s="64"/>
      <c r="Q1526" s="64"/>
      <c r="R1526" s="64"/>
      <c r="S1526" s="64"/>
    </row>
    <row r="1527" spans="1:19" x14ac:dyDescent="0.25">
      <c r="A1527" s="63"/>
      <c r="B1527" s="64"/>
      <c r="C1527" s="64"/>
      <c r="D1527" s="64"/>
      <c r="E1527" s="64"/>
      <c r="F1527" s="64"/>
      <c r="G1527" s="64"/>
      <c r="H1527" s="64"/>
      <c r="I1527" s="64"/>
      <c r="J1527" s="64"/>
      <c r="K1527" s="64"/>
      <c r="L1527" s="64"/>
      <c r="M1527" s="64"/>
      <c r="N1527" s="64"/>
      <c r="O1527" s="64"/>
      <c r="P1527" s="64"/>
      <c r="Q1527" s="64"/>
      <c r="R1527" s="64"/>
      <c r="S1527" s="64"/>
    </row>
    <row r="1528" spans="1:19" x14ac:dyDescent="0.25">
      <c r="A1528" s="63"/>
      <c r="B1528" s="64"/>
      <c r="C1528" s="64"/>
      <c r="D1528" s="64"/>
      <c r="E1528" s="64"/>
      <c r="F1528" s="64"/>
      <c r="G1528" s="64"/>
      <c r="H1528" s="64"/>
      <c r="I1528" s="64"/>
      <c r="J1528" s="64"/>
      <c r="K1528" s="64"/>
      <c r="L1528" s="64"/>
      <c r="M1528" s="64"/>
      <c r="N1528" s="64"/>
      <c r="O1528" s="64"/>
      <c r="P1528" s="64"/>
      <c r="Q1528" s="64"/>
      <c r="R1528" s="64"/>
      <c r="S1528" s="64"/>
    </row>
    <row r="1529" spans="1:19" x14ac:dyDescent="0.25">
      <c r="A1529" s="63"/>
      <c r="B1529" s="64"/>
      <c r="C1529" s="64"/>
      <c r="D1529" s="64"/>
      <c r="E1529" s="64"/>
      <c r="F1529" s="64"/>
      <c r="G1529" s="64"/>
      <c r="H1529" s="64"/>
      <c r="I1529" s="64"/>
      <c r="J1529" s="64"/>
      <c r="K1529" s="64"/>
      <c r="L1529" s="64"/>
      <c r="M1529" s="64"/>
      <c r="N1529" s="64"/>
      <c r="O1529" s="64"/>
      <c r="P1529" s="64"/>
      <c r="Q1529" s="64"/>
      <c r="R1529" s="64"/>
      <c r="S1529" s="64"/>
    </row>
    <row r="1530" spans="1:19" x14ac:dyDescent="0.25">
      <c r="A1530" s="63"/>
      <c r="B1530" s="64"/>
      <c r="C1530" s="64"/>
      <c r="D1530" s="64"/>
      <c r="E1530" s="64"/>
      <c r="F1530" s="64"/>
      <c r="G1530" s="64"/>
      <c r="H1530" s="64"/>
      <c r="I1530" s="64"/>
      <c r="J1530" s="64"/>
      <c r="K1530" s="64"/>
      <c r="L1530" s="64"/>
      <c r="M1530" s="64"/>
      <c r="N1530" s="64"/>
      <c r="O1530" s="64"/>
      <c r="P1530" s="64"/>
      <c r="Q1530" s="64"/>
      <c r="R1530" s="64"/>
      <c r="S1530" s="64"/>
    </row>
    <row r="1531" spans="1:19" x14ac:dyDescent="0.25">
      <c r="A1531" s="63"/>
      <c r="B1531" s="64"/>
      <c r="C1531" s="64"/>
      <c r="D1531" s="64"/>
      <c r="E1531" s="64"/>
      <c r="F1531" s="64"/>
      <c r="G1531" s="64"/>
      <c r="H1531" s="64"/>
      <c r="I1531" s="64"/>
      <c r="J1531" s="64"/>
      <c r="K1531" s="64"/>
      <c r="L1531" s="64"/>
      <c r="M1531" s="64"/>
      <c r="N1531" s="64"/>
      <c r="O1531" s="64"/>
      <c r="P1531" s="64"/>
      <c r="Q1531" s="64"/>
      <c r="R1531" s="64"/>
      <c r="S1531" s="64"/>
    </row>
    <row r="1532" spans="1:19" x14ac:dyDescent="0.25">
      <c r="A1532" s="63"/>
      <c r="B1532" s="64"/>
      <c r="C1532" s="64"/>
      <c r="D1532" s="64"/>
      <c r="E1532" s="64"/>
      <c r="F1532" s="64"/>
      <c r="G1532" s="64"/>
      <c r="H1532" s="64"/>
      <c r="I1532" s="64"/>
      <c r="J1532" s="64"/>
      <c r="K1532" s="64"/>
      <c r="L1532" s="64"/>
      <c r="M1532" s="64"/>
      <c r="N1532" s="64"/>
      <c r="O1532" s="64"/>
      <c r="P1532" s="64"/>
      <c r="Q1532" s="64"/>
      <c r="R1532" s="64"/>
      <c r="S1532" s="64"/>
    </row>
    <row r="1533" spans="1:19" x14ac:dyDescent="0.25">
      <c r="A1533" s="63"/>
      <c r="B1533" s="64"/>
      <c r="C1533" s="64"/>
      <c r="D1533" s="64"/>
      <c r="E1533" s="64"/>
      <c r="F1533" s="64"/>
      <c r="G1533" s="64"/>
      <c r="H1533" s="64"/>
      <c r="I1533" s="64"/>
      <c r="J1533" s="64"/>
      <c r="K1533" s="64"/>
      <c r="L1533" s="64"/>
      <c r="M1533" s="64"/>
      <c r="N1533" s="64"/>
      <c r="O1533" s="64"/>
      <c r="P1533" s="64"/>
      <c r="Q1533" s="64"/>
      <c r="R1533" s="64"/>
      <c r="S1533" s="64"/>
    </row>
    <row r="1534" spans="1:19" x14ac:dyDescent="0.25">
      <c r="A1534" s="63"/>
      <c r="B1534" s="64"/>
      <c r="C1534" s="64"/>
      <c r="D1534" s="64"/>
      <c r="E1534" s="64"/>
      <c r="F1534" s="64"/>
      <c r="G1534" s="64"/>
      <c r="H1534" s="64"/>
      <c r="I1534" s="64"/>
      <c r="J1534" s="64"/>
      <c r="K1534" s="64"/>
      <c r="L1534" s="64"/>
      <c r="M1534" s="64"/>
      <c r="N1534" s="64"/>
      <c r="O1534" s="64"/>
      <c r="P1534" s="64"/>
      <c r="Q1534" s="64"/>
      <c r="R1534" s="64"/>
      <c r="S1534" s="64"/>
    </row>
    <row r="1535" spans="1:19" x14ac:dyDescent="0.25">
      <c r="A1535" s="63"/>
      <c r="B1535" s="64"/>
      <c r="C1535" s="64"/>
      <c r="D1535" s="64"/>
      <c r="E1535" s="64"/>
      <c r="F1535" s="64"/>
      <c r="G1535" s="64"/>
      <c r="H1535" s="64"/>
      <c r="I1535" s="64"/>
      <c r="J1535" s="64"/>
      <c r="K1535" s="64"/>
      <c r="L1535" s="64"/>
      <c r="M1535" s="64"/>
      <c r="N1535" s="64"/>
      <c r="O1535" s="64"/>
      <c r="P1535" s="64"/>
      <c r="Q1535" s="64"/>
      <c r="R1535" s="64"/>
      <c r="S1535" s="64"/>
    </row>
    <row r="1536" spans="1:19" x14ac:dyDescent="0.25">
      <c r="A1536" s="63"/>
      <c r="B1536" s="64"/>
      <c r="C1536" s="64"/>
      <c r="D1536" s="64"/>
      <c r="E1536" s="64"/>
      <c r="F1536" s="64"/>
      <c r="G1536" s="64"/>
      <c r="H1536" s="64"/>
      <c r="I1536" s="64"/>
      <c r="J1536" s="64"/>
      <c r="K1536" s="64"/>
      <c r="L1536" s="64"/>
      <c r="M1536" s="64"/>
      <c r="N1536" s="64"/>
      <c r="O1536" s="64"/>
      <c r="P1536" s="64"/>
      <c r="Q1536" s="64"/>
      <c r="R1536" s="64"/>
      <c r="S1536" s="64"/>
    </row>
    <row r="1537" spans="1:19" x14ac:dyDescent="0.25">
      <c r="A1537" s="63"/>
      <c r="B1537" s="64"/>
      <c r="C1537" s="64"/>
      <c r="D1537" s="64"/>
      <c r="E1537" s="64"/>
      <c r="F1537" s="64"/>
      <c r="G1537" s="64"/>
      <c r="H1537" s="64"/>
      <c r="I1537" s="64"/>
      <c r="J1537" s="64"/>
      <c r="K1537" s="64"/>
      <c r="L1537" s="64"/>
      <c r="M1537" s="64"/>
      <c r="N1537" s="64"/>
      <c r="O1537" s="64"/>
      <c r="P1537" s="64"/>
      <c r="Q1537" s="64"/>
      <c r="R1537" s="64"/>
      <c r="S1537" s="64"/>
    </row>
    <row r="1538" spans="1:19" x14ac:dyDescent="0.25">
      <c r="A1538" s="63"/>
      <c r="B1538" s="64"/>
      <c r="C1538" s="64"/>
      <c r="D1538" s="64"/>
      <c r="E1538" s="64"/>
      <c r="F1538" s="64"/>
      <c r="G1538" s="64"/>
      <c r="H1538" s="64"/>
      <c r="I1538" s="64"/>
      <c r="J1538" s="64"/>
      <c r="K1538" s="64"/>
      <c r="L1538" s="64"/>
      <c r="M1538" s="64"/>
      <c r="N1538" s="64"/>
      <c r="O1538" s="64"/>
      <c r="P1538" s="64"/>
      <c r="Q1538" s="64"/>
      <c r="R1538" s="64"/>
      <c r="S1538" s="64"/>
    </row>
    <row r="1539" spans="1:19" x14ac:dyDescent="0.25">
      <c r="A1539" s="63"/>
      <c r="B1539" s="64"/>
      <c r="C1539" s="64"/>
      <c r="D1539" s="64"/>
      <c r="E1539" s="64"/>
      <c r="F1539" s="64"/>
      <c r="G1539" s="64"/>
      <c r="H1539" s="64"/>
      <c r="I1539" s="64"/>
      <c r="J1539" s="64"/>
      <c r="K1539" s="64"/>
      <c r="L1539" s="64"/>
      <c r="M1539" s="64"/>
      <c r="N1539" s="64"/>
      <c r="O1539" s="64"/>
      <c r="P1539" s="64"/>
      <c r="Q1539" s="64"/>
      <c r="R1539" s="64"/>
      <c r="S1539" s="64"/>
    </row>
    <row r="1540" spans="1:19" x14ac:dyDescent="0.25">
      <c r="A1540" s="63"/>
      <c r="B1540" s="64"/>
      <c r="C1540" s="64"/>
      <c r="D1540" s="64"/>
      <c r="E1540" s="64"/>
      <c r="F1540" s="64"/>
      <c r="G1540" s="64"/>
      <c r="H1540" s="64"/>
      <c r="I1540" s="64"/>
      <c r="J1540" s="64"/>
      <c r="K1540" s="64"/>
      <c r="L1540" s="64"/>
      <c r="M1540" s="64"/>
      <c r="N1540" s="64"/>
      <c r="O1540" s="64"/>
      <c r="P1540" s="64"/>
      <c r="Q1540" s="64"/>
      <c r="R1540" s="64"/>
      <c r="S1540" s="64"/>
    </row>
    <row r="1541" spans="1:19" x14ac:dyDescent="0.25">
      <c r="A1541" s="63"/>
      <c r="B1541" s="64"/>
      <c r="C1541" s="64"/>
      <c r="D1541" s="64"/>
      <c r="E1541" s="64"/>
      <c r="F1541" s="64"/>
      <c r="G1541" s="64"/>
      <c r="H1541" s="64"/>
      <c r="I1541" s="64"/>
      <c r="J1541" s="64"/>
      <c r="K1541" s="64"/>
      <c r="L1541" s="64"/>
      <c r="M1541" s="64"/>
      <c r="N1541" s="64"/>
      <c r="O1541" s="64"/>
      <c r="P1541" s="64"/>
      <c r="Q1541" s="64"/>
      <c r="R1541" s="64"/>
      <c r="S1541" s="64"/>
    </row>
    <row r="1542" spans="1:19" x14ac:dyDescent="0.25">
      <c r="A1542" s="63"/>
      <c r="B1542" s="64"/>
      <c r="C1542" s="64"/>
      <c r="D1542" s="64"/>
      <c r="E1542" s="64"/>
      <c r="F1542" s="64"/>
      <c r="G1542" s="64"/>
      <c r="H1542" s="64"/>
      <c r="I1542" s="64"/>
      <c r="J1542" s="64"/>
      <c r="K1542" s="64"/>
      <c r="L1542" s="64"/>
      <c r="M1542" s="64"/>
      <c r="N1542" s="64"/>
      <c r="O1542" s="64"/>
      <c r="P1542" s="64"/>
      <c r="Q1542" s="64"/>
      <c r="R1542" s="64"/>
      <c r="S1542" s="64"/>
    </row>
    <row r="1543" spans="1:19" x14ac:dyDescent="0.25">
      <c r="A1543" s="63"/>
      <c r="B1543" s="64"/>
      <c r="C1543" s="64"/>
      <c r="D1543" s="64"/>
      <c r="E1543" s="64"/>
      <c r="F1543" s="64"/>
      <c r="G1543" s="64"/>
      <c r="H1543" s="64"/>
      <c r="I1543" s="64"/>
      <c r="J1543" s="64"/>
      <c r="K1543" s="64"/>
      <c r="L1543" s="64"/>
      <c r="M1543" s="64"/>
      <c r="N1543" s="64"/>
      <c r="O1543" s="64"/>
      <c r="P1543" s="64"/>
      <c r="Q1543" s="64"/>
      <c r="R1543" s="64"/>
      <c r="S1543" s="64"/>
    </row>
    <row r="1544" spans="1:19" x14ac:dyDescent="0.25">
      <c r="A1544" s="63"/>
      <c r="B1544" s="64"/>
      <c r="C1544" s="64"/>
      <c r="D1544" s="64"/>
      <c r="E1544" s="64"/>
      <c r="F1544" s="64"/>
      <c r="G1544" s="64"/>
      <c r="H1544" s="64"/>
      <c r="I1544" s="64"/>
      <c r="J1544" s="64"/>
      <c r="K1544" s="64"/>
      <c r="L1544" s="64"/>
      <c r="M1544" s="64"/>
      <c r="N1544" s="64"/>
      <c r="O1544" s="64"/>
      <c r="P1544" s="64"/>
      <c r="Q1544" s="64"/>
      <c r="R1544" s="64"/>
      <c r="S1544" s="64"/>
    </row>
    <row r="1545" spans="1:19" x14ac:dyDescent="0.25">
      <c r="A1545" s="63"/>
      <c r="B1545" s="64"/>
      <c r="C1545" s="64"/>
      <c r="D1545" s="64"/>
      <c r="E1545" s="64"/>
      <c r="F1545" s="64"/>
      <c r="G1545" s="64"/>
      <c r="H1545" s="64"/>
      <c r="I1545" s="64"/>
      <c r="J1545" s="64"/>
      <c r="K1545" s="64"/>
      <c r="L1545" s="64"/>
      <c r="M1545" s="64"/>
      <c r="N1545" s="64"/>
      <c r="O1545" s="64"/>
      <c r="P1545" s="64"/>
      <c r="Q1545" s="64"/>
      <c r="R1545" s="64"/>
      <c r="S1545" s="64"/>
    </row>
    <row r="1546" spans="1:19" x14ac:dyDescent="0.25">
      <c r="A1546" s="63"/>
      <c r="B1546" s="64"/>
      <c r="C1546" s="64"/>
      <c r="D1546" s="64"/>
      <c r="E1546" s="64"/>
      <c r="F1546" s="64"/>
      <c r="G1546" s="64"/>
      <c r="H1546" s="64"/>
      <c r="I1546" s="64"/>
      <c r="J1546" s="64"/>
      <c r="K1546" s="64"/>
      <c r="L1546" s="64"/>
      <c r="M1546" s="64"/>
      <c r="N1546" s="64"/>
      <c r="O1546" s="64"/>
      <c r="P1546" s="64"/>
      <c r="Q1546" s="64"/>
      <c r="R1546" s="64"/>
      <c r="S1546" s="64"/>
    </row>
    <row r="1547" spans="1:19" x14ac:dyDescent="0.25">
      <c r="A1547" s="63"/>
      <c r="B1547" s="64"/>
      <c r="C1547" s="64"/>
      <c r="D1547" s="64"/>
      <c r="E1547" s="64"/>
      <c r="F1547" s="64"/>
      <c r="G1547" s="64"/>
      <c r="H1547" s="64"/>
      <c r="I1547" s="64"/>
      <c r="J1547" s="64"/>
      <c r="K1547" s="64"/>
      <c r="L1547" s="64"/>
      <c r="M1547" s="64"/>
      <c r="N1547" s="64"/>
      <c r="O1547" s="64"/>
      <c r="P1547" s="64"/>
      <c r="Q1547" s="64"/>
      <c r="R1547" s="64"/>
      <c r="S1547" s="64"/>
    </row>
    <row r="1548" spans="1:19" x14ac:dyDescent="0.25">
      <c r="A1548" s="63"/>
      <c r="B1548" s="64"/>
      <c r="C1548" s="64"/>
      <c r="D1548" s="64"/>
      <c r="E1548" s="64"/>
      <c r="F1548" s="64"/>
      <c r="G1548" s="64"/>
      <c r="H1548" s="64"/>
      <c r="I1548" s="64"/>
      <c r="J1548" s="64"/>
      <c r="K1548" s="64"/>
      <c r="L1548" s="64"/>
      <c r="M1548" s="64"/>
      <c r="N1548" s="64"/>
      <c r="O1548" s="64"/>
      <c r="P1548" s="64"/>
      <c r="Q1548" s="64"/>
      <c r="R1548" s="64"/>
      <c r="S1548" s="64"/>
    </row>
    <row r="1549" spans="1:19" x14ac:dyDescent="0.25">
      <c r="A1549" s="63"/>
      <c r="B1549" s="64"/>
      <c r="C1549" s="64"/>
      <c r="D1549" s="64"/>
      <c r="E1549" s="64"/>
      <c r="F1549" s="64"/>
      <c r="G1549" s="64"/>
      <c r="H1549" s="64"/>
      <c r="I1549" s="64"/>
      <c r="J1549" s="64"/>
      <c r="K1549" s="64"/>
      <c r="L1549" s="64"/>
      <c r="M1549" s="64"/>
      <c r="N1549" s="64"/>
      <c r="O1549" s="64"/>
      <c r="P1549" s="64"/>
      <c r="Q1549" s="64"/>
      <c r="R1549" s="64"/>
      <c r="S1549" s="64"/>
    </row>
    <row r="1550" spans="1:19" x14ac:dyDescent="0.25">
      <c r="A1550" s="63"/>
      <c r="B1550" s="64"/>
      <c r="C1550" s="64"/>
      <c r="D1550" s="64"/>
      <c r="E1550" s="64"/>
      <c r="F1550" s="64"/>
      <c r="G1550" s="64"/>
      <c r="H1550" s="64"/>
      <c r="I1550" s="64"/>
      <c r="J1550" s="64"/>
      <c r="K1550" s="64"/>
      <c r="L1550" s="64"/>
      <c r="M1550" s="64"/>
      <c r="N1550" s="64"/>
      <c r="O1550" s="64"/>
      <c r="P1550" s="64"/>
      <c r="Q1550" s="64"/>
      <c r="R1550" s="64"/>
      <c r="S1550" s="64"/>
    </row>
    <row r="1551" spans="1:19" x14ac:dyDescent="0.25">
      <c r="A1551" s="63"/>
      <c r="B1551" s="64"/>
      <c r="C1551" s="64"/>
      <c r="D1551" s="64"/>
      <c r="E1551" s="64"/>
      <c r="F1551" s="64"/>
      <c r="G1551" s="64"/>
      <c r="H1551" s="64"/>
      <c r="I1551" s="64"/>
      <c r="J1551" s="64"/>
      <c r="K1551" s="64"/>
      <c r="L1551" s="64"/>
      <c r="M1551" s="64"/>
      <c r="N1551" s="64"/>
      <c r="O1551" s="64"/>
      <c r="P1551" s="64"/>
      <c r="Q1551" s="64"/>
      <c r="R1551" s="64"/>
      <c r="S1551" s="64"/>
    </row>
    <row r="1552" spans="1:19" x14ac:dyDescent="0.25">
      <c r="A1552" s="63"/>
      <c r="B1552" s="64"/>
      <c r="C1552" s="64"/>
      <c r="D1552" s="64"/>
      <c r="E1552" s="64"/>
      <c r="F1552" s="64"/>
      <c r="G1552" s="64"/>
      <c r="H1552" s="64"/>
      <c r="I1552" s="64"/>
      <c r="J1552" s="64"/>
      <c r="K1552" s="64"/>
      <c r="L1552" s="64"/>
      <c r="M1552" s="64"/>
      <c r="N1552" s="64"/>
      <c r="O1552" s="64"/>
      <c r="P1552" s="64"/>
      <c r="Q1552" s="64"/>
      <c r="R1552" s="64"/>
      <c r="S1552" s="64"/>
    </row>
    <row r="1553" spans="1:19" x14ac:dyDescent="0.25">
      <c r="A1553" s="63"/>
      <c r="B1553" s="64"/>
      <c r="C1553" s="64"/>
      <c r="D1553" s="64"/>
      <c r="E1553" s="64"/>
      <c r="F1553" s="64"/>
      <c r="G1553" s="64"/>
      <c r="H1553" s="64"/>
      <c r="I1553" s="64"/>
      <c r="J1553" s="64"/>
      <c r="K1553" s="64"/>
      <c r="L1553" s="64"/>
      <c r="M1553" s="64"/>
      <c r="N1553" s="64"/>
      <c r="O1553" s="64"/>
      <c r="P1553" s="64"/>
      <c r="Q1553" s="64"/>
      <c r="R1553" s="64"/>
      <c r="S1553" s="64"/>
    </row>
    <row r="1554" spans="1:19" x14ac:dyDescent="0.25">
      <c r="A1554" s="63"/>
      <c r="B1554" s="64"/>
      <c r="C1554" s="64"/>
      <c r="D1554" s="64"/>
      <c r="E1554" s="64"/>
      <c r="F1554" s="64"/>
      <c r="G1554" s="64"/>
      <c r="H1554" s="64"/>
      <c r="I1554" s="64"/>
      <c r="J1554" s="64"/>
      <c r="K1554" s="64"/>
      <c r="L1554" s="64"/>
      <c r="M1554" s="64"/>
      <c r="N1554" s="64"/>
      <c r="O1554" s="64"/>
      <c r="P1554" s="64"/>
      <c r="Q1554" s="64"/>
      <c r="R1554" s="64"/>
      <c r="S1554" s="64"/>
    </row>
    <row r="1555" spans="1:19" x14ac:dyDescent="0.25">
      <c r="A1555" s="63"/>
      <c r="B1555" s="64"/>
      <c r="C1555" s="64"/>
      <c r="D1555" s="64"/>
      <c r="E1555" s="64"/>
      <c r="F1555" s="64"/>
      <c r="G1555" s="64"/>
      <c r="H1555" s="64"/>
      <c r="I1555" s="64"/>
      <c r="J1555" s="64"/>
      <c r="K1555" s="64"/>
      <c r="L1555" s="64"/>
      <c r="M1555" s="64"/>
      <c r="N1555" s="64"/>
      <c r="O1555" s="64"/>
      <c r="P1555" s="64"/>
      <c r="Q1555" s="64"/>
      <c r="R1555" s="64"/>
      <c r="S1555" s="64"/>
    </row>
    <row r="1556" spans="1:19" x14ac:dyDescent="0.25">
      <c r="A1556" s="63"/>
      <c r="B1556" s="64"/>
      <c r="C1556" s="64"/>
      <c r="D1556" s="64"/>
      <c r="E1556" s="64"/>
      <c r="F1556" s="64"/>
      <c r="G1556" s="64"/>
      <c r="H1556" s="64"/>
      <c r="I1556" s="64"/>
      <c r="J1556" s="64"/>
      <c r="K1556" s="64"/>
      <c r="L1556" s="64"/>
      <c r="M1556" s="64"/>
      <c r="N1556" s="64"/>
      <c r="O1556" s="64"/>
      <c r="P1556" s="64"/>
      <c r="Q1556" s="64"/>
      <c r="R1556" s="64"/>
      <c r="S1556" s="64"/>
    </row>
    <row r="1557" spans="1:19" x14ac:dyDescent="0.25">
      <c r="A1557" s="63"/>
      <c r="B1557" s="64"/>
      <c r="C1557" s="64"/>
      <c r="D1557" s="64"/>
      <c r="E1557" s="64"/>
      <c r="F1557" s="64"/>
      <c r="G1557" s="64"/>
      <c r="H1557" s="64"/>
      <c r="I1557" s="64"/>
      <c r="J1557" s="64"/>
      <c r="K1557" s="64"/>
      <c r="L1557" s="64"/>
      <c r="M1557" s="64"/>
      <c r="N1557" s="64"/>
      <c r="O1557" s="64"/>
      <c r="P1557" s="64"/>
      <c r="Q1557" s="64"/>
      <c r="R1557" s="64"/>
      <c r="S1557" s="64"/>
    </row>
    <row r="1558" spans="1:19" x14ac:dyDescent="0.25">
      <c r="A1558" s="63"/>
      <c r="B1558" s="64"/>
      <c r="C1558" s="64"/>
      <c r="D1558" s="64"/>
      <c r="E1558" s="64"/>
      <c r="F1558" s="64"/>
      <c r="G1558" s="64"/>
      <c r="H1558" s="64"/>
      <c r="I1558" s="64"/>
      <c r="J1558" s="64"/>
      <c r="K1558" s="64"/>
      <c r="L1558" s="64"/>
      <c r="M1558" s="64"/>
      <c r="N1558" s="64"/>
      <c r="O1558" s="64"/>
      <c r="P1558" s="64"/>
      <c r="Q1558" s="64"/>
      <c r="R1558" s="64"/>
      <c r="S1558" s="64"/>
    </row>
    <row r="1559" spans="1:19" x14ac:dyDescent="0.25">
      <c r="A1559" s="63"/>
      <c r="B1559" s="64"/>
      <c r="C1559" s="64"/>
      <c r="D1559" s="64"/>
      <c r="E1559" s="64"/>
      <c r="F1559" s="64"/>
      <c r="G1559" s="64"/>
      <c r="H1559" s="64"/>
      <c r="I1559" s="64"/>
      <c r="J1559" s="64"/>
      <c r="K1559" s="64"/>
      <c r="L1559" s="64"/>
      <c r="M1559" s="64"/>
      <c r="N1559" s="64"/>
      <c r="O1559" s="64"/>
      <c r="P1559" s="64"/>
      <c r="Q1559" s="64"/>
      <c r="R1559" s="64"/>
      <c r="S1559" s="64"/>
    </row>
    <row r="1560" spans="1:19" x14ac:dyDescent="0.25">
      <c r="A1560" s="63"/>
      <c r="B1560" s="64"/>
      <c r="C1560" s="64"/>
      <c r="D1560" s="64"/>
      <c r="E1560" s="64"/>
      <c r="F1560" s="64"/>
      <c r="G1560" s="64"/>
      <c r="H1560" s="64"/>
      <c r="I1560" s="64"/>
      <c r="J1560" s="64"/>
      <c r="K1560" s="64"/>
      <c r="L1560" s="64"/>
      <c r="M1560" s="64"/>
      <c r="N1560" s="64"/>
      <c r="O1560" s="64"/>
      <c r="P1560" s="64"/>
      <c r="Q1560" s="64"/>
      <c r="R1560" s="64"/>
      <c r="S1560" s="64"/>
    </row>
    <row r="1561" spans="1:19" x14ac:dyDescent="0.25">
      <c r="A1561" s="63"/>
      <c r="B1561" s="64"/>
      <c r="C1561" s="64"/>
      <c r="D1561" s="64"/>
      <c r="E1561" s="64"/>
      <c r="F1561" s="64"/>
      <c r="G1561" s="64"/>
      <c r="H1561" s="64"/>
      <c r="I1561" s="64"/>
      <c r="J1561" s="64"/>
      <c r="K1561" s="64"/>
      <c r="L1561" s="64"/>
      <c r="M1561" s="64"/>
      <c r="N1561" s="64"/>
      <c r="O1561" s="64"/>
      <c r="P1561" s="64"/>
      <c r="Q1561" s="64"/>
      <c r="R1561" s="64"/>
      <c r="S1561" s="64"/>
    </row>
    <row r="1562" spans="1:19" x14ac:dyDescent="0.25">
      <c r="A1562" s="63"/>
      <c r="B1562" s="64"/>
      <c r="C1562" s="64"/>
      <c r="D1562" s="64"/>
      <c r="E1562" s="64"/>
      <c r="F1562" s="64"/>
      <c r="G1562" s="64"/>
      <c r="H1562" s="64"/>
      <c r="I1562" s="64"/>
      <c r="J1562" s="64"/>
      <c r="K1562" s="64"/>
      <c r="L1562" s="64"/>
      <c r="M1562" s="64"/>
      <c r="N1562" s="64"/>
      <c r="O1562" s="64"/>
      <c r="P1562" s="64"/>
      <c r="Q1562" s="64"/>
      <c r="R1562" s="64"/>
      <c r="S1562" s="64"/>
    </row>
    <row r="1563" spans="1:19" x14ac:dyDescent="0.25">
      <c r="A1563" s="63"/>
      <c r="B1563" s="64"/>
      <c r="C1563" s="64"/>
      <c r="D1563" s="64"/>
      <c r="E1563" s="64"/>
      <c r="F1563" s="64"/>
      <c r="G1563" s="64"/>
      <c r="H1563" s="64"/>
      <c r="I1563" s="64"/>
      <c r="J1563" s="64"/>
      <c r="K1563" s="64"/>
      <c r="L1563" s="64"/>
      <c r="M1563" s="64"/>
      <c r="N1563" s="64"/>
      <c r="O1563" s="64"/>
      <c r="P1563" s="64"/>
      <c r="Q1563" s="64"/>
      <c r="R1563" s="64"/>
      <c r="S1563" s="64"/>
    </row>
    <row r="1564" spans="1:19" x14ac:dyDescent="0.25">
      <c r="A1564" s="63"/>
      <c r="B1564" s="64"/>
      <c r="C1564" s="64"/>
      <c r="D1564" s="64"/>
      <c r="E1564" s="64"/>
      <c r="F1564" s="64"/>
      <c r="G1564" s="64"/>
      <c r="H1564" s="64"/>
      <c r="I1564" s="64"/>
      <c r="J1564" s="64"/>
      <c r="K1564" s="64"/>
      <c r="L1564" s="64"/>
      <c r="M1564" s="64"/>
      <c r="N1564" s="64"/>
      <c r="O1564" s="64"/>
      <c r="P1564" s="64"/>
      <c r="Q1564" s="64"/>
      <c r="R1564" s="64"/>
      <c r="S1564" s="64"/>
    </row>
    <row r="1565" spans="1:19" x14ac:dyDescent="0.25">
      <c r="A1565" s="63"/>
      <c r="B1565" s="64"/>
      <c r="C1565" s="64"/>
      <c r="D1565" s="64"/>
      <c r="E1565" s="64"/>
      <c r="F1565" s="64"/>
      <c r="G1565" s="64"/>
      <c r="H1565" s="64"/>
      <c r="I1565" s="64"/>
      <c r="J1565" s="64"/>
      <c r="K1565" s="64"/>
      <c r="L1565" s="64"/>
      <c r="M1565" s="64"/>
      <c r="N1565" s="64"/>
      <c r="O1565" s="64"/>
      <c r="P1565" s="64"/>
      <c r="Q1565" s="64"/>
      <c r="R1565" s="64"/>
      <c r="S1565" s="64"/>
    </row>
    <row r="1566" spans="1:19" x14ac:dyDescent="0.25">
      <c r="A1566" s="63"/>
      <c r="B1566" s="64"/>
      <c r="C1566" s="64"/>
      <c r="D1566" s="64"/>
      <c r="E1566" s="64"/>
      <c r="F1566" s="64"/>
      <c r="G1566" s="64"/>
      <c r="H1566" s="64"/>
      <c r="I1566" s="64"/>
      <c r="J1566" s="64"/>
      <c r="K1566" s="64"/>
      <c r="L1566" s="64"/>
      <c r="M1566" s="64"/>
      <c r="N1566" s="64"/>
      <c r="O1566" s="64"/>
      <c r="P1566" s="64"/>
      <c r="Q1566" s="64"/>
      <c r="R1566" s="64"/>
      <c r="S1566" s="64"/>
    </row>
    <row r="1567" spans="1:19" x14ac:dyDescent="0.25">
      <c r="A1567" s="63"/>
      <c r="B1567" s="64"/>
      <c r="C1567" s="64"/>
      <c r="D1567" s="64"/>
      <c r="E1567" s="64"/>
      <c r="F1567" s="64"/>
      <c r="G1567" s="64"/>
      <c r="H1567" s="64"/>
      <c r="I1567" s="64"/>
      <c r="J1567" s="64"/>
      <c r="K1567" s="64"/>
      <c r="L1567" s="64"/>
      <c r="M1567" s="64"/>
      <c r="N1567" s="64"/>
      <c r="O1567" s="64"/>
      <c r="P1567" s="64"/>
      <c r="Q1567" s="64"/>
      <c r="R1567" s="64"/>
      <c r="S1567" s="64"/>
    </row>
    <row r="1568" spans="1:19" x14ac:dyDescent="0.25">
      <c r="A1568" s="63"/>
      <c r="B1568" s="64"/>
      <c r="C1568" s="64"/>
      <c r="D1568" s="64"/>
      <c r="E1568" s="64"/>
      <c r="F1568" s="64"/>
      <c r="G1568" s="64"/>
      <c r="H1568" s="64"/>
      <c r="I1568" s="64"/>
      <c r="J1568" s="64"/>
      <c r="K1568" s="64"/>
      <c r="L1568" s="64"/>
      <c r="M1568" s="64"/>
      <c r="N1568" s="64"/>
      <c r="O1568" s="64"/>
      <c r="P1568" s="64"/>
      <c r="Q1568" s="64"/>
      <c r="R1568" s="64"/>
      <c r="S1568" s="64"/>
    </row>
    <row r="1569" spans="1:19" x14ac:dyDescent="0.25">
      <c r="A1569" s="63"/>
      <c r="B1569" s="64"/>
      <c r="C1569" s="64"/>
      <c r="D1569" s="64"/>
      <c r="E1569" s="64"/>
      <c r="F1569" s="64"/>
      <c r="G1569" s="64"/>
      <c r="H1569" s="64"/>
      <c r="I1569" s="64"/>
      <c r="J1569" s="64"/>
      <c r="K1569" s="64"/>
      <c r="L1569" s="64"/>
      <c r="M1569" s="64"/>
      <c r="N1569" s="64"/>
      <c r="O1569" s="64"/>
      <c r="P1569" s="64"/>
      <c r="Q1569" s="64"/>
      <c r="R1569" s="64"/>
      <c r="S1569" s="64"/>
    </row>
    <row r="1570" spans="1:19" x14ac:dyDescent="0.25">
      <c r="A1570" s="63"/>
      <c r="B1570" s="64"/>
      <c r="C1570" s="64"/>
      <c r="D1570" s="64"/>
      <c r="E1570" s="64"/>
      <c r="F1570" s="64"/>
      <c r="G1570" s="64"/>
      <c r="H1570" s="64"/>
      <c r="I1570" s="64"/>
      <c r="J1570" s="64"/>
      <c r="K1570" s="64"/>
      <c r="L1570" s="64"/>
      <c r="M1570" s="64"/>
      <c r="N1570" s="64"/>
      <c r="O1570" s="64"/>
      <c r="P1570" s="64"/>
      <c r="Q1570" s="64"/>
      <c r="R1570" s="64"/>
      <c r="S1570" s="64"/>
    </row>
    <row r="1571" spans="1:19" x14ac:dyDescent="0.25">
      <c r="A1571" s="63"/>
      <c r="B1571" s="64"/>
      <c r="C1571" s="64"/>
      <c r="D1571" s="64"/>
      <c r="E1571" s="64"/>
      <c r="F1571" s="64"/>
      <c r="G1571" s="64"/>
      <c r="H1571" s="64"/>
      <c r="I1571" s="64"/>
      <c r="J1571" s="64"/>
      <c r="K1571" s="64"/>
      <c r="L1571" s="64"/>
      <c r="M1571" s="64"/>
      <c r="N1571" s="64"/>
      <c r="O1571" s="64"/>
      <c r="P1571" s="64"/>
      <c r="Q1571" s="64"/>
      <c r="R1571" s="64"/>
      <c r="S1571" s="64"/>
    </row>
    <row r="1572" spans="1:19" x14ac:dyDescent="0.25">
      <c r="A1572" s="63"/>
      <c r="B1572" s="64"/>
      <c r="C1572" s="64"/>
      <c r="D1572" s="64"/>
      <c r="E1572" s="64"/>
      <c r="F1572" s="64"/>
      <c r="G1572" s="64"/>
      <c r="H1572" s="64"/>
      <c r="I1572" s="64"/>
      <c r="J1572" s="64"/>
      <c r="K1572" s="64"/>
      <c r="L1572" s="64"/>
      <c r="M1572" s="64"/>
      <c r="N1572" s="64"/>
      <c r="O1572" s="64"/>
      <c r="P1572" s="64"/>
      <c r="Q1572" s="64"/>
      <c r="R1572" s="64"/>
      <c r="S1572" s="64"/>
    </row>
    <row r="1573" spans="1:19" x14ac:dyDescent="0.25">
      <c r="A1573" s="63"/>
      <c r="B1573" s="64"/>
      <c r="C1573" s="64"/>
      <c r="D1573" s="64"/>
      <c r="E1573" s="64"/>
      <c r="F1573" s="64"/>
      <c r="G1573" s="64"/>
      <c r="H1573" s="64"/>
      <c r="I1573" s="64"/>
      <c r="J1573" s="64"/>
      <c r="K1573" s="64"/>
      <c r="L1573" s="64"/>
      <c r="M1573" s="64"/>
      <c r="N1573" s="64"/>
      <c r="O1573" s="64"/>
      <c r="P1573" s="64"/>
      <c r="Q1573" s="64"/>
      <c r="R1573" s="64"/>
      <c r="S1573" s="64"/>
    </row>
    <row r="1574" spans="1:19" x14ac:dyDescent="0.25">
      <c r="A1574" s="63"/>
      <c r="B1574" s="64"/>
      <c r="C1574" s="64"/>
      <c r="D1574" s="64"/>
      <c r="E1574" s="64"/>
      <c r="F1574" s="64"/>
      <c r="G1574" s="64"/>
      <c r="H1574" s="64"/>
      <c r="I1574" s="64"/>
      <c r="J1574" s="64"/>
      <c r="K1574" s="64"/>
      <c r="L1574" s="64"/>
      <c r="M1574" s="64"/>
      <c r="N1574" s="64"/>
      <c r="O1574" s="64"/>
      <c r="P1574" s="64"/>
      <c r="Q1574" s="64"/>
      <c r="R1574" s="64"/>
      <c r="S1574" s="64"/>
    </row>
    <row r="1575" spans="1:19" x14ac:dyDescent="0.25">
      <c r="A1575" s="63"/>
      <c r="B1575" s="64"/>
      <c r="C1575" s="64"/>
      <c r="D1575" s="64"/>
      <c r="E1575" s="64"/>
      <c r="F1575" s="64"/>
      <c r="G1575" s="64"/>
      <c r="H1575" s="64"/>
      <c r="I1575" s="64"/>
      <c r="J1575" s="64"/>
      <c r="K1575" s="64"/>
      <c r="L1575" s="64"/>
      <c r="M1575" s="64"/>
      <c r="N1575" s="64"/>
      <c r="O1575" s="64"/>
      <c r="P1575" s="64"/>
      <c r="Q1575" s="64"/>
      <c r="R1575" s="64"/>
      <c r="S1575" s="64"/>
    </row>
    <row r="1576" spans="1:19" x14ac:dyDescent="0.25">
      <c r="A1576" s="63"/>
      <c r="B1576" s="64"/>
      <c r="C1576" s="64"/>
      <c r="D1576" s="64"/>
      <c r="E1576" s="64"/>
      <c r="F1576" s="64"/>
      <c r="G1576" s="64"/>
      <c r="H1576" s="64"/>
      <c r="I1576" s="64"/>
      <c r="J1576" s="64"/>
      <c r="K1576" s="64"/>
      <c r="L1576" s="64"/>
      <c r="M1576" s="64"/>
      <c r="N1576" s="64"/>
      <c r="O1576" s="64"/>
      <c r="P1576" s="64"/>
      <c r="Q1576" s="64"/>
      <c r="R1576" s="64"/>
      <c r="S1576" s="64"/>
    </row>
    <row r="1577" spans="1:19" x14ac:dyDescent="0.25">
      <c r="A1577" s="63"/>
      <c r="B1577" s="64"/>
      <c r="C1577" s="64"/>
      <c r="D1577" s="64"/>
      <c r="E1577" s="64"/>
      <c r="F1577" s="64"/>
      <c r="G1577" s="64"/>
      <c r="H1577" s="64"/>
      <c r="I1577" s="64"/>
      <c r="J1577" s="64"/>
      <c r="K1577" s="64"/>
      <c r="L1577" s="64"/>
      <c r="M1577" s="64"/>
      <c r="N1577" s="64"/>
      <c r="O1577" s="64"/>
      <c r="P1577" s="64"/>
      <c r="Q1577" s="64"/>
      <c r="R1577" s="64"/>
      <c r="S1577" s="64"/>
    </row>
    <row r="1578" spans="1:19" x14ac:dyDescent="0.25">
      <c r="A1578" s="63"/>
      <c r="B1578" s="64"/>
      <c r="C1578" s="64"/>
      <c r="D1578" s="64"/>
      <c r="E1578" s="64"/>
      <c r="F1578" s="64"/>
      <c r="G1578" s="64"/>
      <c r="H1578" s="64"/>
      <c r="I1578" s="64"/>
      <c r="J1578" s="64"/>
      <c r="K1578" s="64"/>
      <c r="L1578" s="64"/>
      <c r="M1578" s="64"/>
      <c r="N1578" s="64"/>
      <c r="O1578" s="64"/>
      <c r="P1578" s="64"/>
      <c r="Q1578" s="64"/>
      <c r="R1578" s="64"/>
      <c r="S1578" s="64"/>
    </row>
    <row r="1579" spans="1:19" x14ac:dyDescent="0.25">
      <c r="A1579" s="63"/>
      <c r="B1579" s="64"/>
      <c r="C1579" s="64"/>
      <c r="D1579" s="64"/>
      <c r="E1579" s="64"/>
      <c r="F1579" s="64"/>
      <c r="G1579" s="64"/>
      <c r="H1579" s="64"/>
      <c r="I1579" s="64"/>
      <c r="J1579" s="64"/>
      <c r="K1579" s="64"/>
      <c r="L1579" s="64"/>
      <c r="M1579" s="64"/>
      <c r="N1579" s="64"/>
      <c r="O1579" s="64"/>
      <c r="P1579" s="64"/>
      <c r="Q1579" s="64"/>
      <c r="R1579" s="64"/>
      <c r="S1579" s="64"/>
    </row>
    <row r="1580" spans="1:19" x14ac:dyDescent="0.25">
      <c r="A1580" s="63"/>
      <c r="B1580" s="64"/>
      <c r="C1580" s="64"/>
      <c r="D1580" s="64"/>
      <c r="E1580" s="64"/>
      <c r="F1580" s="64"/>
      <c r="G1580" s="64"/>
      <c r="H1580" s="64"/>
      <c r="I1580" s="64"/>
      <c r="J1580" s="64"/>
      <c r="K1580" s="64"/>
      <c r="L1580" s="64"/>
      <c r="M1580" s="64"/>
      <c r="N1580" s="64"/>
      <c r="O1580" s="64"/>
      <c r="P1580" s="64"/>
      <c r="Q1580" s="64"/>
      <c r="R1580" s="64"/>
      <c r="S1580" s="64"/>
    </row>
    <row r="1581" spans="1:19" x14ac:dyDescent="0.25">
      <c r="A1581" s="63"/>
      <c r="B1581" s="64"/>
      <c r="C1581" s="64"/>
      <c r="D1581" s="64"/>
      <c r="E1581" s="64"/>
      <c r="F1581" s="64"/>
      <c r="G1581" s="64"/>
      <c r="H1581" s="64"/>
      <c r="I1581" s="64"/>
      <c r="J1581" s="64"/>
      <c r="K1581" s="64"/>
      <c r="L1581" s="64"/>
      <c r="M1581" s="64"/>
      <c r="N1581" s="64"/>
      <c r="O1581" s="64"/>
      <c r="P1581" s="64"/>
      <c r="Q1581" s="64"/>
      <c r="R1581" s="64"/>
      <c r="S1581" s="64"/>
    </row>
    <row r="1582" spans="1:19" x14ac:dyDescent="0.25">
      <c r="A1582" s="63"/>
      <c r="B1582" s="64"/>
      <c r="C1582" s="64"/>
      <c r="D1582" s="64"/>
      <c r="E1582" s="64"/>
      <c r="F1582" s="64"/>
      <c r="G1582" s="64"/>
      <c r="H1582" s="64"/>
      <c r="I1582" s="64"/>
      <c r="J1582" s="64"/>
      <c r="K1582" s="64"/>
      <c r="L1582" s="64"/>
      <c r="M1582" s="64"/>
      <c r="N1582" s="64"/>
      <c r="O1582" s="64"/>
      <c r="P1582" s="64"/>
      <c r="Q1582" s="64"/>
      <c r="R1582" s="64"/>
      <c r="S1582" s="64"/>
    </row>
    <row r="1583" spans="1:19" x14ac:dyDescent="0.25">
      <c r="A1583" s="63"/>
      <c r="B1583" s="64"/>
      <c r="C1583" s="64"/>
      <c r="D1583" s="64"/>
      <c r="E1583" s="64"/>
      <c r="F1583" s="64"/>
      <c r="G1583" s="64"/>
      <c r="H1583" s="64"/>
      <c r="I1583" s="64"/>
      <c r="J1583" s="64"/>
      <c r="K1583" s="64"/>
      <c r="L1583" s="64"/>
      <c r="M1583" s="64"/>
      <c r="N1583" s="64"/>
      <c r="O1583" s="64"/>
      <c r="P1583" s="64"/>
      <c r="Q1583" s="64"/>
      <c r="R1583" s="64"/>
      <c r="S1583" s="64"/>
    </row>
    <row r="1584" spans="1:19" x14ac:dyDescent="0.25">
      <c r="A1584" s="63"/>
      <c r="B1584" s="64"/>
      <c r="C1584" s="64"/>
      <c r="D1584" s="64"/>
      <c r="E1584" s="64"/>
      <c r="F1584" s="64"/>
      <c r="G1584" s="64"/>
      <c r="H1584" s="64"/>
      <c r="I1584" s="64"/>
      <c r="J1584" s="64"/>
      <c r="K1584" s="64"/>
      <c r="L1584" s="64"/>
      <c r="M1584" s="64"/>
      <c r="N1584" s="64"/>
      <c r="O1584" s="64"/>
      <c r="P1584" s="64"/>
      <c r="Q1584" s="64"/>
      <c r="R1584" s="64"/>
      <c r="S1584" s="64"/>
    </row>
    <row r="1585" spans="1:19" x14ac:dyDescent="0.25">
      <c r="A1585" s="63"/>
      <c r="B1585" s="64"/>
      <c r="C1585" s="64"/>
      <c r="D1585" s="64"/>
      <c r="E1585" s="64"/>
      <c r="F1585" s="64"/>
      <c r="G1585" s="64"/>
      <c r="H1585" s="64"/>
      <c r="I1585" s="64"/>
      <c r="J1585" s="64"/>
      <c r="K1585" s="64"/>
      <c r="L1585" s="64"/>
      <c r="M1585" s="64"/>
      <c r="N1585" s="64"/>
      <c r="O1585" s="64"/>
      <c r="P1585" s="64"/>
      <c r="Q1585" s="64"/>
      <c r="R1585" s="64"/>
      <c r="S1585" s="64"/>
    </row>
    <row r="1586" spans="1:19" x14ac:dyDescent="0.25">
      <c r="A1586" s="63"/>
      <c r="B1586" s="64"/>
      <c r="C1586" s="64"/>
      <c r="D1586" s="64"/>
      <c r="E1586" s="64"/>
      <c r="F1586" s="64"/>
      <c r="G1586" s="64"/>
      <c r="H1586" s="64"/>
      <c r="I1586" s="64"/>
      <c r="J1586" s="64"/>
      <c r="K1586" s="64"/>
      <c r="L1586" s="64"/>
      <c r="M1586" s="64"/>
      <c r="N1586" s="64"/>
      <c r="O1586" s="64"/>
      <c r="P1586" s="64"/>
      <c r="Q1586" s="64"/>
      <c r="R1586" s="64"/>
      <c r="S1586" s="64"/>
    </row>
    <row r="1587" spans="1:19" x14ac:dyDescent="0.25">
      <c r="A1587" s="63"/>
      <c r="B1587" s="64"/>
      <c r="C1587" s="64"/>
      <c r="D1587" s="64"/>
      <c r="E1587" s="64"/>
      <c r="F1587" s="64"/>
      <c r="G1587" s="64"/>
      <c r="H1587" s="64"/>
      <c r="I1587" s="64"/>
      <c r="J1587" s="64"/>
      <c r="K1587" s="64"/>
      <c r="L1587" s="64"/>
      <c r="M1587" s="64"/>
      <c r="N1587" s="64"/>
      <c r="O1587" s="64"/>
      <c r="P1587" s="64"/>
      <c r="Q1587" s="64"/>
      <c r="R1587" s="64"/>
      <c r="S1587" s="64"/>
    </row>
    <row r="1588" spans="1:19" x14ac:dyDescent="0.25">
      <c r="A1588" s="63"/>
      <c r="B1588" s="64"/>
      <c r="C1588" s="64"/>
      <c r="D1588" s="64"/>
      <c r="E1588" s="64"/>
      <c r="F1588" s="64"/>
      <c r="G1588" s="64"/>
      <c r="H1588" s="64"/>
      <c r="I1588" s="64"/>
      <c r="J1588" s="64"/>
      <c r="K1588" s="64"/>
      <c r="L1588" s="64"/>
      <c r="M1588" s="64"/>
      <c r="N1588" s="64"/>
      <c r="O1588" s="64"/>
      <c r="P1588" s="64"/>
      <c r="Q1588" s="64"/>
      <c r="R1588" s="64"/>
      <c r="S1588" s="64"/>
    </row>
    <row r="1589" spans="1:19" x14ac:dyDescent="0.25">
      <c r="A1589" s="63"/>
      <c r="B1589" s="64"/>
      <c r="C1589" s="64"/>
      <c r="D1589" s="64"/>
      <c r="E1589" s="64"/>
      <c r="F1589" s="64"/>
      <c r="G1589" s="64"/>
      <c r="H1589" s="64"/>
      <c r="I1589" s="64"/>
      <c r="J1589" s="64"/>
      <c r="K1589" s="64"/>
      <c r="L1589" s="64"/>
      <c r="M1589" s="64"/>
      <c r="N1589" s="64"/>
      <c r="O1589" s="64"/>
      <c r="P1589" s="64"/>
      <c r="Q1589" s="64"/>
      <c r="R1589" s="64"/>
      <c r="S1589" s="64"/>
    </row>
    <row r="1590" spans="1:19" x14ac:dyDescent="0.25">
      <c r="A1590" s="63"/>
      <c r="B1590" s="64"/>
      <c r="C1590" s="64"/>
      <c r="D1590" s="64"/>
      <c r="E1590" s="64"/>
      <c r="F1590" s="64"/>
      <c r="G1590" s="64"/>
      <c r="H1590" s="64"/>
      <c r="I1590" s="64"/>
      <c r="J1590" s="64"/>
      <c r="K1590" s="64"/>
      <c r="L1590" s="64"/>
      <c r="M1590" s="64"/>
      <c r="N1590" s="64"/>
      <c r="O1590" s="64"/>
      <c r="P1590" s="64"/>
      <c r="Q1590" s="64"/>
      <c r="R1590" s="64"/>
      <c r="S1590" s="64"/>
    </row>
    <row r="1591" spans="1:19" x14ac:dyDescent="0.25">
      <c r="A1591" s="63"/>
      <c r="B1591" s="64"/>
      <c r="C1591" s="64"/>
      <c r="D1591" s="64"/>
      <c r="E1591" s="64"/>
      <c r="F1591" s="64"/>
      <c r="G1591" s="64"/>
      <c r="H1591" s="64"/>
      <c r="I1591" s="64"/>
      <c r="J1591" s="64"/>
      <c r="K1591" s="64"/>
      <c r="L1591" s="64"/>
      <c r="M1591" s="64"/>
      <c r="N1591" s="64"/>
      <c r="O1591" s="64"/>
      <c r="P1591" s="64"/>
      <c r="Q1591" s="64"/>
      <c r="R1591" s="64"/>
      <c r="S1591" s="64"/>
    </row>
    <row r="1592" spans="1:19" x14ac:dyDescent="0.25">
      <c r="A1592" s="63"/>
      <c r="B1592" s="64"/>
      <c r="C1592" s="64"/>
      <c r="D1592" s="64"/>
      <c r="E1592" s="64"/>
      <c r="F1592" s="64"/>
      <c r="G1592" s="64"/>
      <c r="H1592" s="64"/>
      <c r="I1592" s="64"/>
      <c r="J1592" s="64"/>
      <c r="K1592" s="64"/>
      <c r="L1592" s="64"/>
      <c r="M1592" s="64"/>
      <c r="N1592" s="64"/>
      <c r="O1592" s="64"/>
      <c r="P1592" s="64"/>
      <c r="Q1592" s="64"/>
      <c r="R1592" s="64"/>
      <c r="S1592" s="64"/>
    </row>
    <row r="1593" spans="1:19" x14ac:dyDescent="0.25">
      <c r="A1593" s="63"/>
      <c r="B1593" s="64"/>
      <c r="C1593" s="64"/>
      <c r="D1593" s="64"/>
      <c r="E1593" s="64"/>
      <c r="F1593" s="64"/>
      <c r="G1593" s="64"/>
      <c r="H1593" s="64"/>
      <c r="I1593" s="64"/>
      <c r="J1593" s="64"/>
      <c r="K1593" s="64"/>
      <c r="L1593" s="64"/>
      <c r="M1593" s="64"/>
      <c r="N1593" s="64"/>
      <c r="O1593" s="64"/>
      <c r="P1593" s="64"/>
      <c r="Q1593" s="64"/>
      <c r="R1593" s="64"/>
      <c r="S1593" s="64"/>
    </row>
    <row r="1594" spans="1:19" x14ac:dyDescent="0.25">
      <c r="A1594" s="63"/>
      <c r="B1594" s="64"/>
      <c r="C1594" s="64"/>
      <c r="D1594" s="64"/>
      <c r="E1594" s="64"/>
      <c r="F1594" s="64"/>
      <c r="G1594" s="64"/>
      <c r="H1594" s="64"/>
      <c r="I1594" s="64"/>
      <c r="J1594" s="64"/>
      <c r="K1594" s="64"/>
      <c r="L1594" s="64"/>
      <c r="M1594" s="64"/>
      <c r="N1594" s="64"/>
      <c r="O1594" s="64"/>
      <c r="P1594" s="64"/>
      <c r="Q1594" s="64"/>
      <c r="R1594" s="64"/>
      <c r="S1594" s="64"/>
    </row>
    <row r="1595" spans="1:19" x14ac:dyDescent="0.25">
      <c r="A1595" s="63"/>
      <c r="B1595" s="64"/>
      <c r="C1595" s="64"/>
      <c r="D1595" s="64"/>
      <c r="E1595" s="64"/>
      <c r="F1595" s="64"/>
      <c r="G1595" s="64"/>
      <c r="H1595" s="64"/>
      <c r="I1595" s="64"/>
      <c r="J1595" s="64"/>
      <c r="K1595" s="64"/>
      <c r="L1595" s="64"/>
      <c r="M1595" s="64"/>
      <c r="N1595" s="64"/>
      <c r="O1595" s="64"/>
      <c r="P1595" s="64"/>
      <c r="Q1595" s="64"/>
      <c r="R1595" s="64"/>
      <c r="S1595" s="64"/>
    </row>
    <row r="1596" spans="1:19" x14ac:dyDescent="0.25">
      <c r="A1596" s="63"/>
      <c r="B1596" s="64"/>
      <c r="C1596" s="64"/>
      <c r="D1596" s="64"/>
      <c r="E1596" s="64"/>
      <c r="F1596" s="64"/>
      <c r="G1596" s="64"/>
      <c r="H1596" s="64"/>
      <c r="I1596" s="64"/>
      <c r="J1596" s="64"/>
      <c r="K1596" s="64"/>
      <c r="L1596" s="64"/>
      <c r="M1596" s="64"/>
      <c r="N1596" s="64"/>
      <c r="O1596" s="64"/>
      <c r="P1596" s="64"/>
      <c r="Q1596" s="64"/>
      <c r="R1596" s="64"/>
      <c r="S1596" s="64"/>
    </row>
    <row r="1597" spans="1:19" x14ac:dyDescent="0.25">
      <c r="A1597" s="63"/>
      <c r="B1597" s="64"/>
      <c r="C1597" s="64"/>
      <c r="D1597" s="64"/>
      <c r="E1597" s="64"/>
      <c r="F1597" s="64"/>
      <c r="G1597" s="64"/>
      <c r="H1597" s="64"/>
      <c r="I1597" s="64"/>
      <c r="J1597" s="64"/>
      <c r="K1597" s="64"/>
      <c r="L1597" s="64"/>
      <c r="M1597" s="64"/>
      <c r="N1597" s="64"/>
      <c r="O1597" s="64"/>
      <c r="P1597" s="64"/>
      <c r="Q1597" s="64"/>
      <c r="R1597" s="64"/>
      <c r="S1597" s="64"/>
    </row>
    <row r="1598" spans="1:19" x14ac:dyDescent="0.25">
      <c r="A1598" s="63"/>
      <c r="B1598" s="64"/>
      <c r="C1598" s="64"/>
      <c r="D1598" s="64"/>
      <c r="E1598" s="64"/>
      <c r="F1598" s="64"/>
      <c r="G1598" s="64"/>
      <c r="H1598" s="64"/>
      <c r="I1598" s="64"/>
      <c r="J1598" s="64"/>
      <c r="K1598" s="64"/>
      <c r="L1598" s="64"/>
      <c r="M1598" s="64"/>
      <c r="N1598" s="64"/>
      <c r="O1598" s="64"/>
      <c r="P1598" s="64"/>
      <c r="Q1598" s="64"/>
      <c r="R1598" s="64"/>
      <c r="S1598" s="64"/>
    </row>
    <row r="1599" spans="1:19" x14ac:dyDescent="0.25">
      <c r="A1599" s="63"/>
      <c r="B1599" s="64"/>
      <c r="C1599" s="64"/>
      <c r="D1599" s="64"/>
      <c r="E1599" s="64"/>
      <c r="F1599" s="64"/>
      <c r="G1599" s="64"/>
      <c r="H1599" s="64"/>
      <c r="I1599" s="64"/>
      <c r="J1599" s="64"/>
      <c r="K1599" s="64"/>
      <c r="L1599" s="64"/>
      <c r="M1599" s="64"/>
      <c r="N1599" s="64"/>
      <c r="O1599" s="64"/>
      <c r="P1599" s="64"/>
      <c r="Q1599" s="64"/>
      <c r="R1599" s="64"/>
      <c r="S1599" s="64"/>
    </row>
    <row r="1600" spans="1:19" x14ac:dyDescent="0.25">
      <c r="A1600" s="63"/>
      <c r="B1600" s="64"/>
      <c r="C1600" s="64"/>
      <c r="D1600" s="64"/>
      <c r="E1600" s="64"/>
      <c r="F1600" s="64"/>
      <c r="G1600" s="64"/>
      <c r="H1600" s="64"/>
      <c r="I1600" s="64"/>
      <c r="J1600" s="64"/>
      <c r="K1600" s="64"/>
      <c r="L1600" s="64"/>
      <c r="M1600" s="64"/>
      <c r="N1600" s="64"/>
      <c r="O1600" s="64"/>
      <c r="P1600" s="64"/>
      <c r="Q1600" s="64"/>
      <c r="R1600" s="64"/>
      <c r="S1600" s="64"/>
    </row>
    <row r="1601" spans="1:19" x14ac:dyDescent="0.25">
      <c r="A1601" s="63"/>
      <c r="B1601" s="64"/>
      <c r="C1601" s="64"/>
      <c r="D1601" s="64"/>
      <c r="E1601" s="64"/>
      <c r="F1601" s="64"/>
      <c r="G1601" s="64"/>
      <c r="H1601" s="64"/>
      <c r="I1601" s="64"/>
      <c r="J1601" s="64"/>
      <c r="K1601" s="64"/>
      <c r="L1601" s="64"/>
      <c r="M1601" s="64"/>
      <c r="N1601" s="64"/>
      <c r="O1601" s="64"/>
      <c r="P1601" s="64"/>
      <c r="Q1601" s="64"/>
      <c r="R1601" s="64"/>
      <c r="S1601" s="64"/>
    </row>
    <row r="1602" spans="1:19" x14ac:dyDescent="0.25">
      <c r="A1602" s="63"/>
      <c r="B1602" s="64"/>
      <c r="C1602" s="64"/>
      <c r="D1602" s="64"/>
      <c r="E1602" s="64"/>
      <c r="F1602" s="64"/>
      <c r="G1602" s="64"/>
      <c r="H1602" s="64"/>
      <c r="I1602" s="64"/>
      <c r="J1602" s="64"/>
      <c r="K1602" s="64"/>
      <c r="L1602" s="64"/>
      <c r="M1602" s="64"/>
      <c r="N1602" s="64"/>
      <c r="O1602" s="64"/>
      <c r="P1602" s="64"/>
      <c r="Q1602" s="64"/>
      <c r="R1602" s="64"/>
      <c r="S1602" s="64"/>
    </row>
    <row r="1603" spans="1:19" x14ac:dyDescent="0.25">
      <c r="A1603" s="63"/>
      <c r="B1603" s="64"/>
      <c r="C1603" s="64"/>
      <c r="D1603" s="64"/>
      <c r="E1603" s="64"/>
      <c r="F1603" s="64"/>
      <c r="G1603" s="64"/>
      <c r="H1603" s="64"/>
      <c r="I1603" s="64"/>
      <c r="J1603" s="64"/>
      <c r="K1603" s="64"/>
      <c r="L1603" s="64"/>
      <c r="M1603" s="64"/>
      <c r="N1603" s="64"/>
      <c r="O1603" s="64"/>
      <c r="P1603" s="64"/>
      <c r="Q1603" s="64"/>
      <c r="R1603" s="64"/>
      <c r="S1603" s="64"/>
    </row>
    <row r="1604" spans="1:19" x14ac:dyDescent="0.25">
      <c r="A1604" s="63"/>
      <c r="B1604" s="64"/>
      <c r="C1604" s="64"/>
      <c r="D1604" s="64"/>
      <c r="E1604" s="64"/>
      <c r="F1604" s="64"/>
      <c r="G1604" s="64"/>
      <c r="H1604" s="64"/>
      <c r="I1604" s="64"/>
      <c r="J1604" s="64"/>
      <c r="K1604" s="64"/>
      <c r="L1604" s="64"/>
      <c r="M1604" s="64"/>
      <c r="N1604" s="64"/>
      <c r="O1604" s="64"/>
      <c r="P1604" s="64"/>
      <c r="Q1604" s="64"/>
      <c r="R1604" s="64"/>
      <c r="S1604" s="64"/>
    </row>
    <row r="1605" spans="1:19" x14ac:dyDescent="0.25">
      <c r="A1605" s="63"/>
      <c r="B1605" s="64"/>
      <c r="C1605" s="64"/>
      <c r="D1605" s="64"/>
      <c r="E1605" s="64"/>
      <c r="F1605" s="64"/>
      <c r="G1605" s="64"/>
      <c r="H1605" s="64"/>
      <c r="I1605" s="64"/>
      <c r="J1605" s="64"/>
      <c r="K1605" s="64"/>
      <c r="L1605" s="64"/>
      <c r="M1605" s="64"/>
      <c r="N1605" s="64"/>
      <c r="O1605" s="64"/>
      <c r="P1605" s="64"/>
      <c r="Q1605" s="64"/>
      <c r="R1605" s="64"/>
      <c r="S1605" s="64"/>
    </row>
    <row r="1606" spans="1:19" x14ac:dyDescent="0.25">
      <c r="A1606" s="63"/>
      <c r="B1606" s="64"/>
      <c r="C1606" s="64"/>
      <c r="D1606" s="64"/>
      <c r="E1606" s="64"/>
      <c r="F1606" s="64"/>
      <c r="G1606" s="64"/>
      <c r="H1606" s="64"/>
      <c r="I1606" s="64"/>
      <c r="J1606" s="64"/>
      <c r="K1606" s="64"/>
      <c r="L1606" s="64"/>
      <c r="M1606" s="64"/>
      <c r="N1606" s="64"/>
      <c r="O1606" s="64"/>
      <c r="P1606" s="64"/>
      <c r="Q1606" s="64"/>
      <c r="R1606" s="64"/>
      <c r="S1606" s="64"/>
    </row>
    <row r="1607" spans="1:19" x14ac:dyDescent="0.25">
      <c r="A1607" s="63"/>
      <c r="B1607" s="64"/>
      <c r="C1607" s="64"/>
      <c r="D1607" s="64"/>
      <c r="E1607" s="64"/>
      <c r="F1607" s="64"/>
      <c r="G1607" s="64"/>
      <c r="H1607" s="64"/>
      <c r="I1607" s="64"/>
      <c r="J1607" s="64"/>
      <c r="K1607" s="64"/>
      <c r="L1607" s="64"/>
      <c r="M1607" s="64"/>
      <c r="N1607" s="64"/>
      <c r="O1607" s="64"/>
      <c r="P1607" s="64"/>
      <c r="Q1607" s="64"/>
      <c r="R1607" s="64"/>
      <c r="S1607" s="64"/>
    </row>
    <row r="1608" spans="1:19" x14ac:dyDescent="0.25">
      <c r="A1608" s="63"/>
      <c r="B1608" s="64"/>
      <c r="C1608" s="64"/>
      <c r="D1608" s="64"/>
      <c r="E1608" s="64"/>
      <c r="F1608" s="64"/>
      <c r="G1608" s="64"/>
      <c r="H1608" s="64"/>
      <c r="I1608" s="64"/>
      <c r="J1608" s="64"/>
      <c r="K1608" s="64"/>
      <c r="L1608" s="64"/>
      <c r="M1608" s="64"/>
      <c r="N1608" s="64"/>
      <c r="O1608" s="64"/>
      <c r="P1608" s="64"/>
      <c r="Q1608" s="64"/>
      <c r="R1608" s="64"/>
      <c r="S1608" s="64"/>
    </row>
    <row r="1609" spans="1:19" x14ac:dyDescent="0.25">
      <c r="A1609" s="63"/>
      <c r="B1609" s="64"/>
      <c r="C1609" s="64"/>
      <c r="D1609" s="64"/>
      <c r="E1609" s="64"/>
      <c r="F1609" s="64"/>
      <c r="G1609" s="64"/>
      <c r="H1609" s="64"/>
      <c r="I1609" s="64"/>
      <c r="J1609" s="64"/>
      <c r="K1609" s="64"/>
      <c r="L1609" s="64"/>
      <c r="M1609" s="64"/>
      <c r="N1609" s="64"/>
      <c r="O1609" s="64"/>
      <c r="P1609" s="64"/>
      <c r="Q1609" s="64"/>
      <c r="R1609" s="64"/>
      <c r="S1609" s="64"/>
    </row>
    <row r="1610" spans="1:19" x14ac:dyDescent="0.25">
      <c r="A1610" s="63"/>
      <c r="B1610" s="64"/>
      <c r="C1610" s="64"/>
      <c r="D1610" s="64"/>
      <c r="E1610" s="64"/>
      <c r="F1610" s="64"/>
      <c r="G1610" s="64"/>
      <c r="H1610" s="64"/>
      <c r="I1610" s="64"/>
      <c r="J1610" s="64"/>
      <c r="K1610" s="64"/>
      <c r="L1610" s="64"/>
      <c r="M1610" s="64"/>
      <c r="N1610" s="64"/>
      <c r="O1610" s="64"/>
      <c r="P1610" s="64"/>
      <c r="Q1610" s="64"/>
      <c r="R1610" s="64"/>
      <c r="S1610" s="64"/>
    </row>
    <row r="1611" spans="1:19" x14ac:dyDescent="0.25">
      <c r="A1611" s="63"/>
      <c r="B1611" s="64"/>
      <c r="C1611" s="64"/>
      <c r="D1611" s="64"/>
      <c r="E1611" s="64"/>
      <c r="F1611" s="64"/>
      <c r="G1611" s="64"/>
      <c r="H1611" s="64"/>
      <c r="I1611" s="64"/>
      <c r="J1611" s="64"/>
      <c r="K1611" s="64"/>
      <c r="L1611" s="64"/>
      <c r="M1611" s="64"/>
      <c r="N1611" s="64"/>
      <c r="O1611" s="64"/>
      <c r="P1611" s="64"/>
      <c r="Q1611" s="64"/>
      <c r="R1611" s="64"/>
      <c r="S1611" s="64"/>
    </row>
    <row r="1612" spans="1:19" x14ac:dyDescent="0.25">
      <c r="A1612" s="63"/>
      <c r="B1612" s="64"/>
      <c r="C1612" s="64"/>
      <c r="D1612" s="64"/>
      <c r="E1612" s="64"/>
      <c r="F1612" s="64"/>
      <c r="G1612" s="64"/>
      <c r="H1612" s="64"/>
      <c r="I1612" s="64"/>
      <c r="J1612" s="64"/>
      <c r="K1612" s="64"/>
      <c r="L1612" s="64"/>
      <c r="M1612" s="64"/>
      <c r="N1612" s="64"/>
      <c r="O1612" s="64"/>
      <c r="P1612" s="64"/>
      <c r="Q1612" s="64"/>
      <c r="R1612" s="64"/>
      <c r="S1612" s="64"/>
    </row>
    <row r="1613" spans="1:19" x14ac:dyDescent="0.25">
      <c r="A1613" s="63"/>
      <c r="B1613" s="64"/>
      <c r="C1613" s="64"/>
      <c r="D1613" s="64"/>
      <c r="E1613" s="64"/>
      <c r="F1613" s="64"/>
      <c r="G1613" s="64"/>
      <c r="H1613" s="64"/>
      <c r="I1613" s="64"/>
      <c r="J1613" s="64"/>
      <c r="K1613" s="64"/>
      <c r="L1613" s="64"/>
      <c r="M1613" s="64"/>
      <c r="N1613" s="64"/>
      <c r="O1613" s="64"/>
      <c r="P1613" s="64"/>
      <c r="Q1613" s="64"/>
      <c r="R1613" s="64"/>
      <c r="S1613" s="64"/>
    </row>
    <row r="1614" spans="1:19" x14ac:dyDescent="0.25">
      <c r="A1614" s="63"/>
      <c r="B1614" s="64"/>
      <c r="C1614" s="64"/>
      <c r="D1614" s="64"/>
      <c r="E1614" s="64"/>
      <c r="F1614" s="64"/>
      <c r="G1614" s="64"/>
      <c r="H1614" s="64"/>
      <c r="I1614" s="64"/>
      <c r="J1614" s="64"/>
      <c r="K1614" s="64"/>
      <c r="L1614" s="64"/>
      <c r="M1614" s="64"/>
      <c r="N1614" s="64"/>
      <c r="O1614" s="64"/>
      <c r="P1614" s="64"/>
      <c r="Q1614" s="64"/>
      <c r="R1614" s="64"/>
      <c r="S1614" s="64"/>
    </row>
    <row r="1615" spans="1:19" x14ac:dyDescent="0.25">
      <c r="A1615" s="63"/>
      <c r="B1615" s="64"/>
      <c r="C1615" s="64"/>
      <c r="D1615" s="64"/>
      <c r="E1615" s="64"/>
      <c r="F1615" s="64"/>
      <c r="G1615" s="64"/>
      <c r="H1615" s="64"/>
      <c r="I1615" s="64"/>
      <c r="J1615" s="64"/>
      <c r="K1615" s="64"/>
      <c r="L1615" s="64"/>
      <c r="M1615" s="64"/>
      <c r="N1615" s="64"/>
      <c r="O1615" s="64"/>
      <c r="P1615" s="64"/>
      <c r="Q1615" s="64"/>
      <c r="R1615" s="64"/>
      <c r="S1615" s="64"/>
    </row>
    <row r="1616" spans="1:19" x14ac:dyDescent="0.25">
      <c r="A1616" s="63"/>
      <c r="B1616" s="64"/>
      <c r="C1616" s="64"/>
      <c r="D1616" s="64"/>
      <c r="E1616" s="64"/>
      <c r="F1616" s="64"/>
      <c r="G1616" s="64"/>
      <c r="H1616" s="64"/>
      <c r="I1616" s="64"/>
      <c r="J1616" s="64"/>
      <c r="K1616" s="64"/>
      <c r="L1616" s="64"/>
      <c r="M1616" s="64"/>
      <c r="N1616" s="64"/>
      <c r="O1616" s="64"/>
      <c r="P1616" s="64"/>
      <c r="Q1616" s="64"/>
      <c r="R1616" s="64"/>
      <c r="S1616" s="64"/>
    </row>
    <row r="1617" spans="1:19" x14ac:dyDescent="0.25">
      <c r="A1617" s="63"/>
      <c r="B1617" s="64"/>
      <c r="C1617" s="64"/>
      <c r="D1617" s="64"/>
      <c r="E1617" s="64"/>
      <c r="F1617" s="64"/>
      <c r="G1617" s="64"/>
      <c r="H1617" s="64"/>
      <c r="I1617" s="64"/>
      <c r="J1617" s="64"/>
      <c r="K1617" s="64"/>
      <c r="L1617" s="64"/>
      <c r="M1617" s="64"/>
      <c r="N1617" s="64"/>
      <c r="O1617" s="64"/>
      <c r="P1617" s="64"/>
      <c r="Q1617" s="64"/>
      <c r="R1617" s="64"/>
      <c r="S1617" s="64"/>
    </row>
    <row r="1618" spans="1:19" x14ac:dyDescent="0.25">
      <c r="A1618" s="63"/>
      <c r="B1618" s="64"/>
      <c r="C1618" s="64"/>
      <c r="D1618" s="64"/>
      <c r="E1618" s="64"/>
      <c r="F1618" s="64"/>
      <c r="G1618" s="64"/>
      <c r="H1618" s="64"/>
      <c r="I1618" s="64"/>
      <c r="J1618" s="64"/>
      <c r="K1618" s="64"/>
      <c r="L1618" s="64"/>
      <c r="M1618" s="64"/>
      <c r="N1618" s="64"/>
      <c r="O1618" s="64"/>
      <c r="P1618" s="64"/>
      <c r="Q1618" s="64"/>
      <c r="R1618" s="64"/>
      <c r="S1618" s="64"/>
    </row>
    <row r="1619" spans="1:19" x14ac:dyDescent="0.25">
      <c r="A1619" s="63"/>
      <c r="B1619" s="64"/>
      <c r="C1619" s="64"/>
      <c r="D1619" s="64"/>
      <c r="E1619" s="64"/>
      <c r="F1619" s="64"/>
      <c r="G1619" s="64"/>
      <c r="H1619" s="64"/>
      <c r="I1619" s="64"/>
      <c r="J1619" s="64"/>
      <c r="K1619" s="64"/>
      <c r="L1619" s="64"/>
      <c r="M1619" s="64"/>
      <c r="N1619" s="64"/>
      <c r="O1619" s="64"/>
      <c r="P1619" s="64"/>
      <c r="Q1619" s="64"/>
      <c r="R1619" s="64"/>
      <c r="S1619" s="64"/>
    </row>
    <row r="1620" spans="1:19" x14ac:dyDescent="0.25">
      <c r="A1620" s="63"/>
      <c r="B1620" s="64"/>
      <c r="C1620" s="64"/>
      <c r="D1620" s="64"/>
      <c r="E1620" s="64"/>
      <c r="F1620" s="64"/>
      <c r="G1620" s="64"/>
      <c r="H1620" s="64"/>
      <c r="I1620" s="64"/>
      <c r="J1620" s="64"/>
      <c r="K1620" s="64"/>
      <c r="L1620" s="64"/>
      <c r="M1620" s="64"/>
      <c r="N1620" s="64"/>
      <c r="O1620" s="64"/>
      <c r="P1620" s="64"/>
      <c r="Q1620" s="64"/>
      <c r="R1620" s="64"/>
      <c r="S1620" s="64"/>
    </row>
    <row r="1621" spans="1:19" x14ac:dyDescent="0.25">
      <c r="A1621" s="63"/>
      <c r="B1621" s="64"/>
      <c r="C1621" s="64"/>
      <c r="D1621" s="64"/>
      <c r="E1621" s="64"/>
      <c r="F1621" s="64"/>
      <c r="G1621" s="64"/>
      <c r="H1621" s="64"/>
      <c r="I1621" s="64"/>
      <c r="J1621" s="64"/>
      <c r="K1621" s="64"/>
      <c r="L1621" s="64"/>
      <c r="M1621" s="64"/>
      <c r="N1621" s="64"/>
      <c r="O1621" s="64"/>
      <c r="P1621" s="64"/>
      <c r="Q1621" s="64"/>
      <c r="R1621" s="64"/>
      <c r="S1621" s="64"/>
    </row>
    <row r="1622" spans="1:19" x14ac:dyDescent="0.25">
      <c r="A1622" s="63"/>
      <c r="B1622" s="64"/>
      <c r="C1622" s="64"/>
      <c r="D1622" s="64"/>
      <c r="E1622" s="64"/>
      <c r="F1622" s="64"/>
      <c r="G1622" s="64"/>
      <c r="H1622" s="64"/>
      <c r="I1622" s="64"/>
      <c r="J1622" s="64"/>
      <c r="K1622" s="64"/>
      <c r="L1622" s="64"/>
      <c r="M1622" s="64"/>
      <c r="N1622" s="64"/>
      <c r="O1622" s="64"/>
      <c r="P1622" s="64"/>
      <c r="Q1622" s="64"/>
      <c r="R1622" s="64"/>
      <c r="S1622" s="64"/>
    </row>
    <row r="1623" spans="1:19" x14ac:dyDescent="0.25">
      <c r="A1623" s="63"/>
      <c r="B1623" s="64"/>
      <c r="C1623" s="64"/>
      <c r="D1623" s="64"/>
      <c r="E1623" s="64"/>
      <c r="F1623" s="64"/>
      <c r="G1623" s="64"/>
      <c r="H1623" s="64"/>
      <c r="I1623" s="64"/>
      <c r="J1623" s="64"/>
      <c r="K1623" s="64"/>
      <c r="L1623" s="64"/>
      <c r="M1623" s="64"/>
      <c r="N1623" s="64"/>
      <c r="O1623" s="64"/>
      <c r="P1623" s="64"/>
      <c r="Q1623" s="64"/>
      <c r="R1623" s="64"/>
      <c r="S1623" s="64"/>
    </row>
    <row r="1624" spans="1:19" x14ac:dyDescent="0.25">
      <c r="A1624" s="63"/>
      <c r="B1624" s="64"/>
      <c r="C1624" s="64"/>
      <c r="D1624" s="64"/>
      <c r="E1624" s="64"/>
      <c r="F1624" s="64"/>
      <c r="G1624" s="64"/>
      <c r="H1624" s="64"/>
      <c r="I1624" s="64"/>
      <c r="J1624" s="64"/>
      <c r="K1624" s="64"/>
      <c r="L1624" s="64"/>
      <c r="M1624" s="64"/>
      <c r="N1624" s="64"/>
      <c r="O1624" s="64"/>
      <c r="P1624" s="64"/>
      <c r="Q1624" s="64"/>
      <c r="R1624" s="64"/>
      <c r="S1624" s="64"/>
    </row>
    <row r="1625" spans="1:19" x14ac:dyDescent="0.25">
      <c r="A1625" s="63"/>
      <c r="B1625" s="64"/>
      <c r="C1625" s="64"/>
      <c r="D1625" s="64"/>
      <c r="E1625" s="64"/>
      <c r="F1625" s="64"/>
      <c r="G1625" s="64"/>
      <c r="H1625" s="64"/>
      <c r="I1625" s="64"/>
      <c r="J1625" s="64"/>
      <c r="K1625" s="64"/>
      <c r="L1625" s="64"/>
      <c r="M1625" s="64"/>
      <c r="N1625" s="64"/>
      <c r="O1625" s="64"/>
      <c r="P1625" s="64"/>
      <c r="Q1625" s="64"/>
      <c r="R1625" s="64"/>
      <c r="S1625" s="64"/>
    </row>
    <row r="1626" spans="1:19" x14ac:dyDescent="0.25">
      <c r="A1626" s="63"/>
      <c r="B1626" s="64"/>
      <c r="C1626" s="64"/>
      <c r="D1626" s="64"/>
      <c r="E1626" s="64"/>
      <c r="F1626" s="64"/>
      <c r="G1626" s="64"/>
      <c r="H1626" s="64"/>
      <c r="I1626" s="64"/>
      <c r="J1626" s="64"/>
      <c r="K1626" s="64"/>
      <c r="L1626" s="64"/>
      <c r="M1626" s="64"/>
      <c r="N1626" s="64"/>
      <c r="O1626" s="64"/>
      <c r="P1626" s="64"/>
      <c r="Q1626" s="64"/>
      <c r="R1626" s="64"/>
      <c r="S1626" s="64"/>
    </row>
    <row r="1627" spans="1:19" x14ac:dyDescent="0.25">
      <c r="A1627" s="63"/>
      <c r="B1627" s="64"/>
      <c r="C1627" s="64"/>
      <c r="D1627" s="64"/>
      <c r="E1627" s="64"/>
      <c r="F1627" s="64"/>
      <c r="G1627" s="64"/>
      <c r="H1627" s="64"/>
      <c r="I1627" s="64"/>
      <c r="J1627" s="64"/>
      <c r="K1627" s="64"/>
      <c r="L1627" s="64"/>
      <c r="M1627" s="64"/>
      <c r="N1627" s="64"/>
      <c r="O1627" s="64"/>
      <c r="P1627" s="64"/>
      <c r="Q1627" s="64"/>
      <c r="R1627" s="64"/>
      <c r="S1627" s="64"/>
    </row>
    <row r="1628" spans="1:19" x14ac:dyDescent="0.25">
      <c r="A1628" s="63"/>
      <c r="B1628" s="64"/>
      <c r="C1628" s="64"/>
      <c r="D1628" s="64"/>
      <c r="E1628" s="64"/>
      <c r="F1628" s="64"/>
      <c r="G1628" s="64"/>
      <c r="H1628" s="64"/>
      <c r="I1628" s="64"/>
      <c r="J1628" s="64"/>
      <c r="K1628" s="64"/>
      <c r="L1628" s="64"/>
      <c r="M1628" s="64"/>
      <c r="N1628" s="64"/>
      <c r="O1628" s="64"/>
      <c r="P1628" s="64"/>
      <c r="Q1628" s="64"/>
      <c r="R1628" s="64"/>
      <c r="S1628" s="64"/>
    </row>
    <row r="1629" spans="1:19" x14ac:dyDescent="0.25">
      <c r="A1629" s="63"/>
      <c r="B1629" s="64"/>
      <c r="C1629" s="64"/>
      <c r="D1629" s="64"/>
      <c r="E1629" s="64"/>
      <c r="F1629" s="64"/>
      <c r="G1629" s="64"/>
      <c r="H1629" s="64"/>
      <c r="I1629" s="64"/>
      <c r="J1629" s="64"/>
      <c r="K1629" s="64"/>
      <c r="L1629" s="64"/>
      <c r="M1629" s="64"/>
      <c r="N1629" s="64"/>
      <c r="O1629" s="64"/>
      <c r="P1629" s="64"/>
      <c r="Q1629" s="64"/>
      <c r="R1629" s="64"/>
      <c r="S1629" s="64"/>
    </row>
    <row r="1630" spans="1:19" x14ac:dyDescent="0.25">
      <c r="A1630" s="63"/>
      <c r="B1630" s="64"/>
      <c r="C1630" s="64"/>
      <c r="D1630" s="64"/>
      <c r="E1630" s="64"/>
      <c r="F1630" s="64"/>
      <c r="G1630" s="64"/>
      <c r="H1630" s="64"/>
      <c r="I1630" s="64"/>
      <c r="J1630" s="64"/>
      <c r="K1630" s="64"/>
      <c r="L1630" s="64"/>
      <c r="M1630" s="64"/>
      <c r="N1630" s="64"/>
      <c r="O1630" s="64"/>
      <c r="P1630" s="64"/>
      <c r="Q1630" s="64"/>
      <c r="R1630" s="64"/>
      <c r="S1630" s="64"/>
    </row>
    <row r="1631" spans="1:19" x14ac:dyDescent="0.25">
      <c r="A1631" s="63"/>
      <c r="B1631" s="64"/>
      <c r="C1631" s="64"/>
      <c r="D1631" s="64"/>
      <c r="E1631" s="64"/>
      <c r="F1631" s="64"/>
      <c r="G1631" s="64"/>
      <c r="H1631" s="64"/>
      <c r="I1631" s="64"/>
      <c r="J1631" s="64"/>
      <c r="K1631" s="64"/>
      <c r="L1631" s="64"/>
      <c r="M1631" s="64"/>
      <c r="N1631" s="64"/>
      <c r="O1631" s="64"/>
      <c r="P1631" s="64"/>
      <c r="Q1631" s="64"/>
      <c r="R1631" s="64"/>
      <c r="S1631" s="64"/>
    </row>
    <row r="1632" spans="1:19" x14ac:dyDescent="0.25">
      <c r="A1632" s="63"/>
      <c r="B1632" s="64"/>
      <c r="C1632" s="64"/>
      <c r="D1632" s="64"/>
      <c r="E1632" s="64"/>
      <c r="F1632" s="64"/>
      <c r="G1632" s="64"/>
      <c r="H1632" s="64"/>
      <c r="I1632" s="64"/>
      <c r="J1632" s="64"/>
      <c r="K1632" s="64"/>
      <c r="L1632" s="64"/>
      <c r="M1632" s="64"/>
      <c r="N1632" s="64"/>
      <c r="O1632" s="64"/>
      <c r="P1632" s="64"/>
      <c r="Q1632" s="64"/>
      <c r="R1632" s="64"/>
      <c r="S1632" s="64"/>
    </row>
    <row r="1633" spans="1:19" x14ac:dyDescent="0.25">
      <c r="A1633" s="63"/>
      <c r="B1633" s="64"/>
      <c r="C1633" s="64"/>
      <c r="D1633" s="64"/>
      <c r="E1633" s="64"/>
      <c r="F1633" s="64"/>
      <c r="G1633" s="64"/>
      <c r="H1633" s="64"/>
      <c r="I1633" s="64"/>
      <c r="J1633" s="64"/>
      <c r="K1633" s="64"/>
      <c r="L1633" s="64"/>
      <c r="M1633" s="64"/>
      <c r="N1633" s="64"/>
      <c r="O1633" s="64"/>
      <c r="P1633" s="64"/>
      <c r="Q1633" s="64"/>
      <c r="R1633" s="64"/>
      <c r="S1633" s="64"/>
    </row>
    <row r="1634" spans="1:19" x14ac:dyDescent="0.25">
      <c r="A1634" s="63"/>
      <c r="B1634" s="64"/>
      <c r="C1634" s="64"/>
      <c r="D1634" s="64"/>
      <c r="E1634" s="64"/>
      <c r="F1634" s="64"/>
      <c r="G1634" s="64"/>
      <c r="H1634" s="64"/>
      <c r="I1634" s="64"/>
      <c r="J1634" s="64"/>
      <c r="K1634" s="64"/>
      <c r="L1634" s="64"/>
      <c r="M1634" s="64"/>
      <c r="N1634" s="64"/>
      <c r="O1634" s="64"/>
      <c r="P1634" s="64"/>
      <c r="Q1634" s="64"/>
      <c r="R1634" s="64"/>
      <c r="S1634" s="64"/>
    </row>
    <row r="1635" spans="1:19" x14ac:dyDescent="0.25">
      <c r="A1635" s="63"/>
      <c r="B1635" s="64"/>
      <c r="C1635" s="64"/>
      <c r="D1635" s="64"/>
      <c r="E1635" s="64"/>
      <c r="F1635" s="64"/>
      <c r="G1635" s="64"/>
      <c r="H1635" s="64"/>
      <c r="I1635" s="64"/>
      <c r="J1635" s="64"/>
      <c r="K1635" s="64"/>
      <c r="L1635" s="64"/>
      <c r="M1635" s="64"/>
      <c r="N1635" s="64"/>
      <c r="O1635" s="64"/>
      <c r="P1635" s="64"/>
      <c r="Q1635" s="64"/>
      <c r="R1635" s="64"/>
      <c r="S1635" s="64"/>
    </row>
    <row r="1636" spans="1:19" x14ac:dyDescent="0.25">
      <c r="A1636" s="63"/>
      <c r="B1636" s="64"/>
      <c r="C1636" s="64"/>
      <c r="D1636" s="64"/>
      <c r="E1636" s="64"/>
      <c r="F1636" s="64"/>
      <c r="G1636" s="64"/>
      <c r="H1636" s="64"/>
      <c r="I1636" s="64"/>
      <c r="J1636" s="64"/>
      <c r="K1636" s="64"/>
      <c r="L1636" s="64"/>
      <c r="M1636" s="64"/>
      <c r="N1636" s="64"/>
      <c r="O1636" s="64"/>
      <c r="P1636" s="64"/>
      <c r="Q1636" s="64"/>
      <c r="R1636" s="64"/>
      <c r="S1636" s="64"/>
    </row>
    <row r="1637" spans="1:19" x14ac:dyDescent="0.25">
      <c r="A1637" s="63"/>
      <c r="B1637" s="64"/>
      <c r="C1637" s="64"/>
      <c r="D1637" s="64"/>
      <c r="E1637" s="64"/>
      <c r="F1637" s="64"/>
      <c r="G1637" s="64"/>
      <c r="H1637" s="64"/>
      <c r="I1637" s="64"/>
      <c r="J1637" s="64"/>
      <c r="K1637" s="64"/>
      <c r="L1637" s="64"/>
      <c r="M1637" s="64"/>
      <c r="N1637" s="64"/>
      <c r="O1637" s="64"/>
      <c r="P1637" s="64"/>
      <c r="Q1637" s="64"/>
      <c r="R1637" s="64"/>
      <c r="S1637" s="64"/>
    </row>
    <row r="1638" spans="1:19" x14ac:dyDescent="0.25">
      <c r="A1638" s="63"/>
      <c r="B1638" s="64"/>
      <c r="C1638" s="64"/>
      <c r="D1638" s="64"/>
      <c r="E1638" s="64"/>
      <c r="F1638" s="64"/>
      <c r="G1638" s="64"/>
      <c r="H1638" s="64"/>
      <c r="I1638" s="64"/>
      <c r="J1638" s="64"/>
      <c r="K1638" s="64"/>
      <c r="L1638" s="64"/>
      <c r="M1638" s="64"/>
      <c r="N1638" s="64"/>
      <c r="O1638" s="64"/>
      <c r="P1638" s="64"/>
      <c r="Q1638" s="64"/>
      <c r="R1638" s="64"/>
      <c r="S1638" s="64"/>
    </row>
    <row r="1639" spans="1:19" x14ac:dyDescent="0.25">
      <c r="A1639" s="63"/>
      <c r="B1639" s="64"/>
      <c r="C1639" s="64"/>
      <c r="D1639" s="64"/>
      <c r="E1639" s="64"/>
      <c r="F1639" s="64"/>
      <c r="G1639" s="64"/>
      <c r="H1639" s="64"/>
      <c r="I1639" s="64"/>
      <c r="J1639" s="64"/>
      <c r="K1639" s="64"/>
      <c r="L1639" s="64"/>
      <c r="M1639" s="64"/>
      <c r="N1639" s="64"/>
      <c r="O1639" s="64"/>
      <c r="P1639" s="64"/>
      <c r="Q1639" s="64"/>
      <c r="R1639" s="64"/>
      <c r="S1639" s="64"/>
    </row>
    <row r="1640" spans="1:19" x14ac:dyDescent="0.25">
      <c r="A1640" s="63"/>
      <c r="B1640" s="64"/>
      <c r="C1640" s="64"/>
      <c r="D1640" s="64"/>
      <c r="E1640" s="64"/>
      <c r="F1640" s="64"/>
      <c r="G1640" s="64"/>
      <c r="H1640" s="64"/>
      <c r="I1640" s="64"/>
      <c r="J1640" s="64"/>
      <c r="K1640" s="64"/>
      <c r="L1640" s="64"/>
      <c r="M1640" s="64"/>
      <c r="N1640" s="64"/>
      <c r="O1640" s="64"/>
      <c r="P1640" s="64"/>
      <c r="Q1640" s="64"/>
      <c r="R1640" s="64"/>
      <c r="S1640" s="64"/>
    </row>
    <row r="1641" spans="1:19" x14ac:dyDescent="0.25">
      <c r="A1641" s="63"/>
      <c r="B1641" s="64"/>
      <c r="C1641" s="64"/>
      <c r="D1641" s="64"/>
      <c r="E1641" s="64"/>
      <c r="F1641" s="64"/>
      <c r="G1641" s="64"/>
      <c r="H1641" s="64"/>
      <c r="I1641" s="64"/>
      <c r="J1641" s="64"/>
      <c r="K1641" s="64"/>
      <c r="L1641" s="64"/>
      <c r="M1641" s="64"/>
      <c r="N1641" s="64"/>
      <c r="O1641" s="64"/>
      <c r="P1641" s="64"/>
      <c r="Q1641" s="64"/>
      <c r="R1641" s="64"/>
      <c r="S1641" s="64"/>
    </row>
    <row r="1642" spans="1:19" x14ac:dyDescent="0.25">
      <c r="A1642" s="63"/>
      <c r="B1642" s="64"/>
      <c r="C1642" s="64"/>
      <c r="D1642" s="64"/>
      <c r="E1642" s="64"/>
      <c r="F1642" s="64"/>
      <c r="G1642" s="64"/>
      <c r="H1642" s="64"/>
      <c r="I1642" s="64"/>
      <c r="J1642" s="64"/>
      <c r="K1642" s="64"/>
      <c r="L1642" s="64"/>
      <c r="M1642" s="64"/>
      <c r="N1642" s="64"/>
      <c r="O1642" s="64"/>
      <c r="P1642" s="64"/>
      <c r="Q1642" s="64"/>
      <c r="R1642" s="64"/>
      <c r="S1642" s="64"/>
    </row>
    <row r="1643" spans="1:19" x14ac:dyDescent="0.25">
      <c r="A1643" s="63"/>
      <c r="B1643" s="64"/>
      <c r="C1643" s="64"/>
      <c r="D1643" s="64"/>
      <c r="E1643" s="64"/>
      <c r="F1643" s="64"/>
      <c r="G1643" s="64"/>
      <c r="H1643" s="64"/>
      <c r="I1643" s="64"/>
      <c r="J1643" s="64"/>
      <c r="K1643" s="64"/>
      <c r="L1643" s="64"/>
      <c r="M1643" s="64"/>
      <c r="N1643" s="64"/>
      <c r="O1643" s="64"/>
      <c r="P1643" s="64"/>
      <c r="Q1643" s="64"/>
      <c r="R1643" s="64"/>
      <c r="S1643" s="64"/>
    </row>
    <row r="1644" spans="1:19" x14ac:dyDescent="0.25">
      <c r="A1644" s="63"/>
      <c r="B1644" s="64"/>
      <c r="C1644" s="64"/>
      <c r="D1644" s="64"/>
      <c r="E1644" s="64"/>
      <c r="F1644" s="64"/>
      <c r="G1644" s="64"/>
      <c r="H1644" s="64"/>
      <c r="I1644" s="64"/>
      <c r="J1644" s="64"/>
      <c r="K1644" s="64"/>
      <c r="L1644" s="64"/>
      <c r="M1644" s="64"/>
      <c r="N1644" s="64"/>
      <c r="O1644" s="64"/>
      <c r="P1644" s="64"/>
      <c r="Q1644" s="64"/>
      <c r="R1644" s="64"/>
      <c r="S1644" s="64"/>
    </row>
    <row r="1645" spans="1:19" x14ac:dyDescent="0.25">
      <c r="A1645" s="63"/>
      <c r="B1645" s="64"/>
      <c r="C1645" s="64"/>
      <c r="D1645" s="64"/>
      <c r="E1645" s="64"/>
      <c r="F1645" s="64"/>
      <c r="G1645" s="64"/>
      <c r="H1645" s="64"/>
      <c r="I1645" s="64"/>
      <c r="J1645" s="64"/>
      <c r="K1645" s="64"/>
      <c r="L1645" s="64"/>
      <c r="M1645" s="64"/>
      <c r="N1645" s="64"/>
      <c r="O1645" s="64"/>
      <c r="P1645" s="64"/>
      <c r="Q1645" s="64"/>
      <c r="R1645" s="64"/>
      <c r="S1645" s="64"/>
    </row>
    <row r="1646" spans="1:19" x14ac:dyDescent="0.25">
      <c r="A1646" s="63"/>
      <c r="B1646" s="64"/>
      <c r="C1646" s="64"/>
      <c r="D1646" s="64"/>
      <c r="E1646" s="64"/>
      <c r="F1646" s="64"/>
      <c r="G1646" s="64"/>
      <c r="H1646" s="64"/>
      <c r="I1646" s="64"/>
      <c r="J1646" s="64"/>
      <c r="K1646" s="64"/>
      <c r="L1646" s="64"/>
      <c r="M1646" s="64"/>
      <c r="N1646" s="64"/>
      <c r="O1646" s="64"/>
      <c r="P1646" s="64"/>
      <c r="Q1646" s="64"/>
      <c r="R1646" s="64"/>
      <c r="S1646" s="64"/>
    </row>
    <row r="1647" spans="1:19" x14ac:dyDescent="0.25">
      <c r="A1647" s="63"/>
      <c r="B1647" s="64"/>
      <c r="C1647" s="64"/>
      <c r="D1647" s="64"/>
      <c r="E1647" s="64"/>
      <c r="F1647" s="64"/>
      <c r="G1647" s="64"/>
      <c r="H1647" s="64"/>
      <c r="I1647" s="64"/>
      <c r="J1647" s="64"/>
      <c r="K1647" s="64"/>
      <c r="L1647" s="64"/>
      <c r="M1647" s="64"/>
      <c r="N1647" s="64"/>
      <c r="O1647" s="64"/>
      <c r="P1647" s="64"/>
      <c r="Q1647" s="64"/>
      <c r="R1647" s="64"/>
      <c r="S1647" s="64"/>
    </row>
    <row r="1648" spans="1:19" x14ac:dyDescent="0.25">
      <c r="A1648" s="63"/>
      <c r="B1648" s="64"/>
      <c r="C1648" s="64"/>
      <c r="D1648" s="64"/>
      <c r="E1648" s="64"/>
      <c r="F1648" s="64"/>
      <c r="G1648" s="64"/>
      <c r="H1648" s="64"/>
      <c r="I1648" s="64"/>
      <c r="J1648" s="64"/>
      <c r="K1648" s="64"/>
      <c r="L1648" s="64"/>
      <c r="M1648" s="64"/>
      <c r="N1648" s="64"/>
      <c r="O1648" s="64"/>
      <c r="P1648" s="64"/>
      <c r="Q1648" s="64"/>
      <c r="R1648" s="64"/>
      <c r="S1648" s="64"/>
    </row>
    <row r="1649" spans="1:19" x14ac:dyDescent="0.25">
      <c r="A1649" s="63"/>
      <c r="B1649" s="64"/>
      <c r="C1649" s="64"/>
      <c r="D1649" s="64"/>
      <c r="E1649" s="64"/>
      <c r="F1649" s="64"/>
      <c r="G1649" s="64"/>
      <c r="H1649" s="64"/>
      <c r="I1649" s="64"/>
      <c r="J1649" s="64"/>
      <c r="K1649" s="64"/>
      <c r="L1649" s="64"/>
      <c r="M1649" s="64"/>
      <c r="N1649" s="64"/>
      <c r="O1649" s="64"/>
      <c r="P1649" s="64"/>
      <c r="Q1649" s="64"/>
      <c r="R1649" s="64"/>
      <c r="S1649" s="64"/>
    </row>
    <row r="1650" spans="1:19" x14ac:dyDescent="0.25">
      <c r="A1650" s="63"/>
      <c r="B1650" s="64"/>
      <c r="C1650" s="64"/>
      <c r="D1650" s="64"/>
      <c r="E1650" s="64"/>
      <c r="F1650" s="64"/>
      <c r="G1650" s="64"/>
      <c r="H1650" s="64"/>
      <c r="I1650" s="64"/>
      <c r="J1650" s="64"/>
      <c r="K1650" s="64"/>
      <c r="L1650" s="64"/>
      <c r="M1650" s="64"/>
      <c r="N1650" s="64"/>
      <c r="O1650" s="64"/>
      <c r="P1650" s="64"/>
      <c r="Q1650" s="64"/>
      <c r="R1650" s="64"/>
      <c r="S1650" s="64"/>
    </row>
    <row r="1651" spans="1:19" x14ac:dyDescent="0.25">
      <c r="A1651" s="63"/>
      <c r="B1651" s="64"/>
      <c r="C1651" s="64"/>
      <c r="D1651" s="64"/>
      <c r="E1651" s="64"/>
      <c r="F1651" s="64"/>
      <c r="G1651" s="64"/>
      <c r="H1651" s="64"/>
      <c r="I1651" s="64"/>
      <c r="J1651" s="64"/>
      <c r="K1651" s="64"/>
      <c r="L1651" s="64"/>
      <c r="M1651" s="64"/>
      <c r="N1651" s="64"/>
      <c r="O1651" s="64"/>
      <c r="P1651" s="64"/>
      <c r="Q1651" s="64"/>
      <c r="R1651" s="64"/>
      <c r="S1651" s="64"/>
    </row>
    <row r="1652" spans="1:19" x14ac:dyDescent="0.25">
      <c r="A1652" s="63"/>
      <c r="B1652" s="64"/>
      <c r="C1652" s="64"/>
      <c r="D1652" s="64"/>
      <c r="E1652" s="64"/>
      <c r="F1652" s="64"/>
      <c r="G1652" s="64"/>
      <c r="H1652" s="64"/>
      <c r="I1652" s="64"/>
      <c r="J1652" s="64"/>
      <c r="K1652" s="64"/>
      <c r="L1652" s="64"/>
      <c r="M1652" s="64"/>
      <c r="N1652" s="64"/>
      <c r="O1652" s="64"/>
      <c r="P1652" s="64"/>
      <c r="Q1652" s="64"/>
      <c r="R1652" s="64"/>
      <c r="S1652" s="64"/>
    </row>
    <row r="1653" spans="1:19" x14ac:dyDescent="0.25">
      <c r="A1653" s="63"/>
      <c r="B1653" s="64"/>
      <c r="C1653" s="64"/>
      <c r="D1653" s="64"/>
      <c r="E1653" s="64"/>
      <c r="F1653" s="64"/>
      <c r="G1653" s="64"/>
      <c r="H1653" s="64"/>
      <c r="I1653" s="64"/>
      <c r="J1653" s="64"/>
      <c r="K1653" s="64"/>
      <c r="L1653" s="64"/>
      <c r="M1653" s="64"/>
      <c r="N1653" s="64"/>
      <c r="O1653" s="64"/>
      <c r="P1653" s="64"/>
      <c r="Q1653" s="64"/>
      <c r="R1653" s="64"/>
      <c r="S1653" s="64"/>
    </row>
    <row r="1654" spans="1:19" x14ac:dyDescent="0.25">
      <c r="A1654" s="63"/>
      <c r="B1654" s="64"/>
      <c r="C1654" s="64"/>
      <c r="D1654" s="64"/>
      <c r="E1654" s="64"/>
      <c r="F1654" s="64"/>
      <c r="G1654" s="64"/>
      <c r="H1654" s="64"/>
      <c r="I1654" s="64"/>
      <c r="J1654" s="64"/>
      <c r="K1654" s="64"/>
      <c r="L1654" s="64"/>
      <c r="M1654" s="64"/>
      <c r="N1654" s="64"/>
      <c r="O1654" s="64"/>
      <c r="P1654" s="64"/>
      <c r="Q1654" s="64"/>
      <c r="R1654" s="64"/>
      <c r="S1654" s="64"/>
    </row>
    <row r="1655" spans="1:19" x14ac:dyDescent="0.25">
      <c r="A1655" s="63"/>
      <c r="B1655" s="64"/>
      <c r="C1655" s="64"/>
      <c r="D1655" s="64"/>
      <c r="E1655" s="64"/>
      <c r="F1655" s="64"/>
      <c r="G1655" s="64"/>
      <c r="H1655" s="64"/>
      <c r="I1655" s="64"/>
      <c r="J1655" s="64"/>
      <c r="K1655" s="64"/>
      <c r="L1655" s="64"/>
      <c r="M1655" s="64"/>
      <c r="N1655" s="64"/>
      <c r="O1655" s="64"/>
      <c r="P1655" s="64"/>
      <c r="Q1655" s="64"/>
      <c r="R1655" s="64"/>
      <c r="S1655" s="64"/>
    </row>
    <row r="1656" spans="1:19" x14ac:dyDescent="0.25">
      <c r="A1656" s="63"/>
      <c r="B1656" s="64"/>
      <c r="C1656" s="64"/>
      <c r="D1656" s="64"/>
      <c r="E1656" s="64"/>
      <c r="F1656" s="64"/>
      <c r="G1656" s="64"/>
      <c r="H1656" s="64"/>
      <c r="I1656" s="64"/>
      <c r="J1656" s="64"/>
      <c r="K1656" s="64"/>
      <c r="L1656" s="64"/>
      <c r="M1656" s="64"/>
      <c r="N1656" s="64"/>
      <c r="O1656" s="64"/>
      <c r="P1656" s="64"/>
      <c r="Q1656" s="64"/>
      <c r="R1656" s="64"/>
      <c r="S1656" s="64"/>
    </row>
    <row r="1657" spans="1:19" x14ac:dyDescent="0.25">
      <c r="A1657" s="63"/>
      <c r="B1657" s="64"/>
      <c r="C1657" s="64"/>
      <c r="D1657" s="64"/>
      <c r="E1657" s="64"/>
      <c r="F1657" s="64"/>
      <c r="G1657" s="64"/>
      <c r="H1657" s="64"/>
      <c r="I1657" s="64"/>
      <c r="J1657" s="64"/>
      <c r="K1657" s="64"/>
      <c r="L1657" s="64"/>
      <c r="M1657" s="64"/>
      <c r="N1657" s="64"/>
      <c r="O1657" s="64"/>
      <c r="P1657" s="64"/>
      <c r="Q1657" s="64"/>
      <c r="R1657" s="64"/>
      <c r="S1657" s="64"/>
    </row>
    <row r="1658" spans="1:19" x14ac:dyDescent="0.25">
      <c r="A1658" s="63"/>
      <c r="B1658" s="64"/>
      <c r="C1658" s="64"/>
      <c r="D1658" s="64"/>
      <c r="E1658" s="64"/>
      <c r="F1658" s="64"/>
      <c r="G1658" s="64"/>
      <c r="H1658" s="64"/>
      <c r="I1658" s="64"/>
      <c r="J1658" s="64"/>
      <c r="K1658" s="64"/>
      <c r="L1658" s="64"/>
      <c r="M1658" s="64"/>
      <c r="N1658" s="64"/>
      <c r="O1658" s="64"/>
      <c r="P1658" s="64"/>
      <c r="Q1658" s="64"/>
      <c r="R1658" s="64"/>
      <c r="S1658" s="64"/>
    </row>
    <row r="1659" spans="1:19" x14ac:dyDescent="0.25">
      <c r="A1659" s="63"/>
      <c r="B1659" s="64"/>
      <c r="C1659" s="64"/>
      <c r="D1659" s="64"/>
      <c r="E1659" s="64"/>
      <c r="F1659" s="64"/>
      <c r="G1659" s="64"/>
      <c r="H1659" s="64"/>
      <c r="I1659" s="64"/>
      <c r="J1659" s="64"/>
      <c r="K1659" s="64"/>
      <c r="L1659" s="64"/>
      <c r="M1659" s="64"/>
      <c r="N1659" s="64"/>
      <c r="O1659" s="64"/>
      <c r="P1659" s="64"/>
      <c r="Q1659" s="64"/>
      <c r="R1659" s="64"/>
      <c r="S1659" s="64"/>
    </row>
    <row r="1660" spans="1:19" x14ac:dyDescent="0.25">
      <c r="A1660" s="63"/>
      <c r="B1660" s="64"/>
      <c r="C1660" s="64"/>
      <c r="D1660" s="64"/>
      <c r="E1660" s="64"/>
      <c r="F1660" s="64"/>
      <c r="G1660" s="64"/>
      <c r="H1660" s="64"/>
      <c r="I1660" s="64"/>
      <c r="J1660" s="64"/>
      <c r="K1660" s="64"/>
      <c r="L1660" s="64"/>
      <c r="M1660" s="64"/>
      <c r="N1660" s="64"/>
      <c r="O1660" s="64"/>
      <c r="P1660" s="64"/>
      <c r="Q1660" s="64"/>
      <c r="R1660" s="64"/>
      <c r="S1660" s="64"/>
    </row>
    <row r="1661" spans="1:19" x14ac:dyDescent="0.25">
      <c r="A1661" s="63"/>
      <c r="B1661" s="64"/>
      <c r="C1661" s="64"/>
      <c r="D1661" s="64"/>
      <c r="E1661" s="64"/>
      <c r="F1661" s="64"/>
      <c r="G1661" s="64"/>
      <c r="H1661" s="64"/>
      <c r="I1661" s="64"/>
      <c r="J1661" s="64"/>
      <c r="K1661" s="64"/>
      <c r="L1661" s="64"/>
      <c r="M1661" s="64"/>
      <c r="N1661" s="64"/>
      <c r="O1661" s="64"/>
      <c r="P1661" s="64"/>
      <c r="Q1661" s="64"/>
      <c r="R1661" s="64"/>
      <c r="S1661" s="64"/>
    </row>
    <row r="1662" spans="1:19" x14ac:dyDescent="0.25">
      <c r="A1662" s="63"/>
      <c r="B1662" s="64"/>
      <c r="C1662" s="64"/>
      <c r="D1662" s="64"/>
      <c r="E1662" s="64"/>
      <c r="F1662" s="64"/>
      <c r="G1662" s="64"/>
      <c r="H1662" s="64"/>
      <c r="I1662" s="64"/>
      <c r="J1662" s="64"/>
      <c r="K1662" s="64"/>
      <c r="L1662" s="64"/>
      <c r="M1662" s="64"/>
      <c r="N1662" s="64"/>
      <c r="O1662" s="64"/>
      <c r="P1662" s="64"/>
      <c r="Q1662" s="64"/>
      <c r="R1662" s="64"/>
      <c r="S1662" s="64"/>
    </row>
    <row r="1663" spans="1:19" x14ac:dyDescent="0.25">
      <c r="S1663" s="64"/>
    </row>
  </sheetData>
  <conditionalFormatting sqref="A118:S125 T127:U646 A21:S116 S126:T126 A126:R1654 S127:S1655 AO601:XFD645 W347:AN646 AT21:XFD600 T21:T125 V21:V70 U21:U126 AO21:AS21 AS22:AS99 AO22:AR600">
    <cfRule type="expression" dxfId="172" priority="29">
      <formula>MOD(ROW(),2)=0</formula>
    </cfRule>
  </conditionalFormatting>
  <conditionalFormatting sqref="V72:V100 V102:V645">
    <cfRule type="expression" dxfId="171" priority="28">
      <formula>MOD(ROW(),2)=0</formula>
    </cfRule>
  </conditionalFormatting>
  <conditionalFormatting sqref="V20 AP21:AP99 U21:U600">
    <cfRule type="containsText" dxfId="170" priority="27" operator="containsText" text="Exclude">
      <formula>NOT(ISERROR(SEARCH("Exclude",U20)))</formula>
    </cfRule>
  </conditionalFormatting>
  <conditionalFormatting sqref="AS100:AS600">
    <cfRule type="expression" dxfId="169" priority="26">
      <formula>MOD(ROW(),2)=0</formula>
    </cfRule>
  </conditionalFormatting>
  <conditionalFormatting sqref="AS100:AS600">
    <cfRule type="containsText" dxfId="168" priority="25" operator="containsText" text="Exclude">
      <formula>NOT(ISERROR(SEARCH("Exclude",AS100)))</formula>
    </cfRule>
  </conditionalFormatting>
  <conditionalFormatting sqref="AS20">
    <cfRule type="containsText" dxfId="167" priority="24" operator="containsText" text="Exclude">
      <formula>NOT(ISERROR(SEARCH("Exclude",AS20)))</formula>
    </cfRule>
  </conditionalFormatting>
  <conditionalFormatting sqref="AQ18:AQ20 AQ100:AQ1048576 AQ1:AQ2">
    <cfRule type="containsText" dxfId="166" priority="23" operator="containsText" text="Pant">
      <formula>NOT(ISERROR(SEARCH("Pant",AQ1)))</formula>
    </cfRule>
  </conditionalFormatting>
  <conditionalFormatting sqref="U20">
    <cfRule type="containsText" dxfId="165" priority="22" operator="containsText" text="Exclude">
      <formula>NOT(ISERROR(SEARCH("Exclude",U20)))</formula>
    </cfRule>
  </conditionalFormatting>
  <conditionalFormatting sqref="V71">
    <cfRule type="expression" dxfId="164" priority="21">
      <formula>MOD(ROW(),2)=0</formula>
    </cfRule>
  </conditionalFormatting>
  <conditionalFormatting sqref="V71">
    <cfRule type="containsText" dxfId="163" priority="20" operator="containsText" text="Exclude">
      <formula>NOT(ISERROR(SEARCH("Exclude",V71)))</formula>
    </cfRule>
  </conditionalFormatting>
  <conditionalFormatting sqref="V101">
    <cfRule type="expression" dxfId="162" priority="19">
      <formula>MOD(ROW(),2)=0</formula>
    </cfRule>
  </conditionalFormatting>
  <conditionalFormatting sqref="V101">
    <cfRule type="containsText" dxfId="161" priority="18" operator="containsText" text="Exclude">
      <formula>NOT(ISERROR(SEARCH("Exclude",V101)))</formula>
    </cfRule>
  </conditionalFormatting>
  <conditionalFormatting sqref="AP21:AP99 U17:U1048576">
    <cfRule type="containsText" dxfId="160" priority="17" operator="containsText" text="False">
      <formula>NOT(ISERROR(SEARCH("False",U17)))</formula>
    </cfRule>
  </conditionalFormatting>
  <conditionalFormatting sqref="AQ21:AS21 AQ22:AQ99 AS22:AS99 AR22:AR600">
    <cfRule type="containsText" dxfId="159" priority="16" operator="containsText" text="FALSE">
      <formula>NOT(ISERROR(SEARCH("FALSE",AQ21)))</formula>
    </cfRule>
  </conditionalFormatting>
  <conditionalFormatting sqref="AP17">
    <cfRule type="containsText" dxfId="158" priority="15" operator="containsText" text="False">
      <formula>NOT(ISERROR(SEARCH("False",AP17)))</formula>
    </cfRule>
  </conditionalFormatting>
  <conditionalFormatting sqref="AQ17">
    <cfRule type="containsText" dxfId="157" priority="14" operator="containsText" text="FALSE">
      <formula>NOT(ISERROR(SEARCH("FALSE",AQ17)))</formula>
    </cfRule>
  </conditionalFormatting>
  <conditionalFormatting sqref="AR17">
    <cfRule type="containsText" dxfId="156" priority="13" operator="containsText" text="FALSE">
      <formula>NOT(ISERROR(SEARCH("FALSE",AR17)))</formula>
    </cfRule>
  </conditionalFormatting>
  <conditionalFormatting sqref="AS17">
    <cfRule type="containsText" dxfId="155" priority="12" operator="containsText" text="FALSE">
      <formula>NOT(ISERROR(SEARCH("FALSE",AS17)))</formula>
    </cfRule>
  </conditionalFormatting>
  <conditionalFormatting sqref="R12:R13">
    <cfRule type="containsText" dxfId="154" priority="11" operator="containsText" text="False">
      <formula>NOT(ISERROR(SEARCH("False",R12)))</formula>
    </cfRule>
  </conditionalFormatting>
  <conditionalFormatting sqref="AR7:AR11 AR14:AR16">
    <cfRule type="containsText" dxfId="153" priority="10" operator="containsText" text="False">
      <formula>NOT(ISERROR(SEARCH("False",AR7)))</formula>
    </cfRule>
  </conditionalFormatting>
  <conditionalFormatting sqref="AS7:AS11 AS14:AS16">
    <cfRule type="containsText" dxfId="152" priority="9" operator="containsText" text="FALSE">
      <formula>NOT(ISERROR(SEARCH("FALSE",AS7)))</formula>
    </cfRule>
  </conditionalFormatting>
  <conditionalFormatting sqref="AN12:AN13">
    <cfRule type="containsText" dxfId="151" priority="8" operator="containsText" text="False">
      <formula>NOT(ISERROR(SEARCH("False",AN12)))</formula>
    </cfRule>
  </conditionalFormatting>
  <conditionalFormatting sqref="W21:AN116 W118:AN346">
    <cfRule type="expression" dxfId="150" priority="7">
      <formula>MOD(ROW(),2)=0</formula>
    </cfRule>
  </conditionalFormatting>
  <conditionalFormatting sqref="AR21:AR600">
    <cfRule type="containsText" dxfId="149" priority="6" operator="containsText" text="Exclude">
      <formula>NOT(ISERROR(SEARCH("Exclude",AR21)))</formula>
    </cfRule>
  </conditionalFormatting>
  <conditionalFormatting sqref="AR21:AR600">
    <cfRule type="containsText" dxfId="148" priority="5" operator="containsText" text="False">
      <formula>NOT(ISERROR(SEARCH("False",AR21)))</formula>
    </cfRule>
  </conditionalFormatting>
  <conditionalFormatting sqref="E7:E8">
    <cfRule type="containsText" dxfId="147" priority="4" operator="containsText" text="False">
      <formula>NOT(ISERROR(SEARCH("False",E7)))</formula>
    </cfRule>
  </conditionalFormatting>
  <conditionalFormatting sqref="AA7:AA8">
    <cfRule type="containsText" dxfId="146" priority="2" operator="containsText" text="False">
      <formula>NOT(ISERROR(SEARCH("False",AA7)))</formula>
    </cfRule>
  </conditionalFormatting>
  <conditionalFormatting sqref="AB7:AB8">
    <cfRule type="containsText" dxfId="145" priority="1" operator="containsText" text="FALSE">
      <formula>NOT(ISERROR(SEARCH("FALSE",AB7)))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TextToColumns">
                <anchor moveWithCells="1" sizeWithCells="1">
                  <from>
                    <xdr:col>9</xdr:col>
                    <xdr:colOff>857250</xdr:colOff>
                    <xdr:row>0</xdr:row>
                    <xdr:rowOff>19050</xdr:rowOff>
                  </from>
                  <to>
                    <xdr:col>14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67D4F-E2B4-40FB-932A-CFA8F96368D3}">
  <sheetPr codeName="Sheet16"/>
  <dimension ref="A1:AV1636"/>
  <sheetViews>
    <sheetView zoomScale="90" zoomScaleNormal="90" workbookViewId="0">
      <pane ySplit="9" topLeftCell="A10" activePane="bottomLeft" state="frozen"/>
      <selection pane="bottomLeft" activeCell="A21" sqref="A21:A634"/>
    </sheetView>
  </sheetViews>
  <sheetFormatPr defaultColWidth="9.140625" defaultRowHeight="15" x14ac:dyDescent="0.25"/>
  <cols>
    <col min="1" max="1" width="20" style="65" customWidth="1"/>
    <col min="2" max="2" width="17.42578125" style="65" customWidth="1"/>
    <col min="3" max="3" width="17.140625" style="65" customWidth="1"/>
    <col min="4" max="4" width="16.85546875" style="65" customWidth="1"/>
    <col min="5" max="6" width="17" style="65" customWidth="1"/>
    <col min="7" max="7" width="20.7109375" style="65" customWidth="1"/>
    <col min="8" max="8" width="19.28515625" style="65" bestFit="1" customWidth="1"/>
    <col min="9" max="9" width="16.7109375" style="65" customWidth="1"/>
    <col min="10" max="11" width="14.85546875" style="65" bestFit="1" customWidth="1"/>
    <col min="12" max="12" width="15" style="65" bestFit="1" customWidth="1"/>
    <col min="13" max="13" width="15.28515625" style="65" bestFit="1" customWidth="1"/>
    <col min="14" max="14" width="13.85546875" style="65" bestFit="1" customWidth="1"/>
    <col min="15" max="15" width="18.7109375" style="65" bestFit="1" customWidth="1"/>
    <col min="16" max="16" width="15.42578125" style="65" customWidth="1"/>
    <col min="17" max="17" width="12" style="65" customWidth="1"/>
    <col min="18" max="18" width="18.7109375" style="65" customWidth="1"/>
    <col min="19" max="19" width="20.28515625" style="65" customWidth="1"/>
    <col min="20" max="20" width="14.5703125" style="65" customWidth="1"/>
    <col min="21" max="21" width="15.28515625" style="65" bestFit="1" customWidth="1"/>
    <col min="22" max="22" width="13.85546875" style="65" bestFit="1" customWidth="1"/>
    <col min="23" max="23" width="18.7109375" style="65" bestFit="1" customWidth="1"/>
    <col min="24" max="24" width="11.140625" style="65" bestFit="1" customWidth="1"/>
    <col min="25" max="25" width="9.42578125" style="65" customWidth="1"/>
    <col min="26" max="26" width="14.85546875" style="63" bestFit="1" customWidth="1"/>
    <col min="27" max="27" width="14.85546875" style="65" bestFit="1" customWidth="1"/>
    <col min="28" max="28" width="16.5703125" style="65" bestFit="1" customWidth="1"/>
    <col min="29" max="29" width="10.7109375" style="65" bestFit="1" customWidth="1"/>
    <col min="30" max="30" width="15" style="65" bestFit="1" customWidth="1"/>
    <col min="31" max="31" width="17" style="65" customWidth="1"/>
    <col min="32" max="32" width="19.28515625" style="65" bestFit="1" customWidth="1"/>
    <col min="33" max="34" width="14.85546875" style="65" bestFit="1" customWidth="1"/>
    <col min="35" max="35" width="18.42578125" style="65" bestFit="1" customWidth="1"/>
    <col min="36" max="36" width="16.5703125" style="65" bestFit="1" customWidth="1"/>
    <col min="37" max="37" width="10.7109375" style="65" bestFit="1" customWidth="1"/>
    <col min="38" max="38" width="15.28515625" style="65" bestFit="1" customWidth="1"/>
    <col min="39" max="39" width="13.85546875" style="65" bestFit="1" customWidth="1"/>
    <col min="40" max="40" width="18.7109375" style="65" bestFit="1" customWidth="1"/>
    <col min="41" max="41" width="10.5703125" style="65" customWidth="1"/>
    <col min="42" max="42" width="13.5703125" style="65" bestFit="1" customWidth="1"/>
    <col min="43" max="43" width="20.140625" style="65" bestFit="1" customWidth="1"/>
    <col min="44" max="44" width="19.28515625" style="65" bestFit="1" customWidth="1"/>
    <col min="45" max="45" width="20.28515625" style="65" bestFit="1" customWidth="1"/>
    <col min="46" max="46" width="15.28515625" style="65" bestFit="1" customWidth="1"/>
    <col min="47" max="47" width="14.85546875" style="65" bestFit="1" customWidth="1"/>
    <col min="48" max="48" width="18.7109375" style="65" bestFit="1" customWidth="1"/>
    <col min="49" max="16384" width="9.140625" style="65"/>
  </cols>
  <sheetData>
    <row r="1" spans="1:48" s="28" customFormat="1" ht="22.5" x14ac:dyDescent="0.3">
      <c r="C1" s="1" t="s">
        <v>149</v>
      </c>
      <c r="K1" s="30"/>
      <c r="L1" s="30"/>
      <c r="M1" s="30"/>
      <c r="N1" s="30"/>
      <c r="O1" s="33"/>
      <c r="P1" s="33"/>
      <c r="Q1" s="33"/>
      <c r="R1" s="33"/>
      <c r="S1" s="33"/>
      <c r="T1" s="33"/>
      <c r="U1" s="33"/>
      <c r="Z1" s="95"/>
      <c r="AA1" s="23"/>
    </row>
    <row r="2" spans="1:48" s="28" customFormat="1" x14ac:dyDescent="0.25">
      <c r="D2" s="29"/>
      <c r="K2" s="30"/>
      <c r="L2" s="30"/>
      <c r="M2" s="30"/>
      <c r="N2" s="30"/>
      <c r="O2" s="33"/>
      <c r="P2" s="33"/>
      <c r="Q2" s="33"/>
      <c r="R2" s="33"/>
      <c r="S2" s="33"/>
      <c r="T2" s="33"/>
      <c r="U2" s="33"/>
      <c r="Z2" s="24"/>
      <c r="AA2" s="23"/>
    </row>
    <row r="3" spans="1:48" s="28" customFormat="1" ht="18.75" x14ac:dyDescent="0.3">
      <c r="A3" s="69"/>
      <c r="D3" s="29"/>
      <c r="I3" s="69"/>
      <c r="L3" s="29"/>
      <c r="N3" s="33"/>
      <c r="O3" s="33"/>
      <c r="P3" s="33"/>
      <c r="Q3" s="69"/>
      <c r="T3" s="29"/>
      <c r="Z3" s="79"/>
      <c r="AC3" s="29"/>
      <c r="AH3" s="69"/>
      <c r="AK3" s="29"/>
      <c r="AM3" s="33"/>
      <c r="AN3" s="33"/>
      <c r="AO3" s="33"/>
      <c r="AP3" s="69"/>
      <c r="AS3" s="29"/>
    </row>
    <row r="4" spans="1:48" s="28" customFormat="1" x14ac:dyDescent="0.25">
      <c r="D4" s="29"/>
      <c r="L4" s="29"/>
      <c r="N4" s="33"/>
      <c r="O4" s="33"/>
      <c r="P4" s="33"/>
      <c r="T4" s="29"/>
      <c r="Z4" s="24"/>
      <c r="AC4" s="29"/>
      <c r="AK4" s="29"/>
      <c r="AM4" s="33"/>
      <c r="AN4" s="33"/>
      <c r="AO4" s="33"/>
      <c r="AS4" s="29"/>
    </row>
    <row r="5" spans="1:48" s="28" customFormat="1" x14ac:dyDescent="0.25">
      <c r="A5" s="40" t="s">
        <v>3</v>
      </c>
      <c r="B5" s="40" t="s">
        <v>84</v>
      </c>
      <c r="C5" s="40" t="s">
        <v>140</v>
      </c>
      <c r="D5" s="40" t="s">
        <v>52</v>
      </c>
      <c r="E5" s="40" t="s">
        <v>139</v>
      </c>
      <c r="F5" s="40" t="s">
        <v>4</v>
      </c>
      <c r="G5" s="40" t="s">
        <v>63</v>
      </c>
      <c r="I5" s="40"/>
      <c r="K5" s="40"/>
      <c r="L5" s="40"/>
      <c r="M5" s="40"/>
      <c r="N5" s="40"/>
      <c r="O5" s="40"/>
      <c r="P5" s="33"/>
      <c r="Q5" s="40"/>
      <c r="R5" s="40"/>
      <c r="S5" s="40"/>
      <c r="T5" s="40"/>
      <c r="U5" s="40"/>
      <c r="V5" s="40"/>
      <c r="W5" s="40"/>
      <c r="Z5" s="41" t="s">
        <v>3</v>
      </c>
      <c r="AA5" s="40" t="s">
        <v>84</v>
      </c>
      <c r="AB5" s="40" t="s">
        <v>140</v>
      </c>
      <c r="AC5" s="40" t="s">
        <v>52</v>
      </c>
      <c r="AD5" s="40" t="s">
        <v>139</v>
      </c>
      <c r="AE5" s="40" t="s">
        <v>4</v>
      </c>
      <c r="AF5" s="40" t="s">
        <v>63</v>
      </c>
      <c r="AH5" s="40"/>
      <c r="AI5" s="40"/>
      <c r="AJ5" s="40"/>
      <c r="AK5" s="40"/>
      <c r="AL5" s="40"/>
      <c r="AM5" s="40"/>
      <c r="AN5" s="40"/>
      <c r="AO5" s="33"/>
      <c r="AP5" s="40"/>
      <c r="AQ5" s="40"/>
      <c r="AR5" s="40"/>
      <c r="AS5" s="40"/>
      <c r="AT5" s="40"/>
      <c r="AU5" s="40"/>
      <c r="AV5" s="40"/>
    </row>
    <row r="6" spans="1:48" s="28" customFormat="1" x14ac:dyDescent="0.25">
      <c r="A6" s="33">
        <f>COUNTIF($R$13:$R$573,"TruePositive")-1</f>
        <v>-1</v>
      </c>
      <c r="B6" s="33">
        <f>SUM($C$12-$N$13)</f>
        <v>0</v>
      </c>
      <c r="C6" s="33" t="e">
        <f>SUM($A$6/$B$6)*1000</f>
        <v>#DIV/0!</v>
      </c>
      <c r="D6" s="33">
        <f>COUNTIF($R$13:$R$573,"Diagonal")+COUNTIF($R$13:$R$573,"FailureReturnToHead")+COUNTIF($R$13:$R$573,"Jump")+COUNTIF($R$13:$R$573,"Backwards")+COUNTIF($R$13:$R$573,"OutsideGrid")+COUNTIF($R$13:$R$573,"BetweenBox")+COUNTIF($R$13:$R$573,"Adjacent")</f>
        <v>0</v>
      </c>
      <c r="E6" s="28">
        <f>COUNTIF($R$13:$R$573,"ReturnToHead")</f>
        <v>0</v>
      </c>
      <c r="F6" s="101">
        <f>COUNTIF($R$13:$R$573,"Diagonal")+COUNTIF($R$13:$R$573,"FailureReturnToHead")+COUNTIF($R$13:$R$573,"Jump")+COUNTIF($R$13:$R$573,"Backwards")+COUNTIF($R$13:$R$573,"OutsideGrid")+COUNTIF($R$13:$R$573,"BetweenBox")+COUNTIF($R$13:$R$573,"Adjacent")</f>
        <v>0</v>
      </c>
      <c r="G6" s="33" t="str">
        <f>IF(AND((B6/30000)*100&gt;=100, A6&gt;=5),"Yes","No")</f>
        <v>No</v>
      </c>
      <c r="I6" s="33"/>
      <c r="K6" s="33"/>
      <c r="L6" s="33"/>
      <c r="M6" s="33"/>
      <c r="O6" s="33"/>
      <c r="P6" s="33"/>
      <c r="Q6" s="33"/>
      <c r="R6" s="33"/>
      <c r="S6" s="33"/>
      <c r="T6" s="33"/>
      <c r="U6" s="33"/>
      <c r="W6" s="33"/>
      <c r="Z6" s="44">
        <f>COUNTIF($AQ$13:$AQ$573,"TruePositive")-1</f>
        <v>-1</v>
      </c>
      <c r="AA6" s="33">
        <f>SUM($AB$12-$AM$13)</f>
        <v>0</v>
      </c>
      <c r="AB6" s="33" t="e">
        <f>SUM($Z$6/$AA$6)*1000</f>
        <v>#DIV/0!</v>
      </c>
      <c r="AC6" s="33">
        <f>COUNTIF($AQ$13:$AQ$573,"Diagonal")+COUNTIF($AQ$13:$AQ$573,"FailureReturnToHead")+COUNTIF($AQ$13:$AQ$573,"Jump")+COUNTIF($AQ$13:$AQ$573,"Backwards")+COUNTIF($AQ$13:$AQ$573,"OutsideGrid")+COUNTIF($AQ$13:$AQ$573,"BetweenBox")+COUNTIF($AQ$13:$AQ$573,"Adjacent")</f>
        <v>0</v>
      </c>
      <c r="AD6" s="28">
        <f>COUNTIF($AQ$13:$AQ$573,"ReturnToHead")</f>
        <v>0</v>
      </c>
      <c r="AE6" s="101">
        <f>COUNTIF($AQ$13:$AQ$573,"Diagonal")+COUNTIF($AQ$13:$AQ$573,"FailureReturnToHead")+COUNTIF($AQ$13:$AQ$573,"Jump")+COUNTIF($AQ$13:$AQ$573,"Backwards")+COUNTIF($AQ$13:$AQ$573,"OutsideGrid")+COUNTIF($AQ$13:$AQ$573,"BetweenBox")+COUNTIF($AQ$13:$AQ$573,"Adjacent")</f>
        <v>0</v>
      </c>
      <c r="AF6" s="33" t="str">
        <f>IF(AND((AA6/30000)*100&gt;=100, Z6&gt;=5),"Yes","No")</f>
        <v>No</v>
      </c>
      <c r="AH6" s="33"/>
      <c r="AI6" s="33"/>
      <c r="AJ6" s="33"/>
      <c r="AK6" s="33"/>
      <c r="AL6" s="33"/>
      <c r="AN6" s="33"/>
      <c r="AO6" s="33"/>
      <c r="AP6" s="33"/>
      <c r="AQ6" s="33"/>
      <c r="AR6" s="33"/>
      <c r="AS6" s="33"/>
      <c r="AT6" s="33"/>
      <c r="AV6" s="33"/>
    </row>
    <row r="7" spans="1:48" s="28" customFormat="1" x14ac:dyDescent="0.25">
      <c r="A7" s="40"/>
      <c r="B7" s="29"/>
      <c r="C7" s="40"/>
      <c r="D7" s="40"/>
      <c r="E7" s="33"/>
      <c r="F7" s="33"/>
      <c r="G7" s="33"/>
      <c r="H7" s="33"/>
      <c r="I7" s="40"/>
      <c r="J7" s="40"/>
      <c r="K7" s="33"/>
      <c r="L7" s="33"/>
      <c r="M7" s="33"/>
      <c r="N7" s="33"/>
      <c r="O7" s="33"/>
      <c r="P7" s="33"/>
      <c r="Q7" s="40"/>
      <c r="R7" s="40"/>
      <c r="S7" s="33"/>
      <c r="T7" s="33"/>
      <c r="U7" s="33"/>
      <c r="Z7" s="41"/>
      <c r="AA7" s="40"/>
      <c r="AB7" s="33"/>
      <c r="AC7" s="33"/>
      <c r="AD7" s="33"/>
      <c r="AE7" s="33"/>
      <c r="AF7" s="33"/>
      <c r="AG7" s="33"/>
      <c r="AH7" s="40"/>
      <c r="AI7" s="40"/>
      <c r="AJ7" s="33"/>
      <c r="AK7" s="33"/>
      <c r="AL7" s="33"/>
      <c r="AM7" s="33"/>
      <c r="AN7" s="33"/>
      <c r="AO7" s="33"/>
      <c r="AP7" s="40"/>
      <c r="AQ7" s="40"/>
      <c r="AR7" s="33"/>
      <c r="AS7" s="33"/>
      <c r="AT7" s="33"/>
    </row>
    <row r="8" spans="1:48" s="28" customFormat="1" x14ac:dyDescent="0.25">
      <c r="A8" s="33"/>
      <c r="C8" s="33"/>
      <c r="D8" s="33"/>
      <c r="E8" s="40"/>
      <c r="F8" s="40"/>
      <c r="G8" s="40"/>
      <c r="H8" s="40"/>
      <c r="I8" s="101"/>
      <c r="J8" s="101"/>
      <c r="K8" s="33"/>
      <c r="L8" s="33"/>
      <c r="M8" s="40"/>
      <c r="N8" s="33"/>
      <c r="O8" s="33"/>
      <c r="P8" s="33"/>
      <c r="Q8" s="101"/>
      <c r="R8" s="101"/>
      <c r="S8" s="33"/>
      <c r="T8" s="33"/>
      <c r="U8" s="33"/>
      <c r="Z8" s="45"/>
      <c r="AA8" s="101"/>
      <c r="AB8" s="33"/>
      <c r="AC8" s="33"/>
      <c r="AD8" s="40"/>
      <c r="AE8" s="40"/>
      <c r="AF8" s="40"/>
      <c r="AG8" s="40"/>
      <c r="AH8" s="101"/>
      <c r="AI8" s="101"/>
      <c r="AJ8" s="33"/>
      <c r="AK8" s="33"/>
      <c r="AL8" s="40"/>
      <c r="AM8" s="33"/>
      <c r="AN8" s="33"/>
      <c r="AO8" s="33"/>
      <c r="AP8" s="101"/>
      <c r="AQ8" s="101"/>
      <c r="AR8" s="33"/>
      <c r="AS8" s="33"/>
      <c r="AT8" s="33"/>
    </row>
    <row r="9" spans="1:48" s="28" customForma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Z9" s="44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</row>
    <row r="10" spans="1:48" s="76" customFormat="1" x14ac:dyDescent="0.25">
      <c r="Z10" s="77"/>
      <c r="AA10" s="75"/>
    </row>
    <row r="11" spans="1:48" s="75" customFormat="1" x14ac:dyDescent="0.25">
      <c r="Z11" s="36"/>
    </row>
    <row r="12" spans="1:48" s="74" customFormat="1" ht="18.75" x14ac:dyDescent="0.3">
      <c r="A12" s="73" t="s">
        <v>60</v>
      </c>
      <c r="B12" s="74" t="s">
        <v>150</v>
      </c>
      <c r="Y12" s="104"/>
      <c r="Z12" s="73" t="s">
        <v>61</v>
      </c>
      <c r="AA12" s="74" t="s">
        <v>150</v>
      </c>
    </row>
    <row r="13" spans="1:48" s="28" customFormat="1" x14ac:dyDescent="0.25">
      <c r="U13" s="103">
        <f t="shared" ref="U13:U58" si="0">IF(R13="TruePositive",IF(D13&lt;&gt;1,N13,0),0)</f>
        <v>0</v>
      </c>
      <c r="Y13" s="98"/>
      <c r="AU13" s="103">
        <f t="shared" ref="AU13:AU58" si="1">IF(AQ13="TruePositive",IF(AC13&lt;&gt;1,AM13,0),0)</f>
        <v>0</v>
      </c>
    </row>
    <row r="14" spans="1:48" s="28" customFormat="1" x14ac:dyDescent="0.25">
      <c r="U14" s="103">
        <f t="shared" si="0"/>
        <v>0</v>
      </c>
      <c r="Y14" s="98"/>
      <c r="AU14" s="103">
        <f t="shared" si="1"/>
        <v>0</v>
      </c>
    </row>
    <row r="15" spans="1:48" s="28" customFormat="1" x14ac:dyDescent="0.25">
      <c r="U15" s="103">
        <f t="shared" si="0"/>
        <v>0</v>
      </c>
      <c r="Y15" s="98"/>
      <c r="AU15" s="103">
        <f t="shared" si="1"/>
        <v>0</v>
      </c>
    </row>
    <row r="16" spans="1:48" s="28" customFormat="1" x14ac:dyDescent="0.25">
      <c r="U16" s="103">
        <f t="shared" si="0"/>
        <v>0</v>
      </c>
      <c r="Y16" s="98"/>
      <c r="AU16" s="103">
        <f t="shared" si="1"/>
        <v>0</v>
      </c>
    </row>
    <row r="17" spans="21:47" s="28" customFormat="1" x14ac:dyDescent="0.25">
      <c r="U17" s="103">
        <f t="shared" si="0"/>
        <v>0</v>
      </c>
      <c r="Y17" s="98"/>
      <c r="AU17" s="103">
        <f t="shared" si="1"/>
        <v>0</v>
      </c>
    </row>
    <row r="18" spans="21:47" s="28" customFormat="1" x14ac:dyDescent="0.25">
      <c r="U18" s="103">
        <f t="shared" si="0"/>
        <v>0</v>
      </c>
      <c r="Y18" s="98"/>
      <c r="AU18" s="103">
        <f t="shared" si="1"/>
        <v>0</v>
      </c>
    </row>
    <row r="19" spans="21:47" s="28" customFormat="1" x14ac:dyDescent="0.25">
      <c r="U19" s="103">
        <f t="shared" si="0"/>
        <v>0</v>
      </c>
      <c r="Y19" s="98"/>
      <c r="AU19" s="103">
        <f t="shared" si="1"/>
        <v>0</v>
      </c>
    </row>
    <row r="20" spans="21:47" s="28" customFormat="1" x14ac:dyDescent="0.25">
      <c r="U20" s="103">
        <f t="shared" si="0"/>
        <v>0</v>
      </c>
      <c r="Y20" s="98"/>
      <c r="AU20" s="103">
        <f t="shared" si="1"/>
        <v>0</v>
      </c>
    </row>
    <row r="21" spans="21:47" s="28" customFormat="1" x14ac:dyDescent="0.25">
      <c r="U21" s="103">
        <f t="shared" si="0"/>
        <v>0</v>
      </c>
      <c r="Y21" s="98"/>
      <c r="AU21" s="103">
        <f t="shared" si="1"/>
        <v>0</v>
      </c>
    </row>
    <row r="22" spans="21:47" s="28" customFormat="1" x14ac:dyDescent="0.25">
      <c r="U22" s="103">
        <f t="shared" si="0"/>
        <v>0</v>
      </c>
      <c r="Y22" s="98"/>
      <c r="AU22" s="103">
        <f t="shared" si="1"/>
        <v>0</v>
      </c>
    </row>
    <row r="23" spans="21:47" s="28" customFormat="1" x14ac:dyDescent="0.25">
      <c r="U23" s="103">
        <f t="shared" si="0"/>
        <v>0</v>
      </c>
      <c r="Y23" s="98"/>
      <c r="AU23" s="103">
        <f t="shared" si="1"/>
        <v>0</v>
      </c>
    </row>
    <row r="24" spans="21:47" s="28" customFormat="1" x14ac:dyDescent="0.25">
      <c r="U24" s="103">
        <f t="shared" si="0"/>
        <v>0</v>
      </c>
      <c r="Y24" s="98"/>
      <c r="AU24" s="103">
        <f t="shared" si="1"/>
        <v>0</v>
      </c>
    </row>
    <row r="25" spans="21:47" s="28" customFormat="1" x14ac:dyDescent="0.25">
      <c r="U25" s="103">
        <f t="shared" si="0"/>
        <v>0</v>
      </c>
      <c r="Y25" s="98"/>
      <c r="AU25" s="103">
        <f t="shared" si="1"/>
        <v>0</v>
      </c>
    </row>
    <row r="26" spans="21:47" s="28" customFormat="1" x14ac:dyDescent="0.25">
      <c r="U26" s="103">
        <f t="shared" si="0"/>
        <v>0</v>
      </c>
      <c r="Y26" s="98"/>
      <c r="AU26" s="103">
        <f t="shared" si="1"/>
        <v>0</v>
      </c>
    </row>
    <row r="27" spans="21:47" s="28" customFormat="1" x14ac:dyDescent="0.25">
      <c r="U27" s="103">
        <f t="shared" si="0"/>
        <v>0</v>
      </c>
      <c r="Y27" s="98"/>
      <c r="AU27" s="103">
        <f t="shared" si="1"/>
        <v>0</v>
      </c>
    </row>
    <row r="28" spans="21:47" s="28" customFormat="1" x14ac:dyDescent="0.25">
      <c r="U28" s="103">
        <f t="shared" si="0"/>
        <v>0</v>
      </c>
      <c r="Y28" s="98"/>
      <c r="AU28" s="103">
        <f t="shared" si="1"/>
        <v>0</v>
      </c>
    </row>
    <row r="29" spans="21:47" s="28" customFormat="1" x14ac:dyDescent="0.25">
      <c r="U29" s="103">
        <f t="shared" si="0"/>
        <v>0</v>
      </c>
      <c r="Y29" s="98"/>
      <c r="AU29" s="103">
        <f t="shared" si="1"/>
        <v>0</v>
      </c>
    </row>
    <row r="30" spans="21:47" s="28" customFormat="1" x14ac:dyDescent="0.25">
      <c r="U30" s="103">
        <f t="shared" si="0"/>
        <v>0</v>
      </c>
      <c r="Y30" s="98"/>
      <c r="AU30" s="103">
        <f t="shared" si="1"/>
        <v>0</v>
      </c>
    </row>
    <row r="31" spans="21:47" s="28" customFormat="1" x14ac:dyDescent="0.25">
      <c r="U31" s="103">
        <f t="shared" si="0"/>
        <v>0</v>
      </c>
      <c r="Y31" s="98"/>
      <c r="AU31" s="103">
        <f t="shared" si="1"/>
        <v>0</v>
      </c>
    </row>
    <row r="32" spans="21:47" s="28" customFormat="1" x14ac:dyDescent="0.25">
      <c r="U32" s="103">
        <f t="shared" si="0"/>
        <v>0</v>
      </c>
      <c r="Y32" s="98"/>
      <c r="AU32" s="103">
        <f t="shared" si="1"/>
        <v>0</v>
      </c>
    </row>
    <row r="33" spans="21:47" s="28" customFormat="1" x14ac:dyDescent="0.25">
      <c r="U33" s="103">
        <f t="shared" si="0"/>
        <v>0</v>
      </c>
      <c r="Y33" s="98"/>
      <c r="AU33" s="103">
        <f t="shared" si="1"/>
        <v>0</v>
      </c>
    </row>
    <row r="34" spans="21:47" s="28" customFormat="1" x14ac:dyDescent="0.25">
      <c r="U34" s="103">
        <f t="shared" si="0"/>
        <v>0</v>
      </c>
      <c r="Y34" s="98"/>
      <c r="AU34" s="103">
        <f t="shared" si="1"/>
        <v>0</v>
      </c>
    </row>
    <row r="35" spans="21:47" s="28" customFormat="1" x14ac:dyDescent="0.25">
      <c r="U35" s="103">
        <f t="shared" si="0"/>
        <v>0</v>
      </c>
      <c r="Y35" s="98"/>
      <c r="AU35" s="103">
        <f t="shared" si="1"/>
        <v>0</v>
      </c>
    </row>
    <row r="36" spans="21:47" s="28" customFormat="1" x14ac:dyDescent="0.25">
      <c r="U36" s="103">
        <f t="shared" si="0"/>
        <v>0</v>
      </c>
      <c r="Y36" s="98"/>
      <c r="AU36" s="103">
        <f t="shared" si="1"/>
        <v>0</v>
      </c>
    </row>
    <row r="37" spans="21:47" s="28" customFormat="1" x14ac:dyDescent="0.25">
      <c r="U37" s="103">
        <f t="shared" si="0"/>
        <v>0</v>
      </c>
      <c r="Y37" s="98"/>
      <c r="AU37" s="103">
        <f t="shared" si="1"/>
        <v>0</v>
      </c>
    </row>
    <row r="38" spans="21:47" s="28" customFormat="1" x14ac:dyDescent="0.25">
      <c r="U38" s="103">
        <f t="shared" si="0"/>
        <v>0</v>
      </c>
      <c r="Y38" s="98"/>
      <c r="AU38" s="103">
        <f t="shared" si="1"/>
        <v>0</v>
      </c>
    </row>
    <row r="39" spans="21:47" s="28" customFormat="1" x14ac:dyDescent="0.25">
      <c r="U39" s="103">
        <f t="shared" si="0"/>
        <v>0</v>
      </c>
      <c r="Y39" s="98"/>
      <c r="AU39" s="103">
        <f t="shared" si="1"/>
        <v>0</v>
      </c>
    </row>
    <row r="40" spans="21:47" s="28" customFormat="1" x14ac:dyDescent="0.25">
      <c r="U40" s="103">
        <f t="shared" si="0"/>
        <v>0</v>
      </c>
      <c r="Y40" s="98"/>
      <c r="AU40" s="103">
        <f t="shared" si="1"/>
        <v>0</v>
      </c>
    </row>
    <row r="41" spans="21:47" s="28" customFormat="1" x14ac:dyDescent="0.25">
      <c r="U41" s="103">
        <f t="shared" si="0"/>
        <v>0</v>
      </c>
      <c r="Y41" s="98"/>
      <c r="AU41" s="103">
        <f t="shared" si="1"/>
        <v>0</v>
      </c>
    </row>
    <row r="42" spans="21:47" s="28" customFormat="1" x14ac:dyDescent="0.25">
      <c r="U42" s="103">
        <f t="shared" si="0"/>
        <v>0</v>
      </c>
      <c r="Y42" s="98"/>
      <c r="AU42" s="103">
        <f t="shared" si="1"/>
        <v>0</v>
      </c>
    </row>
    <row r="43" spans="21:47" s="28" customFormat="1" x14ac:dyDescent="0.25">
      <c r="U43" s="103">
        <f t="shared" si="0"/>
        <v>0</v>
      </c>
      <c r="Y43" s="98"/>
      <c r="AU43" s="103">
        <f t="shared" si="1"/>
        <v>0</v>
      </c>
    </row>
    <row r="44" spans="21:47" s="28" customFormat="1" x14ac:dyDescent="0.25">
      <c r="U44" s="103">
        <f t="shared" si="0"/>
        <v>0</v>
      </c>
      <c r="Y44" s="98"/>
      <c r="AU44" s="103">
        <f t="shared" si="1"/>
        <v>0</v>
      </c>
    </row>
    <row r="45" spans="21:47" s="28" customFormat="1" x14ac:dyDescent="0.25">
      <c r="U45" s="103">
        <f t="shared" si="0"/>
        <v>0</v>
      </c>
      <c r="Y45" s="98"/>
      <c r="AU45" s="103">
        <f t="shared" si="1"/>
        <v>0</v>
      </c>
    </row>
    <row r="46" spans="21:47" s="28" customFormat="1" x14ac:dyDescent="0.25">
      <c r="U46" s="103">
        <f t="shared" si="0"/>
        <v>0</v>
      </c>
      <c r="Y46" s="98"/>
      <c r="AU46" s="103">
        <f t="shared" si="1"/>
        <v>0</v>
      </c>
    </row>
    <row r="47" spans="21:47" s="28" customFormat="1" x14ac:dyDescent="0.25">
      <c r="U47" s="103">
        <f t="shared" si="0"/>
        <v>0</v>
      </c>
      <c r="Y47" s="98"/>
      <c r="AU47" s="103">
        <f t="shared" si="1"/>
        <v>0</v>
      </c>
    </row>
    <row r="48" spans="21:47" s="28" customFormat="1" x14ac:dyDescent="0.25">
      <c r="U48" s="103">
        <f t="shared" si="0"/>
        <v>0</v>
      </c>
      <c r="Y48" s="98"/>
      <c r="AU48" s="103">
        <f t="shared" si="1"/>
        <v>0</v>
      </c>
    </row>
    <row r="49" spans="21:47" s="28" customFormat="1" x14ac:dyDescent="0.25">
      <c r="U49" s="103">
        <f t="shared" si="0"/>
        <v>0</v>
      </c>
      <c r="Y49" s="98"/>
      <c r="AU49" s="103">
        <f t="shared" si="1"/>
        <v>0</v>
      </c>
    </row>
    <row r="50" spans="21:47" s="28" customFormat="1" x14ac:dyDescent="0.25">
      <c r="U50" s="103">
        <f t="shared" si="0"/>
        <v>0</v>
      </c>
      <c r="Y50" s="98"/>
      <c r="AU50" s="103">
        <f t="shared" si="1"/>
        <v>0</v>
      </c>
    </row>
    <row r="51" spans="21:47" s="28" customFormat="1" x14ac:dyDescent="0.25">
      <c r="U51" s="103">
        <f t="shared" si="0"/>
        <v>0</v>
      </c>
      <c r="Y51" s="98"/>
      <c r="AU51" s="103">
        <f t="shared" si="1"/>
        <v>0</v>
      </c>
    </row>
    <row r="52" spans="21:47" s="28" customFormat="1" x14ac:dyDescent="0.25">
      <c r="U52" s="103">
        <f t="shared" si="0"/>
        <v>0</v>
      </c>
      <c r="Y52" s="98"/>
      <c r="AU52" s="103">
        <f t="shared" si="1"/>
        <v>0</v>
      </c>
    </row>
    <row r="53" spans="21:47" s="28" customFormat="1" x14ac:dyDescent="0.25">
      <c r="U53" s="103">
        <f t="shared" si="0"/>
        <v>0</v>
      </c>
      <c r="Y53" s="98"/>
      <c r="AU53" s="103">
        <f t="shared" si="1"/>
        <v>0</v>
      </c>
    </row>
    <row r="54" spans="21:47" s="28" customFormat="1" x14ac:dyDescent="0.25">
      <c r="U54" s="103">
        <f t="shared" si="0"/>
        <v>0</v>
      </c>
      <c r="Y54" s="98"/>
      <c r="AU54" s="103">
        <f t="shared" si="1"/>
        <v>0</v>
      </c>
    </row>
    <row r="55" spans="21:47" s="28" customFormat="1" x14ac:dyDescent="0.25">
      <c r="U55" s="103">
        <f t="shared" si="0"/>
        <v>0</v>
      </c>
      <c r="Y55" s="98"/>
      <c r="AU55" s="103">
        <f t="shared" si="1"/>
        <v>0</v>
      </c>
    </row>
    <row r="56" spans="21:47" s="28" customFormat="1" x14ac:dyDescent="0.25">
      <c r="U56" s="103">
        <f t="shared" si="0"/>
        <v>0</v>
      </c>
      <c r="Y56" s="98"/>
      <c r="AU56" s="103">
        <f t="shared" si="1"/>
        <v>0</v>
      </c>
    </row>
    <row r="57" spans="21:47" s="28" customFormat="1" x14ac:dyDescent="0.25">
      <c r="U57" s="103">
        <f t="shared" si="0"/>
        <v>0</v>
      </c>
      <c r="Y57" s="98"/>
      <c r="AU57" s="103">
        <f t="shared" si="1"/>
        <v>0</v>
      </c>
    </row>
    <row r="58" spans="21:47" s="28" customFormat="1" x14ac:dyDescent="0.25">
      <c r="U58" s="103">
        <f t="shared" si="0"/>
        <v>0</v>
      </c>
      <c r="Y58" s="98"/>
      <c r="AU58" s="103">
        <f t="shared" si="1"/>
        <v>0</v>
      </c>
    </row>
    <row r="59" spans="21:47" s="28" customFormat="1" x14ac:dyDescent="0.25">
      <c r="U59" s="103">
        <f t="shared" ref="U59:U122" si="2">IF(R59="TruePositive",IF(D59&lt;&gt;1,N59,0),0)</f>
        <v>0</v>
      </c>
      <c r="Y59" s="98"/>
      <c r="AU59" s="103">
        <f t="shared" ref="AU59:AU122" si="3">IF(AQ59="TruePositive",IF(AC59&lt;&gt;1,AM59,0),0)</f>
        <v>0</v>
      </c>
    </row>
    <row r="60" spans="21:47" s="28" customFormat="1" x14ac:dyDescent="0.25">
      <c r="U60" s="103">
        <f t="shared" si="2"/>
        <v>0</v>
      </c>
      <c r="Y60" s="98"/>
      <c r="AU60" s="103">
        <f t="shared" si="3"/>
        <v>0</v>
      </c>
    </row>
    <row r="61" spans="21:47" s="28" customFormat="1" x14ac:dyDescent="0.25">
      <c r="U61" s="103">
        <f t="shared" si="2"/>
        <v>0</v>
      </c>
      <c r="Y61" s="98"/>
      <c r="AU61" s="103">
        <f t="shared" si="3"/>
        <v>0</v>
      </c>
    </row>
    <row r="62" spans="21:47" s="28" customFormat="1" x14ac:dyDescent="0.25">
      <c r="U62" s="103">
        <f t="shared" si="2"/>
        <v>0</v>
      </c>
      <c r="Y62" s="98"/>
      <c r="AU62" s="103">
        <f t="shared" si="3"/>
        <v>0</v>
      </c>
    </row>
    <row r="63" spans="21:47" s="28" customFormat="1" x14ac:dyDescent="0.25">
      <c r="U63" s="103">
        <f t="shared" si="2"/>
        <v>0</v>
      </c>
      <c r="Y63" s="98"/>
      <c r="AU63" s="103">
        <f t="shared" si="3"/>
        <v>0</v>
      </c>
    </row>
    <row r="64" spans="21:47" s="28" customFormat="1" x14ac:dyDescent="0.25">
      <c r="U64" s="103">
        <f t="shared" si="2"/>
        <v>0</v>
      </c>
      <c r="Y64" s="98"/>
      <c r="AU64" s="103">
        <f t="shared" si="3"/>
        <v>0</v>
      </c>
    </row>
    <row r="65" spans="21:47" s="28" customFormat="1" x14ac:dyDescent="0.25">
      <c r="U65" s="103">
        <f t="shared" si="2"/>
        <v>0</v>
      </c>
      <c r="Y65" s="98"/>
      <c r="AU65" s="103">
        <f t="shared" si="3"/>
        <v>0</v>
      </c>
    </row>
    <row r="66" spans="21:47" s="28" customFormat="1" x14ac:dyDescent="0.25">
      <c r="U66" s="103">
        <f t="shared" si="2"/>
        <v>0</v>
      </c>
      <c r="Y66" s="98"/>
      <c r="AU66" s="103">
        <f t="shared" si="3"/>
        <v>0</v>
      </c>
    </row>
    <row r="67" spans="21:47" s="28" customFormat="1" x14ac:dyDescent="0.25">
      <c r="U67" s="103">
        <f t="shared" si="2"/>
        <v>0</v>
      </c>
      <c r="Y67" s="98"/>
      <c r="AU67" s="103">
        <f t="shared" si="3"/>
        <v>0</v>
      </c>
    </row>
    <row r="68" spans="21:47" s="28" customFormat="1" x14ac:dyDescent="0.25">
      <c r="U68" s="103">
        <f t="shared" si="2"/>
        <v>0</v>
      </c>
      <c r="Y68" s="98"/>
      <c r="AU68" s="103">
        <f t="shared" si="3"/>
        <v>0</v>
      </c>
    </row>
    <row r="69" spans="21:47" s="28" customFormat="1" x14ac:dyDescent="0.25">
      <c r="U69" s="103">
        <f t="shared" si="2"/>
        <v>0</v>
      </c>
      <c r="Y69" s="98"/>
      <c r="AU69" s="103">
        <f t="shared" si="3"/>
        <v>0</v>
      </c>
    </row>
    <row r="70" spans="21:47" s="28" customFormat="1" x14ac:dyDescent="0.25">
      <c r="U70" s="103">
        <f t="shared" si="2"/>
        <v>0</v>
      </c>
      <c r="Y70" s="98"/>
      <c r="AU70" s="103">
        <f t="shared" si="3"/>
        <v>0</v>
      </c>
    </row>
    <row r="71" spans="21:47" s="28" customFormat="1" x14ac:dyDescent="0.25">
      <c r="U71" s="103">
        <f t="shared" si="2"/>
        <v>0</v>
      </c>
      <c r="Y71" s="98"/>
      <c r="AU71" s="103">
        <f t="shared" si="3"/>
        <v>0</v>
      </c>
    </row>
    <row r="72" spans="21:47" s="28" customFormat="1" x14ac:dyDescent="0.25">
      <c r="U72" s="103">
        <f t="shared" si="2"/>
        <v>0</v>
      </c>
      <c r="Y72" s="98"/>
      <c r="AU72" s="103">
        <f t="shared" si="3"/>
        <v>0</v>
      </c>
    </row>
    <row r="73" spans="21:47" s="28" customFormat="1" x14ac:dyDescent="0.25">
      <c r="U73" s="103">
        <f t="shared" si="2"/>
        <v>0</v>
      </c>
      <c r="Y73" s="98"/>
      <c r="AU73" s="103">
        <f t="shared" si="3"/>
        <v>0</v>
      </c>
    </row>
    <row r="74" spans="21:47" s="28" customFormat="1" x14ac:dyDescent="0.25">
      <c r="U74" s="103">
        <f t="shared" si="2"/>
        <v>0</v>
      </c>
      <c r="Y74" s="98"/>
      <c r="AU74" s="103">
        <f t="shared" si="3"/>
        <v>0</v>
      </c>
    </row>
    <row r="75" spans="21:47" s="28" customFormat="1" x14ac:dyDescent="0.25">
      <c r="U75" s="103">
        <f t="shared" si="2"/>
        <v>0</v>
      </c>
      <c r="Y75" s="98"/>
      <c r="AU75" s="103">
        <f t="shared" si="3"/>
        <v>0</v>
      </c>
    </row>
    <row r="76" spans="21:47" s="28" customFormat="1" x14ac:dyDescent="0.25">
      <c r="U76" s="103">
        <f t="shared" si="2"/>
        <v>0</v>
      </c>
      <c r="Y76" s="98"/>
      <c r="AU76" s="103">
        <f t="shared" si="3"/>
        <v>0</v>
      </c>
    </row>
    <row r="77" spans="21:47" s="28" customFormat="1" x14ac:dyDescent="0.25">
      <c r="U77" s="103">
        <f t="shared" si="2"/>
        <v>0</v>
      </c>
      <c r="Y77" s="98"/>
      <c r="AU77" s="103">
        <f t="shared" si="3"/>
        <v>0</v>
      </c>
    </row>
    <row r="78" spans="21:47" s="28" customFormat="1" x14ac:dyDescent="0.25">
      <c r="U78" s="103">
        <f t="shared" si="2"/>
        <v>0</v>
      </c>
      <c r="Y78" s="98"/>
      <c r="AU78" s="103">
        <f t="shared" si="3"/>
        <v>0</v>
      </c>
    </row>
    <row r="79" spans="21:47" s="28" customFormat="1" x14ac:dyDescent="0.25">
      <c r="U79" s="103">
        <f t="shared" si="2"/>
        <v>0</v>
      </c>
      <c r="Y79" s="98"/>
      <c r="AU79" s="103">
        <f t="shared" si="3"/>
        <v>0</v>
      </c>
    </row>
    <row r="80" spans="21:47" s="28" customFormat="1" x14ac:dyDescent="0.25">
      <c r="U80" s="103">
        <f t="shared" si="2"/>
        <v>0</v>
      </c>
      <c r="Y80" s="98"/>
      <c r="AU80" s="103">
        <f t="shared" si="3"/>
        <v>0</v>
      </c>
    </row>
    <row r="81" spans="21:47" s="28" customFormat="1" x14ac:dyDescent="0.25">
      <c r="U81" s="103">
        <f t="shared" si="2"/>
        <v>0</v>
      </c>
      <c r="Y81" s="98"/>
      <c r="AU81" s="103">
        <f t="shared" si="3"/>
        <v>0</v>
      </c>
    </row>
    <row r="82" spans="21:47" s="28" customFormat="1" x14ac:dyDescent="0.25">
      <c r="U82" s="103">
        <f t="shared" si="2"/>
        <v>0</v>
      </c>
      <c r="Y82" s="98"/>
      <c r="AU82" s="103">
        <f t="shared" si="3"/>
        <v>0</v>
      </c>
    </row>
    <row r="83" spans="21:47" s="28" customFormat="1" x14ac:dyDescent="0.25">
      <c r="U83" s="103">
        <f t="shared" si="2"/>
        <v>0</v>
      </c>
      <c r="Y83" s="98"/>
      <c r="AU83" s="103">
        <f t="shared" si="3"/>
        <v>0</v>
      </c>
    </row>
    <row r="84" spans="21:47" s="28" customFormat="1" x14ac:dyDescent="0.25">
      <c r="U84" s="103">
        <f t="shared" si="2"/>
        <v>0</v>
      </c>
      <c r="Y84" s="98"/>
      <c r="AU84" s="103">
        <f t="shared" si="3"/>
        <v>0</v>
      </c>
    </row>
    <row r="85" spans="21:47" s="28" customFormat="1" x14ac:dyDescent="0.25">
      <c r="U85" s="103">
        <f t="shared" si="2"/>
        <v>0</v>
      </c>
      <c r="Y85" s="98"/>
      <c r="AU85" s="103">
        <f t="shared" si="3"/>
        <v>0</v>
      </c>
    </row>
    <row r="86" spans="21:47" s="28" customFormat="1" x14ac:dyDescent="0.25">
      <c r="U86" s="103">
        <f t="shared" si="2"/>
        <v>0</v>
      </c>
      <c r="Y86" s="98"/>
      <c r="AU86" s="103">
        <f t="shared" si="3"/>
        <v>0</v>
      </c>
    </row>
    <row r="87" spans="21:47" s="28" customFormat="1" x14ac:dyDescent="0.25">
      <c r="U87" s="103">
        <f t="shared" si="2"/>
        <v>0</v>
      </c>
      <c r="Y87" s="98"/>
      <c r="AU87" s="103">
        <f t="shared" si="3"/>
        <v>0</v>
      </c>
    </row>
    <row r="88" spans="21:47" s="28" customFormat="1" x14ac:dyDescent="0.25">
      <c r="U88" s="103">
        <f t="shared" si="2"/>
        <v>0</v>
      </c>
      <c r="Y88" s="98"/>
      <c r="AU88" s="103">
        <f t="shared" si="3"/>
        <v>0</v>
      </c>
    </row>
    <row r="89" spans="21:47" s="28" customFormat="1" x14ac:dyDescent="0.25">
      <c r="U89" s="103">
        <f t="shared" si="2"/>
        <v>0</v>
      </c>
      <c r="Y89" s="98"/>
      <c r="AU89" s="103">
        <f t="shared" si="3"/>
        <v>0</v>
      </c>
    </row>
    <row r="90" spans="21:47" s="28" customFormat="1" x14ac:dyDescent="0.25">
      <c r="U90" s="103">
        <f t="shared" si="2"/>
        <v>0</v>
      </c>
      <c r="Y90" s="98"/>
      <c r="AU90" s="103">
        <f t="shared" si="3"/>
        <v>0</v>
      </c>
    </row>
    <row r="91" spans="21:47" s="28" customFormat="1" x14ac:dyDescent="0.25">
      <c r="U91" s="103">
        <f t="shared" si="2"/>
        <v>0</v>
      </c>
      <c r="Y91" s="98"/>
      <c r="AU91" s="103">
        <f t="shared" si="3"/>
        <v>0</v>
      </c>
    </row>
    <row r="92" spans="21:47" s="28" customFormat="1" x14ac:dyDescent="0.25">
      <c r="U92" s="103">
        <f t="shared" si="2"/>
        <v>0</v>
      </c>
      <c r="Y92" s="98"/>
      <c r="AU92" s="103">
        <f t="shared" si="3"/>
        <v>0</v>
      </c>
    </row>
    <row r="93" spans="21:47" s="28" customFormat="1" x14ac:dyDescent="0.25">
      <c r="U93" s="103">
        <f t="shared" si="2"/>
        <v>0</v>
      </c>
      <c r="Y93" s="98"/>
      <c r="AU93" s="103">
        <f t="shared" si="3"/>
        <v>0</v>
      </c>
    </row>
    <row r="94" spans="21:47" s="28" customFormat="1" x14ac:dyDescent="0.25">
      <c r="U94" s="103">
        <f t="shared" si="2"/>
        <v>0</v>
      </c>
      <c r="Y94" s="98"/>
      <c r="AU94" s="103">
        <f t="shared" si="3"/>
        <v>0</v>
      </c>
    </row>
    <row r="95" spans="21:47" s="28" customFormat="1" x14ac:dyDescent="0.25">
      <c r="U95" s="103">
        <f t="shared" si="2"/>
        <v>0</v>
      </c>
      <c r="Y95" s="98"/>
      <c r="AU95" s="103">
        <f t="shared" si="3"/>
        <v>0</v>
      </c>
    </row>
    <row r="96" spans="21:47" s="28" customFormat="1" x14ac:dyDescent="0.25">
      <c r="U96" s="103">
        <f t="shared" si="2"/>
        <v>0</v>
      </c>
      <c r="Y96" s="98"/>
      <c r="AU96" s="103">
        <f t="shared" si="3"/>
        <v>0</v>
      </c>
    </row>
    <row r="97" spans="21:47" s="28" customFormat="1" x14ac:dyDescent="0.25">
      <c r="U97" s="103">
        <f t="shared" si="2"/>
        <v>0</v>
      </c>
      <c r="Y97" s="98"/>
      <c r="AU97" s="103">
        <f t="shared" si="3"/>
        <v>0</v>
      </c>
    </row>
    <row r="98" spans="21:47" s="28" customFormat="1" x14ac:dyDescent="0.25">
      <c r="U98" s="103">
        <f t="shared" si="2"/>
        <v>0</v>
      </c>
      <c r="Y98" s="98"/>
      <c r="AU98" s="103">
        <f t="shared" si="3"/>
        <v>0</v>
      </c>
    </row>
    <row r="99" spans="21:47" s="28" customFormat="1" x14ac:dyDescent="0.25">
      <c r="U99" s="103">
        <f t="shared" si="2"/>
        <v>0</v>
      </c>
      <c r="Y99" s="98"/>
      <c r="AU99" s="103">
        <f t="shared" si="3"/>
        <v>0</v>
      </c>
    </row>
    <row r="100" spans="21:47" s="28" customFormat="1" x14ac:dyDescent="0.25">
      <c r="U100" s="103">
        <f t="shared" si="2"/>
        <v>0</v>
      </c>
      <c r="Y100" s="98"/>
      <c r="AU100" s="103">
        <f t="shared" si="3"/>
        <v>0</v>
      </c>
    </row>
    <row r="101" spans="21:47" s="28" customFormat="1" x14ac:dyDescent="0.25">
      <c r="U101" s="103">
        <f t="shared" si="2"/>
        <v>0</v>
      </c>
      <c r="Y101" s="98"/>
      <c r="AU101" s="103">
        <f t="shared" si="3"/>
        <v>0</v>
      </c>
    </row>
    <row r="102" spans="21:47" s="28" customFormat="1" x14ac:dyDescent="0.25">
      <c r="U102" s="103">
        <f t="shared" si="2"/>
        <v>0</v>
      </c>
      <c r="Y102" s="98"/>
      <c r="AU102" s="103">
        <f t="shared" si="3"/>
        <v>0</v>
      </c>
    </row>
    <row r="103" spans="21:47" s="28" customFormat="1" x14ac:dyDescent="0.25">
      <c r="U103" s="103">
        <f t="shared" si="2"/>
        <v>0</v>
      </c>
      <c r="Y103" s="98"/>
      <c r="AU103" s="103">
        <f t="shared" si="3"/>
        <v>0</v>
      </c>
    </row>
    <row r="104" spans="21:47" s="28" customFormat="1" x14ac:dyDescent="0.25">
      <c r="U104" s="103">
        <f t="shared" si="2"/>
        <v>0</v>
      </c>
      <c r="Y104" s="98"/>
      <c r="AU104" s="103">
        <f t="shared" si="3"/>
        <v>0</v>
      </c>
    </row>
    <row r="105" spans="21:47" s="28" customFormat="1" x14ac:dyDescent="0.25">
      <c r="U105" s="103">
        <f t="shared" si="2"/>
        <v>0</v>
      </c>
      <c r="Y105" s="98"/>
      <c r="AU105" s="103">
        <f t="shared" si="3"/>
        <v>0</v>
      </c>
    </row>
    <row r="106" spans="21:47" s="28" customFormat="1" x14ac:dyDescent="0.25">
      <c r="U106" s="103">
        <f t="shared" si="2"/>
        <v>0</v>
      </c>
      <c r="Y106" s="98"/>
      <c r="AU106" s="103">
        <f t="shared" si="3"/>
        <v>0</v>
      </c>
    </row>
    <row r="107" spans="21:47" s="28" customFormat="1" x14ac:dyDescent="0.25">
      <c r="U107" s="103">
        <f t="shared" si="2"/>
        <v>0</v>
      </c>
      <c r="Y107" s="98"/>
      <c r="AU107" s="103">
        <f t="shared" si="3"/>
        <v>0</v>
      </c>
    </row>
    <row r="108" spans="21:47" s="28" customFormat="1" x14ac:dyDescent="0.25">
      <c r="U108" s="103">
        <f t="shared" si="2"/>
        <v>0</v>
      </c>
      <c r="Y108" s="98"/>
      <c r="AU108" s="103">
        <f t="shared" si="3"/>
        <v>0</v>
      </c>
    </row>
    <row r="109" spans="21:47" s="28" customFormat="1" x14ac:dyDescent="0.25">
      <c r="U109" s="103">
        <f t="shared" si="2"/>
        <v>0</v>
      </c>
      <c r="Y109" s="98"/>
      <c r="AU109" s="103">
        <f t="shared" si="3"/>
        <v>0</v>
      </c>
    </row>
    <row r="110" spans="21:47" s="28" customFormat="1" x14ac:dyDescent="0.25">
      <c r="U110" s="103">
        <f t="shared" si="2"/>
        <v>0</v>
      </c>
      <c r="Y110" s="98"/>
      <c r="AU110" s="103">
        <f t="shared" si="3"/>
        <v>0</v>
      </c>
    </row>
    <row r="111" spans="21:47" s="28" customFormat="1" x14ac:dyDescent="0.25">
      <c r="U111" s="103">
        <f t="shared" si="2"/>
        <v>0</v>
      </c>
      <c r="Y111" s="98"/>
      <c r="AU111" s="103">
        <f t="shared" si="3"/>
        <v>0</v>
      </c>
    </row>
    <row r="112" spans="21:47" s="28" customFormat="1" x14ac:dyDescent="0.25">
      <c r="U112" s="103">
        <f t="shared" si="2"/>
        <v>0</v>
      </c>
      <c r="Y112" s="98"/>
      <c r="AU112" s="103">
        <f t="shared" si="3"/>
        <v>0</v>
      </c>
    </row>
    <row r="113" spans="21:47" s="28" customFormat="1" x14ac:dyDescent="0.25">
      <c r="U113" s="103">
        <f t="shared" si="2"/>
        <v>0</v>
      </c>
      <c r="Y113" s="98"/>
      <c r="AU113" s="103">
        <f t="shared" si="3"/>
        <v>0</v>
      </c>
    </row>
    <row r="114" spans="21:47" s="28" customFormat="1" x14ac:dyDescent="0.25">
      <c r="U114" s="103">
        <f t="shared" si="2"/>
        <v>0</v>
      </c>
      <c r="Y114" s="98"/>
      <c r="AU114" s="103">
        <f t="shared" si="3"/>
        <v>0</v>
      </c>
    </row>
    <row r="115" spans="21:47" s="28" customFormat="1" x14ac:dyDescent="0.25">
      <c r="U115" s="103">
        <f t="shared" si="2"/>
        <v>0</v>
      </c>
      <c r="Y115" s="98"/>
      <c r="AU115" s="103">
        <f t="shared" si="3"/>
        <v>0</v>
      </c>
    </row>
    <row r="116" spans="21:47" s="28" customFormat="1" x14ac:dyDescent="0.25">
      <c r="U116" s="103">
        <f t="shared" si="2"/>
        <v>0</v>
      </c>
      <c r="Y116" s="98"/>
      <c r="AU116" s="103">
        <f t="shared" si="3"/>
        <v>0</v>
      </c>
    </row>
    <row r="117" spans="21:47" s="28" customFormat="1" x14ac:dyDescent="0.25">
      <c r="U117" s="103">
        <f t="shared" si="2"/>
        <v>0</v>
      </c>
      <c r="Y117" s="98"/>
      <c r="AU117" s="103">
        <f t="shared" si="3"/>
        <v>0</v>
      </c>
    </row>
    <row r="118" spans="21:47" s="28" customFormat="1" x14ac:dyDescent="0.25">
      <c r="U118" s="103">
        <f t="shared" si="2"/>
        <v>0</v>
      </c>
      <c r="Y118" s="98"/>
      <c r="AU118" s="103">
        <f t="shared" si="3"/>
        <v>0</v>
      </c>
    </row>
    <row r="119" spans="21:47" s="28" customFormat="1" x14ac:dyDescent="0.25">
      <c r="U119" s="103">
        <f t="shared" si="2"/>
        <v>0</v>
      </c>
      <c r="Y119" s="98"/>
      <c r="AU119" s="103">
        <f t="shared" si="3"/>
        <v>0</v>
      </c>
    </row>
    <row r="120" spans="21:47" s="28" customFormat="1" x14ac:dyDescent="0.25">
      <c r="U120" s="103">
        <f t="shared" si="2"/>
        <v>0</v>
      </c>
      <c r="Y120" s="98"/>
      <c r="AU120" s="103">
        <f t="shared" si="3"/>
        <v>0</v>
      </c>
    </row>
    <row r="121" spans="21:47" s="28" customFormat="1" x14ac:dyDescent="0.25">
      <c r="U121" s="103">
        <f t="shared" si="2"/>
        <v>0</v>
      </c>
      <c r="Y121" s="98"/>
      <c r="AU121" s="103">
        <f t="shared" si="3"/>
        <v>0</v>
      </c>
    </row>
    <row r="122" spans="21:47" s="28" customFormat="1" x14ac:dyDescent="0.25">
      <c r="U122" s="103">
        <f t="shared" si="2"/>
        <v>0</v>
      </c>
      <c r="Y122" s="98"/>
      <c r="AU122" s="103">
        <f t="shared" si="3"/>
        <v>0</v>
      </c>
    </row>
    <row r="123" spans="21:47" s="28" customFormat="1" x14ac:dyDescent="0.25">
      <c r="U123" s="103">
        <f t="shared" ref="U123:U186" si="4">IF(R123="TruePositive",IF(D123&lt;&gt;1,N123,0),0)</f>
        <v>0</v>
      </c>
      <c r="Y123" s="98"/>
      <c r="AU123" s="103">
        <f t="shared" ref="AU123:AU186" si="5">IF(AQ123="TruePositive",IF(AC123&lt;&gt;1,AM123,0),0)</f>
        <v>0</v>
      </c>
    </row>
    <row r="124" spans="21:47" s="28" customFormat="1" x14ac:dyDescent="0.25">
      <c r="U124" s="103">
        <f t="shared" si="4"/>
        <v>0</v>
      </c>
      <c r="Y124" s="98"/>
      <c r="AU124" s="103">
        <f t="shared" si="5"/>
        <v>0</v>
      </c>
    </row>
    <row r="125" spans="21:47" s="28" customFormat="1" x14ac:dyDescent="0.25">
      <c r="U125" s="103">
        <f t="shared" si="4"/>
        <v>0</v>
      </c>
      <c r="Y125" s="98"/>
      <c r="AU125" s="103">
        <f t="shared" si="5"/>
        <v>0</v>
      </c>
    </row>
    <row r="126" spans="21:47" s="28" customFormat="1" x14ac:dyDescent="0.25">
      <c r="U126" s="103">
        <f t="shared" si="4"/>
        <v>0</v>
      </c>
      <c r="Y126" s="98"/>
      <c r="AU126" s="103">
        <f t="shared" si="5"/>
        <v>0</v>
      </c>
    </row>
    <row r="127" spans="21:47" s="28" customFormat="1" x14ac:dyDescent="0.25">
      <c r="U127" s="103">
        <f t="shared" si="4"/>
        <v>0</v>
      </c>
      <c r="Y127" s="98"/>
      <c r="AU127" s="103">
        <f t="shared" si="5"/>
        <v>0</v>
      </c>
    </row>
    <row r="128" spans="21:47" s="28" customFormat="1" x14ac:dyDescent="0.25">
      <c r="U128" s="103">
        <f t="shared" si="4"/>
        <v>0</v>
      </c>
      <c r="Y128" s="98"/>
      <c r="AU128" s="103">
        <f t="shared" si="5"/>
        <v>0</v>
      </c>
    </row>
    <row r="129" spans="21:47" s="28" customFormat="1" x14ac:dyDescent="0.25">
      <c r="U129" s="103">
        <f t="shared" si="4"/>
        <v>0</v>
      </c>
      <c r="Y129" s="98"/>
      <c r="AU129" s="103">
        <f t="shared" si="5"/>
        <v>0</v>
      </c>
    </row>
    <row r="130" spans="21:47" s="28" customFormat="1" x14ac:dyDescent="0.25">
      <c r="U130" s="103">
        <f t="shared" si="4"/>
        <v>0</v>
      </c>
      <c r="Y130" s="98"/>
      <c r="AU130" s="103">
        <f t="shared" si="5"/>
        <v>0</v>
      </c>
    </row>
    <row r="131" spans="21:47" s="28" customFormat="1" x14ac:dyDescent="0.25">
      <c r="U131" s="103">
        <f t="shared" si="4"/>
        <v>0</v>
      </c>
      <c r="Y131" s="98"/>
      <c r="AU131" s="103">
        <f t="shared" si="5"/>
        <v>0</v>
      </c>
    </row>
    <row r="132" spans="21:47" s="28" customFormat="1" x14ac:dyDescent="0.25">
      <c r="U132" s="103">
        <f t="shared" si="4"/>
        <v>0</v>
      </c>
      <c r="Y132" s="98"/>
      <c r="AU132" s="103">
        <f t="shared" si="5"/>
        <v>0</v>
      </c>
    </row>
    <row r="133" spans="21:47" s="28" customFormat="1" x14ac:dyDescent="0.25">
      <c r="U133" s="103">
        <f t="shared" si="4"/>
        <v>0</v>
      </c>
      <c r="Y133" s="98"/>
      <c r="AU133" s="103">
        <f t="shared" si="5"/>
        <v>0</v>
      </c>
    </row>
    <row r="134" spans="21:47" s="28" customFormat="1" x14ac:dyDescent="0.25">
      <c r="U134" s="103">
        <f t="shared" si="4"/>
        <v>0</v>
      </c>
      <c r="Y134" s="98"/>
      <c r="AU134" s="103">
        <f t="shared" si="5"/>
        <v>0</v>
      </c>
    </row>
    <row r="135" spans="21:47" s="28" customFormat="1" x14ac:dyDescent="0.25">
      <c r="U135" s="103">
        <f t="shared" si="4"/>
        <v>0</v>
      </c>
      <c r="Y135" s="98"/>
      <c r="AU135" s="103">
        <f t="shared" si="5"/>
        <v>0</v>
      </c>
    </row>
    <row r="136" spans="21:47" s="28" customFormat="1" x14ac:dyDescent="0.25">
      <c r="U136" s="103">
        <f t="shared" si="4"/>
        <v>0</v>
      </c>
      <c r="Y136" s="98"/>
      <c r="AU136" s="103">
        <f t="shared" si="5"/>
        <v>0</v>
      </c>
    </row>
    <row r="137" spans="21:47" s="28" customFormat="1" x14ac:dyDescent="0.25">
      <c r="U137" s="103">
        <f t="shared" si="4"/>
        <v>0</v>
      </c>
      <c r="Y137" s="98"/>
      <c r="AU137" s="103">
        <f t="shared" si="5"/>
        <v>0</v>
      </c>
    </row>
    <row r="138" spans="21:47" s="28" customFormat="1" x14ac:dyDescent="0.25">
      <c r="U138" s="103">
        <f t="shared" si="4"/>
        <v>0</v>
      </c>
      <c r="Y138" s="98"/>
      <c r="AU138" s="103">
        <f t="shared" si="5"/>
        <v>0</v>
      </c>
    </row>
    <row r="139" spans="21:47" s="28" customFormat="1" x14ac:dyDescent="0.25">
      <c r="U139" s="103">
        <f t="shared" si="4"/>
        <v>0</v>
      </c>
      <c r="Y139" s="98"/>
      <c r="AU139" s="103">
        <f t="shared" si="5"/>
        <v>0</v>
      </c>
    </row>
    <row r="140" spans="21:47" s="28" customFormat="1" x14ac:dyDescent="0.25">
      <c r="U140" s="103">
        <f t="shared" si="4"/>
        <v>0</v>
      </c>
      <c r="Y140" s="98"/>
      <c r="AU140" s="103">
        <f t="shared" si="5"/>
        <v>0</v>
      </c>
    </row>
    <row r="141" spans="21:47" s="28" customFormat="1" x14ac:dyDescent="0.25">
      <c r="U141" s="103">
        <f t="shared" si="4"/>
        <v>0</v>
      </c>
      <c r="Y141" s="98"/>
      <c r="AU141" s="103">
        <f t="shared" si="5"/>
        <v>0</v>
      </c>
    </row>
    <row r="142" spans="21:47" s="28" customFormat="1" x14ac:dyDescent="0.25">
      <c r="U142" s="103">
        <f t="shared" si="4"/>
        <v>0</v>
      </c>
      <c r="Y142" s="98"/>
      <c r="AU142" s="103">
        <f t="shared" si="5"/>
        <v>0</v>
      </c>
    </row>
    <row r="143" spans="21:47" s="28" customFormat="1" x14ac:dyDescent="0.25">
      <c r="U143" s="103">
        <f t="shared" si="4"/>
        <v>0</v>
      </c>
      <c r="Y143" s="98"/>
      <c r="AU143" s="103">
        <f t="shared" si="5"/>
        <v>0</v>
      </c>
    </row>
    <row r="144" spans="21:47" s="28" customFormat="1" x14ac:dyDescent="0.25">
      <c r="U144" s="103">
        <f t="shared" si="4"/>
        <v>0</v>
      </c>
      <c r="Y144" s="98"/>
      <c r="AU144" s="103">
        <f t="shared" si="5"/>
        <v>0</v>
      </c>
    </row>
    <row r="145" spans="21:47" s="28" customFormat="1" x14ac:dyDescent="0.25">
      <c r="U145" s="103">
        <f t="shared" si="4"/>
        <v>0</v>
      </c>
      <c r="Y145" s="98"/>
      <c r="AU145" s="103">
        <f t="shared" si="5"/>
        <v>0</v>
      </c>
    </row>
    <row r="146" spans="21:47" s="28" customFormat="1" x14ac:dyDescent="0.25">
      <c r="U146" s="103">
        <f t="shared" si="4"/>
        <v>0</v>
      </c>
      <c r="Y146" s="98"/>
      <c r="AU146" s="103">
        <f t="shared" si="5"/>
        <v>0</v>
      </c>
    </row>
    <row r="147" spans="21:47" s="28" customFormat="1" x14ac:dyDescent="0.25">
      <c r="U147" s="103">
        <f t="shared" si="4"/>
        <v>0</v>
      </c>
      <c r="Y147" s="98"/>
      <c r="AU147" s="103">
        <f t="shared" si="5"/>
        <v>0</v>
      </c>
    </row>
    <row r="148" spans="21:47" s="28" customFormat="1" x14ac:dyDescent="0.25">
      <c r="U148" s="103">
        <f t="shared" si="4"/>
        <v>0</v>
      </c>
      <c r="Y148" s="98"/>
      <c r="AU148" s="103">
        <f t="shared" si="5"/>
        <v>0</v>
      </c>
    </row>
    <row r="149" spans="21:47" s="28" customFormat="1" x14ac:dyDescent="0.25">
      <c r="U149" s="103">
        <f t="shared" si="4"/>
        <v>0</v>
      </c>
      <c r="Y149" s="98"/>
      <c r="AU149" s="103">
        <f t="shared" si="5"/>
        <v>0</v>
      </c>
    </row>
    <row r="150" spans="21:47" s="28" customFormat="1" x14ac:dyDescent="0.25">
      <c r="U150" s="103">
        <f t="shared" si="4"/>
        <v>0</v>
      </c>
      <c r="Y150" s="98"/>
      <c r="AU150" s="103">
        <f t="shared" si="5"/>
        <v>0</v>
      </c>
    </row>
    <row r="151" spans="21:47" s="28" customFormat="1" x14ac:dyDescent="0.25">
      <c r="U151" s="103">
        <f t="shared" si="4"/>
        <v>0</v>
      </c>
      <c r="Y151" s="98"/>
      <c r="AU151" s="103">
        <f t="shared" si="5"/>
        <v>0</v>
      </c>
    </row>
    <row r="152" spans="21:47" s="28" customFormat="1" x14ac:dyDescent="0.25">
      <c r="U152" s="103">
        <f t="shared" si="4"/>
        <v>0</v>
      </c>
      <c r="Y152" s="98"/>
      <c r="AU152" s="103">
        <f t="shared" si="5"/>
        <v>0</v>
      </c>
    </row>
    <row r="153" spans="21:47" s="28" customFormat="1" x14ac:dyDescent="0.25">
      <c r="U153" s="103">
        <f t="shared" si="4"/>
        <v>0</v>
      </c>
      <c r="Y153" s="98"/>
      <c r="AU153" s="103">
        <f t="shared" si="5"/>
        <v>0</v>
      </c>
    </row>
    <row r="154" spans="21:47" s="28" customFormat="1" x14ac:dyDescent="0.25">
      <c r="U154" s="103">
        <f t="shared" si="4"/>
        <v>0</v>
      </c>
      <c r="Y154" s="98"/>
      <c r="AU154" s="103">
        <f t="shared" si="5"/>
        <v>0</v>
      </c>
    </row>
    <row r="155" spans="21:47" s="28" customFormat="1" x14ac:dyDescent="0.25">
      <c r="U155" s="103">
        <f t="shared" si="4"/>
        <v>0</v>
      </c>
      <c r="Y155" s="98"/>
      <c r="AU155" s="103">
        <f t="shared" si="5"/>
        <v>0</v>
      </c>
    </row>
    <row r="156" spans="21:47" s="28" customFormat="1" x14ac:dyDescent="0.25">
      <c r="U156" s="103">
        <f t="shared" si="4"/>
        <v>0</v>
      </c>
      <c r="Y156" s="98"/>
      <c r="AU156" s="103">
        <f t="shared" si="5"/>
        <v>0</v>
      </c>
    </row>
    <row r="157" spans="21:47" s="28" customFormat="1" x14ac:dyDescent="0.25">
      <c r="U157" s="103">
        <f t="shared" si="4"/>
        <v>0</v>
      </c>
      <c r="Y157" s="98"/>
      <c r="AU157" s="103">
        <f t="shared" si="5"/>
        <v>0</v>
      </c>
    </row>
    <row r="158" spans="21:47" s="28" customFormat="1" x14ac:dyDescent="0.25">
      <c r="U158" s="103">
        <f t="shared" si="4"/>
        <v>0</v>
      </c>
      <c r="Y158" s="98"/>
      <c r="AU158" s="103">
        <f t="shared" si="5"/>
        <v>0</v>
      </c>
    </row>
    <row r="159" spans="21:47" s="28" customFormat="1" x14ac:dyDescent="0.25">
      <c r="U159" s="103">
        <f t="shared" si="4"/>
        <v>0</v>
      </c>
      <c r="Y159" s="98"/>
      <c r="AU159" s="103">
        <f t="shared" si="5"/>
        <v>0</v>
      </c>
    </row>
    <row r="160" spans="21:47" s="28" customFormat="1" x14ac:dyDescent="0.25">
      <c r="U160" s="103">
        <f t="shared" si="4"/>
        <v>0</v>
      </c>
      <c r="Y160" s="98"/>
      <c r="AU160" s="103">
        <f t="shared" si="5"/>
        <v>0</v>
      </c>
    </row>
    <row r="161" spans="21:47" s="28" customFormat="1" x14ac:dyDescent="0.25">
      <c r="U161" s="103">
        <f t="shared" si="4"/>
        <v>0</v>
      </c>
      <c r="Y161" s="98"/>
      <c r="AU161" s="103">
        <f t="shared" si="5"/>
        <v>0</v>
      </c>
    </row>
    <row r="162" spans="21:47" s="28" customFormat="1" x14ac:dyDescent="0.25">
      <c r="U162" s="103">
        <f t="shared" si="4"/>
        <v>0</v>
      </c>
      <c r="Y162" s="98"/>
      <c r="AU162" s="103">
        <f t="shared" si="5"/>
        <v>0</v>
      </c>
    </row>
    <row r="163" spans="21:47" s="28" customFormat="1" x14ac:dyDescent="0.25">
      <c r="U163" s="103">
        <f t="shared" si="4"/>
        <v>0</v>
      </c>
      <c r="Y163" s="98"/>
      <c r="AU163" s="103">
        <f t="shared" si="5"/>
        <v>0</v>
      </c>
    </row>
    <row r="164" spans="21:47" s="28" customFormat="1" x14ac:dyDescent="0.25">
      <c r="U164" s="103">
        <f t="shared" si="4"/>
        <v>0</v>
      </c>
      <c r="Y164" s="98"/>
      <c r="AU164" s="103">
        <f t="shared" si="5"/>
        <v>0</v>
      </c>
    </row>
    <row r="165" spans="21:47" s="28" customFormat="1" x14ac:dyDescent="0.25">
      <c r="U165" s="103">
        <f t="shared" si="4"/>
        <v>0</v>
      </c>
      <c r="Y165" s="98"/>
      <c r="AU165" s="103">
        <f t="shared" si="5"/>
        <v>0</v>
      </c>
    </row>
    <row r="166" spans="21:47" s="28" customFormat="1" x14ac:dyDescent="0.25">
      <c r="U166" s="103">
        <f t="shared" si="4"/>
        <v>0</v>
      </c>
      <c r="Y166" s="98"/>
      <c r="AU166" s="103">
        <f t="shared" si="5"/>
        <v>0</v>
      </c>
    </row>
    <row r="167" spans="21:47" s="28" customFormat="1" x14ac:dyDescent="0.25">
      <c r="U167" s="103">
        <f t="shared" si="4"/>
        <v>0</v>
      </c>
      <c r="Y167" s="98"/>
      <c r="AU167" s="103">
        <f t="shared" si="5"/>
        <v>0</v>
      </c>
    </row>
    <row r="168" spans="21:47" s="28" customFormat="1" x14ac:dyDescent="0.25">
      <c r="U168" s="103">
        <f t="shared" si="4"/>
        <v>0</v>
      </c>
      <c r="Y168" s="98"/>
      <c r="AU168" s="103">
        <f t="shared" si="5"/>
        <v>0</v>
      </c>
    </row>
    <row r="169" spans="21:47" s="28" customFormat="1" x14ac:dyDescent="0.25">
      <c r="U169" s="103">
        <f t="shared" si="4"/>
        <v>0</v>
      </c>
      <c r="Y169" s="98"/>
      <c r="AU169" s="103">
        <f t="shared" si="5"/>
        <v>0</v>
      </c>
    </row>
    <row r="170" spans="21:47" s="28" customFormat="1" x14ac:dyDescent="0.25">
      <c r="U170" s="103">
        <f t="shared" si="4"/>
        <v>0</v>
      </c>
      <c r="Y170" s="98"/>
      <c r="AU170" s="103">
        <f t="shared" si="5"/>
        <v>0</v>
      </c>
    </row>
    <row r="171" spans="21:47" s="28" customFormat="1" x14ac:dyDescent="0.25">
      <c r="U171" s="103">
        <f t="shared" si="4"/>
        <v>0</v>
      </c>
      <c r="Y171" s="98"/>
      <c r="AU171" s="103">
        <f t="shared" si="5"/>
        <v>0</v>
      </c>
    </row>
    <row r="172" spans="21:47" s="28" customFormat="1" x14ac:dyDescent="0.25">
      <c r="U172" s="103">
        <f t="shared" si="4"/>
        <v>0</v>
      </c>
      <c r="Y172" s="98"/>
      <c r="AU172" s="103">
        <f t="shared" si="5"/>
        <v>0</v>
      </c>
    </row>
    <row r="173" spans="21:47" s="28" customFormat="1" x14ac:dyDescent="0.25">
      <c r="U173" s="103">
        <f t="shared" si="4"/>
        <v>0</v>
      </c>
      <c r="Y173" s="98"/>
      <c r="AU173" s="103">
        <f t="shared" si="5"/>
        <v>0</v>
      </c>
    </row>
    <row r="174" spans="21:47" s="28" customFormat="1" x14ac:dyDescent="0.25">
      <c r="U174" s="103">
        <f t="shared" si="4"/>
        <v>0</v>
      </c>
      <c r="Y174" s="98"/>
      <c r="AU174" s="103">
        <f t="shared" si="5"/>
        <v>0</v>
      </c>
    </row>
    <row r="175" spans="21:47" s="28" customFormat="1" x14ac:dyDescent="0.25">
      <c r="U175" s="103">
        <f t="shared" si="4"/>
        <v>0</v>
      </c>
      <c r="Y175" s="98"/>
      <c r="AU175" s="103">
        <f t="shared" si="5"/>
        <v>0</v>
      </c>
    </row>
    <row r="176" spans="21:47" s="28" customFormat="1" x14ac:dyDescent="0.25">
      <c r="U176" s="103">
        <f t="shared" si="4"/>
        <v>0</v>
      </c>
      <c r="Y176" s="98"/>
      <c r="AU176" s="103">
        <f t="shared" si="5"/>
        <v>0</v>
      </c>
    </row>
    <row r="177" spans="21:47" s="28" customFormat="1" x14ac:dyDescent="0.25">
      <c r="U177" s="103">
        <f t="shared" si="4"/>
        <v>0</v>
      </c>
      <c r="Y177" s="98"/>
      <c r="AU177" s="103">
        <f t="shared" si="5"/>
        <v>0</v>
      </c>
    </row>
    <row r="178" spans="21:47" s="28" customFormat="1" x14ac:dyDescent="0.25">
      <c r="U178" s="103">
        <f t="shared" si="4"/>
        <v>0</v>
      </c>
      <c r="Y178" s="98"/>
      <c r="AU178" s="103">
        <f t="shared" si="5"/>
        <v>0</v>
      </c>
    </row>
    <row r="179" spans="21:47" s="28" customFormat="1" x14ac:dyDescent="0.25">
      <c r="U179" s="103">
        <f t="shared" si="4"/>
        <v>0</v>
      </c>
      <c r="Y179" s="98"/>
      <c r="AU179" s="103">
        <f t="shared" si="5"/>
        <v>0</v>
      </c>
    </row>
    <row r="180" spans="21:47" s="28" customFormat="1" x14ac:dyDescent="0.25">
      <c r="U180" s="103">
        <f t="shared" si="4"/>
        <v>0</v>
      </c>
      <c r="Y180" s="98"/>
      <c r="AU180" s="103">
        <f t="shared" si="5"/>
        <v>0</v>
      </c>
    </row>
    <row r="181" spans="21:47" s="28" customFormat="1" x14ac:dyDescent="0.25">
      <c r="U181" s="103">
        <f t="shared" si="4"/>
        <v>0</v>
      </c>
      <c r="Y181" s="98"/>
      <c r="AU181" s="103">
        <f t="shared" si="5"/>
        <v>0</v>
      </c>
    </row>
    <row r="182" spans="21:47" s="28" customFormat="1" x14ac:dyDescent="0.25">
      <c r="U182" s="103">
        <f t="shared" si="4"/>
        <v>0</v>
      </c>
      <c r="Y182" s="98"/>
      <c r="AU182" s="103">
        <f t="shared" si="5"/>
        <v>0</v>
      </c>
    </row>
    <row r="183" spans="21:47" s="28" customFormat="1" x14ac:dyDescent="0.25">
      <c r="U183" s="103">
        <f t="shared" si="4"/>
        <v>0</v>
      </c>
      <c r="Y183" s="98"/>
      <c r="AU183" s="103">
        <f t="shared" si="5"/>
        <v>0</v>
      </c>
    </row>
    <row r="184" spans="21:47" s="28" customFormat="1" x14ac:dyDescent="0.25">
      <c r="U184" s="103">
        <f t="shared" si="4"/>
        <v>0</v>
      </c>
      <c r="Y184" s="98"/>
      <c r="AU184" s="103">
        <f t="shared" si="5"/>
        <v>0</v>
      </c>
    </row>
    <row r="185" spans="21:47" s="28" customFormat="1" x14ac:dyDescent="0.25">
      <c r="U185" s="103">
        <f t="shared" si="4"/>
        <v>0</v>
      </c>
      <c r="Y185" s="98"/>
      <c r="AU185" s="103">
        <f t="shared" si="5"/>
        <v>0</v>
      </c>
    </row>
    <row r="186" spans="21:47" s="28" customFormat="1" x14ac:dyDescent="0.25">
      <c r="U186" s="103">
        <f t="shared" si="4"/>
        <v>0</v>
      </c>
      <c r="Y186" s="98"/>
      <c r="AU186" s="103">
        <f t="shared" si="5"/>
        <v>0</v>
      </c>
    </row>
    <row r="187" spans="21:47" s="28" customFormat="1" x14ac:dyDescent="0.25">
      <c r="U187" s="103">
        <f t="shared" ref="U187:U250" si="6">IF(R187="TruePositive",IF(D187&lt;&gt;1,N187,0),0)</f>
        <v>0</v>
      </c>
      <c r="Y187" s="98"/>
      <c r="AU187" s="103">
        <f t="shared" ref="AU187:AU250" si="7">IF(AQ187="TruePositive",IF(AC187&lt;&gt;1,AM187,0),0)</f>
        <v>0</v>
      </c>
    </row>
    <row r="188" spans="21:47" s="28" customFormat="1" x14ac:dyDescent="0.25">
      <c r="U188" s="103">
        <f t="shared" si="6"/>
        <v>0</v>
      </c>
      <c r="Y188" s="98"/>
      <c r="AU188" s="103">
        <f t="shared" si="7"/>
        <v>0</v>
      </c>
    </row>
    <row r="189" spans="21:47" s="28" customFormat="1" x14ac:dyDescent="0.25">
      <c r="U189" s="103">
        <f t="shared" si="6"/>
        <v>0</v>
      </c>
      <c r="Y189" s="98"/>
      <c r="AU189" s="103">
        <f t="shared" si="7"/>
        <v>0</v>
      </c>
    </row>
    <row r="190" spans="21:47" s="28" customFormat="1" x14ac:dyDescent="0.25">
      <c r="U190" s="103">
        <f t="shared" si="6"/>
        <v>0</v>
      </c>
      <c r="Y190" s="98"/>
      <c r="AU190" s="103">
        <f t="shared" si="7"/>
        <v>0</v>
      </c>
    </row>
    <row r="191" spans="21:47" s="28" customFormat="1" x14ac:dyDescent="0.25">
      <c r="U191" s="103">
        <f t="shared" si="6"/>
        <v>0</v>
      </c>
      <c r="Y191" s="98"/>
      <c r="AU191" s="103">
        <f t="shared" si="7"/>
        <v>0</v>
      </c>
    </row>
    <row r="192" spans="21:47" s="28" customFormat="1" x14ac:dyDescent="0.25">
      <c r="U192" s="103">
        <f t="shared" si="6"/>
        <v>0</v>
      </c>
      <c r="Y192" s="98"/>
      <c r="AU192" s="103">
        <f t="shared" si="7"/>
        <v>0</v>
      </c>
    </row>
    <row r="193" spans="21:47" s="28" customFormat="1" x14ac:dyDescent="0.25">
      <c r="U193" s="103">
        <f t="shared" si="6"/>
        <v>0</v>
      </c>
      <c r="Y193" s="98"/>
      <c r="AU193" s="103">
        <f t="shared" si="7"/>
        <v>0</v>
      </c>
    </row>
    <row r="194" spans="21:47" s="28" customFormat="1" x14ac:dyDescent="0.25">
      <c r="U194" s="103">
        <f t="shared" si="6"/>
        <v>0</v>
      </c>
      <c r="Y194" s="98"/>
      <c r="AU194" s="103">
        <f t="shared" si="7"/>
        <v>0</v>
      </c>
    </row>
    <row r="195" spans="21:47" s="28" customFormat="1" x14ac:dyDescent="0.25">
      <c r="U195" s="103">
        <f t="shared" si="6"/>
        <v>0</v>
      </c>
      <c r="Y195" s="98"/>
      <c r="AU195" s="103">
        <f t="shared" si="7"/>
        <v>0</v>
      </c>
    </row>
    <row r="196" spans="21:47" s="28" customFormat="1" x14ac:dyDescent="0.25">
      <c r="U196" s="103">
        <f t="shared" si="6"/>
        <v>0</v>
      </c>
      <c r="Y196" s="98"/>
      <c r="AU196" s="103">
        <f t="shared" si="7"/>
        <v>0</v>
      </c>
    </row>
    <row r="197" spans="21:47" s="28" customFormat="1" x14ac:dyDescent="0.25">
      <c r="U197" s="103">
        <f t="shared" si="6"/>
        <v>0</v>
      </c>
      <c r="Y197" s="98"/>
      <c r="AU197" s="103">
        <f t="shared" si="7"/>
        <v>0</v>
      </c>
    </row>
    <row r="198" spans="21:47" s="28" customFormat="1" x14ac:dyDescent="0.25">
      <c r="U198" s="103">
        <f t="shared" si="6"/>
        <v>0</v>
      </c>
      <c r="Y198" s="98"/>
      <c r="AU198" s="103">
        <f t="shared" si="7"/>
        <v>0</v>
      </c>
    </row>
    <row r="199" spans="21:47" s="28" customFormat="1" x14ac:dyDescent="0.25">
      <c r="U199" s="103">
        <f t="shared" si="6"/>
        <v>0</v>
      </c>
      <c r="Y199" s="98"/>
      <c r="AU199" s="103">
        <f t="shared" si="7"/>
        <v>0</v>
      </c>
    </row>
    <row r="200" spans="21:47" s="28" customFormat="1" x14ac:dyDescent="0.25">
      <c r="U200" s="103">
        <f t="shared" si="6"/>
        <v>0</v>
      </c>
      <c r="Y200" s="98"/>
      <c r="AU200" s="103">
        <f t="shared" si="7"/>
        <v>0</v>
      </c>
    </row>
    <row r="201" spans="21:47" s="28" customFormat="1" x14ac:dyDescent="0.25">
      <c r="U201" s="103">
        <f t="shared" si="6"/>
        <v>0</v>
      </c>
      <c r="Y201" s="98"/>
      <c r="AU201" s="103">
        <f t="shared" si="7"/>
        <v>0</v>
      </c>
    </row>
    <row r="202" spans="21:47" s="28" customFormat="1" x14ac:dyDescent="0.25">
      <c r="U202" s="103">
        <f t="shared" si="6"/>
        <v>0</v>
      </c>
      <c r="Y202" s="98"/>
      <c r="AU202" s="103">
        <f t="shared" si="7"/>
        <v>0</v>
      </c>
    </row>
    <row r="203" spans="21:47" s="28" customFormat="1" x14ac:dyDescent="0.25">
      <c r="U203" s="103">
        <f t="shared" si="6"/>
        <v>0</v>
      </c>
      <c r="Y203" s="98"/>
      <c r="AU203" s="103">
        <f t="shared" si="7"/>
        <v>0</v>
      </c>
    </row>
    <row r="204" spans="21:47" s="28" customFormat="1" x14ac:dyDescent="0.25">
      <c r="U204" s="103">
        <f t="shared" si="6"/>
        <v>0</v>
      </c>
      <c r="Y204" s="98"/>
      <c r="AU204" s="103">
        <f t="shared" si="7"/>
        <v>0</v>
      </c>
    </row>
    <row r="205" spans="21:47" s="28" customFormat="1" x14ac:dyDescent="0.25">
      <c r="U205" s="103">
        <f t="shared" si="6"/>
        <v>0</v>
      </c>
      <c r="Y205" s="98"/>
      <c r="AU205" s="103">
        <f t="shared" si="7"/>
        <v>0</v>
      </c>
    </row>
    <row r="206" spans="21:47" s="28" customFormat="1" x14ac:dyDescent="0.25">
      <c r="U206" s="103">
        <f t="shared" si="6"/>
        <v>0</v>
      </c>
      <c r="Y206" s="98"/>
      <c r="AU206" s="103">
        <f t="shared" si="7"/>
        <v>0</v>
      </c>
    </row>
    <row r="207" spans="21:47" s="28" customFormat="1" x14ac:dyDescent="0.25">
      <c r="U207" s="103">
        <f t="shared" si="6"/>
        <v>0</v>
      </c>
      <c r="Y207" s="98"/>
      <c r="AU207" s="103">
        <f t="shared" si="7"/>
        <v>0</v>
      </c>
    </row>
    <row r="208" spans="21:47" s="28" customFormat="1" x14ac:dyDescent="0.25">
      <c r="U208" s="103">
        <f t="shared" si="6"/>
        <v>0</v>
      </c>
      <c r="Y208" s="98"/>
      <c r="AU208" s="103">
        <f t="shared" si="7"/>
        <v>0</v>
      </c>
    </row>
    <row r="209" spans="21:47" s="28" customFormat="1" x14ac:dyDescent="0.25">
      <c r="U209" s="103">
        <f t="shared" si="6"/>
        <v>0</v>
      </c>
      <c r="Y209" s="98"/>
      <c r="AU209" s="103">
        <f t="shared" si="7"/>
        <v>0</v>
      </c>
    </row>
    <row r="210" spans="21:47" s="28" customFormat="1" x14ac:dyDescent="0.25">
      <c r="U210" s="103">
        <f t="shared" si="6"/>
        <v>0</v>
      </c>
      <c r="Y210" s="98"/>
      <c r="AU210" s="103">
        <f t="shared" si="7"/>
        <v>0</v>
      </c>
    </row>
    <row r="211" spans="21:47" s="28" customFormat="1" x14ac:dyDescent="0.25">
      <c r="U211" s="103">
        <f t="shared" si="6"/>
        <v>0</v>
      </c>
      <c r="Y211" s="98"/>
      <c r="AU211" s="103">
        <f t="shared" si="7"/>
        <v>0</v>
      </c>
    </row>
    <row r="212" spans="21:47" s="28" customFormat="1" x14ac:dyDescent="0.25">
      <c r="U212" s="103">
        <f t="shared" si="6"/>
        <v>0</v>
      </c>
      <c r="Y212" s="98"/>
      <c r="AU212" s="103">
        <f t="shared" si="7"/>
        <v>0</v>
      </c>
    </row>
    <row r="213" spans="21:47" s="28" customFormat="1" x14ac:dyDescent="0.25">
      <c r="U213" s="103">
        <f t="shared" si="6"/>
        <v>0</v>
      </c>
      <c r="Y213" s="98"/>
      <c r="AU213" s="103">
        <f t="shared" si="7"/>
        <v>0</v>
      </c>
    </row>
    <row r="214" spans="21:47" s="28" customFormat="1" x14ac:dyDescent="0.25">
      <c r="U214" s="103">
        <f t="shared" si="6"/>
        <v>0</v>
      </c>
      <c r="Y214" s="98"/>
      <c r="AU214" s="103">
        <f t="shared" si="7"/>
        <v>0</v>
      </c>
    </row>
    <row r="215" spans="21:47" s="28" customFormat="1" x14ac:dyDescent="0.25">
      <c r="U215" s="103">
        <f t="shared" si="6"/>
        <v>0</v>
      </c>
      <c r="Y215" s="98"/>
      <c r="AU215" s="103">
        <f t="shared" si="7"/>
        <v>0</v>
      </c>
    </row>
    <row r="216" spans="21:47" s="28" customFormat="1" x14ac:dyDescent="0.25">
      <c r="U216" s="103">
        <f t="shared" si="6"/>
        <v>0</v>
      </c>
      <c r="Y216" s="98"/>
      <c r="AU216" s="103">
        <f t="shared" si="7"/>
        <v>0</v>
      </c>
    </row>
    <row r="217" spans="21:47" s="28" customFormat="1" x14ac:dyDescent="0.25">
      <c r="U217" s="103">
        <f t="shared" si="6"/>
        <v>0</v>
      </c>
      <c r="Y217" s="98"/>
      <c r="AU217" s="103">
        <f t="shared" si="7"/>
        <v>0</v>
      </c>
    </row>
    <row r="218" spans="21:47" s="28" customFormat="1" x14ac:dyDescent="0.25">
      <c r="U218" s="103">
        <f t="shared" si="6"/>
        <v>0</v>
      </c>
      <c r="Y218" s="98"/>
      <c r="AU218" s="103">
        <f t="shared" si="7"/>
        <v>0</v>
      </c>
    </row>
    <row r="219" spans="21:47" s="28" customFormat="1" x14ac:dyDescent="0.25">
      <c r="U219" s="103">
        <f t="shared" si="6"/>
        <v>0</v>
      </c>
      <c r="Y219" s="98"/>
      <c r="AU219" s="103">
        <f t="shared" si="7"/>
        <v>0</v>
      </c>
    </row>
    <row r="220" spans="21:47" s="28" customFormat="1" x14ac:dyDescent="0.25">
      <c r="U220" s="103">
        <f t="shared" si="6"/>
        <v>0</v>
      </c>
      <c r="Y220" s="98"/>
      <c r="AU220" s="103">
        <f t="shared" si="7"/>
        <v>0</v>
      </c>
    </row>
    <row r="221" spans="21:47" s="28" customFormat="1" x14ac:dyDescent="0.25">
      <c r="U221" s="103">
        <f t="shared" si="6"/>
        <v>0</v>
      </c>
      <c r="Y221" s="98"/>
      <c r="AU221" s="103">
        <f t="shared" si="7"/>
        <v>0</v>
      </c>
    </row>
    <row r="222" spans="21:47" s="28" customFormat="1" x14ac:dyDescent="0.25">
      <c r="U222" s="103">
        <f t="shared" si="6"/>
        <v>0</v>
      </c>
      <c r="Y222" s="98"/>
      <c r="AU222" s="103">
        <f t="shared" si="7"/>
        <v>0</v>
      </c>
    </row>
    <row r="223" spans="21:47" s="28" customFormat="1" x14ac:dyDescent="0.25">
      <c r="U223" s="103">
        <f t="shared" si="6"/>
        <v>0</v>
      </c>
      <c r="Y223" s="98"/>
      <c r="AU223" s="103">
        <f t="shared" si="7"/>
        <v>0</v>
      </c>
    </row>
    <row r="224" spans="21:47" s="28" customFormat="1" x14ac:dyDescent="0.25">
      <c r="U224" s="103">
        <f t="shared" si="6"/>
        <v>0</v>
      </c>
      <c r="Y224" s="98"/>
      <c r="AU224" s="103">
        <f t="shared" si="7"/>
        <v>0</v>
      </c>
    </row>
    <row r="225" spans="21:47" s="28" customFormat="1" x14ac:dyDescent="0.25">
      <c r="U225" s="103">
        <f t="shared" si="6"/>
        <v>0</v>
      </c>
      <c r="Y225" s="98"/>
      <c r="AU225" s="103">
        <f t="shared" si="7"/>
        <v>0</v>
      </c>
    </row>
    <row r="226" spans="21:47" s="28" customFormat="1" x14ac:dyDescent="0.25">
      <c r="U226" s="103">
        <f t="shared" si="6"/>
        <v>0</v>
      </c>
      <c r="Y226" s="98"/>
      <c r="AU226" s="103">
        <f t="shared" si="7"/>
        <v>0</v>
      </c>
    </row>
    <row r="227" spans="21:47" s="28" customFormat="1" x14ac:dyDescent="0.25">
      <c r="U227" s="103">
        <f t="shared" si="6"/>
        <v>0</v>
      </c>
      <c r="Y227" s="98"/>
      <c r="AU227" s="103">
        <f t="shared" si="7"/>
        <v>0</v>
      </c>
    </row>
    <row r="228" spans="21:47" s="28" customFormat="1" x14ac:dyDescent="0.25">
      <c r="U228" s="103">
        <f t="shared" si="6"/>
        <v>0</v>
      </c>
      <c r="Y228" s="98"/>
      <c r="AU228" s="103">
        <f t="shared" si="7"/>
        <v>0</v>
      </c>
    </row>
    <row r="229" spans="21:47" s="28" customFormat="1" x14ac:dyDescent="0.25">
      <c r="U229" s="103">
        <f t="shared" si="6"/>
        <v>0</v>
      </c>
      <c r="Y229" s="98"/>
      <c r="AU229" s="103">
        <f t="shared" si="7"/>
        <v>0</v>
      </c>
    </row>
    <row r="230" spans="21:47" s="28" customFormat="1" x14ac:dyDescent="0.25">
      <c r="U230" s="103">
        <f t="shared" si="6"/>
        <v>0</v>
      </c>
      <c r="Y230" s="98"/>
      <c r="AU230" s="103">
        <f t="shared" si="7"/>
        <v>0</v>
      </c>
    </row>
    <row r="231" spans="21:47" s="28" customFormat="1" x14ac:dyDescent="0.25">
      <c r="U231" s="103">
        <f t="shared" si="6"/>
        <v>0</v>
      </c>
      <c r="Y231" s="98"/>
      <c r="AU231" s="103">
        <f t="shared" si="7"/>
        <v>0</v>
      </c>
    </row>
    <row r="232" spans="21:47" s="28" customFormat="1" x14ac:dyDescent="0.25">
      <c r="U232" s="103">
        <f t="shared" si="6"/>
        <v>0</v>
      </c>
      <c r="Y232" s="98"/>
      <c r="AU232" s="103">
        <f t="shared" si="7"/>
        <v>0</v>
      </c>
    </row>
    <row r="233" spans="21:47" s="28" customFormat="1" x14ac:dyDescent="0.25">
      <c r="U233" s="103">
        <f t="shared" si="6"/>
        <v>0</v>
      </c>
      <c r="Y233" s="98"/>
      <c r="AU233" s="103">
        <f t="shared" si="7"/>
        <v>0</v>
      </c>
    </row>
    <row r="234" spans="21:47" s="28" customFormat="1" x14ac:dyDescent="0.25">
      <c r="U234" s="103">
        <f t="shared" si="6"/>
        <v>0</v>
      </c>
      <c r="Y234" s="98"/>
      <c r="AU234" s="103">
        <f t="shared" si="7"/>
        <v>0</v>
      </c>
    </row>
    <row r="235" spans="21:47" s="28" customFormat="1" x14ac:dyDescent="0.25">
      <c r="U235" s="103">
        <f t="shared" si="6"/>
        <v>0</v>
      </c>
      <c r="Y235" s="98"/>
      <c r="AU235" s="103">
        <f t="shared" si="7"/>
        <v>0</v>
      </c>
    </row>
    <row r="236" spans="21:47" s="28" customFormat="1" x14ac:dyDescent="0.25">
      <c r="U236" s="103">
        <f t="shared" si="6"/>
        <v>0</v>
      </c>
      <c r="Y236" s="98"/>
      <c r="AU236" s="103">
        <f t="shared" si="7"/>
        <v>0</v>
      </c>
    </row>
    <row r="237" spans="21:47" s="28" customFormat="1" x14ac:dyDescent="0.25">
      <c r="U237" s="103">
        <f t="shared" si="6"/>
        <v>0</v>
      </c>
      <c r="Y237" s="98"/>
      <c r="AU237" s="103">
        <f t="shared" si="7"/>
        <v>0</v>
      </c>
    </row>
    <row r="238" spans="21:47" s="28" customFormat="1" x14ac:dyDescent="0.25">
      <c r="U238" s="103">
        <f t="shared" si="6"/>
        <v>0</v>
      </c>
      <c r="Y238" s="98"/>
      <c r="AU238" s="103">
        <f t="shared" si="7"/>
        <v>0</v>
      </c>
    </row>
    <row r="239" spans="21:47" s="28" customFormat="1" x14ac:dyDescent="0.25">
      <c r="U239" s="103">
        <f t="shared" si="6"/>
        <v>0</v>
      </c>
      <c r="Y239" s="98"/>
      <c r="AU239" s="103">
        <f t="shared" si="7"/>
        <v>0</v>
      </c>
    </row>
    <row r="240" spans="21:47" s="28" customFormat="1" x14ac:dyDescent="0.25">
      <c r="U240" s="103">
        <f t="shared" si="6"/>
        <v>0</v>
      </c>
      <c r="Y240" s="98"/>
      <c r="AU240" s="103">
        <f t="shared" si="7"/>
        <v>0</v>
      </c>
    </row>
    <row r="241" spans="21:47" s="28" customFormat="1" x14ac:dyDescent="0.25">
      <c r="U241" s="103">
        <f t="shared" si="6"/>
        <v>0</v>
      </c>
      <c r="Y241" s="98"/>
      <c r="AU241" s="103">
        <f t="shared" si="7"/>
        <v>0</v>
      </c>
    </row>
    <row r="242" spans="21:47" s="28" customFormat="1" x14ac:dyDescent="0.25">
      <c r="U242" s="103">
        <f t="shared" si="6"/>
        <v>0</v>
      </c>
      <c r="Y242" s="98"/>
      <c r="AU242" s="103">
        <f t="shared" si="7"/>
        <v>0</v>
      </c>
    </row>
    <row r="243" spans="21:47" s="28" customFormat="1" x14ac:dyDescent="0.25">
      <c r="U243" s="103">
        <f t="shared" si="6"/>
        <v>0</v>
      </c>
      <c r="Y243" s="98"/>
      <c r="AU243" s="103">
        <f t="shared" si="7"/>
        <v>0</v>
      </c>
    </row>
    <row r="244" spans="21:47" s="28" customFormat="1" x14ac:dyDescent="0.25">
      <c r="U244" s="103">
        <f t="shared" si="6"/>
        <v>0</v>
      </c>
      <c r="Y244" s="98"/>
      <c r="AU244" s="103">
        <f t="shared" si="7"/>
        <v>0</v>
      </c>
    </row>
    <row r="245" spans="21:47" s="28" customFormat="1" x14ac:dyDescent="0.25">
      <c r="U245" s="103">
        <f t="shared" si="6"/>
        <v>0</v>
      </c>
      <c r="Y245" s="98"/>
      <c r="AU245" s="103">
        <f t="shared" si="7"/>
        <v>0</v>
      </c>
    </row>
    <row r="246" spans="21:47" s="28" customFormat="1" x14ac:dyDescent="0.25">
      <c r="U246" s="103">
        <f t="shared" si="6"/>
        <v>0</v>
      </c>
      <c r="Y246" s="98"/>
      <c r="AU246" s="103">
        <f t="shared" si="7"/>
        <v>0</v>
      </c>
    </row>
    <row r="247" spans="21:47" s="28" customFormat="1" x14ac:dyDescent="0.25">
      <c r="U247" s="103">
        <f t="shared" si="6"/>
        <v>0</v>
      </c>
      <c r="Y247" s="98"/>
      <c r="AU247" s="103">
        <f t="shared" si="7"/>
        <v>0</v>
      </c>
    </row>
    <row r="248" spans="21:47" s="28" customFormat="1" x14ac:dyDescent="0.25">
      <c r="U248" s="103">
        <f t="shared" si="6"/>
        <v>0</v>
      </c>
      <c r="Y248" s="98"/>
      <c r="AU248" s="103">
        <f t="shared" si="7"/>
        <v>0</v>
      </c>
    </row>
    <row r="249" spans="21:47" s="28" customFormat="1" x14ac:dyDescent="0.25">
      <c r="U249" s="103">
        <f t="shared" si="6"/>
        <v>0</v>
      </c>
      <c r="Y249" s="98"/>
      <c r="AU249" s="103">
        <f t="shared" si="7"/>
        <v>0</v>
      </c>
    </row>
    <row r="250" spans="21:47" s="28" customFormat="1" x14ac:dyDescent="0.25">
      <c r="U250" s="103">
        <f t="shared" si="6"/>
        <v>0</v>
      </c>
      <c r="Y250" s="98"/>
      <c r="AU250" s="103">
        <f t="shared" si="7"/>
        <v>0</v>
      </c>
    </row>
    <row r="251" spans="21:47" s="28" customFormat="1" x14ac:dyDescent="0.25">
      <c r="U251" s="103">
        <f t="shared" ref="U251:U314" si="8">IF(R251="TruePositive",IF(D251&lt;&gt;1,N251,0),0)</f>
        <v>0</v>
      </c>
      <c r="Y251" s="98"/>
      <c r="AU251" s="103">
        <f t="shared" ref="AU251:AU314" si="9">IF(AQ251="TruePositive",IF(AC251&lt;&gt;1,AM251,0),0)</f>
        <v>0</v>
      </c>
    </row>
    <row r="252" spans="21:47" s="28" customFormat="1" x14ac:dyDescent="0.25">
      <c r="U252" s="103">
        <f t="shared" si="8"/>
        <v>0</v>
      </c>
      <c r="Y252" s="98"/>
      <c r="AU252" s="103">
        <f t="shared" si="9"/>
        <v>0</v>
      </c>
    </row>
    <row r="253" spans="21:47" s="28" customFormat="1" x14ac:dyDescent="0.25">
      <c r="U253" s="103">
        <f t="shared" si="8"/>
        <v>0</v>
      </c>
      <c r="Y253" s="98"/>
      <c r="AU253" s="103">
        <f t="shared" si="9"/>
        <v>0</v>
      </c>
    </row>
    <row r="254" spans="21:47" s="28" customFormat="1" x14ac:dyDescent="0.25">
      <c r="U254" s="103">
        <f t="shared" si="8"/>
        <v>0</v>
      </c>
      <c r="Y254" s="98"/>
      <c r="AU254" s="103">
        <f t="shared" si="9"/>
        <v>0</v>
      </c>
    </row>
    <row r="255" spans="21:47" s="28" customFormat="1" x14ac:dyDescent="0.25">
      <c r="U255" s="103">
        <f t="shared" si="8"/>
        <v>0</v>
      </c>
      <c r="Y255" s="98"/>
      <c r="AU255" s="103">
        <f t="shared" si="9"/>
        <v>0</v>
      </c>
    </row>
    <row r="256" spans="21:47" s="28" customFormat="1" x14ac:dyDescent="0.25">
      <c r="U256" s="103">
        <f t="shared" si="8"/>
        <v>0</v>
      </c>
      <c r="Y256" s="98"/>
      <c r="AU256" s="103">
        <f t="shared" si="9"/>
        <v>0</v>
      </c>
    </row>
    <row r="257" spans="21:47" s="28" customFormat="1" x14ac:dyDescent="0.25">
      <c r="U257" s="103">
        <f t="shared" si="8"/>
        <v>0</v>
      </c>
      <c r="Y257" s="98"/>
      <c r="AU257" s="103">
        <f t="shared" si="9"/>
        <v>0</v>
      </c>
    </row>
    <row r="258" spans="21:47" s="28" customFormat="1" x14ac:dyDescent="0.25">
      <c r="U258" s="103">
        <f t="shared" si="8"/>
        <v>0</v>
      </c>
      <c r="Y258" s="98"/>
      <c r="AU258" s="103">
        <f t="shared" si="9"/>
        <v>0</v>
      </c>
    </row>
    <row r="259" spans="21:47" s="28" customFormat="1" x14ac:dyDescent="0.25">
      <c r="U259" s="103">
        <f t="shared" si="8"/>
        <v>0</v>
      </c>
      <c r="Y259" s="98"/>
      <c r="AU259" s="103">
        <f t="shared" si="9"/>
        <v>0</v>
      </c>
    </row>
    <row r="260" spans="21:47" s="28" customFormat="1" x14ac:dyDescent="0.25">
      <c r="U260" s="103">
        <f t="shared" si="8"/>
        <v>0</v>
      </c>
      <c r="Y260" s="98"/>
      <c r="AU260" s="103">
        <f t="shared" si="9"/>
        <v>0</v>
      </c>
    </row>
    <row r="261" spans="21:47" s="28" customFormat="1" x14ac:dyDescent="0.25">
      <c r="U261" s="103">
        <f t="shared" si="8"/>
        <v>0</v>
      </c>
      <c r="Y261" s="98"/>
      <c r="AU261" s="103">
        <f t="shared" si="9"/>
        <v>0</v>
      </c>
    </row>
    <row r="262" spans="21:47" s="28" customFormat="1" x14ac:dyDescent="0.25">
      <c r="U262" s="103">
        <f t="shared" si="8"/>
        <v>0</v>
      </c>
      <c r="Y262" s="98"/>
      <c r="AU262" s="103">
        <f t="shared" si="9"/>
        <v>0</v>
      </c>
    </row>
    <row r="263" spans="21:47" s="28" customFormat="1" x14ac:dyDescent="0.25">
      <c r="U263" s="103">
        <f t="shared" si="8"/>
        <v>0</v>
      </c>
      <c r="Y263" s="98"/>
      <c r="AU263" s="103">
        <f t="shared" si="9"/>
        <v>0</v>
      </c>
    </row>
    <row r="264" spans="21:47" s="28" customFormat="1" x14ac:dyDescent="0.25">
      <c r="U264" s="103">
        <f t="shared" si="8"/>
        <v>0</v>
      </c>
      <c r="Y264" s="98"/>
      <c r="AU264" s="103">
        <f t="shared" si="9"/>
        <v>0</v>
      </c>
    </row>
    <row r="265" spans="21:47" s="28" customFormat="1" x14ac:dyDescent="0.25">
      <c r="U265" s="103">
        <f t="shared" si="8"/>
        <v>0</v>
      </c>
      <c r="Y265" s="98"/>
      <c r="AU265" s="103">
        <f t="shared" si="9"/>
        <v>0</v>
      </c>
    </row>
    <row r="266" spans="21:47" s="28" customFormat="1" x14ac:dyDescent="0.25">
      <c r="U266" s="103">
        <f t="shared" si="8"/>
        <v>0</v>
      </c>
      <c r="Y266" s="98"/>
      <c r="AU266" s="103">
        <f t="shared" si="9"/>
        <v>0</v>
      </c>
    </row>
    <row r="267" spans="21:47" s="28" customFormat="1" x14ac:dyDescent="0.25">
      <c r="U267" s="103">
        <f t="shared" si="8"/>
        <v>0</v>
      </c>
      <c r="Y267" s="98"/>
      <c r="AU267" s="103">
        <f t="shared" si="9"/>
        <v>0</v>
      </c>
    </row>
    <row r="268" spans="21:47" s="28" customFormat="1" x14ac:dyDescent="0.25">
      <c r="U268" s="103">
        <f t="shared" si="8"/>
        <v>0</v>
      </c>
      <c r="Y268" s="98"/>
      <c r="AU268" s="103">
        <f t="shared" si="9"/>
        <v>0</v>
      </c>
    </row>
    <row r="269" spans="21:47" s="28" customFormat="1" x14ac:dyDescent="0.25">
      <c r="U269" s="103">
        <f t="shared" si="8"/>
        <v>0</v>
      </c>
      <c r="Y269" s="98"/>
      <c r="AU269" s="103">
        <f t="shared" si="9"/>
        <v>0</v>
      </c>
    </row>
    <row r="270" spans="21:47" s="28" customFormat="1" x14ac:dyDescent="0.25">
      <c r="U270" s="103">
        <f t="shared" si="8"/>
        <v>0</v>
      </c>
      <c r="Y270" s="98"/>
      <c r="AU270" s="103">
        <f t="shared" si="9"/>
        <v>0</v>
      </c>
    </row>
    <row r="271" spans="21:47" s="28" customFormat="1" x14ac:dyDescent="0.25">
      <c r="U271" s="103">
        <f t="shared" si="8"/>
        <v>0</v>
      </c>
      <c r="Y271" s="98"/>
      <c r="AU271" s="103">
        <f t="shared" si="9"/>
        <v>0</v>
      </c>
    </row>
    <row r="272" spans="21:47" s="28" customFormat="1" x14ac:dyDescent="0.25">
      <c r="U272" s="103">
        <f t="shared" si="8"/>
        <v>0</v>
      </c>
      <c r="Y272" s="98"/>
      <c r="AU272" s="103">
        <f t="shared" si="9"/>
        <v>0</v>
      </c>
    </row>
    <row r="273" spans="21:47" s="28" customFormat="1" x14ac:dyDescent="0.25">
      <c r="U273" s="103">
        <f t="shared" si="8"/>
        <v>0</v>
      </c>
      <c r="Y273" s="98"/>
      <c r="AU273" s="103">
        <f t="shared" si="9"/>
        <v>0</v>
      </c>
    </row>
    <row r="274" spans="21:47" s="28" customFormat="1" x14ac:dyDescent="0.25">
      <c r="U274" s="103">
        <f t="shared" si="8"/>
        <v>0</v>
      </c>
      <c r="Y274" s="98"/>
      <c r="AU274" s="103">
        <f t="shared" si="9"/>
        <v>0</v>
      </c>
    </row>
    <row r="275" spans="21:47" s="28" customFormat="1" x14ac:dyDescent="0.25">
      <c r="U275" s="103">
        <f t="shared" si="8"/>
        <v>0</v>
      </c>
      <c r="Y275" s="98"/>
      <c r="AU275" s="103">
        <f t="shared" si="9"/>
        <v>0</v>
      </c>
    </row>
    <row r="276" spans="21:47" s="28" customFormat="1" x14ac:dyDescent="0.25">
      <c r="U276" s="103">
        <f t="shared" si="8"/>
        <v>0</v>
      </c>
      <c r="Y276" s="98"/>
      <c r="AU276" s="103">
        <f t="shared" si="9"/>
        <v>0</v>
      </c>
    </row>
    <row r="277" spans="21:47" s="28" customFormat="1" x14ac:dyDescent="0.25">
      <c r="U277" s="103">
        <f t="shared" si="8"/>
        <v>0</v>
      </c>
      <c r="Y277" s="98"/>
      <c r="AU277" s="103">
        <f t="shared" si="9"/>
        <v>0</v>
      </c>
    </row>
    <row r="278" spans="21:47" s="28" customFormat="1" x14ac:dyDescent="0.25">
      <c r="U278" s="103">
        <f t="shared" si="8"/>
        <v>0</v>
      </c>
      <c r="Y278" s="98"/>
      <c r="AU278" s="103">
        <f t="shared" si="9"/>
        <v>0</v>
      </c>
    </row>
    <row r="279" spans="21:47" s="28" customFormat="1" x14ac:dyDescent="0.25">
      <c r="U279" s="103">
        <f t="shared" si="8"/>
        <v>0</v>
      </c>
      <c r="Y279" s="98"/>
      <c r="AU279" s="103">
        <f t="shared" si="9"/>
        <v>0</v>
      </c>
    </row>
    <row r="280" spans="21:47" s="28" customFormat="1" x14ac:dyDescent="0.25">
      <c r="U280" s="103">
        <f t="shared" si="8"/>
        <v>0</v>
      </c>
      <c r="Y280" s="98"/>
      <c r="AU280" s="103">
        <f t="shared" si="9"/>
        <v>0</v>
      </c>
    </row>
    <row r="281" spans="21:47" s="28" customFormat="1" x14ac:dyDescent="0.25">
      <c r="U281" s="103">
        <f t="shared" si="8"/>
        <v>0</v>
      </c>
      <c r="Y281" s="98"/>
      <c r="AU281" s="103">
        <f t="shared" si="9"/>
        <v>0</v>
      </c>
    </row>
    <row r="282" spans="21:47" s="28" customFormat="1" x14ac:dyDescent="0.25">
      <c r="U282" s="103">
        <f t="shared" si="8"/>
        <v>0</v>
      </c>
      <c r="Y282" s="98"/>
      <c r="AU282" s="103">
        <f t="shared" si="9"/>
        <v>0</v>
      </c>
    </row>
    <row r="283" spans="21:47" s="28" customFormat="1" x14ac:dyDescent="0.25">
      <c r="U283" s="103">
        <f t="shared" si="8"/>
        <v>0</v>
      </c>
      <c r="Y283" s="98"/>
      <c r="AU283" s="103">
        <f t="shared" si="9"/>
        <v>0</v>
      </c>
    </row>
    <row r="284" spans="21:47" s="28" customFormat="1" x14ac:dyDescent="0.25">
      <c r="U284" s="103">
        <f t="shared" si="8"/>
        <v>0</v>
      </c>
      <c r="Y284" s="98"/>
      <c r="AU284" s="103">
        <f t="shared" si="9"/>
        <v>0</v>
      </c>
    </row>
    <row r="285" spans="21:47" s="28" customFormat="1" x14ac:dyDescent="0.25">
      <c r="U285" s="103">
        <f t="shared" si="8"/>
        <v>0</v>
      </c>
      <c r="Y285" s="98"/>
      <c r="AU285" s="103">
        <f t="shared" si="9"/>
        <v>0</v>
      </c>
    </row>
    <row r="286" spans="21:47" s="28" customFormat="1" x14ac:dyDescent="0.25">
      <c r="U286" s="103">
        <f t="shared" si="8"/>
        <v>0</v>
      </c>
      <c r="Y286" s="98"/>
      <c r="AU286" s="103">
        <f t="shared" si="9"/>
        <v>0</v>
      </c>
    </row>
    <row r="287" spans="21:47" s="28" customFormat="1" x14ac:dyDescent="0.25">
      <c r="U287" s="103">
        <f t="shared" si="8"/>
        <v>0</v>
      </c>
      <c r="Y287" s="98"/>
      <c r="AU287" s="103">
        <f t="shared" si="9"/>
        <v>0</v>
      </c>
    </row>
    <row r="288" spans="21:47" s="28" customFormat="1" x14ac:dyDescent="0.25">
      <c r="U288" s="103">
        <f t="shared" si="8"/>
        <v>0</v>
      </c>
      <c r="Y288" s="98"/>
      <c r="AU288" s="103">
        <f t="shared" si="9"/>
        <v>0</v>
      </c>
    </row>
    <row r="289" spans="21:47" s="28" customFormat="1" x14ac:dyDescent="0.25">
      <c r="U289" s="103">
        <f t="shared" si="8"/>
        <v>0</v>
      </c>
      <c r="Y289" s="98"/>
      <c r="AU289" s="103">
        <f t="shared" si="9"/>
        <v>0</v>
      </c>
    </row>
    <row r="290" spans="21:47" s="28" customFormat="1" x14ac:dyDescent="0.25">
      <c r="U290" s="103">
        <f t="shared" si="8"/>
        <v>0</v>
      </c>
      <c r="Y290" s="98"/>
      <c r="AU290" s="103">
        <f t="shared" si="9"/>
        <v>0</v>
      </c>
    </row>
    <row r="291" spans="21:47" s="28" customFormat="1" x14ac:dyDescent="0.25">
      <c r="U291" s="103">
        <f t="shared" si="8"/>
        <v>0</v>
      </c>
      <c r="Y291" s="98"/>
      <c r="AU291" s="103">
        <f t="shared" si="9"/>
        <v>0</v>
      </c>
    </row>
    <row r="292" spans="21:47" s="28" customFormat="1" x14ac:dyDescent="0.25">
      <c r="U292" s="103">
        <f t="shared" si="8"/>
        <v>0</v>
      </c>
      <c r="Y292" s="98"/>
      <c r="AU292" s="103">
        <f t="shared" si="9"/>
        <v>0</v>
      </c>
    </row>
    <row r="293" spans="21:47" s="28" customFormat="1" x14ac:dyDescent="0.25">
      <c r="U293" s="103">
        <f t="shared" si="8"/>
        <v>0</v>
      </c>
      <c r="Y293" s="98"/>
      <c r="AU293" s="103">
        <f t="shared" si="9"/>
        <v>0</v>
      </c>
    </row>
    <row r="294" spans="21:47" s="28" customFormat="1" x14ac:dyDescent="0.25">
      <c r="U294" s="103">
        <f t="shared" si="8"/>
        <v>0</v>
      </c>
      <c r="Y294" s="98"/>
      <c r="AU294" s="103">
        <f t="shared" si="9"/>
        <v>0</v>
      </c>
    </row>
    <row r="295" spans="21:47" s="28" customFormat="1" x14ac:dyDescent="0.25">
      <c r="U295" s="103">
        <f t="shared" si="8"/>
        <v>0</v>
      </c>
      <c r="Y295" s="98"/>
      <c r="AU295" s="103">
        <f t="shared" si="9"/>
        <v>0</v>
      </c>
    </row>
    <row r="296" spans="21:47" s="28" customFormat="1" x14ac:dyDescent="0.25">
      <c r="U296" s="103">
        <f t="shared" si="8"/>
        <v>0</v>
      </c>
      <c r="Y296" s="98"/>
      <c r="AU296" s="103">
        <f t="shared" si="9"/>
        <v>0</v>
      </c>
    </row>
    <row r="297" spans="21:47" s="28" customFormat="1" x14ac:dyDescent="0.25">
      <c r="U297" s="103">
        <f t="shared" si="8"/>
        <v>0</v>
      </c>
      <c r="Y297" s="98"/>
      <c r="AU297" s="103">
        <f t="shared" si="9"/>
        <v>0</v>
      </c>
    </row>
    <row r="298" spans="21:47" s="28" customFormat="1" x14ac:dyDescent="0.25">
      <c r="U298" s="103">
        <f t="shared" si="8"/>
        <v>0</v>
      </c>
      <c r="Y298" s="98"/>
      <c r="AU298" s="103">
        <f t="shared" si="9"/>
        <v>0</v>
      </c>
    </row>
    <row r="299" spans="21:47" s="28" customFormat="1" x14ac:dyDescent="0.25">
      <c r="U299" s="103">
        <f t="shared" si="8"/>
        <v>0</v>
      </c>
      <c r="Y299" s="98"/>
      <c r="AU299" s="103">
        <f t="shared" si="9"/>
        <v>0</v>
      </c>
    </row>
    <row r="300" spans="21:47" s="28" customFormat="1" x14ac:dyDescent="0.25">
      <c r="U300" s="103">
        <f t="shared" si="8"/>
        <v>0</v>
      </c>
      <c r="Y300" s="98"/>
      <c r="AU300" s="103">
        <f t="shared" si="9"/>
        <v>0</v>
      </c>
    </row>
    <row r="301" spans="21:47" s="28" customFormat="1" x14ac:dyDescent="0.25">
      <c r="U301" s="103">
        <f t="shared" si="8"/>
        <v>0</v>
      </c>
      <c r="Y301" s="98"/>
      <c r="AU301" s="103">
        <f t="shared" si="9"/>
        <v>0</v>
      </c>
    </row>
    <row r="302" spans="21:47" s="28" customFormat="1" x14ac:dyDescent="0.25">
      <c r="U302" s="103">
        <f t="shared" si="8"/>
        <v>0</v>
      </c>
      <c r="Y302" s="98"/>
      <c r="AU302" s="103">
        <f t="shared" si="9"/>
        <v>0</v>
      </c>
    </row>
    <row r="303" spans="21:47" s="28" customFormat="1" x14ac:dyDescent="0.25">
      <c r="U303" s="103">
        <f t="shared" si="8"/>
        <v>0</v>
      </c>
      <c r="Y303" s="98"/>
      <c r="AU303" s="103">
        <f t="shared" si="9"/>
        <v>0</v>
      </c>
    </row>
    <row r="304" spans="21:47" s="28" customFormat="1" x14ac:dyDescent="0.25">
      <c r="U304" s="103">
        <f t="shared" si="8"/>
        <v>0</v>
      </c>
      <c r="Y304" s="98"/>
      <c r="AU304" s="103">
        <f t="shared" si="9"/>
        <v>0</v>
      </c>
    </row>
    <row r="305" spans="21:47" s="28" customFormat="1" x14ac:dyDescent="0.25">
      <c r="U305" s="103">
        <f t="shared" si="8"/>
        <v>0</v>
      </c>
      <c r="Y305" s="98"/>
      <c r="AU305" s="103">
        <f t="shared" si="9"/>
        <v>0</v>
      </c>
    </row>
    <row r="306" spans="21:47" s="28" customFormat="1" x14ac:dyDescent="0.25">
      <c r="U306" s="103">
        <f t="shared" si="8"/>
        <v>0</v>
      </c>
      <c r="Y306" s="98"/>
      <c r="AU306" s="103">
        <f t="shared" si="9"/>
        <v>0</v>
      </c>
    </row>
    <row r="307" spans="21:47" s="28" customFormat="1" x14ac:dyDescent="0.25">
      <c r="U307" s="103">
        <f t="shared" si="8"/>
        <v>0</v>
      </c>
      <c r="Y307" s="98"/>
      <c r="AU307" s="103">
        <f t="shared" si="9"/>
        <v>0</v>
      </c>
    </row>
    <row r="308" spans="21:47" s="28" customFormat="1" x14ac:dyDescent="0.25">
      <c r="U308" s="103">
        <f t="shared" si="8"/>
        <v>0</v>
      </c>
      <c r="Y308" s="98"/>
      <c r="AU308" s="103">
        <f t="shared" si="9"/>
        <v>0</v>
      </c>
    </row>
    <row r="309" spans="21:47" s="28" customFormat="1" x14ac:dyDescent="0.25">
      <c r="U309" s="103">
        <f t="shared" si="8"/>
        <v>0</v>
      </c>
      <c r="Y309" s="98"/>
      <c r="AU309" s="103">
        <f t="shared" si="9"/>
        <v>0</v>
      </c>
    </row>
    <row r="310" spans="21:47" s="28" customFormat="1" x14ac:dyDescent="0.25">
      <c r="U310" s="103">
        <f t="shared" si="8"/>
        <v>0</v>
      </c>
      <c r="Y310" s="98"/>
      <c r="AU310" s="103">
        <f t="shared" si="9"/>
        <v>0</v>
      </c>
    </row>
    <row r="311" spans="21:47" s="28" customFormat="1" x14ac:dyDescent="0.25">
      <c r="U311" s="103">
        <f t="shared" si="8"/>
        <v>0</v>
      </c>
      <c r="Y311" s="98"/>
      <c r="AU311" s="103">
        <f t="shared" si="9"/>
        <v>0</v>
      </c>
    </row>
    <row r="312" spans="21:47" s="28" customFormat="1" x14ac:dyDescent="0.25">
      <c r="U312" s="103">
        <f t="shared" si="8"/>
        <v>0</v>
      </c>
      <c r="Y312" s="98"/>
      <c r="AU312" s="103">
        <f t="shared" si="9"/>
        <v>0</v>
      </c>
    </row>
    <row r="313" spans="21:47" s="28" customFormat="1" x14ac:dyDescent="0.25">
      <c r="U313" s="103">
        <f t="shared" si="8"/>
        <v>0</v>
      </c>
      <c r="Y313" s="98"/>
      <c r="AU313" s="103">
        <f t="shared" si="9"/>
        <v>0</v>
      </c>
    </row>
    <row r="314" spans="21:47" s="28" customFormat="1" x14ac:dyDescent="0.25">
      <c r="U314" s="103">
        <f t="shared" si="8"/>
        <v>0</v>
      </c>
      <c r="Y314" s="98"/>
      <c r="AU314" s="103">
        <f t="shared" si="9"/>
        <v>0</v>
      </c>
    </row>
    <row r="315" spans="21:47" s="28" customFormat="1" x14ac:dyDescent="0.25">
      <c r="U315" s="103">
        <f t="shared" ref="U315:U378" si="10">IF(R315="TruePositive",IF(D315&lt;&gt;1,N315,0),0)</f>
        <v>0</v>
      </c>
      <c r="Y315" s="98"/>
      <c r="AU315" s="103">
        <f t="shared" ref="AU315:AU378" si="11">IF(AQ315="TruePositive",IF(AC315&lt;&gt;1,AM315,0),0)</f>
        <v>0</v>
      </c>
    </row>
    <row r="316" spans="21:47" s="28" customFormat="1" x14ac:dyDescent="0.25">
      <c r="U316" s="103">
        <f t="shared" si="10"/>
        <v>0</v>
      </c>
      <c r="Y316" s="98"/>
      <c r="AU316" s="103">
        <f t="shared" si="11"/>
        <v>0</v>
      </c>
    </row>
    <row r="317" spans="21:47" s="28" customFormat="1" x14ac:dyDescent="0.25">
      <c r="U317" s="103">
        <f t="shared" si="10"/>
        <v>0</v>
      </c>
      <c r="Y317" s="98"/>
      <c r="AU317" s="103">
        <f t="shared" si="11"/>
        <v>0</v>
      </c>
    </row>
    <row r="318" spans="21:47" s="28" customFormat="1" x14ac:dyDescent="0.25">
      <c r="U318" s="103">
        <f t="shared" si="10"/>
        <v>0</v>
      </c>
      <c r="Y318" s="98"/>
      <c r="AU318" s="103">
        <f t="shared" si="11"/>
        <v>0</v>
      </c>
    </row>
    <row r="319" spans="21:47" s="28" customFormat="1" x14ac:dyDescent="0.25">
      <c r="U319" s="103">
        <f t="shared" si="10"/>
        <v>0</v>
      </c>
      <c r="Y319" s="98"/>
      <c r="AU319" s="103">
        <f t="shared" si="11"/>
        <v>0</v>
      </c>
    </row>
    <row r="320" spans="21:47" s="28" customFormat="1" x14ac:dyDescent="0.25">
      <c r="U320" s="103">
        <f t="shared" si="10"/>
        <v>0</v>
      </c>
      <c r="Y320" s="98"/>
      <c r="AU320" s="103">
        <f t="shared" si="11"/>
        <v>0</v>
      </c>
    </row>
    <row r="321" spans="21:47" s="28" customFormat="1" x14ac:dyDescent="0.25">
      <c r="U321" s="103">
        <f t="shared" si="10"/>
        <v>0</v>
      </c>
      <c r="Y321" s="98"/>
      <c r="AU321" s="103">
        <f t="shared" si="11"/>
        <v>0</v>
      </c>
    </row>
    <row r="322" spans="21:47" s="28" customFormat="1" x14ac:dyDescent="0.25">
      <c r="U322" s="103">
        <f t="shared" si="10"/>
        <v>0</v>
      </c>
      <c r="Y322" s="98"/>
      <c r="AU322" s="103">
        <f t="shared" si="11"/>
        <v>0</v>
      </c>
    </row>
    <row r="323" spans="21:47" s="28" customFormat="1" x14ac:dyDescent="0.25">
      <c r="U323" s="103">
        <f t="shared" si="10"/>
        <v>0</v>
      </c>
      <c r="Y323" s="98"/>
      <c r="AU323" s="103">
        <f t="shared" si="11"/>
        <v>0</v>
      </c>
    </row>
    <row r="324" spans="21:47" s="28" customFormat="1" x14ac:dyDescent="0.25">
      <c r="U324" s="103">
        <f t="shared" si="10"/>
        <v>0</v>
      </c>
      <c r="Y324" s="98"/>
      <c r="AU324" s="103">
        <f t="shared" si="11"/>
        <v>0</v>
      </c>
    </row>
    <row r="325" spans="21:47" s="28" customFormat="1" x14ac:dyDescent="0.25">
      <c r="U325" s="103">
        <f t="shared" si="10"/>
        <v>0</v>
      </c>
      <c r="Y325" s="98"/>
      <c r="AU325" s="103">
        <f t="shared" si="11"/>
        <v>0</v>
      </c>
    </row>
    <row r="326" spans="21:47" s="28" customFormat="1" x14ac:dyDescent="0.25">
      <c r="U326" s="103">
        <f t="shared" si="10"/>
        <v>0</v>
      </c>
      <c r="Y326" s="98"/>
      <c r="AU326" s="103">
        <f t="shared" si="11"/>
        <v>0</v>
      </c>
    </row>
    <row r="327" spans="21:47" s="28" customFormat="1" x14ac:dyDescent="0.25">
      <c r="U327" s="103">
        <f t="shared" si="10"/>
        <v>0</v>
      </c>
      <c r="Y327" s="98"/>
      <c r="AU327" s="103">
        <f t="shared" si="11"/>
        <v>0</v>
      </c>
    </row>
    <row r="328" spans="21:47" s="28" customFormat="1" x14ac:dyDescent="0.25">
      <c r="U328" s="103">
        <f t="shared" si="10"/>
        <v>0</v>
      </c>
      <c r="Y328" s="98"/>
      <c r="AU328" s="103">
        <f t="shared" si="11"/>
        <v>0</v>
      </c>
    </row>
    <row r="329" spans="21:47" s="28" customFormat="1" x14ac:dyDescent="0.25">
      <c r="U329" s="103">
        <f t="shared" si="10"/>
        <v>0</v>
      </c>
      <c r="Y329" s="98"/>
      <c r="AU329" s="103">
        <f t="shared" si="11"/>
        <v>0</v>
      </c>
    </row>
    <row r="330" spans="21:47" s="28" customFormat="1" x14ac:dyDescent="0.25">
      <c r="U330" s="103">
        <f t="shared" si="10"/>
        <v>0</v>
      </c>
      <c r="Y330" s="98"/>
      <c r="AU330" s="103">
        <f t="shared" si="11"/>
        <v>0</v>
      </c>
    </row>
    <row r="331" spans="21:47" s="28" customFormat="1" x14ac:dyDescent="0.25">
      <c r="U331" s="103">
        <f t="shared" si="10"/>
        <v>0</v>
      </c>
      <c r="Y331" s="98"/>
      <c r="AU331" s="103">
        <f t="shared" si="11"/>
        <v>0</v>
      </c>
    </row>
    <row r="332" spans="21:47" s="28" customFormat="1" x14ac:dyDescent="0.25">
      <c r="U332" s="103">
        <f t="shared" si="10"/>
        <v>0</v>
      </c>
      <c r="Y332" s="98"/>
      <c r="AU332" s="103">
        <f t="shared" si="11"/>
        <v>0</v>
      </c>
    </row>
    <row r="333" spans="21:47" s="28" customFormat="1" x14ac:dyDescent="0.25">
      <c r="U333" s="103">
        <f t="shared" si="10"/>
        <v>0</v>
      </c>
      <c r="Y333" s="98"/>
      <c r="AU333" s="103">
        <f t="shared" si="11"/>
        <v>0</v>
      </c>
    </row>
    <row r="334" spans="21:47" s="28" customFormat="1" x14ac:dyDescent="0.25">
      <c r="U334" s="103">
        <f t="shared" si="10"/>
        <v>0</v>
      </c>
      <c r="Y334" s="98"/>
      <c r="AU334" s="103">
        <f t="shared" si="11"/>
        <v>0</v>
      </c>
    </row>
    <row r="335" spans="21:47" s="28" customFormat="1" x14ac:dyDescent="0.25">
      <c r="U335" s="103">
        <f t="shared" si="10"/>
        <v>0</v>
      </c>
      <c r="Y335" s="98"/>
      <c r="AU335" s="103">
        <f t="shared" si="11"/>
        <v>0</v>
      </c>
    </row>
    <row r="336" spans="21:47" s="28" customFormat="1" x14ac:dyDescent="0.25">
      <c r="U336" s="103">
        <f t="shared" si="10"/>
        <v>0</v>
      </c>
      <c r="Y336" s="98"/>
      <c r="AU336" s="103">
        <f t="shared" si="11"/>
        <v>0</v>
      </c>
    </row>
    <row r="337" spans="21:47" s="28" customFormat="1" x14ac:dyDescent="0.25">
      <c r="U337" s="103">
        <f t="shared" si="10"/>
        <v>0</v>
      </c>
      <c r="Y337" s="98"/>
      <c r="AU337" s="103">
        <f t="shared" si="11"/>
        <v>0</v>
      </c>
    </row>
    <row r="338" spans="21:47" s="28" customFormat="1" x14ac:dyDescent="0.25">
      <c r="U338" s="103">
        <f t="shared" si="10"/>
        <v>0</v>
      </c>
      <c r="Y338" s="98"/>
      <c r="AU338" s="103">
        <f t="shared" si="11"/>
        <v>0</v>
      </c>
    </row>
    <row r="339" spans="21:47" s="28" customFormat="1" x14ac:dyDescent="0.25">
      <c r="U339" s="103">
        <f t="shared" si="10"/>
        <v>0</v>
      </c>
      <c r="Y339" s="98"/>
      <c r="AU339" s="103">
        <f t="shared" si="11"/>
        <v>0</v>
      </c>
    </row>
    <row r="340" spans="21:47" s="28" customFormat="1" x14ac:dyDescent="0.25">
      <c r="U340" s="103">
        <f t="shared" si="10"/>
        <v>0</v>
      </c>
      <c r="Y340" s="98"/>
      <c r="AU340" s="103">
        <f t="shared" si="11"/>
        <v>0</v>
      </c>
    </row>
    <row r="341" spans="21:47" s="28" customFormat="1" x14ac:dyDescent="0.25">
      <c r="U341" s="103">
        <f t="shared" si="10"/>
        <v>0</v>
      </c>
      <c r="Y341" s="98"/>
      <c r="AU341" s="103">
        <f t="shared" si="11"/>
        <v>0</v>
      </c>
    </row>
    <row r="342" spans="21:47" s="28" customFormat="1" x14ac:dyDescent="0.25">
      <c r="U342" s="103">
        <f t="shared" si="10"/>
        <v>0</v>
      </c>
      <c r="Y342" s="98"/>
      <c r="AU342" s="103">
        <f t="shared" si="11"/>
        <v>0</v>
      </c>
    </row>
    <row r="343" spans="21:47" s="28" customFormat="1" x14ac:dyDescent="0.25">
      <c r="U343" s="103">
        <f t="shared" si="10"/>
        <v>0</v>
      </c>
      <c r="Y343" s="98"/>
      <c r="AU343" s="103">
        <f t="shared" si="11"/>
        <v>0</v>
      </c>
    </row>
    <row r="344" spans="21:47" s="28" customFormat="1" x14ac:dyDescent="0.25">
      <c r="U344" s="103">
        <f t="shared" si="10"/>
        <v>0</v>
      </c>
      <c r="Y344" s="98"/>
      <c r="AU344" s="103">
        <f t="shared" si="11"/>
        <v>0</v>
      </c>
    </row>
    <row r="345" spans="21:47" s="28" customFormat="1" x14ac:dyDescent="0.25">
      <c r="U345" s="103">
        <f t="shared" si="10"/>
        <v>0</v>
      </c>
      <c r="Y345" s="98"/>
      <c r="AU345" s="103">
        <f t="shared" si="11"/>
        <v>0</v>
      </c>
    </row>
    <row r="346" spans="21:47" s="28" customFormat="1" x14ac:dyDescent="0.25">
      <c r="U346" s="103">
        <f t="shared" si="10"/>
        <v>0</v>
      </c>
      <c r="Y346" s="98"/>
      <c r="AU346" s="103">
        <f t="shared" si="11"/>
        <v>0</v>
      </c>
    </row>
    <row r="347" spans="21:47" s="28" customFormat="1" x14ac:dyDescent="0.25">
      <c r="U347" s="103">
        <f t="shared" si="10"/>
        <v>0</v>
      </c>
      <c r="Y347" s="98"/>
      <c r="AU347" s="103">
        <f t="shared" si="11"/>
        <v>0</v>
      </c>
    </row>
    <row r="348" spans="21:47" s="28" customFormat="1" x14ac:dyDescent="0.25">
      <c r="U348" s="103">
        <f t="shared" si="10"/>
        <v>0</v>
      </c>
      <c r="Y348" s="98"/>
      <c r="AU348" s="103">
        <f t="shared" si="11"/>
        <v>0</v>
      </c>
    </row>
    <row r="349" spans="21:47" s="28" customFormat="1" x14ac:dyDescent="0.25">
      <c r="U349" s="103">
        <f t="shared" si="10"/>
        <v>0</v>
      </c>
      <c r="Y349" s="98"/>
      <c r="AU349" s="103">
        <f t="shared" si="11"/>
        <v>0</v>
      </c>
    </row>
    <row r="350" spans="21:47" s="28" customFormat="1" x14ac:dyDescent="0.25">
      <c r="U350" s="103">
        <f t="shared" si="10"/>
        <v>0</v>
      </c>
      <c r="Y350" s="98"/>
      <c r="AU350" s="103">
        <f t="shared" si="11"/>
        <v>0</v>
      </c>
    </row>
    <row r="351" spans="21:47" s="28" customFormat="1" x14ac:dyDescent="0.25">
      <c r="U351" s="103">
        <f t="shared" si="10"/>
        <v>0</v>
      </c>
      <c r="Y351" s="98"/>
      <c r="AU351" s="103">
        <f t="shared" si="11"/>
        <v>0</v>
      </c>
    </row>
    <row r="352" spans="21:47" s="28" customFormat="1" x14ac:dyDescent="0.25">
      <c r="U352" s="103">
        <f t="shared" si="10"/>
        <v>0</v>
      </c>
      <c r="Y352" s="98"/>
      <c r="AU352" s="103">
        <f t="shared" si="11"/>
        <v>0</v>
      </c>
    </row>
    <row r="353" spans="21:47" s="28" customFormat="1" x14ac:dyDescent="0.25">
      <c r="U353" s="103">
        <f t="shared" si="10"/>
        <v>0</v>
      </c>
      <c r="Y353" s="98"/>
      <c r="AU353" s="103">
        <f t="shared" si="11"/>
        <v>0</v>
      </c>
    </row>
    <row r="354" spans="21:47" s="28" customFormat="1" x14ac:dyDescent="0.25">
      <c r="U354" s="103">
        <f t="shared" si="10"/>
        <v>0</v>
      </c>
      <c r="Y354" s="98"/>
      <c r="AU354" s="103">
        <f t="shared" si="11"/>
        <v>0</v>
      </c>
    </row>
    <row r="355" spans="21:47" s="28" customFormat="1" x14ac:dyDescent="0.25">
      <c r="U355" s="103">
        <f t="shared" si="10"/>
        <v>0</v>
      </c>
      <c r="Y355" s="98"/>
      <c r="AU355" s="103">
        <f t="shared" si="11"/>
        <v>0</v>
      </c>
    </row>
    <row r="356" spans="21:47" s="28" customFormat="1" x14ac:dyDescent="0.25">
      <c r="U356" s="103">
        <f t="shared" si="10"/>
        <v>0</v>
      </c>
      <c r="Y356" s="98"/>
      <c r="AU356" s="103">
        <f t="shared" si="11"/>
        <v>0</v>
      </c>
    </row>
    <row r="357" spans="21:47" s="28" customFormat="1" x14ac:dyDescent="0.25">
      <c r="U357" s="103">
        <f t="shared" si="10"/>
        <v>0</v>
      </c>
      <c r="Y357" s="98"/>
      <c r="AU357" s="103">
        <f t="shared" si="11"/>
        <v>0</v>
      </c>
    </row>
    <row r="358" spans="21:47" s="28" customFormat="1" x14ac:dyDescent="0.25">
      <c r="U358" s="103">
        <f t="shared" si="10"/>
        <v>0</v>
      </c>
      <c r="Y358" s="98"/>
      <c r="AU358" s="103">
        <f t="shared" si="11"/>
        <v>0</v>
      </c>
    </row>
    <row r="359" spans="21:47" s="28" customFormat="1" x14ac:dyDescent="0.25">
      <c r="U359" s="103">
        <f t="shared" si="10"/>
        <v>0</v>
      </c>
      <c r="Y359" s="98"/>
      <c r="AU359" s="103">
        <f t="shared" si="11"/>
        <v>0</v>
      </c>
    </row>
    <row r="360" spans="21:47" s="28" customFormat="1" x14ac:dyDescent="0.25">
      <c r="U360" s="103">
        <f t="shared" si="10"/>
        <v>0</v>
      </c>
      <c r="Y360" s="98"/>
      <c r="AU360" s="103">
        <f t="shared" si="11"/>
        <v>0</v>
      </c>
    </row>
    <row r="361" spans="21:47" s="28" customFormat="1" x14ac:dyDescent="0.25">
      <c r="U361" s="103">
        <f t="shared" si="10"/>
        <v>0</v>
      </c>
      <c r="Y361" s="98"/>
      <c r="AU361" s="103">
        <f t="shared" si="11"/>
        <v>0</v>
      </c>
    </row>
    <row r="362" spans="21:47" s="28" customFormat="1" x14ac:dyDescent="0.25">
      <c r="U362" s="103">
        <f t="shared" si="10"/>
        <v>0</v>
      </c>
      <c r="Y362" s="98"/>
      <c r="AU362" s="103">
        <f t="shared" si="11"/>
        <v>0</v>
      </c>
    </row>
    <row r="363" spans="21:47" s="28" customFormat="1" x14ac:dyDescent="0.25">
      <c r="U363" s="103">
        <f t="shared" si="10"/>
        <v>0</v>
      </c>
      <c r="Y363" s="98"/>
      <c r="AU363" s="103">
        <f t="shared" si="11"/>
        <v>0</v>
      </c>
    </row>
    <row r="364" spans="21:47" s="28" customFormat="1" x14ac:dyDescent="0.25">
      <c r="U364" s="103">
        <f t="shared" si="10"/>
        <v>0</v>
      </c>
      <c r="Y364" s="98"/>
      <c r="AU364" s="103">
        <f t="shared" si="11"/>
        <v>0</v>
      </c>
    </row>
    <row r="365" spans="21:47" s="28" customFormat="1" x14ac:dyDescent="0.25">
      <c r="U365" s="103">
        <f t="shared" si="10"/>
        <v>0</v>
      </c>
      <c r="Y365" s="98"/>
      <c r="AU365" s="103">
        <f t="shared" si="11"/>
        <v>0</v>
      </c>
    </row>
    <row r="366" spans="21:47" s="28" customFormat="1" x14ac:dyDescent="0.25">
      <c r="U366" s="103">
        <f t="shared" si="10"/>
        <v>0</v>
      </c>
      <c r="Y366" s="98"/>
      <c r="AU366" s="103">
        <f t="shared" si="11"/>
        <v>0</v>
      </c>
    </row>
    <row r="367" spans="21:47" s="28" customFormat="1" x14ac:dyDescent="0.25">
      <c r="U367" s="103">
        <f t="shared" si="10"/>
        <v>0</v>
      </c>
      <c r="Y367" s="98"/>
      <c r="AU367" s="103">
        <f t="shared" si="11"/>
        <v>0</v>
      </c>
    </row>
    <row r="368" spans="21:47" s="28" customFormat="1" x14ac:dyDescent="0.25">
      <c r="U368" s="103">
        <f t="shared" si="10"/>
        <v>0</v>
      </c>
      <c r="Y368" s="98"/>
      <c r="AU368" s="103">
        <f t="shared" si="11"/>
        <v>0</v>
      </c>
    </row>
    <row r="369" spans="21:47" s="28" customFormat="1" x14ac:dyDescent="0.25">
      <c r="U369" s="103">
        <f t="shared" si="10"/>
        <v>0</v>
      </c>
      <c r="Y369" s="98"/>
      <c r="AU369" s="103">
        <f t="shared" si="11"/>
        <v>0</v>
      </c>
    </row>
    <row r="370" spans="21:47" s="28" customFormat="1" x14ac:dyDescent="0.25">
      <c r="U370" s="103">
        <f t="shared" si="10"/>
        <v>0</v>
      </c>
      <c r="Y370" s="98"/>
      <c r="AU370" s="103">
        <f t="shared" si="11"/>
        <v>0</v>
      </c>
    </row>
    <row r="371" spans="21:47" s="28" customFormat="1" x14ac:dyDescent="0.25">
      <c r="U371" s="103">
        <f t="shared" si="10"/>
        <v>0</v>
      </c>
      <c r="Y371" s="98"/>
      <c r="AU371" s="103">
        <f t="shared" si="11"/>
        <v>0</v>
      </c>
    </row>
    <row r="372" spans="21:47" s="28" customFormat="1" x14ac:dyDescent="0.25">
      <c r="U372" s="103">
        <f t="shared" si="10"/>
        <v>0</v>
      </c>
      <c r="Y372" s="98"/>
      <c r="AU372" s="103">
        <f t="shared" si="11"/>
        <v>0</v>
      </c>
    </row>
    <row r="373" spans="21:47" s="28" customFormat="1" x14ac:dyDescent="0.25">
      <c r="U373" s="103">
        <f t="shared" si="10"/>
        <v>0</v>
      </c>
      <c r="Y373" s="98"/>
      <c r="AU373" s="103">
        <f t="shared" si="11"/>
        <v>0</v>
      </c>
    </row>
    <row r="374" spans="21:47" s="28" customFormat="1" x14ac:dyDescent="0.25">
      <c r="U374" s="103">
        <f t="shared" si="10"/>
        <v>0</v>
      </c>
      <c r="Y374" s="98"/>
      <c r="AU374" s="103">
        <f t="shared" si="11"/>
        <v>0</v>
      </c>
    </row>
    <row r="375" spans="21:47" s="28" customFormat="1" x14ac:dyDescent="0.25">
      <c r="U375" s="103">
        <f t="shared" si="10"/>
        <v>0</v>
      </c>
      <c r="Y375" s="98"/>
      <c r="AU375" s="103">
        <f t="shared" si="11"/>
        <v>0</v>
      </c>
    </row>
    <row r="376" spans="21:47" s="28" customFormat="1" x14ac:dyDescent="0.25">
      <c r="U376" s="103">
        <f t="shared" si="10"/>
        <v>0</v>
      </c>
      <c r="Y376" s="98"/>
      <c r="AU376" s="103">
        <f t="shared" si="11"/>
        <v>0</v>
      </c>
    </row>
    <row r="377" spans="21:47" s="28" customFormat="1" x14ac:dyDescent="0.25">
      <c r="U377" s="103">
        <f t="shared" si="10"/>
        <v>0</v>
      </c>
      <c r="Y377" s="98"/>
      <c r="AU377" s="103">
        <f t="shared" si="11"/>
        <v>0</v>
      </c>
    </row>
    <row r="378" spans="21:47" s="28" customFormat="1" x14ac:dyDescent="0.25">
      <c r="U378" s="103">
        <f t="shared" si="10"/>
        <v>0</v>
      </c>
      <c r="Y378" s="98"/>
      <c r="AU378" s="103">
        <f t="shared" si="11"/>
        <v>0</v>
      </c>
    </row>
    <row r="379" spans="21:47" s="28" customFormat="1" x14ac:dyDescent="0.25">
      <c r="U379" s="103">
        <f t="shared" ref="U379:U442" si="12">IF(R379="TruePositive",IF(D379&lt;&gt;1,N379,0),0)</f>
        <v>0</v>
      </c>
      <c r="Y379" s="98"/>
      <c r="AU379" s="103">
        <f t="shared" ref="AU379:AU442" si="13">IF(AQ379="TruePositive",IF(AC379&lt;&gt;1,AM379,0),0)</f>
        <v>0</v>
      </c>
    </row>
    <row r="380" spans="21:47" s="28" customFormat="1" x14ac:dyDescent="0.25">
      <c r="U380" s="103">
        <f t="shared" si="12"/>
        <v>0</v>
      </c>
      <c r="Y380" s="98"/>
      <c r="AU380" s="103">
        <f t="shared" si="13"/>
        <v>0</v>
      </c>
    </row>
    <row r="381" spans="21:47" s="28" customFormat="1" x14ac:dyDescent="0.25">
      <c r="U381" s="103">
        <f t="shared" si="12"/>
        <v>0</v>
      </c>
      <c r="Y381" s="98"/>
      <c r="AU381" s="103">
        <f t="shared" si="13"/>
        <v>0</v>
      </c>
    </row>
    <row r="382" spans="21:47" s="28" customFormat="1" x14ac:dyDescent="0.25">
      <c r="U382" s="103">
        <f t="shared" si="12"/>
        <v>0</v>
      </c>
      <c r="Y382" s="98"/>
      <c r="AU382" s="103">
        <f t="shared" si="13"/>
        <v>0</v>
      </c>
    </row>
    <row r="383" spans="21:47" s="28" customFormat="1" x14ac:dyDescent="0.25">
      <c r="U383" s="103">
        <f t="shared" si="12"/>
        <v>0</v>
      </c>
      <c r="Y383" s="98"/>
      <c r="AU383" s="103">
        <f t="shared" si="13"/>
        <v>0</v>
      </c>
    </row>
    <row r="384" spans="21:47" s="28" customFormat="1" x14ac:dyDescent="0.25">
      <c r="U384" s="103">
        <f t="shared" si="12"/>
        <v>0</v>
      </c>
      <c r="Y384" s="98"/>
      <c r="AU384" s="103">
        <f t="shared" si="13"/>
        <v>0</v>
      </c>
    </row>
    <row r="385" spans="21:47" s="28" customFormat="1" x14ac:dyDescent="0.25">
      <c r="U385" s="103">
        <f t="shared" si="12"/>
        <v>0</v>
      </c>
      <c r="Y385" s="98"/>
      <c r="AU385" s="103">
        <f t="shared" si="13"/>
        <v>0</v>
      </c>
    </row>
    <row r="386" spans="21:47" s="28" customFormat="1" x14ac:dyDescent="0.25">
      <c r="U386" s="103">
        <f t="shared" si="12"/>
        <v>0</v>
      </c>
      <c r="Y386" s="98"/>
      <c r="AU386" s="103">
        <f t="shared" si="13"/>
        <v>0</v>
      </c>
    </row>
    <row r="387" spans="21:47" s="28" customFormat="1" x14ac:dyDescent="0.25">
      <c r="U387" s="103">
        <f t="shared" si="12"/>
        <v>0</v>
      </c>
      <c r="Y387" s="98"/>
      <c r="AU387" s="103">
        <f t="shared" si="13"/>
        <v>0</v>
      </c>
    </row>
    <row r="388" spans="21:47" s="28" customFormat="1" x14ac:dyDescent="0.25">
      <c r="U388" s="103">
        <f t="shared" si="12"/>
        <v>0</v>
      </c>
      <c r="Y388" s="98"/>
      <c r="AU388" s="103">
        <f t="shared" si="13"/>
        <v>0</v>
      </c>
    </row>
    <row r="389" spans="21:47" s="28" customFormat="1" x14ac:dyDescent="0.25">
      <c r="U389" s="103">
        <f t="shared" si="12"/>
        <v>0</v>
      </c>
      <c r="Y389" s="98"/>
      <c r="AU389" s="103">
        <f t="shared" si="13"/>
        <v>0</v>
      </c>
    </row>
    <row r="390" spans="21:47" s="28" customFormat="1" x14ac:dyDescent="0.25">
      <c r="U390" s="103">
        <f t="shared" si="12"/>
        <v>0</v>
      </c>
      <c r="Y390" s="98"/>
      <c r="AU390" s="103">
        <f t="shared" si="13"/>
        <v>0</v>
      </c>
    </row>
    <row r="391" spans="21:47" s="28" customFormat="1" x14ac:dyDescent="0.25">
      <c r="U391" s="103">
        <f t="shared" si="12"/>
        <v>0</v>
      </c>
      <c r="Y391" s="98"/>
      <c r="AU391" s="103">
        <f t="shared" si="13"/>
        <v>0</v>
      </c>
    </row>
    <row r="392" spans="21:47" s="28" customFormat="1" x14ac:dyDescent="0.25">
      <c r="U392" s="103">
        <f t="shared" si="12"/>
        <v>0</v>
      </c>
      <c r="Y392" s="98"/>
      <c r="AU392" s="103">
        <f t="shared" si="13"/>
        <v>0</v>
      </c>
    </row>
    <row r="393" spans="21:47" s="28" customFormat="1" x14ac:dyDescent="0.25">
      <c r="U393" s="103">
        <f t="shared" si="12"/>
        <v>0</v>
      </c>
      <c r="Y393" s="98"/>
      <c r="AU393" s="103">
        <f t="shared" si="13"/>
        <v>0</v>
      </c>
    </row>
    <row r="394" spans="21:47" s="28" customFormat="1" x14ac:dyDescent="0.25">
      <c r="U394" s="103">
        <f t="shared" si="12"/>
        <v>0</v>
      </c>
      <c r="Y394" s="98"/>
      <c r="AU394" s="103">
        <f t="shared" si="13"/>
        <v>0</v>
      </c>
    </row>
    <row r="395" spans="21:47" s="28" customFormat="1" x14ac:dyDescent="0.25">
      <c r="U395" s="103">
        <f t="shared" si="12"/>
        <v>0</v>
      </c>
      <c r="Y395" s="98"/>
      <c r="AU395" s="103">
        <f t="shared" si="13"/>
        <v>0</v>
      </c>
    </row>
    <row r="396" spans="21:47" s="28" customFormat="1" x14ac:dyDescent="0.25">
      <c r="U396" s="103">
        <f t="shared" si="12"/>
        <v>0</v>
      </c>
      <c r="Y396" s="98"/>
      <c r="AU396" s="103">
        <f t="shared" si="13"/>
        <v>0</v>
      </c>
    </row>
    <row r="397" spans="21:47" s="28" customFormat="1" x14ac:dyDescent="0.25">
      <c r="U397" s="103">
        <f t="shared" si="12"/>
        <v>0</v>
      </c>
      <c r="Y397" s="98"/>
      <c r="AU397" s="103">
        <f t="shared" si="13"/>
        <v>0</v>
      </c>
    </row>
    <row r="398" spans="21:47" s="28" customFormat="1" x14ac:dyDescent="0.25">
      <c r="U398" s="103">
        <f t="shared" si="12"/>
        <v>0</v>
      </c>
      <c r="Y398" s="98"/>
      <c r="AU398" s="103">
        <f t="shared" si="13"/>
        <v>0</v>
      </c>
    </row>
    <row r="399" spans="21:47" s="28" customFormat="1" x14ac:dyDescent="0.25">
      <c r="U399" s="103">
        <f t="shared" si="12"/>
        <v>0</v>
      </c>
      <c r="Y399" s="98"/>
      <c r="AU399" s="103">
        <f t="shared" si="13"/>
        <v>0</v>
      </c>
    </row>
    <row r="400" spans="21:47" s="28" customFormat="1" x14ac:dyDescent="0.25">
      <c r="U400" s="103">
        <f t="shared" si="12"/>
        <v>0</v>
      </c>
      <c r="Y400" s="98"/>
      <c r="AU400" s="103">
        <f t="shared" si="13"/>
        <v>0</v>
      </c>
    </row>
    <row r="401" spans="21:47" s="28" customFormat="1" x14ac:dyDescent="0.25">
      <c r="U401" s="103">
        <f t="shared" si="12"/>
        <v>0</v>
      </c>
      <c r="Y401" s="98"/>
      <c r="AU401" s="103">
        <f t="shared" si="13"/>
        <v>0</v>
      </c>
    </row>
    <row r="402" spans="21:47" s="28" customFormat="1" x14ac:dyDescent="0.25">
      <c r="U402" s="103">
        <f t="shared" si="12"/>
        <v>0</v>
      </c>
      <c r="Y402" s="98"/>
      <c r="AU402" s="103">
        <f t="shared" si="13"/>
        <v>0</v>
      </c>
    </row>
    <row r="403" spans="21:47" s="28" customFormat="1" x14ac:dyDescent="0.25">
      <c r="U403" s="103">
        <f t="shared" si="12"/>
        <v>0</v>
      </c>
      <c r="Y403" s="98"/>
      <c r="AU403" s="103">
        <f t="shared" si="13"/>
        <v>0</v>
      </c>
    </row>
    <row r="404" spans="21:47" s="28" customFormat="1" x14ac:dyDescent="0.25">
      <c r="U404" s="103">
        <f t="shared" si="12"/>
        <v>0</v>
      </c>
      <c r="Y404" s="98"/>
      <c r="AU404" s="103">
        <f t="shared" si="13"/>
        <v>0</v>
      </c>
    </row>
    <row r="405" spans="21:47" s="28" customFormat="1" x14ac:dyDescent="0.25">
      <c r="U405" s="103">
        <f t="shared" si="12"/>
        <v>0</v>
      </c>
      <c r="Y405" s="98"/>
      <c r="AU405" s="103">
        <f t="shared" si="13"/>
        <v>0</v>
      </c>
    </row>
    <row r="406" spans="21:47" s="28" customFormat="1" x14ac:dyDescent="0.25">
      <c r="U406" s="103">
        <f t="shared" si="12"/>
        <v>0</v>
      </c>
      <c r="Y406" s="98"/>
      <c r="AU406" s="103">
        <f t="shared" si="13"/>
        <v>0</v>
      </c>
    </row>
    <row r="407" spans="21:47" s="28" customFormat="1" x14ac:dyDescent="0.25">
      <c r="U407" s="103">
        <f t="shared" si="12"/>
        <v>0</v>
      </c>
      <c r="Y407" s="98"/>
      <c r="AU407" s="103">
        <f t="shared" si="13"/>
        <v>0</v>
      </c>
    </row>
    <row r="408" spans="21:47" s="28" customFormat="1" x14ac:dyDescent="0.25">
      <c r="U408" s="103">
        <f t="shared" si="12"/>
        <v>0</v>
      </c>
      <c r="Y408" s="98"/>
      <c r="AU408" s="103">
        <f t="shared" si="13"/>
        <v>0</v>
      </c>
    </row>
    <row r="409" spans="21:47" s="28" customFormat="1" x14ac:dyDescent="0.25">
      <c r="U409" s="103">
        <f t="shared" si="12"/>
        <v>0</v>
      </c>
      <c r="Y409" s="98"/>
      <c r="AU409" s="103">
        <f t="shared" si="13"/>
        <v>0</v>
      </c>
    </row>
    <row r="410" spans="21:47" s="28" customFormat="1" x14ac:dyDescent="0.25">
      <c r="U410" s="103">
        <f t="shared" si="12"/>
        <v>0</v>
      </c>
      <c r="Y410" s="98"/>
      <c r="AU410" s="103">
        <f t="shared" si="13"/>
        <v>0</v>
      </c>
    </row>
    <row r="411" spans="21:47" s="28" customFormat="1" x14ac:dyDescent="0.25">
      <c r="U411" s="103">
        <f t="shared" si="12"/>
        <v>0</v>
      </c>
      <c r="Y411" s="98"/>
      <c r="AU411" s="103">
        <f t="shared" si="13"/>
        <v>0</v>
      </c>
    </row>
    <row r="412" spans="21:47" s="28" customFormat="1" x14ac:dyDescent="0.25">
      <c r="U412" s="103">
        <f t="shared" si="12"/>
        <v>0</v>
      </c>
      <c r="Y412" s="98"/>
      <c r="AU412" s="103">
        <f t="shared" si="13"/>
        <v>0</v>
      </c>
    </row>
    <row r="413" spans="21:47" s="28" customFormat="1" x14ac:dyDescent="0.25">
      <c r="U413" s="103">
        <f t="shared" si="12"/>
        <v>0</v>
      </c>
      <c r="Y413" s="98"/>
      <c r="AU413" s="103">
        <f t="shared" si="13"/>
        <v>0</v>
      </c>
    </row>
    <row r="414" spans="21:47" s="28" customFormat="1" x14ac:dyDescent="0.25">
      <c r="U414" s="103">
        <f t="shared" si="12"/>
        <v>0</v>
      </c>
      <c r="Y414" s="98"/>
      <c r="AU414" s="103">
        <f t="shared" si="13"/>
        <v>0</v>
      </c>
    </row>
    <row r="415" spans="21:47" s="28" customFormat="1" x14ac:dyDescent="0.25">
      <c r="U415" s="103">
        <f t="shared" si="12"/>
        <v>0</v>
      </c>
      <c r="Y415" s="98"/>
      <c r="AU415" s="103">
        <f t="shared" si="13"/>
        <v>0</v>
      </c>
    </row>
    <row r="416" spans="21:47" s="28" customFormat="1" x14ac:dyDescent="0.25">
      <c r="U416" s="103">
        <f t="shared" si="12"/>
        <v>0</v>
      </c>
      <c r="Y416" s="98"/>
      <c r="AU416" s="103">
        <f t="shared" si="13"/>
        <v>0</v>
      </c>
    </row>
    <row r="417" spans="21:47" s="28" customFormat="1" x14ac:dyDescent="0.25">
      <c r="U417" s="103">
        <f t="shared" si="12"/>
        <v>0</v>
      </c>
      <c r="Y417" s="98"/>
      <c r="AU417" s="103">
        <f t="shared" si="13"/>
        <v>0</v>
      </c>
    </row>
    <row r="418" spans="21:47" s="28" customFormat="1" x14ac:dyDescent="0.25">
      <c r="U418" s="103">
        <f t="shared" si="12"/>
        <v>0</v>
      </c>
      <c r="Y418" s="98"/>
      <c r="AU418" s="103">
        <f t="shared" si="13"/>
        <v>0</v>
      </c>
    </row>
    <row r="419" spans="21:47" s="28" customFormat="1" x14ac:dyDescent="0.25">
      <c r="U419" s="103">
        <f t="shared" si="12"/>
        <v>0</v>
      </c>
      <c r="Y419" s="98"/>
      <c r="AU419" s="103">
        <f t="shared" si="13"/>
        <v>0</v>
      </c>
    </row>
    <row r="420" spans="21:47" s="28" customFormat="1" x14ac:dyDescent="0.25">
      <c r="U420" s="103">
        <f t="shared" si="12"/>
        <v>0</v>
      </c>
      <c r="Y420" s="98"/>
      <c r="AU420" s="103">
        <f t="shared" si="13"/>
        <v>0</v>
      </c>
    </row>
    <row r="421" spans="21:47" s="28" customFormat="1" x14ac:dyDescent="0.25">
      <c r="U421" s="103">
        <f t="shared" si="12"/>
        <v>0</v>
      </c>
      <c r="Y421" s="98"/>
      <c r="AU421" s="103">
        <f t="shared" si="13"/>
        <v>0</v>
      </c>
    </row>
    <row r="422" spans="21:47" s="28" customFormat="1" x14ac:dyDescent="0.25">
      <c r="U422" s="103">
        <f t="shared" si="12"/>
        <v>0</v>
      </c>
      <c r="Y422" s="98"/>
      <c r="AU422" s="103">
        <f t="shared" si="13"/>
        <v>0</v>
      </c>
    </row>
    <row r="423" spans="21:47" s="28" customFormat="1" x14ac:dyDescent="0.25">
      <c r="U423" s="103">
        <f t="shared" si="12"/>
        <v>0</v>
      </c>
      <c r="Y423" s="98"/>
      <c r="AU423" s="103">
        <f t="shared" si="13"/>
        <v>0</v>
      </c>
    </row>
    <row r="424" spans="21:47" s="28" customFormat="1" x14ac:dyDescent="0.25">
      <c r="U424" s="103">
        <f t="shared" si="12"/>
        <v>0</v>
      </c>
      <c r="Y424" s="98"/>
      <c r="AU424" s="103">
        <f t="shared" si="13"/>
        <v>0</v>
      </c>
    </row>
    <row r="425" spans="21:47" s="28" customFormat="1" x14ac:dyDescent="0.25">
      <c r="U425" s="103">
        <f t="shared" si="12"/>
        <v>0</v>
      </c>
      <c r="Y425" s="98"/>
      <c r="AU425" s="103">
        <f t="shared" si="13"/>
        <v>0</v>
      </c>
    </row>
    <row r="426" spans="21:47" s="28" customFormat="1" x14ac:dyDescent="0.25">
      <c r="U426" s="103">
        <f t="shared" si="12"/>
        <v>0</v>
      </c>
      <c r="Y426" s="98"/>
      <c r="AU426" s="103">
        <f t="shared" si="13"/>
        <v>0</v>
      </c>
    </row>
    <row r="427" spans="21:47" s="28" customFormat="1" x14ac:dyDescent="0.25">
      <c r="U427" s="103">
        <f t="shared" si="12"/>
        <v>0</v>
      </c>
      <c r="Y427" s="98"/>
      <c r="AU427" s="103">
        <f t="shared" si="13"/>
        <v>0</v>
      </c>
    </row>
    <row r="428" spans="21:47" s="28" customFormat="1" x14ac:dyDescent="0.25">
      <c r="U428" s="103">
        <f t="shared" si="12"/>
        <v>0</v>
      </c>
      <c r="Y428" s="98"/>
      <c r="AU428" s="103">
        <f t="shared" si="13"/>
        <v>0</v>
      </c>
    </row>
    <row r="429" spans="21:47" s="28" customFormat="1" x14ac:dyDescent="0.25">
      <c r="U429" s="103">
        <f t="shared" si="12"/>
        <v>0</v>
      </c>
      <c r="Y429" s="98"/>
      <c r="AU429" s="103">
        <f t="shared" si="13"/>
        <v>0</v>
      </c>
    </row>
    <row r="430" spans="21:47" s="28" customFormat="1" x14ac:dyDescent="0.25">
      <c r="U430" s="103">
        <f t="shared" si="12"/>
        <v>0</v>
      </c>
      <c r="Y430" s="98"/>
      <c r="AU430" s="103">
        <f t="shared" si="13"/>
        <v>0</v>
      </c>
    </row>
    <row r="431" spans="21:47" s="28" customFormat="1" x14ac:dyDescent="0.25">
      <c r="U431" s="103">
        <f t="shared" si="12"/>
        <v>0</v>
      </c>
      <c r="Y431" s="98"/>
      <c r="AU431" s="103">
        <f t="shared" si="13"/>
        <v>0</v>
      </c>
    </row>
    <row r="432" spans="21:47" s="28" customFormat="1" x14ac:dyDescent="0.25">
      <c r="U432" s="103">
        <f t="shared" si="12"/>
        <v>0</v>
      </c>
      <c r="Y432" s="98"/>
      <c r="AU432" s="103">
        <f t="shared" si="13"/>
        <v>0</v>
      </c>
    </row>
    <row r="433" spans="21:47" s="28" customFormat="1" x14ac:dyDescent="0.25">
      <c r="U433" s="103">
        <f t="shared" si="12"/>
        <v>0</v>
      </c>
      <c r="Y433" s="98"/>
      <c r="AU433" s="103">
        <f t="shared" si="13"/>
        <v>0</v>
      </c>
    </row>
    <row r="434" spans="21:47" s="28" customFormat="1" x14ac:dyDescent="0.25">
      <c r="U434" s="103">
        <f t="shared" si="12"/>
        <v>0</v>
      </c>
      <c r="Y434" s="98"/>
      <c r="AU434" s="103">
        <f t="shared" si="13"/>
        <v>0</v>
      </c>
    </row>
    <row r="435" spans="21:47" s="28" customFormat="1" x14ac:dyDescent="0.25">
      <c r="U435" s="103">
        <f t="shared" si="12"/>
        <v>0</v>
      </c>
      <c r="Y435" s="98"/>
      <c r="AU435" s="103">
        <f t="shared" si="13"/>
        <v>0</v>
      </c>
    </row>
    <row r="436" spans="21:47" s="28" customFormat="1" x14ac:dyDescent="0.25">
      <c r="U436" s="103">
        <f t="shared" si="12"/>
        <v>0</v>
      </c>
      <c r="Y436" s="98"/>
      <c r="AU436" s="103">
        <f t="shared" si="13"/>
        <v>0</v>
      </c>
    </row>
    <row r="437" spans="21:47" s="28" customFormat="1" x14ac:dyDescent="0.25">
      <c r="U437" s="103">
        <f t="shared" si="12"/>
        <v>0</v>
      </c>
      <c r="Y437" s="98"/>
      <c r="AU437" s="103">
        <f t="shared" si="13"/>
        <v>0</v>
      </c>
    </row>
    <row r="438" spans="21:47" s="28" customFormat="1" x14ac:dyDescent="0.25">
      <c r="U438" s="103">
        <f t="shared" si="12"/>
        <v>0</v>
      </c>
      <c r="Y438" s="98"/>
      <c r="AU438" s="103">
        <f t="shared" si="13"/>
        <v>0</v>
      </c>
    </row>
    <row r="439" spans="21:47" s="28" customFormat="1" x14ac:dyDescent="0.25">
      <c r="U439" s="103">
        <f t="shared" si="12"/>
        <v>0</v>
      </c>
      <c r="Y439" s="98"/>
      <c r="AU439" s="103">
        <f t="shared" si="13"/>
        <v>0</v>
      </c>
    </row>
    <row r="440" spans="21:47" s="28" customFormat="1" x14ac:dyDescent="0.25">
      <c r="U440" s="103">
        <f t="shared" si="12"/>
        <v>0</v>
      </c>
      <c r="Y440" s="98"/>
      <c r="AU440" s="103">
        <f t="shared" si="13"/>
        <v>0</v>
      </c>
    </row>
    <row r="441" spans="21:47" s="28" customFormat="1" x14ac:dyDescent="0.25">
      <c r="U441" s="103">
        <f t="shared" si="12"/>
        <v>0</v>
      </c>
      <c r="Y441" s="98"/>
      <c r="AU441" s="103">
        <f t="shared" si="13"/>
        <v>0</v>
      </c>
    </row>
    <row r="442" spans="21:47" s="28" customFormat="1" x14ac:dyDescent="0.25">
      <c r="U442" s="103">
        <f t="shared" si="12"/>
        <v>0</v>
      </c>
      <c r="Y442" s="98"/>
      <c r="AU442" s="103">
        <f t="shared" si="13"/>
        <v>0</v>
      </c>
    </row>
    <row r="443" spans="21:47" s="28" customFormat="1" x14ac:dyDescent="0.25">
      <c r="U443" s="103">
        <f t="shared" ref="U443:U506" si="14">IF(R443="TruePositive",IF(D443&lt;&gt;1,N443,0),0)</f>
        <v>0</v>
      </c>
      <c r="Y443" s="98"/>
      <c r="AU443" s="103">
        <f t="shared" ref="AU443:AU506" si="15">IF(AQ443="TruePositive",IF(AC443&lt;&gt;1,AM443,0),0)</f>
        <v>0</v>
      </c>
    </row>
    <row r="444" spans="21:47" s="28" customFormat="1" x14ac:dyDescent="0.25">
      <c r="U444" s="103">
        <f t="shared" si="14"/>
        <v>0</v>
      </c>
      <c r="Y444" s="98"/>
      <c r="AU444" s="103">
        <f t="shared" si="15"/>
        <v>0</v>
      </c>
    </row>
    <row r="445" spans="21:47" s="28" customFormat="1" x14ac:dyDescent="0.25">
      <c r="U445" s="103">
        <f t="shared" si="14"/>
        <v>0</v>
      </c>
      <c r="Y445" s="98"/>
      <c r="AU445" s="103">
        <f t="shared" si="15"/>
        <v>0</v>
      </c>
    </row>
    <row r="446" spans="21:47" s="28" customFormat="1" x14ac:dyDescent="0.25">
      <c r="U446" s="103">
        <f t="shared" si="14"/>
        <v>0</v>
      </c>
      <c r="Y446" s="98"/>
      <c r="AU446" s="103">
        <f t="shared" si="15"/>
        <v>0</v>
      </c>
    </row>
    <row r="447" spans="21:47" s="28" customFormat="1" x14ac:dyDescent="0.25">
      <c r="U447" s="103">
        <f t="shared" si="14"/>
        <v>0</v>
      </c>
      <c r="Y447" s="98"/>
      <c r="AU447" s="103">
        <f t="shared" si="15"/>
        <v>0</v>
      </c>
    </row>
    <row r="448" spans="21:47" s="28" customFormat="1" x14ac:dyDescent="0.25">
      <c r="U448" s="103">
        <f t="shared" si="14"/>
        <v>0</v>
      </c>
      <c r="Y448" s="98"/>
      <c r="AU448" s="103">
        <f t="shared" si="15"/>
        <v>0</v>
      </c>
    </row>
    <row r="449" spans="21:47" s="28" customFormat="1" x14ac:dyDescent="0.25">
      <c r="U449" s="103">
        <f t="shared" si="14"/>
        <v>0</v>
      </c>
      <c r="Y449" s="98"/>
      <c r="AU449" s="103">
        <f t="shared" si="15"/>
        <v>0</v>
      </c>
    </row>
    <row r="450" spans="21:47" s="28" customFormat="1" x14ac:dyDescent="0.25">
      <c r="U450" s="103">
        <f t="shared" si="14"/>
        <v>0</v>
      </c>
      <c r="Y450" s="98"/>
      <c r="AU450" s="103">
        <f t="shared" si="15"/>
        <v>0</v>
      </c>
    </row>
    <row r="451" spans="21:47" s="28" customFormat="1" x14ac:dyDescent="0.25">
      <c r="U451" s="103">
        <f t="shared" si="14"/>
        <v>0</v>
      </c>
      <c r="Y451" s="98"/>
      <c r="AU451" s="103">
        <f t="shared" si="15"/>
        <v>0</v>
      </c>
    </row>
    <row r="452" spans="21:47" s="28" customFormat="1" x14ac:dyDescent="0.25">
      <c r="U452" s="103">
        <f t="shared" si="14"/>
        <v>0</v>
      </c>
      <c r="Y452" s="98"/>
      <c r="AU452" s="103">
        <f t="shared" si="15"/>
        <v>0</v>
      </c>
    </row>
    <row r="453" spans="21:47" s="28" customFormat="1" x14ac:dyDescent="0.25">
      <c r="U453" s="103">
        <f t="shared" si="14"/>
        <v>0</v>
      </c>
      <c r="Y453" s="98"/>
      <c r="AU453" s="103">
        <f t="shared" si="15"/>
        <v>0</v>
      </c>
    </row>
    <row r="454" spans="21:47" s="28" customFormat="1" x14ac:dyDescent="0.25">
      <c r="U454" s="103">
        <f t="shared" si="14"/>
        <v>0</v>
      </c>
      <c r="Y454" s="98"/>
      <c r="AU454" s="103">
        <f t="shared" si="15"/>
        <v>0</v>
      </c>
    </row>
    <row r="455" spans="21:47" s="28" customFormat="1" x14ac:dyDescent="0.25">
      <c r="U455" s="103">
        <f t="shared" si="14"/>
        <v>0</v>
      </c>
      <c r="Y455" s="98"/>
      <c r="AU455" s="103">
        <f t="shared" si="15"/>
        <v>0</v>
      </c>
    </row>
    <row r="456" spans="21:47" s="28" customFormat="1" x14ac:dyDescent="0.25">
      <c r="U456" s="103">
        <f t="shared" si="14"/>
        <v>0</v>
      </c>
      <c r="Y456" s="98"/>
      <c r="AU456" s="103">
        <f t="shared" si="15"/>
        <v>0</v>
      </c>
    </row>
    <row r="457" spans="21:47" s="28" customFormat="1" x14ac:dyDescent="0.25">
      <c r="U457" s="103">
        <f t="shared" si="14"/>
        <v>0</v>
      </c>
      <c r="Y457" s="98"/>
      <c r="AU457" s="103">
        <f t="shared" si="15"/>
        <v>0</v>
      </c>
    </row>
    <row r="458" spans="21:47" s="28" customFormat="1" x14ac:dyDescent="0.25">
      <c r="U458" s="103">
        <f t="shared" si="14"/>
        <v>0</v>
      </c>
      <c r="Y458" s="98"/>
      <c r="AU458" s="103">
        <f t="shared" si="15"/>
        <v>0</v>
      </c>
    </row>
    <row r="459" spans="21:47" s="28" customFormat="1" x14ac:dyDescent="0.25">
      <c r="U459" s="103">
        <f t="shared" si="14"/>
        <v>0</v>
      </c>
      <c r="Y459" s="98"/>
      <c r="AU459" s="103">
        <f t="shared" si="15"/>
        <v>0</v>
      </c>
    </row>
    <row r="460" spans="21:47" s="28" customFormat="1" x14ac:dyDescent="0.25">
      <c r="U460" s="103">
        <f t="shared" si="14"/>
        <v>0</v>
      </c>
      <c r="Y460" s="98"/>
      <c r="AU460" s="103">
        <f t="shared" si="15"/>
        <v>0</v>
      </c>
    </row>
    <row r="461" spans="21:47" s="28" customFormat="1" x14ac:dyDescent="0.25">
      <c r="U461" s="103">
        <f t="shared" si="14"/>
        <v>0</v>
      </c>
      <c r="Y461" s="98"/>
      <c r="AU461" s="103">
        <f t="shared" si="15"/>
        <v>0</v>
      </c>
    </row>
    <row r="462" spans="21:47" s="28" customFormat="1" x14ac:dyDescent="0.25">
      <c r="U462" s="103">
        <f t="shared" si="14"/>
        <v>0</v>
      </c>
      <c r="Y462" s="98"/>
      <c r="AU462" s="103">
        <f t="shared" si="15"/>
        <v>0</v>
      </c>
    </row>
    <row r="463" spans="21:47" s="28" customFormat="1" x14ac:dyDescent="0.25">
      <c r="U463" s="103">
        <f t="shared" si="14"/>
        <v>0</v>
      </c>
      <c r="Y463" s="98"/>
      <c r="AU463" s="103">
        <f t="shared" si="15"/>
        <v>0</v>
      </c>
    </row>
    <row r="464" spans="21:47" s="28" customFormat="1" x14ac:dyDescent="0.25">
      <c r="U464" s="103">
        <f t="shared" si="14"/>
        <v>0</v>
      </c>
      <c r="Y464" s="98"/>
      <c r="AU464" s="103">
        <f t="shared" si="15"/>
        <v>0</v>
      </c>
    </row>
    <row r="465" spans="21:47" s="28" customFormat="1" x14ac:dyDescent="0.25">
      <c r="U465" s="103">
        <f t="shared" si="14"/>
        <v>0</v>
      </c>
      <c r="Y465" s="98"/>
      <c r="AU465" s="103">
        <f t="shared" si="15"/>
        <v>0</v>
      </c>
    </row>
    <row r="466" spans="21:47" s="28" customFormat="1" x14ac:dyDescent="0.25">
      <c r="U466" s="103">
        <f t="shared" si="14"/>
        <v>0</v>
      </c>
      <c r="Y466" s="98"/>
      <c r="AU466" s="103">
        <f t="shared" si="15"/>
        <v>0</v>
      </c>
    </row>
    <row r="467" spans="21:47" s="28" customFormat="1" x14ac:dyDescent="0.25">
      <c r="U467" s="103">
        <f t="shared" si="14"/>
        <v>0</v>
      </c>
      <c r="Y467" s="98"/>
      <c r="AU467" s="103">
        <f t="shared" si="15"/>
        <v>0</v>
      </c>
    </row>
    <row r="468" spans="21:47" s="28" customFormat="1" x14ac:dyDescent="0.25">
      <c r="U468" s="103">
        <f t="shared" si="14"/>
        <v>0</v>
      </c>
      <c r="Y468" s="98"/>
      <c r="AU468" s="103">
        <f t="shared" si="15"/>
        <v>0</v>
      </c>
    </row>
    <row r="469" spans="21:47" s="28" customFormat="1" x14ac:dyDescent="0.25">
      <c r="U469" s="103">
        <f t="shared" si="14"/>
        <v>0</v>
      </c>
      <c r="Y469" s="98"/>
      <c r="AU469" s="103">
        <f t="shared" si="15"/>
        <v>0</v>
      </c>
    </row>
    <row r="470" spans="21:47" s="28" customFormat="1" x14ac:dyDescent="0.25">
      <c r="U470" s="103">
        <f t="shared" si="14"/>
        <v>0</v>
      </c>
      <c r="Y470" s="98"/>
      <c r="AU470" s="103">
        <f t="shared" si="15"/>
        <v>0</v>
      </c>
    </row>
    <row r="471" spans="21:47" s="28" customFormat="1" x14ac:dyDescent="0.25">
      <c r="U471" s="103">
        <f t="shared" si="14"/>
        <v>0</v>
      </c>
      <c r="Y471" s="98"/>
      <c r="AU471" s="103">
        <f t="shared" si="15"/>
        <v>0</v>
      </c>
    </row>
    <row r="472" spans="21:47" s="28" customFormat="1" x14ac:dyDescent="0.25">
      <c r="U472" s="103">
        <f t="shared" si="14"/>
        <v>0</v>
      </c>
      <c r="Y472" s="98"/>
      <c r="AU472" s="103">
        <f t="shared" si="15"/>
        <v>0</v>
      </c>
    </row>
    <row r="473" spans="21:47" s="28" customFormat="1" x14ac:dyDescent="0.25">
      <c r="U473" s="103">
        <f t="shared" si="14"/>
        <v>0</v>
      </c>
      <c r="Y473" s="98"/>
      <c r="AU473" s="103">
        <f t="shared" si="15"/>
        <v>0</v>
      </c>
    </row>
    <row r="474" spans="21:47" s="28" customFormat="1" x14ac:dyDescent="0.25">
      <c r="U474" s="103">
        <f t="shared" si="14"/>
        <v>0</v>
      </c>
      <c r="Y474" s="98"/>
      <c r="AU474" s="103">
        <f t="shared" si="15"/>
        <v>0</v>
      </c>
    </row>
    <row r="475" spans="21:47" s="28" customFormat="1" x14ac:dyDescent="0.25">
      <c r="U475" s="103">
        <f t="shared" si="14"/>
        <v>0</v>
      </c>
      <c r="Y475" s="98"/>
      <c r="AU475" s="103">
        <f t="shared" si="15"/>
        <v>0</v>
      </c>
    </row>
    <row r="476" spans="21:47" s="28" customFormat="1" x14ac:dyDescent="0.25">
      <c r="U476" s="103">
        <f t="shared" si="14"/>
        <v>0</v>
      </c>
      <c r="Y476" s="98"/>
      <c r="AU476" s="103">
        <f t="shared" si="15"/>
        <v>0</v>
      </c>
    </row>
    <row r="477" spans="21:47" s="28" customFormat="1" x14ac:dyDescent="0.25">
      <c r="U477" s="103">
        <f t="shared" si="14"/>
        <v>0</v>
      </c>
      <c r="Y477" s="98"/>
      <c r="AU477" s="103">
        <f t="shared" si="15"/>
        <v>0</v>
      </c>
    </row>
    <row r="478" spans="21:47" s="28" customFormat="1" x14ac:dyDescent="0.25">
      <c r="U478" s="103">
        <f t="shared" si="14"/>
        <v>0</v>
      </c>
      <c r="Y478" s="98"/>
      <c r="AU478" s="103">
        <f t="shared" si="15"/>
        <v>0</v>
      </c>
    </row>
    <row r="479" spans="21:47" s="28" customFormat="1" x14ac:dyDescent="0.25">
      <c r="U479" s="103">
        <f t="shared" si="14"/>
        <v>0</v>
      </c>
      <c r="Y479" s="98"/>
      <c r="AU479" s="103">
        <f t="shared" si="15"/>
        <v>0</v>
      </c>
    </row>
    <row r="480" spans="21:47" s="28" customFormat="1" x14ac:dyDescent="0.25">
      <c r="U480" s="103">
        <f t="shared" si="14"/>
        <v>0</v>
      </c>
      <c r="Y480" s="98"/>
      <c r="AU480" s="103">
        <f t="shared" si="15"/>
        <v>0</v>
      </c>
    </row>
    <row r="481" spans="21:47" s="28" customFormat="1" x14ac:dyDescent="0.25">
      <c r="U481" s="103">
        <f t="shared" si="14"/>
        <v>0</v>
      </c>
      <c r="Y481" s="98"/>
      <c r="AU481" s="103">
        <f t="shared" si="15"/>
        <v>0</v>
      </c>
    </row>
    <row r="482" spans="21:47" s="28" customFormat="1" x14ac:dyDescent="0.25">
      <c r="U482" s="103">
        <f t="shared" si="14"/>
        <v>0</v>
      </c>
      <c r="Y482" s="98"/>
      <c r="AU482" s="103">
        <f t="shared" si="15"/>
        <v>0</v>
      </c>
    </row>
    <row r="483" spans="21:47" s="28" customFormat="1" x14ac:dyDescent="0.25">
      <c r="U483" s="103">
        <f t="shared" si="14"/>
        <v>0</v>
      </c>
      <c r="Y483" s="98"/>
      <c r="AU483" s="103">
        <f t="shared" si="15"/>
        <v>0</v>
      </c>
    </row>
    <row r="484" spans="21:47" s="28" customFormat="1" x14ac:dyDescent="0.25">
      <c r="U484" s="103">
        <f t="shared" si="14"/>
        <v>0</v>
      </c>
      <c r="Y484" s="98"/>
      <c r="AU484" s="103">
        <f t="shared" si="15"/>
        <v>0</v>
      </c>
    </row>
    <row r="485" spans="21:47" s="28" customFormat="1" x14ac:dyDescent="0.25">
      <c r="U485" s="103">
        <f t="shared" si="14"/>
        <v>0</v>
      </c>
      <c r="Y485" s="98"/>
      <c r="AU485" s="103">
        <f t="shared" si="15"/>
        <v>0</v>
      </c>
    </row>
    <row r="486" spans="21:47" s="28" customFormat="1" x14ac:dyDescent="0.25">
      <c r="U486" s="103">
        <f t="shared" si="14"/>
        <v>0</v>
      </c>
      <c r="Y486" s="98"/>
      <c r="AU486" s="103">
        <f t="shared" si="15"/>
        <v>0</v>
      </c>
    </row>
    <row r="487" spans="21:47" s="28" customFormat="1" x14ac:dyDescent="0.25">
      <c r="U487" s="103">
        <f t="shared" si="14"/>
        <v>0</v>
      </c>
      <c r="Y487" s="98"/>
      <c r="AU487" s="103">
        <f t="shared" si="15"/>
        <v>0</v>
      </c>
    </row>
    <row r="488" spans="21:47" s="28" customFormat="1" x14ac:dyDescent="0.25">
      <c r="U488" s="103">
        <f t="shared" si="14"/>
        <v>0</v>
      </c>
      <c r="Y488" s="98"/>
      <c r="AU488" s="103">
        <f t="shared" si="15"/>
        <v>0</v>
      </c>
    </row>
    <row r="489" spans="21:47" s="28" customFormat="1" x14ac:dyDescent="0.25">
      <c r="U489" s="103">
        <f t="shared" si="14"/>
        <v>0</v>
      </c>
      <c r="Y489" s="98"/>
      <c r="AU489" s="103">
        <f t="shared" si="15"/>
        <v>0</v>
      </c>
    </row>
    <row r="490" spans="21:47" s="28" customFormat="1" x14ac:dyDescent="0.25">
      <c r="U490" s="103">
        <f t="shared" si="14"/>
        <v>0</v>
      </c>
      <c r="Y490" s="98"/>
      <c r="AU490" s="103">
        <f t="shared" si="15"/>
        <v>0</v>
      </c>
    </row>
    <row r="491" spans="21:47" s="28" customFormat="1" x14ac:dyDescent="0.25">
      <c r="U491" s="103">
        <f t="shared" si="14"/>
        <v>0</v>
      </c>
      <c r="Y491" s="98"/>
      <c r="AU491" s="103">
        <f t="shared" si="15"/>
        <v>0</v>
      </c>
    </row>
    <row r="492" spans="21:47" s="28" customFormat="1" x14ac:dyDescent="0.25">
      <c r="U492" s="103">
        <f t="shared" si="14"/>
        <v>0</v>
      </c>
      <c r="Y492" s="98"/>
      <c r="AU492" s="103">
        <f t="shared" si="15"/>
        <v>0</v>
      </c>
    </row>
    <row r="493" spans="21:47" s="28" customFormat="1" x14ac:dyDescent="0.25">
      <c r="U493" s="103">
        <f t="shared" si="14"/>
        <v>0</v>
      </c>
      <c r="Y493" s="98"/>
      <c r="AU493" s="103">
        <f t="shared" si="15"/>
        <v>0</v>
      </c>
    </row>
    <row r="494" spans="21:47" s="28" customFormat="1" x14ac:dyDescent="0.25">
      <c r="U494" s="103">
        <f t="shared" si="14"/>
        <v>0</v>
      </c>
      <c r="Y494" s="98"/>
      <c r="AU494" s="103">
        <f t="shared" si="15"/>
        <v>0</v>
      </c>
    </row>
    <row r="495" spans="21:47" s="28" customFormat="1" x14ac:dyDescent="0.25">
      <c r="U495" s="103">
        <f t="shared" si="14"/>
        <v>0</v>
      </c>
      <c r="Y495" s="98"/>
      <c r="AU495" s="103">
        <f t="shared" si="15"/>
        <v>0</v>
      </c>
    </row>
    <row r="496" spans="21:47" s="28" customFormat="1" x14ac:dyDescent="0.25">
      <c r="U496" s="103">
        <f t="shared" si="14"/>
        <v>0</v>
      </c>
      <c r="Y496" s="98"/>
      <c r="AU496" s="103">
        <f t="shared" si="15"/>
        <v>0</v>
      </c>
    </row>
    <row r="497" spans="21:47" s="28" customFormat="1" x14ac:dyDescent="0.25">
      <c r="U497" s="103">
        <f t="shared" si="14"/>
        <v>0</v>
      </c>
      <c r="Y497" s="98"/>
      <c r="AU497" s="103">
        <f t="shared" si="15"/>
        <v>0</v>
      </c>
    </row>
    <row r="498" spans="21:47" s="28" customFormat="1" x14ac:dyDescent="0.25">
      <c r="U498" s="103">
        <f t="shared" si="14"/>
        <v>0</v>
      </c>
      <c r="Y498" s="98"/>
      <c r="AU498" s="103">
        <f t="shared" si="15"/>
        <v>0</v>
      </c>
    </row>
    <row r="499" spans="21:47" s="28" customFormat="1" x14ac:dyDescent="0.25">
      <c r="U499" s="103">
        <f t="shared" si="14"/>
        <v>0</v>
      </c>
      <c r="Y499" s="98"/>
      <c r="AU499" s="103">
        <f t="shared" si="15"/>
        <v>0</v>
      </c>
    </row>
    <row r="500" spans="21:47" s="28" customFormat="1" x14ac:dyDescent="0.25">
      <c r="U500" s="103">
        <f t="shared" si="14"/>
        <v>0</v>
      </c>
      <c r="Y500" s="98"/>
      <c r="AU500" s="103">
        <f t="shared" si="15"/>
        <v>0</v>
      </c>
    </row>
    <row r="501" spans="21:47" s="28" customFormat="1" x14ac:dyDescent="0.25">
      <c r="U501" s="103">
        <f t="shared" si="14"/>
        <v>0</v>
      </c>
      <c r="Y501" s="98"/>
      <c r="AU501" s="103">
        <f t="shared" si="15"/>
        <v>0</v>
      </c>
    </row>
    <row r="502" spans="21:47" s="28" customFormat="1" x14ac:dyDescent="0.25">
      <c r="U502" s="103">
        <f t="shared" si="14"/>
        <v>0</v>
      </c>
      <c r="Y502" s="98"/>
      <c r="AU502" s="103">
        <f t="shared" si="15"/>
        <v>0</v>
      </c>
    </row>
    <row r="503" spans="21:47" s="28" customFormat="1" x14ac:dyDescent="0.25">
      <c r="U503" s="103">
        <f t="shared" si="14"/>
        <v>0</v>
      </c>
      <c r="Y503" s="98"/>
      <c r="AU503" s="103">
        <f t="shared" si="15"/>
        <v>0</v>
      </c>
    </row>
    <row r="504" spans="21:47" s="28" customFormat="1" x14ac:dyDescent="0.25">
      <c r="U504" s="103">
        <f t="shared" si="14"/>
        <v>0</v>
      </c>
      <c r="Y504" s="98"/>
      <c r="AU504" s="103">
        <f t="shared" si="15"/>
        <v>0</v>
      </c>
    </row>
    <row r="505" spans="21:47" s="28" customFormat="1" x14ac:dyDescent="0.25">
      <c r="U505" s="103">
        <f t="shared" si="14"/>
        <v>0</v>
      </c>
      <c r="Y505" s="98"/>
      <c r="AU505" s="103">
        <f t="shared" si="15"/>
        <v>0</v>
      </c>
    </row>
    <row r="506" spans="21:47" s="28" customFormat="1" x14ac:dyDescent="0.25">
      <c r="U506" s="103">
        <f t="shared" si="14"/>
        <v>0</v>
      </c>
      <c r="Y506" s="98"/>
      <c r="AU506" s="103">
        <f t="shared" si="15"/>
        <v>0</v>
      </c>
    </row>
    <row r="507" spans="21:47" s="28" customFormat="1" x14ac:dyDescent="0.25">
      <c r="U507" s="103">
        <f t="shared" ref="U507:U570" si="16">IF(R507="TruePositive",IF(D507&lt;&gt;1,N507,0),0)</f>
        <v>0</v>
      </c>
      <c r="Y507" s="98"/>
      <c r="AU507" s="103">
        <f t="shared" ref="AU507:AU570" si="17">IF(AQ507="TruePositive",IF(AC507&lt;&gt;1,AM507,0),0)</f>
        <v>0</v>
      </c>
    </row>
    <row r="508" spans="21:47" s="28" customFormat="1" x14ac:dyDescent="0.25">
      <c r="U508" s="103">
        <f t="shared" si="16"/>
        <v>0</v>
      </c>
      <c r="Y508" s="98"/>
      <c r="AU508" s="103">
        <f t="shared" si="17"/>
        <v>0</v>
      </c>
    </row>
    <row r="509" spans="21:47" s="28" customFormat="1" x14ac:dyDescent="0.25">
      <c r="U509" s="103">
        <f t="shared" si="16"/>
        <v>0</v>
      </c>
      <c r="Y509" s="98"/>
      <c r="AU509" s="103">
        <f t="shared" si="17"/>
        <v>0</v>
      </c>
    </row>
    <row r="510" spans="21:47" s="28" customFormat="1" x14ac:dyDescent="0.25">
      <c r="U510" s="103">
        <f t="shared" si="16"/>
        <v>0</v>
      </c>
      <c r="Y510" s="98"/>
      <c r="AU510" s="103">
        <f t="shared" si="17"/>
        <v>0</v>
      </c>
    </row>
    <row r="511" spans="21:47" s="28" customFormat="1" x14ac:dyDescent="0.25">
      <c r="U511" s="103">
        <f t="shared" si="16"/>
        <v>0</v>
      </c>
      <c r="Y511" s="98"/>
      <c r="AU511" s="103">
        <f t="shared" si="17"/>
        <v>0</v>
      </c>
    </row>
    <row r="512" spans="21:47" s="28" customFormat="1" x14ac:dyDescent="0.25">
      <c r="U512" s="103">
        <f t="shared" si="16"/>
        <v>0</v>
      </c>
      <c r="Y512" s="98"/>
      <c r="AU512" s="103">
        <f t="shared" si="17"/>
        <v>0</v>
      </c>
    </row>
    <row r="513" spans="21:47" s="28" customFormat="1" x14ac:dyDescent="0.25">
      <c r="U513" s="103">
        <f t="shared" si="16"/>
        <v>0</v>
      </c>
      <c r="Y513" s="98"/>
      <c r="AU513" s="103">
        <f t="shared" si="17"/>
        <v>0</v>
      </c>
    </row>
    <row r="514" spans="21:47" s="28" customFormat="1" x14ac:dyDescent="0.25">
      <c r="U514" s="103">
        <f t="shared" si="16"/>
        <v>0</v>
      </c>
      <c r="Y514" s="98"/>
      <c r="AU514" s="103">
        <f t="shared" si="17"/>
        <v>0</v>
      </c>
    </row>
    <row r="515" spans="21:47" s="28" customFormat="1" x14ac:dyDescent="0.25">
      <c r="U515" s="103">
        <f t="shared" si="16"/>
        <v>0</v>
      </c>
      <c r="Y515" s="98"/>
      <c r="AU515" s="103">
        <f t="shared" si="17"/>
        <v>0</v>
      </c>
    </row>
    <row r="516" spans="21:47" s="28" customFormat="1" x14ac:dyDescent="0.25">
      <c r="U516" s="103">
        <f t="shared" si="16"/>
        <v>0</v>
      </c>
      <c r="Y516" s="98"/>
      <c r="AU516" s="103">
        <f t="shared" si="17"/>
        <v>0</v>
      </c>
    </row>
    <row r="517" spans="21:47" s="28" customFormat="1" x14ac:dyDescent="0.25">
      <c r="U517" s="103">
        <f t="shared" si="16"/>
        <v>0</v>
      </c>
      <c r="Y517" s="98"/>
      <c r="AU517" s="103">
        <f t="shared" si="17"/>
        <v>0</v>
      </c>
    </row>
    <row r="518" spans="21:47" s="28" customFormat="1" x14ac:dyDescent="0.25">
      <c r="U518" s="103">
        <f t="shared" si="16"/>
        <v>0</v>
      </c>
      <c r="Y518" s="98"/>
      <c r="AU518" s="103">
        <f t="shared" si="17"/>
        <v>0</v>
      </c>
    </row>
    <row r="519" spans="21:47" s="28" customFormat="1" x14ac:dyDescent="0.25">
      <c r="U519" s="103">
        <f t="shared" si="16"/>
        <v>0</v>
      </c>
      <c r="Y519" s="98"/>
      <c r="AU519" s="103">
        <f t="shared" si="17"/>
        <v>0</v>
      </c>
    </row>
    <row r="520" spans="21:47" s="28" customFormat="1" x14ac:dyDescent="0.25">
      <c r="U520" s="103">
        <f t="shared" si="16"/>
        <v>0</v>
      </c>
      <c r="Y520" s="98"/>
      <c r="AU520" s="103">
        <f t="shared" si="17"/>
        <v>0</v>
      </c>
    </row>
    <row r="521" spans="21:47" s="28" customFormat="1" x14ac:dyDescent="0.25">
      <c r="U521" s="103">
        <f t="shared" si="16"/>
        <v>0</v>
      </c>
      <c r="Y521" s="98"/>
      <c r="AU521" s="103">
        <f t="shared" si="17"/>
        <v>0</v>
      </c>
    </row>
    <row r="522" spans="21:47" s="28" customFormat="1" x14ac:dyDescent="0.25">
      <c r="U522" s="103">
        <f t="shared" si="16"/>
        <v>0</v>
      </c>
      <c r="Y522" s="98"/>
      <c r="AU522" s="103">
        <f t="shared" si="17"/>
        <v>0</v>
      </c>
    </row>
    <row r="523" spans="21:47" s="28" customFormat="1" x14ac:dyDescent="0.25">
      <c r="U523" s="103">
        <f t="shared" si="16"/>
        <v>0</v>
      </c>
      <c r="Y523" s="98"/>
      <c r="AU523" s="103">
        <f t="shared" si="17"/>
        <v>0</v>
      </c>
    </row>
    <row r="524" spans="21:47" s="28" customFormat="1" x14ac:dyDescent="0.25">
      <c r="U524" s="103">
        <f t="shared" si="16"/>
        <v>0</v>
      </c>
      <c r="Y524" s="98"/>
      <c r="AU524" s="103">
        <f t="shared" si="17"/>
        <v>0</v>
      </c>
    </row>
    <row r="525" spans="21:47" s="28" customFormat="1" x14ac:dyDescent="0.25">
      <c r="U525" s="103">
        <f t="shared" si="16"/>
        <v>0</v>
      </c>
      <c r="Y525" s="98"/>
      <c r="AU525" s="103">
        <f t="shared" si="17"/>
        <v>0</v>
      </c>
    </row>
    <row r="526" spans="21:47" s="28" customFormat="1" x14ac:dyDescent="0.25">
      <c r="U526" s="103">
        <f t="shared" si="16"/>
        <v>0</v>
      </c>
      <c r="Y526" s="98"/>
      <c r="AU526" s="103">
        <f t="shared" si="17"/>
        <v>0</v>
      </c>
    </row>
    <row r="527" spans="21:47" s="28" customFormat="1" x14ac:dyDescent="0.25">
      <c r="U527" s="103">
        <f t="shared" si="16"/>
        <v>0</v>
      </c>
      <c r="Y527" s="98"/>
      <c r="AU527" s="103">
        <f t="shared" si="17"/>
        <v>0</v>
      </c>
    </row>
    <row r="528" spans="21:47" s="28" customFormat="1" x14ac:dyDescent="0.25">
      <c r="U528" s="103">
        <f t="shared" si="16"/>
        <v>0</v>
      </c>
      <c r="Y528" s="98"/>
      <c r="AU528" s="103">
        <f t="shared" si="17"/>
        <v>0</v>
      </c>
    </row>
    <row r="529" spans="21:47" s="28" customFormat="1" x14ac:dyDescent="0.25">
      <c r="U529" s="103">
        <f t="shared" si="16"/>
        <v>0</v>
      </c>
      <c r="Y529" s="98"/>
      <c r="AU529" s="103">
        <f t="shared" si="17"/>
        <v>0</v>
      </c>
    </row>
    <row r="530" spans="21:47" s="28" customFormat="1" x14ac:dyDescent="0.25">
      <c r="U530" s="103">
        <f t="shared" si="16"/>
        <v>0</v>
      </c>
      <c r="Y530" s="98"/>
      <c r="AU530" s="103">
        <f t="shared" si="17"/>
        <v>0</v>
      </c>
    </row>
    <row r="531" spans="21:47" s="28" customFormat="1" x14ac:dyDescent="0.25">
      <c r="U531" s="103">
        <f t="shared" si="16"/>
        <v>0</v>
      </c>
      <c r="Y531" s="98"/>
      <c r="AU531" s="103">
        <f t="shared" si="17"/>
        <v>0</v>
      </c>
    </row>
    <row r="532" spans="21:47" s="28" customFormat="1" x14ac:dyDescent="0.25">
      <c r="U532" s="103">
        <f t="shared" si="16"/>
        <v>0</v>
      </c>
      <c r="Y532" s="98"/>
      <c r="AU532" s="103">
        <f t="shared" si="17"/>
        <v>0</v>
      </c>
    </row>
    <row r="533" spans="21:47" s="28" customFormat="1" x14ac:dyDescent="0.25">
      <c r="U533" s="103">
        <f t="shared" si="16"/>
        <v>0</v>
      </c>
      <c r="Y533" s="98"/>
      <c r="AU533" s="103">
        <f t="shared" si="17"/>
        <v>0</v>
      </c>
    </row>
    <row r="534" spans="21:47" s="28" customFormat="1" x14ac:dyDescent="0.25">
      <c r="U534" s="103">
        <f t="shared" si="16"/>
        <v>0</v>
      </c>
      <c r="Y534" s="98"/>
      <c r="AU534" s="103">
        <f t="shared" si="17"/>
        <v>0</v>
      </c>
    </row>
    <row r="535" spans="21:47" s="28" customFormat="1" x14ac:dyDescent="0.25">
      <c r="U535" s="103">
        <f t="shared" si="16"/>
        <v>0</v>
      </c>
      <c r="Y535" s="98"/>
      <c r="AU535" s="103">
        <f t="shared" si="17"/>
        <v>0</v>
      </c>
    </row>
    <row r="536" spans="21:47" s="28" customFormat="1" x14ac:dyDescent="0.25">
      <c r="U536" s="103">
        <f t="shared" si="16"/>
        <v>0</v>
      </c>
      <c r="Y536" s="98"/>
      <c r="AU536" s="103">
        <f t="shared" si="17"/>
        <v>0</v>
      </c>
    </row>
    <row r="537" spans="21:47" s="28" customFormat="1" x14ac:dyDescent="0.25">
      <c r="U537" s="103">
        <f t="shared" si="16"/>
        <v>0</v>
      </c>
      <c r="Y537" s="98"/>
      <c r="AU537" s="103">
        <f t="shared" si="17"/>
        <v>0</v>
      </c>
    </row>
    <row r="538" spans="21:47" s="28" customFormat="1" x14ac:dyDescent="0.25">
      <c r="U538" s="103">
        <f t="shared" si="16"/>
        <v>0</v>
      </c>
      <c r="Y538" s="98"/>
      <c r="AU538" s="103">
        <f t="shared" si="17"/>
        <v>0</v>
      </c>
    </row>
    <row r="539" spans="21:47" s="28" customFormat="1" x14ac:dyDescent="0.25">
      <c r="U539" s="103">
        <f t="shared" si="16"/>
        <v>0</v>
      </c>
      <c r="Y539" s="98"/>
      <c r="AU539" s="103">
        <f t="shared" si="17"/>
        <v>0</v>
      </c>
    </row>
    <row r="540" spans="21:47" s="28" customFormat="1" x14ac:dyDescent="0.25">
      <c r="U540" s="103">
        <f t="shared" si="16"/>
        <v>0</v>
      </c>
      <c r="Y540" s="98"/>
      <c r="AU540" s="103">
        <f t="shared" si="17"/>
        <v>0</v>
      </c>
    </row>
    <row r="541" spans="21:47" s="28" customFormat="1" x14ac:dyDescent="0.25">
      <c r="U541" s="103">
        <f t="shared" si="16"/>
        <v>0</v>
      </c>
      <c r="Y541" s="98"/>
      <c r="AU541" s="103">
        <f t="shared" si="17"/>
        <v>0</v>
      </c>
    </row>
    <row r="542" spans="21:47" s="28" customFormat="1" x14ac:dyDescent="0.25">
      <c r="U542" s="103">
        <f t="shared" si="16"/>
        <v>0</v>
      </c>
      <c r="Y542" s="98"/>
      <c r="AU542" s="103">
        <f t="shared" si="17"/>
        <v>0</v>
      </c>
    </row>
    <row r="543" spans="21:47" s="28" customFormat="1" x14ac:dyDescent="0.25">
      <c r="U543" s="103">
        <f t="shared" si="16"/>
        <v>0</v>
      </c>
      <c r="Y543" s="98"/>
      <c r="AU543" s="103">
        <f t="shared" si="17"/>
        <v>0</v>
      </c>
    </row>
    <row r="544" spans="21:47" s="28" customFormat="1" x14ac:dyDescent="0.25">
      <c r="U544" s="103">
        <f t="shared" si="16"/>
        <v>0</v>
      </c>
      <c r="Y544" s="98"/>
      <c r="AU544" s="103">
        <f t="shared" si="17"/>
        <v>0</v>
      </c>
    </row>
    <row r="545" spans="21:47" s="28" customFormat="1" x14ac:dyDescent="0.25">
      <c r="U545" s="103">
        <f t="shared" si="16"/>
        <v>0</v>
      </c>
      <c r="Y545" s="98"/>
      <c r="AU545" s="103">
        <f t="shared" si="17"/>
        <v>0</v>
      </c>
    </row>
    <row r="546" spans="21:47" s="28" customFormat="1" x14ac:dyDescent="0.25">
      <c r="U546" s="103">
        <f t="shared" si="16"/>
        <v>0</v>
      </c>
      <c r="Y546" s="98"/>
      <c r="AU546" s="103">
        <f t="shared" si="17"/>
        <v>0</v>
      </c>
    </row>
    <row r="547" spans="21:47" s="28" customFormat="1" x14ac:dyDescent="0.25">
      <c r="U547" s="103">
        <f t="shared" si="16"/>
        <v>0</v>
      </c>
      <c r="Y547" s="98"/>
      <c r="AU547" s="103">
        <f t="shared" si="17"/>
        <v>0</v>
      </c>
    </row>
    <row r="548" spans="21:47" s="28" customFormat="1" x14ac:dyDescent="0.25">
      <c r="U548" s="103">
        <f t="shared" si="16"/>
        <v>0</v>
      </c>
      <c r="Y548" s="98"/>
      <c r="AU548" s="103">
        <f t="shared" si="17"/>
        <v>0</v>
      </c>
    </row>
    <row r="549" spans="21:47" s="28" customFormat="1" x14ac:dyDescent="0.25">
      <c r="U549" s="103">
        <f t="shared" si="16"/>
        <v>0</v>
      </c>
      <c r="Y549" s="98"/>
      <c r="AU549" s="103">
        <f t="shared" si="17"/>
        <v>0</v>
      </c>
    </row>
    <row r="550" spans="21:47" s="28" customFormat="1" x14ac:dyDescent="0.25">
      <c r="U550" s="103">
        <f t="shared" si="16"/>
        <v>0</v>
      </c>
      <c r="Y550" s="98"/>
      <c r="AU550" s="103">
        <f t="shared" si="17"/>
        <v>0</v>
      </c>
    </row>
    <row r="551" spans="21:47" s="28" customFormat="1" x14ac:dyDescent="0.25">
      <c r="U551" s="103">
        <f t="shared" si="16"/>
        <v>0</v>
      </c>
      <c r="Y551" s="98"/>
      <c r="AU551" s="103">
        <f t="shared" si="17"/>
        <v>0</v>
      </c>
    </row>
    <row r="552" spans="21:47" s="28" customFormat="1" x14ac:dyDescent="0.25">
      <c r="U552" s="103">
        <f t="shared" si="16"/>
        <v>0</v>
      </c>
      <c r="Y552" s="98"/>
      <c r="AU552" s="103">
        <f t="shared" si="17"/>
        <v>0</v>
      </c>
    </row>
    <row r="553" spans="21:47" s="28" customFormat="1" x14ac:dyDescent="0.25">
      <c r="U553" s="103">
        <f t="shared" si="16"/>
        <v>0</v>
      </c>
      <c r="Y553" s="98"/>
      <c r="AU553" s="103">
        <f t="shared" si="17"/>
        <v>0</v>
      </c>
    </row>
    <row r="554" spans="21:47" s="28" customFormat="1" x14ac:dyDescent="0.25">
      <c r="U554" s="103">
        <f t="shared" si="16"/>
        <v>0</v>
      </c>
      <c r="Y554" s="98"/>
      <c r="AU554" s="103">
        <f t="shared" si="17"/>
        <v>0</v>
      </c>
    </row>
    <row r="555" spans="21:47" s="28" customFormat="1" x14ac:dyDescent="0.25">
      <c r="U555" s="103">
        <f t="shared" si="16"/>
        <v>0</v>
      </c>
      <c r="Y555" s="98"/>
      <c r="AU555" s="103">
        <f t="shared" si="17"/>
        <v>0</v>
      </c>
    </row>
    <row r="556" spans="21:47" s="28" customFormat="1" x14ac:dyDescent="0.25">
      <c r="U556" s="103">
        <f t="shared" si="16"/>
        <v>0</v>
      </c>
      <c r="Y556" s="98"/>
      <c r="AU556" s="103">
        <f t="shared" si="17"/>
        <v>0</v>
      </c>
    </row>
    <row r="557" spans="21:47" s="28" customFormat="1" x14ac:dyDescent="0.25">
      <c r="U557" s="103">
        <f t="shared" si="16"/>
        <v>0</v>
      </c>
      <c r="Y557" s="98"/>
      <c r="AU557" s="103">
        <f t="shared" si="17"/>
        <v>0</v>
      </c>
    </row>
    <row r="558" spans="21:47" s="28" customFormat="1" x14ac:dyDescent="0.25">
      <c r="U558" s="103">
        <f t="shared" si="16"/>
        <v>0</v>
      </c>
      <c r="Y558" s="98"/>
      <c r="AU558" s="103">
        <f t="shared" si="17"/>
        <v>0</v>
      </c>
    </row>
    <row r="559" spans="21:47" s="28" customFormat="1" x14ac:dyDescent="0.25">
      <c r="U559" s="103">
        <f t="shared" si="16"/>
        <v>0</v>
      </c>
      <c r="Y559" s="98"/>
      <c r="AU559" s="103">
        <f t="shared" si="17"/>
        <v>0</v>
      </c>
    </row>
    <row r="560" spans="21:47" s="28" customFormat="1" x14ac:dyDescent="0.25">
      <c r="U560" s="103">
        <f t="shared" si="16"/>
        <v>0</v>
      </c>
      <c r="Y560" s="98"/>
      <c r="AU560" s="103">
        <f t="shared" si="17"/>
        <v>0</v>
      </c>
    </row>
    <row r="561" spans="21:47" s="28" customFormat="1" x14ac:dyDescent="0.25">
      <c r="U561" s="103">
        <f t="shared" si="16"/>
        <v>0</v>
      </c>
      <c r="Y561" s="98"/>
      <c r="AU561" s="103">
        <f t="shared" si="17"/>
        <v>0</v>
      </c>
    </row>
    <row r="562" spans="21:47" s="28" customFormat="1" x14ac:dyDescent="0.25">
      <c r="U562" s="103">
        <f t="shared" si="16"/>
        <v>0</v>
      </c>
      <c r="Y562" s="98"/>
      <c r="AU562" s="103">
        <f t="shared" si="17"/>
        <v>0</v>
      </c>
    </row>
    <row r="563" spans="21:47" s="28" customFormat="1" x14ac:dyDescent="0.25">
      <c r="U563" s="103">
        <f t="shared" si="16"/>
        <v>0</v>
      </c>
      <c r="Y563" s="98"/>
      <c r="AU563" s="103">
        <f t="shared" si="17"/>
        <v>0</v>
      </c>
    </row>
    <row r="564" spans="21:47" s="28" customFormat="1" x14ac:dyDescent="0.25">
      <c r="U564" s="103">
        <f t="shared" si="16"/>
        <v>0</v>
      </c>
      <c r="Y564" s="98"/>
      <c r="AU564" s="103">
        <f t="shared" si="17"/>
        <v>0</v>
      </c>
    </row>
    <row r="565" spans="21:47" s="28" customFormat="1" x14ac:dyDescent="0.25">
      <c r="U565" s="103">
        <f t="shared" si="16"/>
        <v>0</v>
      </c>
      <c r="Y565" s="98"/>
      <c r="AU565" s="103">
        <f t="shared" si="17"/>
        <v>0</v>
      </c>
    </row>
    <row r="566" spans="21:47" s="28" customFormat="1" x14ac:dyDescent="0.25">
      <c r="U566" s="103">
        <f t="shared" si="16"/>
        <v>0</v>
      </c>
      <c r="Y566" s="98"/>
      <c r="AU566" s="103">
        <f t="shared" si="17"/>
        <v>0</v>
      </c>
    </row>
    <row r="567" spans="21:47" s="28" customFormat="1" x14ac:dyDescent="0.25">
      <c r="U567" s="103">
        <f t="shared" si="16"/>
        <v>0</v>
      </c>
      <c r="Y567" s="98"/>
      <c r="AU567" s="103">
        <f t="shared" si="17"/>
        <v>0</v>
      </c>
    </row>
    <row r="568" spans="21:47" s="28" customFormat="1" x14ac:dyDescent="0.25">
      <c r="U568" s="103">
        <f t="shared" si="16"/>
        <v>0</v>
      </c>
      <c r="Y568" s="98"/>
      <c r="AU568" s="103">
        <f t="shared" si="17"/>
        <v>0</v>
      </c>
    </row>
    <row r="569" spans="21:47" s="28" customFormat="1" x14ac:dyDescent="0.25">
      <c r="U569" s="103">
        <f t="shared" si="16"/>
        <v>0</v>
      </c>
      <c r="Y569" s="98"/>
      <c r="AU569" s="103">
        <f t="shared" si="17"/>
        <v>0</v>
      </c>
    </row>
    <row r="570" spans="21:47" s="28" customFormat="1" x14ac:dyDescent="0.25">
      <c r="U570" s="103">
        <f t="shared" si="16"/>
        <v>0</v>
      </c>
      <c r="Y570" s="98"/>
      <c r="AU570" s="103">
        <f t="shared" si="17"/>
        <v>0</v>
      </c>
    </row>
    <row r="571" spans="21:47" s="28" customFormat="1" x14ac:dyDescent="0.25">
      <c r="U571" s="103">
        <f t="shared" ref="U571:U573" si="18">IF(R571="TruePositive",IF(D571&lt;&gt;1,N571,0),0)</f>
        <v>0</v>
      </c>
      <c r="Y571" s="98"/>
      <c r="AU571" s="103">
        <f t="shared" ref="AU571:AU573" si="19">IF(AQ571="TruePositive",IF(AC571&lt;&gt;1,AM571,0),0)</f>
        <v>0</v>
      </c>
    </row>
    <row r="572" spans="21:47" s="28" customFormat="1" x14ac:dyDescent="0.25">
      <c r="U572" s="103">
        <f t="shared" si="18"/>
        <v>0</v>
      </c>
      <c r="Y572" s="98"/>
      <c r="AU572" s="103">
        <f t="shared" si="19"/>
        <v>0</v>
      </c>
    </row>
    <row r="573" spans="21:47" s="28" customFormat="1" x14ac:dyDescent="0.25">
      <c r="U573" s="103">
        <f t="shared" si="18"/>
        <v>0</v>
      </c>
      <c r="Y573" s="98"/>
      <c r="AU573" s="103">
        <f t="shared" si="19"/>
        <v>0</v>
      </c>
    </row>
    <row r="574" spans="21:47" s="28" customFormat="1" x14ac:dyDescent="0.25">
      <c r="Y574" s="98"/>
    </row>
    <row r="575" spans="21:47" s="28" customFormat="1" x14ac:dyDescent="0.25">
      <c r="Y575" s="98"/>
    </row>
    <row r="576" spans="21:47" s="28" customFormat="1" x14ac:dyDescent="0.25">
      <c r="Y576" s="98"/>
    </row>
    <row r="577" spans="25:25" s="28" customFormat="1" x14ac:dyDescent="0.25">
      <c r="Y577" s="98"/>
    </row>
    <row r="578" spans="25:25" s="28" customFormat="1" x14ac:dyDescent="0.25">
      <c r="Y578" s="98"/>
    </row>
    <row r="579" spans="25:25" s="28" customFormat="1" x14ac:dyDescent="0.25">
      <c r="Y579" s="98"/>
    </row>
    <row r="580" spans="25:25" s="28" customFormat="1" x14ac:dyDescent="0.25">
      <c r="Y580" s="98"/>
    </row>
    <row r="581" spans="25:25" s="28" customFormat="1" x14ac:dyDescent="0.25">
      <c r="Y581" s="98"/>
    </row>
    <row r="582" spans="25:25" s="28" customFormat="1" x14ac:dyDescent="0.25">
      <c r="Y582" s="98"/>
    </row>
    <row r="583" spans="25:25" s="28" customFormat="1" x14ac:dyDescent="0.25">
      <c r="Y583" s="98"/>
    </row>
    <row r="584" spans="25:25" s="28" customFormat="1" x14ac:dyDescent="0.25">
      <c r="Y584" s="98"/>
    </row>
    <row r="585" spans="25:25" s="28" customFormat="1" x14ac:dyDescent="0.25">
      <c r="Y585" s="98"/>
    </row>
    <row r="586" spans="25:25" s="28" customFormat="1" x14ac:dyDescent="0.25">
      <c r="Y586" s="98"/>
    </row>
    <row r="587" spans="25:25" s="28" customFormat="1" x14ac:dyDescent="0.25">
      <c r="Y587" s="98"/>
    </row>
    <row r="588" spans="25:25" s="28" customFormat="1" x14ac:dyDescent="0.25">
      <c r="Y588" s="98"/>
    </row>
    <row r="589" spans="25:25" s="28" customFormat="1" x14ac:dyDescent="0.25">
      <c r="Y589" s="98"/>
    </row>
    <row r="590" spans="25:25" s="28" customFormat="1" x14ac:dyDescent="0.25">
      <c r="Y590" s="98"/>
    </row>
    <row r="591" spans="25:25" s="28" customFormat="1" x14ac:dyDescent="0.25">
      <c r="Y591" s="98"/>
    </row>
    <row r="592" spans="25:25" s="28" customFormat="1" x14ac:dyDescent="0.25">
      <c r="Y592" s="98"/>
    </row>
    <row r="593" spans="1:25" s="28" customFormat="1" x14ac:dyDescent="0.25">
      <c r="Y593" s="98"/>
    </row>
    <row r="594" spans="1:25" s="28" customFormat="1" x14ac:dyDescent="0.25">
      <c r="Y594" s="98"/>
    </row>
    <row r="595" spans="1:25" s="28" customFormat="1" x14ac:dyDescent="0.25">
      <c r="Y595" s="98"/>
    </row>
    <row r="596" spans="1:25" s="28" customFormat="1" x14ac:dyDescent="0.25">
      <c r="Y596" s="98"/>
    </row>
    <row r="597" spans="1:25" s="28" customFormat="1" x14ac:dyDescent="0.25">
      <c r="Y597" s="98"/>
    </row>
    <row r="598" spans="1:25" s="28" customFormat="1" x14ac:dyDescent="0.25">
      <c r="Y598" s="98"/>
    </row>
    <row r="599" spans="1:25" s="28" customFormat="1" x14ac:dyDescent="0.25">
      <c r="Y599" s="98"/>
    </row>
    <row r="600" spans="1:25" s="28" customFormat="1" x14ac:dyDescent="0.25">
      <c r="Y600" s="98"/>
    </row>
    <row r="601" spans="1:25" s="28" customFormat="1" x14ac:dyDescent="0.25">
      <c r="Y601" s="98"/>
    </row>
    <row r="602" spans="1:25" s="28" customFormat="1" x14ac:dyDescent="0.25">
      <c r="Y602" s="98"/>
    </row>
    <row r="603" spans="1:25" s="28" customFormat="1" x14ac:dyDescent="0.25">
      <c r="Y603" s="98"/>
    </row>
    <row r="604" spans="1:25" s="28" customFormat="1" x14ac:dyDescent="0.25">
      <c r="Y604" s="98"/>
    </row>
    <row r="605" spans="1:25" s="28" customFormat="1" x14ac:dyDescent="0.25">
      <c r="Y605" s="98"/>
    </row>
    <row r="606" spans="1:25" s="28" customFormat="1" x14ac:dyDescent="0.25">
      <c r="Y606" s="98"/>
    </row>
    <row r="607" spans="1:25" s="64" customFormat="1" x14ac:dyDescent="0.25">
      <c r="A607" s="63"/>
      <c r="S607" s="28"/>
      <c r="Y607" s="99"/>
    </row>
    <row r="608" spans="1:25" s="64" customFormat="1" x14ac:dyDescent="0.25">
      <c r="A608" s="63"/>
      <c r="S608" s="28"/>
      <c r="Y608" s="99"/>
    </row>
    <row r="609" spans="1:25" s="64" customFormat="1" x14ac:dyDescent="0.25">
      <c r="A609" s="63"/>
      <c r="S609" s="28"/>
      <c r="Y609" s="99"/>
    </row>
    <row r="610" spans="1:25" s="64" customFormat="1" x14ac:dyDescent="0.25">
      <c r="A610" s="63"/>
      <c r="S610" s="28"/>
      <c r="Y610" s="99"/>
    </row>
    <row r="611" spans="1:25" s="64" customFormat="1" x14ac:dyDescent="0.25">
      <c r="A611" s="63"/>
      <c r="S611" s="28"/>
      <c r="Y611" s="99"/>
    </row>
    <row r="612" spans="1:25" s="64" customFormat="1" x14ac:dyDescent="0.25">
      <c r="A612" s="63"/>
      <c r="S612" s="28"/>
      <c r="Y612" s="99"/>
    </row>
    <row r="613" spans="1:25" s="64" customFormat="1" x14ac:dyDescent="0.25">
      <c r="A613" s="63"/>
      <c r="S613" s="28"/>
      <c r="Y613" s="99"/>
    </row>
    <row r="614" spans="1:25" s="64" customFormat="1" x14ac:dyDescent="0.25">
      <c r="A614" s="63"/>
      <c r="S614" s="28"/>
      <c r="Y614" s="99"/>
    </row>
    <row r="615" spans="1:25" s="64" customFormat="1" x14ac:dyDescent="0.25">
      <c r="A615" s="63"/>
      <c r="S615" s="28"/>
      <c r="Y615" s="99"/>
    </row>
    <row r="616" spans="1:25" s="64" customFormat="1" x14ac:dyDescent="0.25">
      <c r="A616" s="63"/>
      <c r="S616" s="28"/>
      <c r="Y616" s="99"/>
    </row>
    <row r="617" spans="1:25" s="64" customFormat="1" x14ac:dyDescent="0.25">
      <c r="A617" s="63"/>
      <c r="S617" s="28"/>
      <c r="Y617" s="99"/>
    </row>
    <row r="618" spans="1:25" s="64" customFormat="1" x14ac:dyDescent="0.25">
      <c r="A618" s="63"/>
      <c r="S618" s="28"/>
      <c r="Y618" s="99"/>
    </row>
    <row r="619" spans="1:25" s="64" customFormat="1" x14ac:dyDescent="0.25">
      <c r="A619" s="63"/>
      <c r="S619" s="28"/>
      <c r="Y619" s="99"/>
    </row>
    <row r="620" spans="1:25" s="64" customFormat="1" x14ac:dyDescent="0.25">
      <c r="A620" s="63"/>
      <c r="S620" s="28"/>
      <c r="Y620" s="99"/>
    </row>
    <row r="621" spans="1:25" s="64" customFormat="1" x14ac:dyDescent="0.25">
      <c r="A621" s="63"/>
      <c r="S621" s="28"/>
      <c r="Y621" s="99"/>
    </row>
    <row r="622" spans="1:25" s="64" customFormat="1" x14ac:dyDescent="0.25">
      <c r="A622" s="63"/>
      <c r="S622" s="28"/>
      <c r="Y622" s="99"/>
    </row>
    <row r="623" spans="1:25" s="64" customFormat="1" x14ac:dyDescent="0.25">
      <c r="A623" s="63"/>
      <c r="S623" s="28"/>
      <c r="Y623" s="99"/>
    </row>
    <row r="624" spans="1:25" s="64" customFormat="1" x14ac:dyDescent="0.25">
      <c r="A624" s="63"/>
      <c r="S624" s="28"/>
      <c r="Y624" s="99"/>
    </row>
    <row r="625" spans="1:43" s="64" customFormat="1" x14ac:dyDescent="0.25">
      <c r="A625" s="63"/>
      <c r="S625" s="28"/>
      <c r="Y625" s="99"/>
    </row>
    <row r="626" spans="1:43" s="64" customFormat="1" x14ac:dyDescent="0.25">
      <c r="A626" s="63"/>
      <c r="S626" s="28"/>
      <c r="Y626" s="99"/>
    </row>
    <row r="627" spans="1:43" x14ac:dyDescent="0.25">
      <c r="A627" s="63"/>
      <c r="B627" s="64"/>
      <c r="C627" s="64"/>
      <c r="D627" s="64"/>
      <c r="E627" s="64"/>
      <c r="F627" s="64"/>
      <c r="G627" s="64"/>
      <c r="H627" s="64"/>
      <c r="I627" s="64"/>
      <c r="J627" s="64"/>
      <c r="K627" s="64"/>
      <c r="L627" s="64"/>
      <c r="M627" s="64"/>
      <c r="N627" s="64"/>
      <c r="O627" s="64"/>
      <c r="P627" s="64"/>
      <c r="Q627" s="64"/>
      <c r="R627" s="64"/>
      <c r="S627" s="28"/>
      <c r="T627" s="64"/>
      <c r="U627" s="64"/>
      <c r="Y627" s="99"/>
      <c r="Z627" s="64"/>
      <c r="AA627" s="64"/>
      <c r="AB627" s="64"/>
      <c r="AC627" s="64"/>
      <c r="AD627" s="64"/>
      <c r="AE627" s="64"/>
      <c r="AF627" s="64"/>
      <c r="AG627" s="64"/>
      <c r="AH627" s="64"/>
      <c r="AI627" s="64"/>
      <c r="AJ627" s="64"/>
      <c r="AK627" s="64"/>
      <c r="AL627" s="64"/>
      <c r="AM627" s="64"/>
      <c r="AN627" s="64"/>
      <c r="AO627" s="64"/>
      <c r="AP627" s="64"/>
      <c r="AQ627" s="64"/>
    </row>
    <row r="628" spans="1:43" x14ac:dyDescent="0.25">
      <c r="A628" s="63"/>
      <c r="B628" s="64"/>
      <c r="C628" s="64"/>
      <c r="D628" s="64"/>
      <c r="E628" s="64"/>
      <c r="F628" s="64"/>
      <c r="G628" s="64"/>
      <c r="H628" s="64"/>
      <c r="I628" s="64"/>
      <c r="J628" s="64"/>
      <c r="K628" s="64"/>
      <c r="L628" s="64"/>
      <c r="M628" s="64"/>
      <c r="N628" s="64"/>
      <c r="O628" s="64"/>
      <c r="P628" s="64"/>
      <c r="Q628" s="64"/>
      <c r="R628" s="64"/>
      <c r="S628" s="28"/>
      <c r="Y628" s="99"/>
      <c r="Z628" s="64"/>
    </row>
    <row r="629" spans="1:43" x14ac:dyDescent="0.25">
      <c r="A629" s="63"/>
      <c r="B629" s="64"/>
      <c r="C629" s="64"/>
      <c r="D629" s="64"/>
      <c r="E629" s="64"/>
      <c r="F629" s="64"/>
      <c r="G629" s="64"/>
      <c r="H629" s="64"/>
      <c r="I629" s="64"/>
      <c r="J629" s="64"/>
      <c r="K629" s="64"/>
      <c r="L629" s="64"/>
      <c r="M629" s="64"/>
      <c r="N629" s="64"/>
      <c r="O629" s="64"/>
      <c r="P629" s="64"/>
      <c r="Q629" s="64"/>
      <c r="R629" s="64"/>
      <c r="S629" s="28"/>
      <c r="Y629" s="99"/>
      <c r="Z629" s="64"/>
    </row>
    <row r="630" spans="1:43" x14ac:dyDescent="0.25">
      <c r="A630" s="63"/>
      <c r="B630" s="64"/>
      <c r="C630" s="64"/>
      <c r="D630" s="64"/>
      <c r="E630" s="64"/>
      <c r="F630" s="64"/>
      <c r="G630" s="64"/>
      <c r="H630" s="64"/>
      <c r="I630" s="64"/>
      <c r="J630" s="64"/>
      <c r="K630" s="64"/>
      <c r="L630" s="64"/>
      <c r="M630" s="64"/>
      <c r="N630" s="64"/>
      <c r="O630" s="64"/>
      <c r="P630" s="64"/>
      <c r="Q630" s="64"/>
      <c r="R630" s="64"/>
      <c r="S630" s="28"/>
      <c r="Y630" s="99"/>
      <c r="Z630" s="64"/>
    </row>
    <row r="631" spans="1:43" x14ac:dyDescent="0.25">
      <c r="A631" s="63"/>
      <c r="B631" s="64"/>
      <c r="C631" s="64"/>
      <c r="D631" s="64"/>
      <c r="E631" s="64"/>
      <c r="F631" s="64"/>
      <c r="G631" s="64"/>
      <c r="H631" s="64"/>
      <c r="I631" s="64"/>
      <c r="J631" s="64"/>
      <c r="K631" s="64"/>
      <c r="L631" s="64"/>
      <c r="M631" s="64"/>
      <c r="N631" s="64"/>
      <c r="O631" s="64"/>
      <c r="P631" s="64"/>
      <c r="Q631" s="64"/>
      <c r="R631" s="64"/>
      <c r="S631" s="28"/>
      <c r="Y631" s="99"/>
      <c r="Z631" s="64"/>
    </row>
    <row r="632" spans="1:43" x14ac:dyDescent="0.25">
      <c r="A632" s="63"/>
      <c r="B632" s="64"/>
      <c r="C632" s="64"/>
      <c r="D632" s="64"/>
      <c r="E632" s="64"/>
      <c r="F632" s="64"/>
      <c r="G632" s="64"/>
      <c r="H632" s="64"/>
      <c r="I632" s="64"/>
      <c r="J632" s="64"/>
      <c r="K632" s="64"/>
      <c r="L632" s="64"/>
      <c r="M632" s="64"/>
      <c r="N632" s="64"/>
      <c r="O632" s="64"/>
      <c r="P632" s="64"/>
      <c r="Q632" s="64"/>
      <c r="R632" s="64"/>
      <c r="S632" s="28"/>
      <c r="Y632" s="99"/>
      <c r="Z632" s="64"/>
    </row>
    <row r="633" spans="1:43" x14ac:dyDescent="0.25">
      <c r="A633" s="63"/>
      <c r="B633" s="64"/>
      <c r="C633" s="64"/>
      <c r="D633" s="64"/>
      <c r="E633" s="64"/>
      <c r="F633" s="64"/>
      <c r="G633" s="64"/>
      <c r="H633" s="64"/>
      <c r="I633" s="64"/>
      <c r="J633" s="64"/>
      <c r="K633" s="64"/>
      <c r="L633" s="64"/>
      <c r="M633" s="64"/>
      <c r="N633" s="64"/>
      <c r="O633" s="64"/>
      <c r="P633" s="64"/>
      <c r="Q633" s="64"/>
      <c r="R633" s="64"/>
      <c r="S633" s="28"/>
      <c r="Y633" s="99"/>
      <c r="Z633" s="64"/>
    </row>
    <row r="634" spans="1:43" x14ac:dyDescent="0.25">
      <c r="A634" s="63"/>
      <c r="B634" s="64"/>
      <c r="C634" s="64"/>
      <c r="D634" s="64"/>
      <c r="E634" s="64"/>
      <c r="F634" s="64"/>
      <c r="G634" s="64"/>
      <c r="H634" s="64"/>
      <c r="I634" s="64"/>
      <c r="J634" s="64"/>
      <c r="K634" s="64"/>
      <c r="L634" s="64"/>
      <c r="M634" s="64"/>
      <c r="N634" s="64"/>
      <c r="O634" s="64"/>
      <c r="P634" s="64"/>
      <c r="Q634" s="64"/>
      <c r="R634" s="64"/>
      <c r="S634" s="28"/>
      <c r="Y634" s="99"/>
      <c r="Z634" s="64"/>
    </row>
    <row r="635" spans="1:43" x14ac:dyDescent="0.25">
      <c r="A635" s="63"/>
      <c r="B635" s="64"/>
      <c r="C635" s="64"/>
      <c r="D635" s="64"/>
      <c r="E635" s="64"/>
      <c r="F635" s="64"/>
      <c r="G635" s="64"/>
      <c r="H635" s="64"/>
      <c r="I635" s="64"/>
      <c r="J635" s="64"/>
      <c r="K635" s="64"/>
      <c r="L635" s="64"/>
      <c r="M635" s="64"/>
      <c r="N635" s="64"/>
      <c r="O635" s="64"/>
      <c r="P635" s="64"/>
      <c r="Q635" s="64"/>
      <c r="R635" s="64"/>
      <c r="S635" s="28"/>
      <c r="Y635" s="99"/>
      <c r="Z635" s="64"/>
    </row>
    <row r="636" spans="1:43" x14ac:dyDescent="0.25">
      <c r="A636" s="63"/>
      <c r="B636" s="64"/>
      <c r="C636" s="64"/>
      <c r="D636" s="64"/>
      <c r="E636" s="64"/>
      <c r="F636" s="64"/>
      <c r="G636" s="64"/>
      <c r="H636" s="64"/>
      <c r="I636" s="64"/>
      <c r="J636" s="64"/>
      <c r="K636" s="64"/>
      <c r="L636" s="64"/>
      <c r="M636" s="64"/>
      <c r="N636" s="64"/>
      <c r="O636" s="64"/>
      <c r="P636" s="64"/>
      <c r="Q636" s="64"/>
      <c r="R636" s="64"/>
      <c r="S636" s="28"/>
      <c r="Y636" s="99"/>
      <c r="Z636" s="64"/>
    </row>
    <row r="637" spans="1:43" x14ac:dyDescent="0.25">
      <c r="A637" s="63"/>
      <c r="B637" s="64"/>
      <c r="C637" s="64"/>
      <c r="D637" s="64"/>
      <c r="E637" s="64"/>
      <c r="F637" s="64"/>
      <c r="G637" s="64"/>
      <c r="H637" s="64"/>
      <c r="I637" s="64"/>
      <c r="J637" s="64"/>
      <c r="K637" s="64"/>
      <c r="L637" s="64"/>
      <c r="M637" s="64"/>
      <c r="N637" s="64"/>
      <c r="O637" s="64"/>
      <c r="P637" s="64"/>
      <c r="Q637" s="64"/>
      <c r="R637" s="64"/>
      <c r="S637" s="28"/>
      <c r="Y637" s="99"/>
      <c r="Z637" s="64"/>
    </row>
    <row r="638" spans="1:43" x14ac:dyDescent="0.25">
      <c r="A638" s="63"/>
      <c r="B638" s="64"/>
      <c r="C638" s="64"/>
      <c r="D638" s="64"/>
      <c r="E638" s="64"/>
      <c r="F638" s="64"/>
      <c r="G638" s="64"/>
      <c r="H638" s="64"/>
      <c r="I638" s="64"/>
      <c r="J638" s="64"/>
      <c r="K638" s="64"/>
      <c r="L638" s="64"/>
      <c r="M638" s="64"/>
      <c r="N638" s="64"/>
      <c r="O638" s="64"/>
      <c r="P638" s="64"/>
      <c r="Q638" s="64"/>
      <c r="R638" s="64"/>
      <c r="S638" s="28"/>
      <c r="Y638" s="99"/>
      <c r="Z638" s="64"/>
    </row>
    <row r="639" spans="1:43" x14ac:dyDescent="0.25">
      <c r="A639" s="63"/>
      <c r="B639" s="64"/>
      <c r="C639" s="64"/>
      <c r="D639" s="64"/>
      <c r="E639" s="64"/>
      <c r="F639" s="64"/>
      <c r="G639" s="64"/>
      <c r="H639" s="64"/>
      <c r="I639" s="64"/>
      <c r="J639" s="64"/>
      <c r="K639" s="64"/>
      <c r="L639" s="64"/>
      <c r="M639" s="64"/>
      <c r="N639" s="64"/>
      <c r="O639" s="64"/>
      <c r="P639" s="64"/>
      <c r="Q639" s="64"/>
      <c r="R639" s="64"/>
      <c r="S639" s="28"/>
      <c r="Y639" s="99"/>
      <c r="Z639" s="64"/>
    </row>
    <row r="640" spans="1:43" x14ac:dyDescent="0.25">
      <c r="A640" s="63"/>
      <c r="B640" s="64"/>
      <c r="C640" s="64"/>
      <c r="D640" s="64"/>
      <c r="E640" s="64"/>
      <c r="F640" s="64"/>
      <c r="G640" s="64"/>
      <c r="H640" s="64"/>
      <c r="I640" s="64"/>
      <c r="J640" s="64"/>
      <c r="K640" s="64"/>
      <c r="L640" s="64"/>
      <c r="M640" s="64"/>
      <c r="N640" s="64"/>
      <c r="O640" s="64"/>
      <c r="P640" s="64"/>
      <c r="Q640" s="64"/>
      <c r="R640" s="64"/>
      <c r="S640" s="28"/>
      <c r="Y640" s="99"/>
      <c r="Z640" s="64"/>
    </row>
    <row r="641" spans="1:26" x14ac:dyDescent="0.25">
      <c r="A641" s="63"/>
      <c r="B641" s="64"/>
      <c r="C641" s="64"/>
      <c r="D641" s="64"/>
      <c r="E641" s="64"/>
      <c r="F641" s="64"/>
      <c r="G641" s="64"/>
      <c r="H641" s="64"/>
      <c r="I641" s="64"/>
      <c r="J641" s="64"/>
      <c r="K641" s="64"/>
      <c r="L641" s="64"/>
      <c r="M641" s="64"/>
      <c r="N641" s="64"/>
      <c r="O641" s="64"/>
      <c r="P641" s="64"/>
      <c r="Q641" s="64"/>
      <c r="R641" s="64"/>
      <c r="S641" s="28"/>
      <c r="Y641" s="99"/>
      <c r="Z641" s="64"/>
    </row>
    <row r="642" spans="1:26" x14ac:dyDescent="0.25">
      <c r="A642" s="63"/>
      <c r="B642" s="64"/>
      <c r="C642" s="64"/>
      <c r="D642" s="64"/>
      <c r="E642" s="64"/>
      <c r="F642" s="64"/>
      <c r="G642" s="64"/>
      <c r="H642" s="64"/>
      <c r="I642" s="64"/>
      <c r="J642" s="64"/>
      <c r="K642" s="64"/>
      <c r="L642" s="64"/>
      <c r="M642" s="64"/>
      <c r="N642" s="64"/>
      <c r="O642" s="64"/>
      <c r="P642" s="64"/>
      <c r="Q642" s="64"/>
      <c r="R642" s="64"/>
      <c r="S642" s="28"/>
      <c r="Y642" s="99"/>
      <c r="Z642" s="64"/>
    </row>
    <row r="643" spans="1:26" x14ac:dyDescent="0.25">
      <c r="A643" s="63"/>
      <c r="B643" s="64"/>
      <c r="C643" s="64"/>
      <c r="D643" s="64"/>
      <c r="E643" s="64"/>
      <c r="F643" s="64"/>
      <c r="G643" s="64"/>
      <c r="H643" s="64"/>
      <c r="I643" s="64"/>
      <c r="J643" s="64"/>
      <c r="K643" s="64"/>
      <c r="L643" s="64"/>
      <c r="M643" s="64"/>
      <c r="N643" s="64"/>
      <c r="O643" s="64"/>
      <c r="P643" s="64"/>
      <c r="Q643" s="64"/>
      <c r="R643" s="64"/>
      <c r="S643" s="28"/>
      <c r="Y643" s="99"/>
      <c r="Z643" s="64"/>
    </row>
    <row r="644" spans="1:26" x14ac:dyDescent="0.25">
      <c r="A644" s="63"/>
      <c r="B644" s="64"/>
      <c r="C644" s="64"/>
      <c r="D644" s="64"/>
      <c r="E644" s="64"/>
      <c r="F644" s="64"/>
      <c r="G644" s="64"/>
      <c r="H644" s="64"/>
      <c r="I644" s="64"/>
      <c r="J644" s="64"/>
      <c r="K644" s="64"/>
      <c r="L644" s="64"/>
      <c r="M644" s="64"/>
      <c r="N644" s="64"/>
      <c r="O644" s="64"/>
      <c r="P644" s="64"/>
      <c r="Q644" s="64"/>
      <c r="R644" s="64"/>
      <c r="S644" s="28"/>
      <c r="Y644" s="99"/>
      <c r="Z644" s="64"/>
    </row>
    <row r="645" spans="1:26" x14ac:dyDescent="0.25">
      <c r="A645" s="63"/>
      <c r="B645" s="64"/>
      <c r="C645" s="64"/>
      <c r="D645" s="64"/>
      <c r="E645" s="64"/>
      <c r="F645" s="64"/>
      <c r="G645" s="64"/>
      <c r="H645" s="64"/>
      <c r="I645" s="64"/>
      <c r="J645" s="64"/>
      <c r="K645" s="64"/>
      <c r="L645" s="64"/>
      <c r="M645" s="64"/>
      <c r="N645" s="64"/>
      <c r="O645" s="64"/>
      <c r="P645" s="64"/>
      <c r="Q645" s="64"/>
      <c r="R645" s="64"/>
      <c r="S645" s="28"/>
      <c r="Y645" s="99"/>
      <c r="Z645" s="64"/>
    </row>
    <row r="646" spans="1:26" x14ac:dyDescent="0.25">
      <c r="A646" s="63"/>
      <c r="B646" s="64"/>
      <c r="C646" s="64"/>
      <c r="D646" s="64"/>
      <c r="E646" s="64"/>
      <c r="F646" s="64"/>
      <c r="G646" s="64"/>
      <c r="H646" s="64"/>
      <c r="I646" s="64"/>
      <c r="J646" s="64"/>
      <c r="K646" s="64"/>
      <c r="L646" s="64"/>
      <c r="M646" s="64"/>
      <c r="N646" s="64"/>
      <c r="O646" s="64"/>
      <c r="P646" s="64"/>
      <c r="Q646" s="64"/>
      <c r="R646" s="64"/>
      <c r="S646" s="28"/>
      <c r="Y646" s="99"/>
      <c r="Z646" s="64"/>
    </row>
    <row r="647" spans="1:26" x14ac:dyDescent="0.25">
      <c r="A647" s="63"/>
      <c r="B647" s="64"/>
      <c r="C647" s="64"/>
      <c r="D647" s="64"/>
      <c r="E647" s="64"/>
      <c r="F647" s="64"/>
      <c r="G647" s="64"/>
      <c r="H647" s="64"/>
      <c r="I647" s="64"/>
      <c r="J647" s="64"/>
      <c r="K647" s="64"/>
      <c r="L647" s="64"/>
      <c r="M647" s="64"/>
      <c r="N647" s="64"/>
      <c r="O647" s="64"/>
      <c r="P647" s="64"/>
      <c r="Q647" s="64"/>
      <c r="R647" s="64"/>
      <c r="S647" s="28"/>
      <c r="Y647" s="99"/>
      <c r="Z647" s="64"/>
    </row>
    <row r="648" spans="1:26" x14ac:dyDescent="0.25">
      <c r="A648" s="63"/>
      <c r="B648" s="64"/>
      <c r="C648" s="64"/>
      <c r="D648" s="64"/>
      <c r="E648" s="64"/>
      <c r="F648" s="64"/>
      <c r="G648" s="64"/>
      <c r="H648" s="64"/>
      <c r="I648" s="64"/>
      <c r="J648" s="64"/>
      <c r="K648" s="64"/>
      <c r="L648" s="64"/>
      <c r="M648" s="64"/>
      <c r="N648" s="64"/>
      <c r="O648" s="64"/>
      <c r="P648" s="64"/>
      <c r="Q648" s="64"/>
      <c r="R648" s="64"/>
      <c r="S648" s="28"/>
      <c r="Y648" s="99"/>
      <c r="Z648" s="64"/>
    </row>
    <row r="649" spans="1:26" x14ac:dyDescent="0.25">
      <c r="A649" s="63"/>
      <c r="B649" s="64"/>
      <c r="C649" s="64"/>
      <c r="D649" s="64"/>
      <c r="E649" s="64"/>
      <c r="F649" s="64"/>
      <c r="G649" s="64"/>
      <c r="H649" s="64"/>
      <c r="I649" s="64"/>
      <c r="J649" s="64"/>
      <c r="K649" s="64"/>
      <c r="L649" s="64"/>
      <c r="M649" s="64"/>
      <c r="N649" s="64"/>
      <c r="O649" s="64"/>
      <c r="P649" s="64"/>
      <c r="Q649" s="64"/>
      <c r="R649" s="64"/>
      <c r="S649" s="28"/>
      <c r="Y649" s="99"/>
      <c r="Z649" s="64"/>
    </row>
    <row r="650" spans="1:26" x14ac:dyDescent="0.25">
      <c r="A650" s="63"/>
      <c r="B650" s="64"/>
      <c r="C650" s="64"/>
      <c r="D650" s="64"/>
      <c r="E650" s="64"/>
      <c r="F650" s="64"/>
      <c r="G650" s="64"/>
      <c r="H650" s="64"/>
      <c r="I650" s="64"/>
      <c r="J650" s="64"/>
      <c r="K650" s="64"/>
      <c r="L650" s="64"/>
      <c r="M650" s="64"/>
      <c r="N650" s="64"/>
      <c r="O650" s="64"/>
      <c r="P650" s="64"/>
      <c r="Q650" s="64"/>
      <c r="R650" s="64"/>
      <c r="S650" s="28"/>
      <c r="Y650" s="99"/>
      <c r="Z650" s="64"/>
    </row>
    <row r="651" spans="1:26" x14ac:dyDescent="0.25">
      <c r="A651" s="63"/>
      <c r="B651" s="64"/>
      <c r="C651" s="64"/>
      <c r="D651" s="64"/>
      <c r="E651" s="64"/>
      <c r="F651" s="64"/>
      <c r="G651" s="64"/>
      <c r="H651" s="64"/>
      <c r="I651" s="64"/>
      <c r="J651" s="64"/>
      <c r="K651" s="64"/>
      <c r="L651" s="64"/>
      <c r="M651" s="64"/>
      <c r="N651" s="64"/>
      <c r="O651" s="64"/>
      <c r="P651" s="64"/>
      <c r="Q651" s="64"/>
      <c r="R651" s="64"/>
      <c r="S651" s="28"/>
      <c r="Y651" s="99"/>
      <c r="Z651" s="64"/>
    </row>
    <row r="652" spans="1:26" x14ac:dyDescent="0.25">
      <c r="A652" s="63"/>
      <c r="B652" s="64"/>
      <c r="C652" s="64"/>
      <c r="D652" s="64"/>
      <c r="E652" s="64"/>
      <c r="F652" s="64"/>
      <c r="G652" s="64"/>
      <c r="H652" s="64"/>
      <c r="I652" s="64"/>
      <c r="J652" s="64"/>
      <c r="K652" s="64"/>
      <c r="L652" s="64"/>
      <c r="M652" s="64"/>
      <c r="N652" s="64"/>
      <c r="O652" s="64"/>
      <c r="P652" s="64"/>
      <c r="Q652" s="64"/>
      <c r="R652" s="64"/>
      <c r="S652" s="28"/>
      <c r="Y652" s="99"/>
      <c r="Z652" s="64"/>
    </row>
    <row r="653" spans="1:26" x14ac:dyDescent="0.25">
      <c r="A653" s="63"/>
      <c r="B653" s="64"/>
      <c r="C653" s="64"/>
      <c r="D653" s="64"/>
      <c r="E653" s="64"/>
      <c r="F653" s="64"/>
      <c r="G653" s="64"/>
      <c r="H653" s="64"/>
      <c r="I653" s="64"/>
      <c r="J653" s="64"/>
      <c r="K653" s="64"/>
      <c r="L653" s="64"/>
      <c r="M653" s="64"/>
      <c r="N653" s="64"/>
      <c r="O653" s="64"/>
      <c r="P653" s="64"/>
      <c r="Q653" s="64"/>
      <c r="R653" s="64"/>
      <c r="S653" s="28"/>
      <c r="Y653" s="99"/>
      <c r="Z653" s="64"/>
    </row>
    <row r="654" spans="1:26" x14ac:dyDescent="0.25">
      <c r="A654" s="63"/>
      <c r="B654" s="64"/>
      <c r="C654" s="64"/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4"/>
      <c r="S654" s="28"/>
      <c r="Y654" s="99"/>
      <c r="Z654" s="64"/>
    </row>
    <row r="655" spans="1:26" x14ac:dyDescent="0.25">
      <c r="A655" s="63"/>
      <c r="B655" s="64"/>
      <c r="C655" s="64"/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4"/>
      <c r="S655" s="28"/>
      <c r="Y655" s="99"/>
      <c r="Z655" s="64"/>
    </row>
    <row r="656" spans="1:26" x14ac:dyDescent="0.25">
      <c r="A656" s="63"/>
      <c r="B656" s="64"/>
      <c r="C656" s="64"/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4"/>
      <c r="S656" s="28"/>
      <c r="Y656" s="99"/>
      <c r="Z656" s="64"/>
    </row>
    <row r="657" spans="1:26" x14ac:dyDescent="0.25">
      <c r="A657" s="63"/>
      <c r="B657" s="64"/>
      <c r="C657" s="64"/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4"/>
      <c r="S657" s="28"/>
      <c r="Y657" s="99"/>
      <c r="Z657" s="64"/>
    </row>
    <row r="658" spans="1:26" x14ac:dyDescent="0.25">
      <c r="A658" s="63"/>
      <c r="B658" s="64"/>
      <c r="C658" s="64"/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4"/>
      <c r="S658" s="28"/>
      <c r="Y658" s="99"/>
      <c r="Z658" s="64"/>
    </row>
    <row r="659" spans="1:26" x14ac:dyDescent="0.25">
      <c r="A659" s="63"/>
      <c r="B659" s="64"/>
      <c r="C659" s="64"/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4"/>
      <c r="S659" s="28"/>
      <c r="Y659" s="99"/>
      <c r="Z659" s="64"/>
    </row>
    <row r="660" spans="1:26" x14ac:dyDescent="0.25">
      <c r="A660" s="63"/>
      <c r="B660" s="64"/>
      <c r="C660" s="64"/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4"/>
      <c r="S660" s="28"/>
      <c r="Y660" s="99"/>
      <c r="Z660" s="64"/>
    </row>
    <row r="661" spans="1:26" x14ac:dyDescent="0.25">
      <c r="A661" s="63"/>
      <c r="B661" s="64"/>
      <c r="C661" s="64"/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4"/>
      <c r="S661" s="28"/>
      <c r="Y661" s="99"/>
      <c r="Z661" s="64"/>
    </row>
    <row r="662" spans="1:26" x14ac:dyDescent="0.25">
      <c r="A662" s="63"/>
      <c r="B662" s="64"/>
      <c r="C662" s="64"/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4"/>
      <c r="S662" s="28"/>
      <c r="Y662" s="99"/>
      <c r="Z662" s="64"/>
    </row>
    <row r="663" spans="1:26" x14ac:dyDescent="0.25">
      <c r="A663" s="63"/>
      <c r="B663" s="64"/>
      <c r="C663" s="64"/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4"/>
      <c r="S663" s="28"/>
      <c r="Y663" s="99"/>
      <c r="Z663" s="64"/>
    </row>
    <row r="664" spans="1:26" x14ac:dyDescent="0.25">
      <c r="A664" s="63"/>
      <c r="B664" s="64"/>
      <c r="C664" s="64"/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4"/>
      <c r="S664" s="28"/>
      <c r="Y664" s="99"/>
      <c r="Z664" s="64"/>
    </row>
    <row r="665" spans="1:26" x14ac:dyDescent="0.25">
      <c r="A665" s="63"/>
      <c r="B665" s="64"/>
      <c r="C665" s="64"/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4"/>
      <c r="S665" s="28"/>
      <c r="Y665" s="99"/>
      <c r="Z665" s="64"/>
    </row>
    <row r="666" spans="1:26" x14ac:dyDescent="0.25">
      <c r="A666" s="63"/>
      <c r="B666" s="64"/>
      <c r="C666" s="64"/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4"/>
      <c r="S666" s="28"/>
      <c r="Y666" s="99"/>
      <c r="Z666" s="64"/>
    </row>
    <row r="667" spans="1:26" x14ac:dyDescent="0.25">
      <c r="A667" s="63"/>
      <c r="B667" s="64"/>
      <c r="C667" s="64"/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4"/>
      <c r="S667" s="28"/>
      <c r="Y667" s="99"/>
      <c r="Z667" s="64"/>
    </row>
    <row r="668" spans="1:26" x14ac:dyDescent="0.25">
      <c r="A668" s="63"/>
      <c r="B668" s="64"/>
      <c r="C668" s="64"/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4"/>
      <c r="S668" s="28"/>
      <c r="Y668" s="99"/>
      <c r="Z668" s="64"/>
    </row>
    <row r="669" spans="1:26" x14ac:dyDescent="0.25">
      <c r="A669" s="63"/>
      <c r="B669" s="64"/>
      <c r="C669" s="64"/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4"/>
      <c r="S669" s="28"/>
      <c r="Y669" s="99"/>
      <c r="Z669" s="64"/>
    </row>
    <row r="670" spans="1:26" x14ac:dyDescent="0.25">
      <c r="A670" s="63"/>
      <c r="B670" s="64"/>
      <c r="C670" s="64"/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4"/>
      <c r="S670" s="28"/>
      <c r="Y670" s="99"/>
      <c r="Z670" s="64"/>
    </row>
    <row r="671" spans="1:26" x14ac:dyDescent="0.25">
      <c r="A671" s="63"/>
      <c r="B671" s="64"/>
      <c r="C671" s="64"/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4"/>
      <c r="S671" s="28"/>
      <c r="Y671" s="99"/>
      <c r="Z671" s="64"/>
    </row>
    <row r="672" spans="1:26" x14ac:dyDescent="0.25">
      <c r="A672" s="63"/>
      <c r="B672" s="64"/>
      <c r="C672" s="64"/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4"/>
      <c r="S672" s="28"/>
      <c r="Y672" s="99"/>
      <c r="Z672" s="64"/>
    </row>
    <row r="673" spans="1:26" x14ac:dyDescent="0.25">
      <c r="A673" s="63"/>
      <c r="B673" s="64"/>
      <c r="C673" s="64"/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4"/>
      <c r="S673" s="28"/>
      <c r="Y673" s="99"/>
      <c r="Z673" s="64"/>
    </row>
    <row r="674" spans="1:26" x14ac:dyDescent="0.25">
      <c r="A674" s="63"/>
      <c r="B674" s="64"/>
      <c r="C674" s="64"/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4"/>
      <c r="S674" s="28"/>
      <c r="Y674" s="99"/>
      <c r="Z674" s="64"/>
    </row>
    <row r="675" spans="1:26" x14ac:dyDescent="0.25">
      <c r="A675" s="63"/>
      <c r="B675" s="64"/>
      <c r="C675" s="64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4"/>
      <c r="S675" s="28"/>
      <c r="Y675" s="99"/>
      <c r="Z675" s="64"/>
    </row>
    <row r="676" spans="1:26" x14ac:dyDescent="0.25">
      <c r="A676" s="63"/>
      <c r="B676" s="64"/>
      <c r="C676" s="64"/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4"/>
      <c r="S676" s="28"/>
      <c r="Y676" s="99"/>
      <c r="Z676" s="64"/>
    </row>
    <row r="677" spans="1:26" x14ac:dyDescent="0.25">
      <c r="A677" s="63"/>
      <c r="B677" s="64"/>
      <c r="C677" s="64"/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4"/>
      <c r="S677" s="28"/>
      <c r="Y677" s="99"/>
      <c r="Z677" s="64"/>
    </row>
    <row r="678" spans="1:26" x14ac:dyDescent="0.25">
      <c r="A678" s="63"/>
      <c r="B678" s="64"/>
      <c r="C678" s="64"/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4"/>
      <c r="S678" s="28"/>
      <c r="Y678" s="99"/>
      <c r="Z678" s="64"/>
    </row>
    <row r="679" spans="1:26" x14ac:dyDescent="0.25">
      <c r="A679" s="63"/>
      <c r="B679" s="64"/>
      <c r="C679" s="64"/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4"/>
      <c r="S679" s="28"/>
      <c r="Y679" s="99"/>
      <c r="Z679" s="64"/>
    </row>
    <row r="680" spans="1:26" x14ac:dyDescent="0.25">
      <c r="A680" s="63"/>
      <c r="B680" s="64"/>
      <c r="C680" s="64"/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4"/>
      <c r="S680" s="28"/>
      <c r="Y680" s="99"/>
      <c r="Z680" s="64"/>
    </row>
    <row r="681" spans="1:26" x14ac:dyDescent="0.25">
      <c r="A681" s="63"/>
      <c r="B681" s="64"/>
      <c r="C681" s="64"/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4"/>
      <c r="S681" s="28"/>
      <c r="Y681" s="99"/>
      <c r="Z681" s="64"/>
    </row>
    <row r="682" spans="1:26" x14ac:dyDescent="0.25">
      <c r="A682" s="63"/>
      <c r="B682" s="64"/>
      <c r="C682" s="64"/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4"/>
      <c r="S682" s="28"/>
      <c r="Y682" s="99"/>
      <c r="Z682" s="64"/>
    </row>
    <row r="683" spans="1:26" x14ac:dyDescent="0.25">
      <c r="A683" s="63"/>
      <c r="B683" s="64"/>
      <c r="C683" s="64"/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4"/>
      <c r="S683" s="28"/>
      <c r="Y683" s="99"/>
      <c r="Z683" s="64"/>
    </row>
    <row r="684" spans="1:26" x14ac:dyDescent="0.25">
      <c r="A684" s="63"/>
      <c r="B684" s="64"/>
      <c r="C684" s="64"/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4"/>
      <c r="S684" s="28"/>
      <c r="Y684" s="99"/>
      <c r="Z684" s="64"/>
    </row>
    <row r="685" spans="1:26" x14ac:dyDescent="0.25">
      <c r="A685" s="63"/>
      <c r="B685" s="64"/>
      <c r="C685" s="64"/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4"/>
      <c r="S685" s="28"/>
      <c r="Y685" s="99"/>
      <c r="Z685" s="64"/>
    </row>
    <row r="686" spans="1:26" x14ac:dyDescent="0.25">
      <c r="A686" s="63"/>
      <c r="B686" s="64"/>
      <c r="C686" s="64"/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4"/>
      <c r="S686" s="28"/>
      <c r="Y686" s="99"/>
      <c r="Z686" s="64"/>
    </row>
    <row r="687" spans="1:26" x14ac:dyDescent="0.25">
      <c r="A687" s="63"/>
      <c r="B687" s="64"/>
      <c r="C687" s="64"/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4"/>
      <c r="S687" s="28"/>
      <c r="Y687" s="99"/>
      <c r="Z687" s="64"/>
    </row>
    <row r="688" spans="1:26" x14ac:dyDescent="0.25">
      <c r="A688" s="63"/>
      <c r="B688" s="64"/>
      <c r="C688" s="64"/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4"/>
      <c r="S688" s="28"/>
      <c r="Y688" s="99"/>
      <c r="Z688" s="64"/>
    </row>
    <row r="689" spans="1:26" x14ac:dyDescent="0.25">
      <c r="A689" s="63"/>
      <c r="B689" s="64"/>
      <c r="C689" s="64"/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4"/>
      <c r="S689" s="28"/>
      <c r="Y689" s="99"/>
      <c r="Z689" s="64"/>
    </row>
    <row r="690" spans="1:26" x14ac:dyDescent="0.25">
      <c r="A690" s="63"/>
      <c r="B690" s="64"/>
      <c r="C690" s="64"/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4"/>
      <c r="S690" s="28"/>
      <c r="Y690" s="99"/>
      <c r="Z690" s="64"/>
    </row>
    <row r="691" spans="1:26" x14ac:dyDescent="0.25">
      <c r="A691" s="63"/>
      <c r="B691" s="64"/>
      <c r="C691" s="64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4"/>
      <c r="S691" s="28"/>
      <c r="Y691" s="99"/>
      <c r="Z691" s="64"/>
    </row>
    <row r="692" spans="1:26" x14ac:dyDescent="0.25">
      <c r="A692" s="63"/>
      <c r="B692" s="64"/>
      <c r="C692" s="64"/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4"/>
      <c r="S692" s="28"/>
      <c r="Y692" s="99"/>
      <c r="Z692" s="64"/>
    </row>
    <row r="693" spans="1:26" x14ac:dyDescent="0.25">
      <c r="A693" s="63"/>
      <c r="B693" s="64"/>
      <c r="C693" s="64"/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4"/>
      <c r="S693" s="28"/>
      <c r="Y693" s="99"/>
      <c r="Z693" s="64"/>
    </row>
    <row r="694" spans="1:26" x14ac:dyDescent="0.25">
      <c r="A694" s="63"/>
      <c r="B694" s="64"/>
      <c r="C694" s="64"/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4"/>
      <c r="S694" s="28"/>
      <c r="Y694" s="99"/>
      <c r="Z694" s="64"/>
    </row>
    <row r="695" spans="1:26" x14ac:dyDescent="0.25">
      <c r="A695" s="63"/>
      <c r="B695" s="64"/>
      <c r="C695" s="64"/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4"/>
      <c r="S695" s="28"/>
      <c r="Y695" s="99"/>
      <c r="Z695" s="64"/>
    </row>
    <row r="696" spans="1:26" x14ac:dyDescent="0.25">
      <c r="A696" s="63"/>
      <c r="B696" s="64"/>
      <c r="C696" s="64"/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4"/>
      <c r="S696" s="28"/>
      <c r="Y696" s="99"/>
      <c r="Z696" s="64"/>
    </row>
    <row r="697" spans="1:26" x14ac:dyDescent="0.25">
      <c r="A697" s="63"/>
      <c r="B697" s="64"/>
      <c r="C697" s="64"/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4"/>
      <c r="S697" s="28"/>
      <c r="Y697" s="99"/>
      <c r="Z697" s="64"/>
    </row>
    <row r="698" spans="1:26" x14ac:dyDescent="0.25">
      <c r="A698" s="63"/>
      <c r="B698" s="64"/>
      <c r="C698" s="64"/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4"/>
      <c r="S698" s="28"/>
      <c r="Y698" s="99"/>
      <c r="Z698" s="64"/>
    </row>
    <row r="699" spans="1:26" x14ac:dyDescent="0.25">
      <c r="A699" s="63"/>
      <c r="B699" s="64"/>
      <c r="C699" s="64"/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4"/>
      <c r="S699" s="28"/>
      <c r="Y699" s="99"/>
      <c r="Z699" s="64"/>
    </row>
    <row r="700" spans="1:26" x14ac:dyDescent="0.25">
      <c r="A700" s="63"/>
      <c r="B700" s="64"/>
      <c r="C700" s="64"/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4"/>
      <c r="S700" s="28"/>
      <c r="Y700" s="99"/>
      <c r="Z700" s="64"/>
    </row>
    <row r="701" spans="1:26" x14ac:dyDescent="0.25">
      <c r="A701" s="63"/>
      <c r="B701" s="64"/>
      <c r="C701" s="64"/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4"/>
      <c r="S701" s="28"/>
      <c r="Y701" s="99"/>
      <c r="Z701" s="64"/>
    </row>
    <row r="702" spans="1:26" x14ac:dyDescent="0.25">
      <c r="A702" s="63"/>
      <c r="B702" s="64"/>
      <c r="C702" s="64"/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4"/>
      <c r="S702" s="28"/>
      <c r="Y702" s="99"/>
      <c r="Z702" s="64"/>
    </row>
    <row r="703" spans="1:26" x14ac:dyDescent="0.25">
      <c r="A703" s="63"/>
      <c r="B703" s="64"/>
      <c r="C703" s="64"/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4"/>
      <c r="S703" s="28"/>
      <c r="Y703" s="99"/>
      <c r="Z703" s="64"/>
    </row>
    <row r="704" spans="1:26" x14ac:dyDescent="0.25">
      <c r="A704" s="63"/>
      <c r="B704" s="64"/>
      <c r="C704" s="64"/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4"/>
      <c r="S704" s="28"/>
      <c r="Y704" s="99"/>
      <c r="Z704" s="64"/>
    </row>
    <row r="705" spans="1:26" x14ac:dyDescent="0.25">
      <c r="A705" s="63"/>
      <c r="B705" s="64"/>
      <c r="C705" s="64"/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4"/>
      <c r="S705" s="28"/>
      <c r="Y705" s="99"/>
      <c r="Z705" s="64"/>
    </row>
    <row r="706" spans="1:26" x14ac:dyDescent="0.25">
      <c r="A706" s="63"/>
      <c r="B706" s="64"/>
      <c r="C706" s="64"/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4"/>
      <c r="S706" s="28"/>
      <c r="Y706" s="99"/>
      <c r="Z706" s="64"/>
    </row>
    <row r="707" spans="1:26" x14ac:dyDescent="0.25">
      <c r="A707" s="63"/>
      <c r="B707" s="64"/>
      <c r="C707" s="64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4"/>
      <c r="S707" s="28"/>
      <c r="Y707" s="99"/>
      <c r="Z707" s="64"/>
    </row>
    <row r="708" spans="1:26" x14ac:dyDescent="0.25">
      <c r="A708" s="63"/>
      <c r="B708" s="64"/>
      <c r="C708" s="64"/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4"/>
      <c r="S708" s="28"/>
      <c r="Y708" s="99"/>
      <c r="Z708" s="64"/>
    </row>
    <row r="709" spans="1:26" x14ac:dyDescent="0.25">
      <c r="A709" s="63"/>
      <c r="B709" s="64"/>
      <c r="C709" s="64"/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4"/>
      <c r="S709" s="28"/>
      <c r="Y709" s="99"/>
      <c r="Z709" s="64"/>
    </row>
    <row r="710" spans="1:26" x14ac:dyDescent="0.25">
      <c r="A710" s="63"/>
      <c r="B710" s="64"/>
      <c r="C710" s="64"/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4"/>
      <c r="S710" s="28"/>
      <c r="Y710" s="99"/>
      <c r="Z710" s="64"/>
    </row>
    <row r="711" spans="1:26" x14ac:dyDescent="0.25">
      <c r="A711" s="63"/>
      <c r="B711" s="64"/>
      <c r="C711" s="64"/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4"/>
      <c r="S711" s="28"/>
      <c r="Y711" s="99"/>
      <c r="Z711" s="64"/>
    </row>
    <row r="712" spans="1:26" x14ac:dyDescent="0.25">
      <c r="A712" s="63"/>
      <c r="B712" s="64"/>
      <c r="C712" s="64"/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4"/>
      <c r="S712" s="28"/>
      <c r="Y712" s="99"/>
      <c r="Z712" s="64"/>
    </row>
    <row r="713" spans="1:26" x14ac:dyDescent="0.25">
      <c r="A713" s="63"/>
      <c r="B713" s="64"/>
      <c r="C713" s="64"/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4"/>
      <c r="S713" s="28"/>
      <c r="Y713" s="99"/>
      <c r="Z713" s="64"/>
    </row>
    <row r="714" spans="1:26" x14ac:dyDescent="0.25">
      <c r="A714" s="63"/>
      <c r="B714" s="64"/>
      <c r="C714" s="64"/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4"/>
      <c r="S714" s="28"/>
      <c r="Y714" s="99"/>
      <c r="Z714" s="64"/>
    </row>
    <row r="715" spans="1:26" x14ac:dyDescent="0.25">
      <c r="A715" s="63"/>
      <c r="B715" s="64"/>
      <c r="C715" s="64"/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4"/>
      <c r="S715" s="28"/>
      <c r="Y715" s="99"/>
      <c r="Z715" s="64"/>
    </row>
    <row r="716" spans="1:26" x14ac:dyDescent="0.25">
      <c r="A716" s="63"/>
      <c r="B716" s="64"/>
      <c r="C716" s="64"/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4"/>
      <c r="S716" s="28"/>
      <c r="Y716" s="99"/>
      <c r="Z716" s="64"/>
    </row>
    <row r="717" spans="1:26" x14ac:dyDescent="0.25">
      <c r="A717" s="63"/>
      <c r="B717" s="64"/>
      <c r="C717" s="64"/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4"/>
      <c r="S717" s="28"/>
      <c r="Y717" s="99"/>
      <c r="Z717" s="64"/>
    </row>
    <row r="718" spans="1:26" x14ac:dyDescent="0.25">
      <c r="A718" s="63"/>
      <c r="B718" s="64"/>
      <c r="C718" s="64"/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4"/>
      <c r="S718" s="28"/>
      <c r="Y718" s="99"/>
      <c r="Z718" s="64"/>
    </row>
    <row r="719" spans="1:26" x14ac:dyDescent="0.25">
      <c r="A719" s="63"/>
      <c r="B719" s="64"/>
      <c r="C719" s="64"/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4"/>
      <c r="S719" s="28"/>
      <c r="Y719" s="99"/>
      <c r="Z719" s="64"/>
    </row>
    <row r="720" spans="1:26" x14ac:dyDescent="0.25">
      <c r="A720" s="63"/>
      <c r="B720" s="64"/>
      <c r="C720" s="64"/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4"/>
      <c r="S720" s="28"/>
      <c r="Y720" s="99"/>
      <c r="Z720" s="64"/>
    </row>
    <row r="721" spans="1:26" x14ac:dyDescent="0.25">
      <c r="A721" s="63"/>
      <c r="B721" s="64"/>
      <c r="C721" s="64"/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4"/>
      <c r="S721" s="28"/>
      <c r="Y721" s="99"/>
      <c r="Z721" s="64"/>
    </row>
    <row r="722" spans="1:26" x14ac:dyDescent="0.25">
      <c r="A722" s="63"/>
      <c r="B722" s="64"/>
      <c r="C722" s="64"/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4"/>
      <c r="S722" s="28"/>
      <c r="Y722" s="99"/>
      <c r="Z722" s="64"/>
    </row>
    <row r="723" spans="1:26" x14ac:dyDescent="0.25">
      <c r="A723" s="63"/>
      <c r="B723" s="64"/>
      <c r="C723" s="64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4"/>
      <c r="S723" s="28"/>
      <c r="Y723" s="99"/>
      <c r="Z723" s="64"/>
    </row>
    <row r="724" spans="1:26" x14ac:dyDescent="0.25">
      <c r="A724" s="63"/>
      <c r="B724" s="64"/>
      <c r="C724" s="64"/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4"/>
      <c r="S724" s="28"/>
      <c r="Y724" s="99"/>
      <c r="Z724" s="64"/>
    </row>
    <row r="725" spans="1:26" x14ac:dyDescent="0.25">
      <c r="A725" s="63"/>
      <c r="B725" s="64"/>
      <c r="C725" s="64"/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4"/>
      <c r="S725" s="28"/>
      <c r="Y725" s="99"/>
      <c r="Z725" s="64"/>
    </row>
    <row r="726" spans="1:26" x14ac:dyDescent="0.25">
      <c r="A726" s="63"/>
      <c r="B726" s="64"/>
      <c r="C726" s="64"/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4"/>
      <c r="S726" s="28"/>
      <c r="Y726" s="99"/>
      <c r="Z726" s="64"/>
    </row>
    <row r="727" spans="1:26" x14ac:dyDescent="0.25">
      <c r="A727" s="63"/>
      <c r="B727" s="64"/>
      <c r="C727" s="64"/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4"/>
      <c r="S727" s="28"/>
      <c r="Y727" s="99"/>
      <c r="Z727" s="64"/>
    </row>
    <row r="728" spans="1:26" x14ac:dyDescent="0.25">
      <c r="A728" s="63"/>
      <c r="B728" s="64"/>
      <c r="C728" s="64"/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4"/>
      <c r="S728" s="28"/>
      <c r="Y728" s="99"/>
      <c r="Z728" s="64"/>
    </row>
    <row r="729" spans="1:26" x14ac:dyDescent="0.25">
      <c r="A729" s="63"/>
      <c r="B729" s="64"/>
      <c r="C729" s="64"/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4"/>
      <c r="S729" s="28"/>
      <c r="Y729" s="99"/>
      <c r="Z729" s="64"/>
    </row>
    <row r="730" spans="1:26" x14ac:dyDescent="0.25">
      <c r="A730" s="63"/>
      <c r="B730" s="64"/>
      <c r="C730" s="64"/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4"/>
      <c r="S730" s="28"/>
      <c r="Y730" s="99"/>
      <c r="Z730" s="64"/>
    </row>
    <row r="731" spans="1:26" x14ac:dyDescent="0.25">
      <c r="A731" s="63"/>
      <c r="B731" s="64"/>
      <c r="C731" s="64"/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4"/>
      <c r="S731" s="28"/>
      <c r="Y731" s="99"/>
      <c r="Z731" s="64"/>
    </row>
    <row r="732" spans="1:26" x14ac:dyDescent="0.25">
      <c r="A732" s="63"/>
      <c r="B732" s="64"/>
      <c r="C732" s="64"/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4"/>
      <c r="S732" s="28"/>
      <c r="Y732" s="99"/>
      <c r="Z732" s="64"/>
    </row>
    <row r="733" spans="1:26" x14ac:dyDescent="0.25">
      <c r="A733" s="63"/>
      <c r="B733" s="64"/>
      <c r="C733" s="64"/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4"/>
      <c r="S733" s="28"/>
      <c r="Y733" s="99"/>
      <c r="Z733" s="64"/>
    </row>
    <row r="734" spans="1:26" x14ac:dyDescent="0.25">
      <c r="A734" s="63"/>
      <c r="B734" s="64"/>
      <c r="C734" s="64"/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4"/>
      <c r="S734" s="28"/>
      <c r="Y734" s="99"/>
      <c r="Z734" s="64"/>
    </row>
    <row r="735" spans="1:26" x14ac:dyDescent="0.25">
      <c r="A735" s="63"/>
      <c r="B735" s="64"/>
      <c r="C735" s="64"/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4"/>
      <c r="S735" s="28"/>
      <c r="Y735" s="99"/>
      <c r="Z735" s="64"/>
    </row>
    <row r="736" spans="1:26" x14ac:dyDescent="0.25">
      <c r="A736" s="63"/>
      <c r="B736" s="64"/>
      <c r="C736" s="64"/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4"/>
      <c r="S736" s="28"/>
      <c r="Y736" s="99"/>
      <c r="Z736" s="64"/>
    </row>
    <row r="737" spans="1:26" x14ac:dyDescent="0.25">
      <c r="A737" s="63"/>
      <c r="B737" s="64"/>
      <c r="C737" s="64"/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4"/>
      <c r="S737" s="28"/>
      <c r="Y737" s="99"/>
      <c r="Z737" s="64"/>
    </row>
    <row r="738" spans="1:26" x14ac:dyDescent="0.25">
      <c r="A738" s="63"/>
      <c r="B738" s="64"/>
      <c r="C738" s="64"/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4"/>
      <c r="S738" s="28"/>
      <c r="Y738" s="99"/>
      <c r="Z738" s="64"/>
    </row>
    <row r="739" spans="1:26" x14ac:dyDescent="0.25">
      <c r="A739" s="63"/>
      <c r="B739" s="64"/>
      <c r="C739" s="64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4"/>
      <c r="S739" s="28"/>
      <c r="Y739" s="99"/>
      <c r="Z739" s="64"/>
    </row>
    <row r="740" spans="1:26" x14ac:dyDescent="0.25">
      <c r="A740" s="63"/>
      <c r="B740" s="64"/>
      <c r="C740" s="64"/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4"/>
      <c r="S740" s="28"/>
      <c r="Y740" s="99"/>
      <c r="Z740" s="64"/>
    </row>
    <row r="741" spans="1:26" x14ac:dyDescent="0.25">
      <c r="A741" s="63"/>
      <c r="B741" s="64"/>
      <c r="C741" s="64"/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4"/>
      <c r="S741" s="28"/>
      <c r="Y741" s="99"/>
      <c r="Z741" s="64"/>
    </row>
    <row r="742" spans="1:26" x14ac:dyDescent="0.25">
      <c r="A742" s="63"/>
      <c r="B742" s="64"/>
      <c r="C742" s="64"/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4"/>
      <c r="S742" s="28"/>
      <c r="Y742" s="99"/>
      <c r="Z742" s="64"/>
    </row>
    <row r="743" spans="1:26" x14ac:dyDescent="0.25">
      <c r="A743" s="63"/>
      <c r="B743" s="64"/>
      <c r="C743" s="64"/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4"/>
      <c r="S743" s="28"/>
      <c r="Y743" s="99"/>
      <c r="Z743" s="64"/>
    </row>
    <row r="744" spans="1:26" x14ac:dyDescent="0.25">
      <c r="A744" s="63"/>
      <c r="B744" s="64"/>
      <c r="C744" s="64"/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4"/>
      <c r="S744" s="28"/>
      <c r="Y744" s="99"/>
      <c r="Z744" s="64"/>
    </row>
    <row r="745" spans="1:26" x14ac:dyDescent="0.25">
      <c r="A745" s="63"/>
      <c r="B745" s="64"/>
      <c r="C745" s="64"/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4"/>
      <c r="S745" s="28"/>
      <c r="Y745" s="99"/>
      <c r="Z745" s="64"/>
    </row>
    <row r="746" spans="1:26" x14ac:dyDescent="0.25">
      <c r="A746" s="63"/>
      <c r="B746" s="64"/>
      <c r="C746" s="64"/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4"/>
      <c r="S746" s="28"/>
      <c r="Y746" s="99"/>
      <c r="Z746" s="64"/>
    </row>
    <row r="747" spans="1:26" x14ac:dyDescent="0.25">
      <c r="A747" s="63"/>
      <c r="B747" s="64"/>
      <c r="C747" s="64"/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4"/>
      <c r="S747" s="28"/>
      <c r="Y747" s="99"/>
      <c r="Z747" s="64"/>
    </row>
    <row r="748" spans="1:26" x14ac:dyDescent="0.25">
      <c r="A748" s="63"/>
      <c r="B748" s="64"/>
      <c r="C748" s="64"/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4"/>
      <c r="S748" s="28"/>
      <c r="Y748" s="99"/>
      <c r="Z748" s="64"/>
    </row>
    <row r="749" spans="1:26" x14ac:dyDescent="0.25">
      <c r="A749" s="63"/>
      <c r="B749" s="64"/>
      <c r="C749" s="64"/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4"/>
      <c r="S749" s="28"/>
      <c r="Y749" s="99"/>
      <c r="Z749" s="64"/>
    </row>
    <row r="750" spans="1:26" x14ac:dyDescent="0.25">
      <c r="A750" s="63"/>
      <c r="B750" s="64"/>
      <c r="C750" s="64"/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4"/>
      <c r="S750" s="28"/>
      <c r="Y750" s="99"/>
      <c r="Z750" s="64"/>
    </row>
    <row r="751" spans="1:26" x14ac:dyDescent="0.25">
      <c r="A751" s="63"/>
      <c r="B751" s="64"/>
      <c r="C751" s="64"/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4"/>
      <c r="S751" s="28"/>
      <c r="Y751" s="99"/>
      <c r="Z751" s="64"/>
    </row>
    <row r="752" spans="1:26" x14ac:dyDescent="0.25">
      <c r="A752" s="63"/>
      <c r="B752" s="64"/>
      <c r="C752" s="64"/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4"/>
      <c r="S752" s="28"/>
      <c r="Y752" s="99"/>
      <c r="Z752" s="64"/>
    </row>
    <row r="753" spans="1:19" x14ac:dyDescent="0.25">
      <c r="A753" s="63"/>
      <c r="B753" s="64"/>
      <c r="C753" s="64"/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4"/>
      <c r="S753" s="28"/>
    </row>
    <row r="754" spans="1:19" x14ac:dyDescent="0.25">
      <c r="A754" s="63"/>
      <c r="B754" s="64"/>
      <c r="C754" s="64"/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4"/>
      <c r="S754" s="28"/>
    </row>
    <row r="755" spans="1:19" x14ac:dyDescent="0.25">
      <c r="A755" s="63"/>
      <c r="B755" s="64"/>
      <c r="C755" s="64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4"/>
      <c r="S755" s="28"/>
    </row>
    <row r="756" spans="1:19" x14ac:dyDescent="0.25">
      <c r="A756" s="63"/>
      <c r="B756" s="64"/>
      <c r="C756" s="64"/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4"/>
      <c r="S756" s="28"/>
    </row>
    <row r="757" spans="1:19" x14ac:dyDescent="0.25">
      <c r="A757" s="63"/>
      <c r="B757" s="64"/>
      <c r="C757" s="64"/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4"/>
      <c r="S757" s="28"/>
    </row>
    <row r="758" spans="1:19" x14ac:dyDescent="0.25">
      <c r="A758" s="63"/>
      <c r="B758" s="64"/>
      <c r="C758" s="64"/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4"/>
      <c r="S758" s="28"/>
    </row>
    <row r="759" spans="1:19" x14ac:dyDescent="0.25">
      <c r="A759" s="63"/>
      <c r="B759" s="64"/>
      <c r="C759" s="64"/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4"/>
      <c r="S759" s="28"/>
    </row>
    <row r="760" spans="1:19" x14ac:dyDescent="0.25">
      <c r="A760" s="63"/>
      <c r="B760" s="64"/>
      <c r="C760" s="64"/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4"/>
      <c r="S760" s="28"/>
    </row>
    <row r="761" spans="1:19" x14ac:dyDescent="0.25">
      <c r="A761" s="63"/>
      <c r="B761" s="64"/>
      <c r="C761" s="64"/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4"/>
      <c r="S761" s="28"/>
    </row>
    <row r="762" spans="1:19" x14ac:dyDescent="0.25">
      <c r="A762" s="63"/>
      <c r="B762" s="64"/>
      <c r="C762" s="64"/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4"/>
      <c r="S762" s="28"/>
    </row>
    <row r="763" spans="1:19" x14ac:dyDescent="0.25">
      <c r="A763" s="63"/>
      <c r="B763" s="64"/>
      <c r="C763" s="64"/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4"/>
      <c r="S763" s="28"/>
    </row>
    <row r="764" spans="1:19" x14ac:dyDescent="0.25">
      <c r="A764" s="63"/>
      <c r="B764" s="64"/>
      <c r="C764" s="64"/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4"/>
      <c r="S764" s="28"/>
    </row>
    <row r="765" spans="1:19" x14ac:dyDescent="0.25">
      <c r="A765" s="63"/>
      <c r="B765" s="64"/>
      <c r="C765" s="64"/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4"/>
      <c r="S765" s="28"/>
    </row>
    <row r="766" spans="1:19" x14ac:dyDescent="0.25">
      <c r="A766" s="63"/>
      <c r="B766" s="64"/>
      <c r="C766" s="64"/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4"/>
      <c r="S766" s="28"/>
    </row>
    <row r="767" spans="1:19" x14ac:dyDescent="0.25">
      <c r="A767" s="63"/>
      <c r="B767" s="64"/>
      <c r="C767" s="64"/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4"/>
      <c r="S767" s="28"/>
    </row>
    <row r="768" spans="1:19" x14ac:dyDescent="0.25">
      <c r="A768" s="63"/>
      <c r="B768" s="64"/>
      <c r="C768" s="64"/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4"/>
      <c r="S768" s="28"/>
    </row>
    <row r="769" spans="1:19" x14ac:dyDescent="0.25">
      <c r="A769" s="63"/>
      <c r="B769" s="64"/>
      <c r="C769" s="64"/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4"/>
      <c r="S769" s="28"/>
    </row>
    <row r="770" spans="1:19" x14ac:dyDescent="0.25">
      <c r="A770" s="63"/>
      <c r="B770" s="64"/>
      <c r="C770" s="64"/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4"/>
      <c r="S770" s="28"/>
    </row>
    <row r="771" spans="1:19" x14ac:dyDescent="0.25">
      <c r="A771" s="63"/>
      <c r="B771" s="64"/>
      <c r="C771" s="64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4"/>
      <c r="S771" s="28"/>
    </row>
    <row r="772" spans="1:19" x14ac:dyDescent="0.25">
      <c r="A772" s="63"/>
      <c r="B772" s="64"/>
      <c r="C772" s="64"/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4"/>
      <c r="S772" s="28"/>
    </row>
    <row r="773" spans="1:19" x14ac:dyDescent="0.25">
      <c r="A773" s="63"/>
      <c r="B773" s="64"/>
      <c r="C773" s="64"/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4"/>
      <c r="S773" s="28"/>
    </row>
    <row r="774" spans="1:19" x14ac:dyDescent="0.25">
      <c r="A774" s="63"/>
      <c r="B774" s="64"/>
      <c r="C774" s="64"/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4"/>
      <c r="S774" s="28"/>
    </row>
    <row r="775" spans="1:19" x14ac:dyDescent="0.25">
      <c r="A775" s="63"/>
      <c r="B775" s="64"/>
      <c r="C775" s="64"/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4"/>
      <c r="S775" s="28"/>
    </row>
    <row r="776" spans="1:19" x14ac:dyDescent="0.25">
      <c r="A776" s="63"/>
      <c r="B776" s="64"/>
      <c r="C776" s="64"/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4"/>
      <c r="S776" s="28"/>
    </row>
    <row r="777" spans="1:19" x14ac:dyDescent="0.25">
      <c r="A777" s="63"/>
      <c r="B777" s="64"/>
      <c r="C777" s="64"/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4"/>
      <c r="S777" s="28"/>
    </row>
    <row r="778" spans="1:19" x14ac:dyDescent="0.25">
      <c r="A778" s="63"/>
      <c r="B778" s="64"/>
      <c r="C778" s="64"/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4"/>
      <c r="S778" s="28"/>
    </row>
    <row r="779" spans="1:19" x14ac:dyDescent="0.25">
      <c r="A779" s="63"/>
      <c r="B779" s="64"/>
      <c r="C779" s="64"/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4"/>
      <c r="S779" s="28"/>
    </row>
    <row r="780" spans="1:19" x14ac:dyDescent="0.25">
      <c r="A780" s="63"/>
      <c r="B780" s="64"/>
      <c r="C780" s="64"/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4"/>
      <c r="S780" s="28"/>
    </row>
    <row r="781" spans="1:19" x14ac:dyDescent="0.25">
      <c r="A781" s="63"/>
      <c r="B781" s="64"/>
      <c r="C781" s="64"/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4"/>
      <c r="S781" s="28"/>
    </row>
    <row r="782" spans="1:19" x14ac:dyDescent="0.25">
      <c r="A782" s="63"/>
      <c r="B782" s="64"/>
      <c r="C782" s="64"/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4"/>
      <c r="S782" s="28"/>
    </row>
    <row r="783" spans="1:19" x14ac:dyDescent="0.25">
      <c r="A783" s="63"/>
      <c r="B783" s="64"/>
      <c r="C783" s="64"/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4"/>
      <c r="S783" s="28"/>
    </row>
    <row r="784" spans="1:19" x14ac:dyDescent="0.25">
      <c r="A784" s="63"/>
      <c r="B784" s="64"/>
      <c r="C784" s="64"/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4"/>
      <c r="S784" s="28"/>
    </row>
    <row r="785" spans="1:19" x14ac:dyDescent="0.25">
      <c r="A785" s="63"/>
      <c r="B785" s="64"/>
      <c r="C785" s="64"/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4"/>
      <c r="S785" s="28"/>
    </row>
    <row r="786" spans="1:19" x14ac:dyDescent="0.25">
      <c r="A786" s="63"/>
      <c r="B786" s="64"/>
      <c r="C786" s="64"/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4"/>
      <c r="S786" s="28"/>
    </row>
    <row r="787" spans="1:19" x14ac:dyDescent="0.25">
      <c r="A787" s="63"/>
      <c r="B787" s="64"/>
      <c r="C787" s="64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4"/>
      <c r="S787" s="28"/>
    </row>
    <row r="788" spans="1:19" x14ac:dyDescent="0.25">
      <c r="A788" s="63"/>
      <c r="B788" s="64"/>
      <c r="C788" s="64"/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4"/>
      <c r="S788" s="28"/>
    </row>
    <row r="789" spans="1:19" x14ac:dyDescent="0.25">
      <c r="A789" s="63"/>
      <c r="B789" s="64"/>
      <c r="C789" s="64"/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4"/>
      <c r="S789" s="28"/>
    </row>
    <row r="790" spans="1:19" x14ac:dyDescent="0.25">
      <c r="A790" s="63"/>
      <c r="B790" s="64"/>
      <c r="C790" s="64"/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4"/>
      <c r="S790" s="28"/>
    </row>
    <row r="791" spans="1:19" x14ac:dyDescent="0.25">
      <c r="A791" s="63"/>
      <c r="B791" s="64"/>
      <c r="C791" s="64"/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4"/>
      <c r="S791" s="28"/>
    </row>
    <row r="792" spans="1:19" x14ac:dyDescent="0.25">
      <c r="A792" s="63"/>
      <c r="B792" s="64"/>
      <c r="C792" s="64"/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4"/>
      <c r="S792" s="28"/>
    </row>
    <row r="793" spans="1:19" x14ac:dyDescent="0.25">
      <c r="A793" s="63"/>
      <c r="B793" s="64"/>
      <c r="C793" s="64"/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4"/>
      <c r="S793" s="28"/>
    </row>
    <row r="794" spans="1:19" x14ac:dyDescent="0.25">
      <c r="A794" s="63"/>
      <c r="B794" s="64"/>
      <c r="C794" s="64"/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4"/>
      <c r="S794" s="28"/>
    </row>
    <row r="795" spans="1:19" x14ac:dyDescent="0.25">
      <c r="A795" s="63"/>
      <c r="B795" s="64"/>
      <c r="C795" s="64"/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4"/>
      <c r="S795" s="28"/>
    </row>
    <row r="796" spans="1:19" x14ac:dyDescent="0.25">
      <c r="A796" s="63"/>
      <c r="B796" s="64"/>
      <c r="C796" s="64"/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4"/>
      <c r="S796" s="28"/>
    </row>
    <row r="797" spans="1:19" x14ac:dyDescent="0.25">
      <c r="A797" s="63"/>
      <c r="B797" s="64"/>
      <c r="C797" s="64"/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4"/>
      <c r="S797" s="28"/>
    </row>
    <row r="798" spans="1:19" x14ac:dyDescent="0.25">
      <c r="A798" s="63"/>
      <c r="B798" s="64"/>
      <c r="C798" s="64"/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4"/>
      <c r="S798" s="28"/>
    </row>
    <row r="799" spans="1:19" x14ac:dyDescent="0.25">
      <c r="A799" s="63"/>
      <c r="B799" s="64"/>
      <c r="C799" s="64"/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4"/>
      <c r="S799" s="28"/>
    </row>
    <row r="800" spans="1:19" x14ac:dyDescent="0.25">
      <c r="A800" s="63"/>
      <c r="B800" s="64"/>
      <c r="C800" s="64"/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4"/>
      <c r="S800" s="28"/>
    </row>
    <row r="801" spans="1:19" x14ac:dyDescent="0.25">
      <c r="A801" s="63"/>
      <c r="B801" s="64"/>
      <c r="C801" s="64"/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4"/>
      <c r="S801" s="28"/>
    </row>
    <row r="802" spans="1:19" x14ac:dyDescent="0.25">
      <c r="A802" s="63"/>
      <c r="B802" s="64"/>
      <c r="C802" s="64"/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4"/>
      <c r="S802" s="28"/>
    </row>
    <row r="803" spans="1:19" x14ac:dyDescent="0.25">
      <c r="A803" s="63"/>
      <c r="B803" s="64"/>
      <c r="C803" s="64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4"/>
      <c r="S803" s="28"/>
    </row>
    <row r="804" spans="1:19" x14ac:dyDescent="0.25">
      <c r="A804" s="63"/>
      <c r="B804" s="64"/>
      <c r="C804" s="64"/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4"/>
      <c r="S804" s="28"/>
    </row>
    <row r="805" spans="1:19" x14ac:dyDescent="0.25">
      <c r="A805" s="63"/>
      <c r="B805" s="64"/>
      <c r="C805" s="64"/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4"/>
      <c r="S805" s="28"/>
    </row>
    <row r="806" spans="1:19" x14ac:dyDescent="0.25">
      <c r="A806" s="63"/>
      <c r="B806" s="64"/>
      <c r="C806" s="64"/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4"/>
      <c r="S806" s="28"/>
    </row>
    <row r="807" spans="1:19" x14ac:dyDescent="0.25">
      <c r="A807" s="63"/>
      <c r="B807" s="64"/>
      <c r="C807" s="64"/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4"/>
      <c r="S807" s="28"/>
    </row>
    <row r="808" spans="1:19" x14ac:dyDescent="0.25">
      <c r="A808" s="63"/>
      <c r="B808" s="64"/>
      <c r="C808" s="64"/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4"/>
      <c r="S808" s="28"/>
    </row>
    <row r="809" spans="1:19" x14ac:dyDescent="0.25">
      <c r="A809" s="63"/>
      <c r="B809" s="64"/>
      <c r="C809" s="64"/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4"/>
      <c r="S809" s="28"/>
    </row>
    <row r="810" spans="1:19" x14ac:dyDescent="0.25">
      <c r="A810" s="63"/>
      <c r="B810" s="64"/>
      <c r="C810" s="64"/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4"/>
      <c r="S810" s="28"/>
    </row>
    <row r="811" spans="1:19" x14ac:dyDescent="0.25">
      <c r="A811" s="63"/>
      <c r="B811" s="64"/>
      <c r="C811" s="64"/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4"/>
      <c r="S811" s="28"/>
    </row>
    <row r="812" spans="1:19" x14ac:dyDescent="0.25">
      <c r="A812" s="63"/>
      <c r="B812" s="64"/>
      <c r="C812" s="64"/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4"/>
      <c r="S812" s="28"/>
    </row>
    <row r="813" spans="1:19" x14ac:dyDescent="0.25">
      <c r="A813" s="63"/>
      <c r="B813" s="64"/>
      <c r="C813" s="64"/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4"/>
      <c r="S813" s="28"/>
    </row>
    <row r="814" spans="1:19" x14ac:dyDescent="0.25">
      <c r="A814" s="63"/>
      <c r="B814" s="64"/>
      <c r="C814" s="64"/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4"/>
      <c r="S814" s="28"/>
    </row>
    <row r="815" spans="1:19" x14ac:dyDescent="0.25">
      <c r="A815" s="63"/>
      <c r="B815" s="64"/>
      <c r="C815" s="64"/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4"/>
      <c r="S815" s="28"/>
    </row>
    <row r="816" spans="1:19" x14ac:dyDescent="0.25">
      <c r="A816" s="63"/>
      <c r="B816" s="64"/>
      <c r="C816" s="64"/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4"/>
      <c r="S816" s="28"/>
    </row>
    <row r="817" spans="1:19" x14ac:dyDescent="0.25">
      <c r="A817" s="63"/>
      <c r="B817" s="64"/>
      <c r="C817" s="64"/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4"/>
      <c r="S817" s="28"/>
    </row>
    <row r="818" spans="1:19" x14ac:dyDescent="0.25">
      <c r="A818" s="63"/>
      <c r="B818" s="64"/>
      <c r="C818" s="64"/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4"/>
      <c r="S818" s="28"/>
    </row>
    <row r="819" spans="1:19" x14ac:dyDescent="0.25">
      <c r="A819" s="63"/>
      <c r="B819" s="64"/>
      <c r="C819" s="64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4"/>
      <c r="S819" s="28"/>
    </row>
    <row r="820" spans="1:19" x14ac:dyDescent="0.25">
      <c r="A820" s="63"/>
      <c r="B820" s="64"/>
      <c r="C820" s="64"/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4"/>
      <c r="S820" s="28"/>
    </row>
    <row r="821" spans="1:19" x14ac:dyDescent="0.25">
      <c r="A821" s="63"/>
      <c r="B821" s="64"/>
      <c r="C821" s="64"/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4"/>
      <c r="S821" s="28"/>
    </row>
    <row r="822" spans="1:19" x14ac:dyDescent="0.25">
      <c r="A822" s="63"/>
      <c r="B822" s="64"/>
      <c r="C822" s="64"/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4"/>
      <c r="S822" s="28"/>
    </row>
    <row r="823" spans="1:19" x14ac:dyDescent="0.25">
      <c r="A823" s="63"/>
      <c r="B823" s="64"/>
      <c r="C823" s="64"/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4"/>
      <c r="S823" s="28"/>
    </row>
    <row r="824" spans="1:19" x14ac:dyDescent="0.25">
      <c r="A824" s="63"/>
      <c r="B824" s="64"/>
      <c r="C824" s="64"/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4"/>
      <c r="S824" s="28"/>
    </row>
    <row r="825" spans="1:19" x14ac:dyDescent="0.25">
      <c r="A825" s="63"/>
      <c r="B825" s="64"/>
      <c r="C825" s="64"/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4"/>
      <c r="S825" s="28"/>
    </row>
    <row r="826" spans="1:19" x14ac:dyDescent="0.25">
      <c r="A826" s="63"/>
      <c r="B826" s="64"/>
      <c r="C826" s="64"/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4"/>
      <c r="S826" s="28"/>
    </row>
    <row r="827" spans="1:19" x14ac:dyDescent="0.25">
      <c r="A827" s="63"/>
      <c r="B827" s="64"/>
      <c r="C827" s="64"/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4"/>
      <c r="S827" s="28"/>
    </row>
    <row r="828" spans="1:19" x14ac:dyDescent="0.25">
      <c r="A828" s="63"/>
      <c r="B828" s="64"/>
      <c r="C828" s="64"/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4"/>
      <c r="S828" s="28"/>
    </row>
    <row r="829" spans="1:19" x14ac:dyDescent="0.25">
      <c r="A829" s="63"/>
      <c r="B829" s="64"/>
      <c r="C829" s="64"/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4"/>
      <c r="S829" s="28"/>
    </row>
    <row r="830" spans="1:19" x14ac:dyDescent="0.25">
      <c r="A830" s="63"/>
      <c r="B830" s="64"/>
      <c r="C830" s="64"/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4"/>
      <c r="S830" s="28"/>
    </row>
    <row r="831" spans="1:19" x14ac:dyDescent="0.25">
      <c r="A831" s="63"/>
      <c r="B831" s="64"/>
      <c r="C831" s="64"/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4"/>
      <c r="S831" s="28"/>
    </row>
    <row r="832" spans="1:19" x14ac:dyDescent="0.25">
      <c r="A832" s="63"/>
      <c r="B832" s="64"/>
      <c r="C832" s="64"/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4"/>
      <c r="S832" s="28"/>
    </row>
    <row r="833" spans="1:19" x14ac:dyDescent="0.25">
      <c r="A833" s="63"/>
      <c r="B833" s="64"/>
      <c r="C833" s="64"/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4"/>
      <c r="S833" s="28"/>
    </row>
    <row r="834" spans="1:19" x14ac:dyDescent="0.25">
      <c r="A834" s="63"/>
      <c r="B834" s="64"/>
      <c r="C834" s="64"/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4"/>
      <c r="S834" s="28"/>
    </row>
    <row r="835" spans="1:19" x14ac:dyDescent="0.25">
      <c r="A835" s="63"/>
      <c r="B835" s="64"/>
      <c r="C835" s="64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4"/>
      <c r="S835" s="28"/>
    </row>
    <row r="836" spans="1:19" x14ac:dyDescent="0.25">
      <c r="A836" s="63"/>
      <c r="B836" s="64"/>
      <c r="C836" s="64"/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4"/>
      <c r="S836" s="28"/>
    </row>
    <row r="837" spans="1:19" x14ac:dyDescent="0.25">
      <c r="A837" s="63"/>
      <c r="B837" s="64"/>
      <c r="C837" s="64"/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4"/>
      <c r="S837" s="28"/>
    </row>
    <row r="838" spans="1:19" x14ac:dyDescent="0.25">
      <c r="A838" s="63"/>
      <c r="B838" s="64"/>
      <c r="C838" s="64"/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4"/>
      <c r="S838" s="28"/>
    </row>
    <row r="839" spans="1:19" x14ac:dyDescent="0.25">
      <c r="A839" s="63"/>
      <c r="B839" s="64"/>
      <c r="C839" s="64"/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4"/>
      <c r="S839" s="28"/>
    </row>
    <row r="840" spans="1:19" x14ac:dyDescent="0.25">
      <c r="A840" s="63"/>
      <c r="B840" s="64"/>
      <c r="C840" s="64"/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4"/>
      <c r="S840" s="28"/>
    </row>
    <row r="841" spans="1:19" x14ac:dyDescent="0.25">
      <c r="A841" s="63"/>
      <c r="B841" s="64"/>
      <c r="C841" s="64"/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4"/>
      <c r="S841" s="28"/>
    </row>
    <row r="842" spans="1:19" x14ac:dyDescent="0.25">
      <c r="A842" s="63"/>
      <c r="B842" s="64"/>
      <c r="C842" s="64"/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4"/>
      <c r="S842" s="28"/>
    </row>
    <row r="843" spans="1:19" x14ac:dyDescent="0.25">
      <c r="A843" s="63"/>
      <c r="B843" s="64"/>
      <c r="C843" s="64"/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4"/>
      <c r="S843" s="28"/>
    </row>
    <row r="844" spans="1:19" x14ac:dyDescent="0.25">
      <c r="A844" s="63"/>
      <c r="B844" s="64"/>
      <c r="C844" s="64"/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4"/>
      <c r="S844" s="28"/>
    </row>
    <row r="845" spans="1:19" x14ac:dyDescent="0.25">
      <c r="A845" s="63"/>
      <c r="B845" s="64"/>
      <c r="C845" s="64"/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4"/>
      <c r="S845" s="28"/>
    </row>
    <row r="846" spans="1:19" x14ac:dyDescent="0.25">
      <c r="A846" s="63"/>
      <c r="B846" s="64"/>
      <c r="C846" s="64"/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4"/>
      <c r="S846" s="28"/>
    </row>
    <row r="847" spans="1:19" x14ac:dyDescent="0.25">
      <c r="A847" s="63"/>
      <c r="B847" s="64"/>
      <c r="C847" s="64"/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4"/>
      <c r="S847" s="28"/>
    </row>
    <row r="848" spans="1:19" x14ac:dyDescent="0.25">
      <c r="A848" s="63"/>
      <c r="B848" s="64"/>
      <c r="C848" s="64"/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4"/>
      <c r="S848" s="28"/>
    </row>
    <row r="849" spans="1:19" x14ac:dyDescent="0.25">
      <c r="A849" s="63"/>
      <c r="B849" s="64"/>
      <c r="C849" s="64"/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4"/>
      <c r="S849" s="28"/>
    </row>
    <row r="850" spans="1:19" x14ac:dyDescent="0.25">
      <c r="A850" s="63"/>
      <c r="B850" s="64"/>
      <c r="C850" s="64"/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4"/>
      <c r="S850" s="28"/>
    </row>
    <row r="851" spans="1:19" x14ac:dyDescent="0.25">
      <c r="A851" s="63"/>
      <c r="B851" s="64"/>
      <c r="C851" s="64"/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64"/>
      <c r="S851" s="28"/>
    </row>
    <row r="852" spans="1:19" x14ac:dyDescent="0.25">
      <c r="A852" s="63"/>
      <c r="B852" s="64"/>
      <c r="C852" s="64"/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64"/>
      <c r="S852" s="28"/>
    </row>
    <row r="853" spans="1:19" x14ac:dyDescent="0.25">
      <c r="A853" s="63"/>
      <c r="B853" s="64"/>
      <c r="C853" s="64"/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64"/>
      <c r="S853" s="28"/>
    </row>
    <row r="854" spans="1:19" x14ac:dyDescent="0.25">
      <c r="A854" s="63"/>
      <c r="B854" s="64"/>
      <c r="C854" s="64"/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64"/>
      <c r="S854" s="28"/>
    </row>
    <row r="855" spans="1:19" x14ac:dyDescent="0.25">
      <c r="A855" s="63"/>
      <c r="B855" s="64"/>
      <c r="C855" s="64"/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64"/>
      <c r="S855" s="28"/>
    </row>
    <row r="856" spans="1:19" x14ac:dyDescent="0.25">
      <c r="A856" s="63"/>
      <c r="B856" s="64"/>
      <c r="C856" s="64"/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64"/>
      <c r="S856" s="28"/>
    </row>
    <row r="857" spans="1:19" x14ac:dyDescent="0.25">
      <c r="A857" s="63"/>
      <c r="B857" s="64"/>
      <c r="C857" s="64"/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64"/>
      <c r="S857" s="28"/>
    </row>
    <row r="858" spans="1:19" x14ac:dyDescent="0.25">
      <c r="A858" s="63"/>
      <c r="B858" s="64"/>
      <c r="C858" s="64"/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64"/>
      <c r="S858" s="28"/>
    </row>
    <row r="859" spans="1:19" x14ac:dyDescent="0.25">
      <c r="A859" s="63"/>
      <c r="B859" s="64"/>
      <c r="C859" s="64"/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64"/>
      <c r="S859" s="28"/>
    </row>
    <row r="860" spans="1:19" x14ac:dyDescent="0.25">
      <c r="A860" s="63"/>
      <c r="B860" s="64"/>
      <c r="C860" s="64"/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64"/>
      <c r="S860" s="28"/>
    </row>
    <row r="861" spans="1:19" x14ac:dyDescent="0.25">
      <c r="A861" s="63"/>
      <c r="B861" s="64"/>
      <c r="C861" s="64"/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64"/>
      <c r="S861" s="28"/>
    </row>
    <row r="862" spans="1:19" x14ac:dyDescent="0.25">
      <c r="A862" s="63"/>
      <c r="B862" s="64"/>
      <c r="C862" s="64"/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64"/>
      <c r="S862" s="28"/>
    </row>
    <row r="863" spans="1:19" x14ac:dyDescent="0.25">
      <c r="A863" s="63"/>
      <c r="B863" s="64"/>
      <c r="C863" s="64"/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64"/>
      <c r="S863" s="28"/>
    </row>
    <row r="864" spans="1:19" x14ac:dyDescent="0.25">
      <c r="A864" s="63"/>
      <c r="B864" s="64"/>
      <c r="C864" s="64"/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64"/>
      <c r="S864" s="28"/>
    </row>
    <row r="865" spans="1:19" x14ac:dyDescent="0.25">
      <c r="A865" s="63"/>
      <c r="B865" s="64"/>
      <c r="C865" s="64"/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64"/>
      <c r="S865" s="28"/>
    </row>
    <row r="866" spans="1:19" x14ac:dyDescent="0.25">
      <c r="A866" s="63"/>
      <c r="B866" s="64"/>
      <c r="C866" s="64"/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64"/>
      <c r="S866" s="28"/>
    </row>
    <row r="867" spans="1:19" x14ac:dyDescent="0.25">
      <c r="A867" s="63"/>
      <c r="B867" s="64"/>
      <c r="C867" s="64"/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64"/>
      <c r="S867" s="28"/>
    </row>
    <row r="868" spans="1:19" x14ac:dyDescent="0.25">
      <c r="A868" s="63"/>
      <c r="B868" s="64"/>
      <c r="C868" s="64"/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64"/>
      <c r="S868" s="28"/>
    </row>
    <row r="869" spans="1:19" x14ac:dyDescent="0.25">
      <c r="A869" s="63"/>
      <c r="B869" s="64"/>
      <c r="C869" s="64"/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64"/>
      <c r="S869" s="28"/>
    </row>
    <row r="870" spans="1:19" x14ac:dyDescent="0.25">
      <c r="A870" s="63"/>
      <c r="B870" s="64"/>
      <c r="C870" s="64"/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64"/>
      <c r="S870" s="28"/>
    </row>
    <row r="871" spans="1:19" x14ac:dyDescent="0.25">
      <c r="A871" s="63"/>
      <c r="B871" s="64"/>
      <c r="C871" s="64"/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64"/>
      <c r="S871" s="28"/>
    </row>
    <row r="872" spans="1:19" x14ac:dyDescent="0.25">
      <c r="A872" s="63"/>
      <c r="B872" s="64"/>
      <c r="C872" s="64"/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64"/>
      <c r="S872" s="28"/>
    </row>
    <row r="873" spans="1:19" x14ac:dyDescent="0.25">
      <c r="A873" s="63"/>
      <c r="B873" s="64"/>
      <c r="C873" s="64"/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64"/>
      <c r="S873" s="28"/>
    </row>
    <row r="874" spans="1:19" x14ac:dyDescent="0.25">
      <c r="A874" s="63"/>
      <c r="B874" s="64"/>
      <c r="C874" s="64"/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64"/>
      <c r="S874" s="28"/>
    </row>
    <row r="875" spans="1:19" x14ac:dyDescent="0.25">
      <c r="A875" s="63"/>
      <c r="B875" s="64"/>
      <c r="C875" s="64"/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64"/>
      <c r="S875" s="28"/>
    </row>
    <row r="876" spans="1:19" x14ac:dyDescent="0.25">
      <c r="A876" s="63"/>
      <c r="B876" s="64"/>
      <c r="C876" s="64"/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64"/>
      <c r="S876" s="28"/>
    </row>
    <row r="877" spans="1:19" x14ac:dyDescent="0.25">
      <c r="A877" s="63"/>
      <c r="B877" s="64"/>
      <c r="C877" s="64"/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64"/>
      <c r="S877" s="28"/>
    </row>
    <row r="878" spans="1:19" x14ac:dyDescent="0.25">
      <c r="A878" s="63"/>
      <c r="B878" s="64"/>
      <c r="C878" s="64"/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64"/>
      <c r="S878" s="28"/>
    </row>
    <row r="879" spans="1:19" x14ac:dyDescent="0.25">
      <c r="A879" s="63"/>
      <c r="B879" s="64"/>
      <c r="C879" s="64"/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64"/>
      <c r="S879" s="28"/>
    </row>
    <row r="880" spans="1:19" x14ac:dyDescent="0.25">
      <c r="A880" s="63"/>
      <c r="B880" s="64"/>
      <c r="C880" s="64"/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64"/>
      <c r="S880" s="28"/>
    </row>
    <row r="881" spans="1:19" x14ac:dyDescent="0.25">
      <c r="A881" s="63"/>
      <c r="B881" s="64"/>
      <c r="C881" s="64"/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64"/>
      <c r="S881" s="28"/>
    </row>
    <row r="882" spans="1:19" x14ac:dyDescent="0.25">
      <c r="A882" s="63"/>
      <c r="B882" s="64"/>
      <c r="C882" s="64"/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64"/>
      <c r="S882" s="28"/>
    </row>
    <row r="883" spans="1:19" x14ac:dyDescent="0.25">
      <c r="A883" s="63"/>
      <c r="B883" s="64"/>
      <c r="C883" s="64"/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64"/>
      <c r="S883" s="28"/>
    </row>
    <row r="884" spans="1:19" x14ac:dyDescent="0.25">
      <c r="A884" s="63"/>
      <c r="B884" s="64"/>
      <c r="C884" s="64"/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64"/>
      <c r="S884" s="28"/>
    </row>
    <row r="885" spans="1:19" x14ac:dyDescent="0.25">
      <c r="A885" s="63"/>
      <c r="B885" s="64"/>
      <c r="C885" s="64"/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64"/>
      <c r="S885" s="28"/>
    </row>
    <row r="886" spans="1:19" x14ac:dyDescent="0.25">
      <c r="A886" s="63"/>
      <c r="B886" s="64"/>
      <c r="C886" s="64"/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64"/>
      <c r="S886" s="28"/>
    </row>
    <row r="887" spans="1:19" x14ac:dyDescent="0.25">
      <c r="A887" s="63"/>
      <c r="B887" s="64"/>
      <c r="C887" s="64"/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64"/>
      <c r="S887" s="28"/>
    </row>
    <row r="888" spans="1:19" x14ac:dyDescent="0.25">
      <c r="A888" s="63"/>
      <c r="B888" s="64"/>
      <c r="C888" s="64"/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64"/>
      <c r="S888" s="28"/>
    </row>
    <row r="889" spans="1:19" x14ac:dyDescent="0.25">
      <c r="A889" s="63"/>
      <c r="B889" s="64"/>
      <c r="C889" s="64"/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64"/>
      <c r="S889" s="28"/>
    </row>
    <row r="890" spans="1:19" x14ac:dyDescent="0.25">
      <c r="A890" s="63"/>
      <c r="B890" s="64"/>
      <c r="C890" s="64"/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64"/>
      <c r="S890" s="28"/>
    </row>
    <row r="891" spans="1:19" x14ac:dyDescent="0.25">
      <c r="A891" s="63"/>
      <c r="B891" s="64"/>
      <c r="C891" s="64"/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64"/>
      <c r="S891" s="28"/>
    </row>
    <row r="892" spans="1:19" x14ac:dyDescent="0.25">
      <c r="A892" s="63"/>
      <c r="B892" s="64"/>
      <c r="C892" s="64"/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64"/>
      <c r="S892" s="28"/>
    </row>
    <row r="893" spans="1:19" x14ac:dyDescent="0.25">
      <c r="A893" s="63"/>
      <c r="B893" s="64"/>
      <c r="C893" s="64"/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64"/>
      <c r="S893" s="28"/>
    </row>
    <row r="894" spans="1:19" x14ac:dyDescent="0.25">
      <c r="A894" s="63"/>
      <c r="B894" s="64"/>
      <c r="C894" s="64"/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64"/>
      <c r="S894" s="28"/>
    </row>
    <row r="895" spans="1:19" x14ac:dyDescent="0.25">
      <c r="A895" s="63"/>
      <c r="B895" s="64"/>
      <c r="C895" s="64"/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64"/>
      <c r="S895" s="28"/>
    </row>
    <row r="896" spans="1:19" x14ac:dyDescent="0.25">
      <c r="A896" s="63"/>
      <c r="B896" s="64"/>
      <c r="C896" s="64"/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64"/>
      <c r="S896" s="28"/>
    </row>
    <row r="897" spans="1:19" x14ac:dyDescent="0.25">
      <c r="A897" s="63"/>
      <c r="B897" s="64"/>
      <c r="C897" s="64"/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64"/>
      <c r="S897" s="28"/>
    </row>
    <row r="898" spans="1:19" x14ac:dyDescent="0.25">
      <c r="A898" s="63"/>
      <c r="B898" s="64"/>
      <c r="C898" s="64"/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64"/>
      <c r="S898" s="28"/>
    </row>
    <row r="899" spans="1:19" x14ac:dyDescent="0.25">
      <c r="A899" s="63"/>
      <c r="B899" s="64"/>
      <c r="C899" s="64"/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64"/>
      <c r="S899" s="28"/>
    </row>
    <row r="900" spans="1:19" x14ac:dyDescent="0.25">
      <c r="A900" s="63"/>
      <c r="B900" s="64"/>
      <c r="C900" s="64"/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64"/>
      <c r="S900" s="28"/>
    </row>
    <row r="901" spans="1:19" x14ac:dyDescent="0.25">
      <c r="A901" s="63"/>
      <c r="B901" s="64"/>
      <c r="C901" s="64"/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64"/>
      <c r="S901" s="28"/>
    </row>
    <row r="902" spans="1:19" x14ac:dyDescent="0.25">
      <c r="A902" s="63"/>
      <c r="B902" s="64"/>
      <c r="C902" s="64"/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64"/>
      <c r="S902" s="28"/>
    </row>
    <row r="903" spans="1:19" x14ac:dyDescent="0.25">
      <c r="A903" s="63"/>
      <c r="B903" s="64"/>
      <c r="C903" s="64"/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64"/>
      <c r="S903" s="28"/>
    </row>
    <row r="904" spans="1:19" x14ac:dyDescent="0.25">
      <c r="A904" s="63"/>
      <c r="B904" s="64"/>
      <c r="C904" s="64"/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64"/>
      <c r="S904" s="28"/>
    </row>
    <row r="905" spans="1:19" x14ac:dyDescent="0.25">
      <c r="A905" s="63"/>
      <c r="B905" s="64"/>
      <c r="C905" s="64"/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64"/>
      <c r="S905" s="28"/>
    </row>
    <row r="906" spans="1:19" x14ac:dyDescent="0.25">
      <c r="A906" s="63"/>
      <c r="B906" s="64"/>
      <c r="C906" s="64"/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64"/>
      <c r="S906" s="28"/>
    </row>
    <row r="907" spans="1:19" x14ac:dyDescent="0.25">
      <c r="A907" s="63"/>
      <c r="B907" s="64"/>
      <c r="C907" s="64"/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64"/>
      <c r="S907" s="28"/>
    </row>
    <row r="908" spans="1:19" x14ac:dyDescent="0.25">
      <c r="A908" s="63"/>
      <c r="B908" s="64"/>
      <c r="C908" s="64"/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64"/>
      <c r="S908" s="28"/>
    </row>
    <row r="909" spans="1:19" x14ac:dyDescent="0.25">
      <c r="A909" s="63"/>
      <c r="B909" s="64"/>
      <c r="C909" s="64"/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64"/>
      <c r="S909" s="28"/>
    </row>
    <row r="910" spans="1:19" x14ac:dyDescent="0.25">
      <c r="A910" s="63"/>
      <c r="B910" s="64"/>
      <c r="C910" s="64"/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64"/>
      <c r="S910" s="28"/>
    </row>
    <row r="911" spans="1:19" x14ac:dyDescent="0.25">
      <c r="A911" s="63"/>
      <c r="B911" s="64"/>
      <c r="C911" s="64"/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64"/>
      <c r="S911" s="28"/>
    </row>
    <row r="912" spans="1:19" x14ac:dyDescent="0.25">
      <c r="A912" s="63"/>
      <c r="B912" s="64"/>
      <c r="C912" s="64"/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64"/>
      <c r="S912" s="28"/>
    </row>
    <row r="913" spans="1:19" x14ac:dyDescent="0.25">
      <c r="A913" s="63"/>
      <c r="B913" s="64"/>
      <c r="C913" s="64"/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64"/>
      <c r="S913" s="28"/>
    </row>
    <row r="914" spans="1:19" x14ac:dyDescent="0.25">
      <c r="A914" s="63"/>
      <c r="B914" s="64"/>
      <c r="C914" s="64"/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64"/>
      <c r="S914" s="28"/>
    </row>
    <row r="915" spans="1:19" x14ac:dyDescent="0.25">
      <c r="A915" s="63"/>
      <c r="B915" s="64"/>
      <c r="C915" s="64"/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64"/>
      <c r="S915" s="28"/>
    </row>
    <row r="916" spans="1:19" x14ac:dyDescent="0.25">
      <c r="A916" s="63"/>
      <c r="B916" s="64"/>
      <c r="C916" s="64"/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64"/>
      <c r="S916" s="28"/>
    </row>
    <row r="917" spans="1:19" x14ac:dyDescent="0.25">
      <c r="A917" s="63"/>
      <c r="B917" s="64"/>
      <c r="C917" s="64"/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64"/>
      <c r="S917" s="28"/>
    </row>
    <row r="918" spans="1:19" x14ac:dyDescent="0.25">
      <c r="A918" s="63"/>
      <c r="B918" s="64"/>
      <c r="C918" s="64"/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64"/>
      <c r="S918" s="28"/>
    </row>
    <row r="919" spans="1:19" x14ac:dyDescent="0.25">
      <c r="A919" s="63"/>
      <c r="B919" s="64"/>
      <c r="C919" s="64"/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64"/>
      <c r="S919" s="28"/>
    </row>
    <row r="920" spans="1:19" x14ac:dyDescent="0.25">
      <c r="A920" s="63"/>
      <c r="B920" s="64"/>
      <c r="C920" s="64"/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64"/>
      <c r="S920" s="28"/>
    </row>
    <row r="921" spans="1:19" x14ac:dyDescent="0.25">
      <c r="A921" s="63"/>
      <c r="B921" s="64"/>
      <c r="C921" s="64"/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64"/>
      <c r="S921" s="28"/>
    </row>
    <row r="922" spans="1:19" x14ac:dyDescent="0.25">
      <c r="A922" s="63"/>
      <c r="B922" s="64"/>
      <c r="C922" s="64"/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64"/>
      <c r="S922" s="28"/>
    </row>
    <row r="923" spans="1:19" x14ac:dyDescent="0.25">
      <c r="A923" s="63"/>
      <c r="B923" s="64"/>
      <c r="C923" s="64"/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64"/>
      <c r="S923" s="28"/>
    </row>
    <row r="924" spans="1:19" x14ac:dyDescent="0.25">
      <c r="A924" s="63"/>
      <c r="B924" s="64"/>
      <c r="C924" s="64"/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64"/>
      <c r="S924" s="28"/>
    </row>
    <row r="925" spans="1:19" x14ac:dyDescent="0.25">
      <c r="A925" s="63"/>
      <c r="B925" s="64"/>
      <c r="C925" s="64"/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64"/>
      <c r="S925" s="28"/>
    </row>
    <row r="926" spans="1:19" x14ac:dyDescent="0.25">
      <c r="A926" s="63"/>
      <c r="B926" s="64"/>
      <c r="C926" s="64"/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64"/>
      <c r="S926" s="28"/>
    </row>
    <row r="927" spans="1:19" x14ac:dyDescent="0.25">
      <c r="A927" s="63"/>
      <c r="B927" s="64"/>
      <c r="C927" s="64"/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64"/>
      <c r="S927" s="28"/>
    </row>
    <row r="928" spans="1:19" x14ac:dyDescent="0.25">
      <c r="A928" s="63"/>
      <c r="B928" s="64"/>
      <c r="C928" s="64"/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64"/>
      <c r="S928" s="28"/>
    </row>
    <row r="929" spans="1:19" x14ac:dyDescent="0.25">
      <c r="A929" s="63"/>
      <c r="B929" s="64"/>
      <c r="C929" s="64"/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64"/>
      <c r="S929" s="28"/>
    </row>
    <row r="930" spans="1:19" x14ac:dyDescent="0.25">
      <c r="A930" s="63"/>
      <c r="B930" s="64"/>
      <c r="C930" s="64"/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64"/>
      <c r="S930" s="28"/>
    </row>
    <row r="931" spans="1:19" x14ac:dyDescent="0.25">
      <c r="A931" s="63"/>
      <c r="B931" s="64"/>
      <c r="C931" s="64"/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64"/>
      <c r="S931" s="28"/>
    </row>
    <row r="932" spans="1:19" x14ac:dyDescent="0.25">
      <c r="A932" s="63"/>
      <c r="B932" s="64"/>
      <c r="C932" s="64"/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64"/>
      <c r="S932" s="28"/>
    </row>
    <row r="933" spans="1:19" x14ac:dyDescent="0.25">
      <c r="A933" s="63"/>
      <c r="B933" s="64"/>
      <c r="C933" s="64"/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64"/>
      <c r="S933" s="28"/>
    </row>
    <row r="934" spans="1:19" x14ac:dyDescent="0.25">
      <c r="A934" s="63"/>
      <c r="B934" s="64"/>
      <c r="C934" s="64"/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64"/>
      <c r="S934" s="28"/>
    </row>
    <row r="935" spans="1:19" x14ac:dyDescent="0.25">
      <c r="A935" s="63"/>
      <c r="B935" s="64"/>
      <c r="C935" s="64"/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64"/>
      <c r="S935" s="28"/>
    </row>
    <row r="936" spans="1:19" x14ac:dyDescent="0.25">
      <c r="A936" s="63"/>
      <c r="B936" s="64"/>
      <c r="C936" s="64"/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64"/>
      <c r="S936" s="28"/>
    </row>
    <row r="937" spans="1:19" x14ac:dyDescent="0.25">
      <c r="A937" s="63"/>
      <c r="B937" s="64"/>
      <c r="C937" s="64"/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64"/>
      <c r="S937" s="28"/>
    </row>
    <row r="938" spans="1:19" x14ac:dyDescent="0.25">
      <c r="A938" s="63"/>
      <c r="B938" s="64"/>
      <c r="C938" s="64"/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64"/>
      <c r="S938" s="28"/>
    </row>
    <row r="939" spans="1:19" x14ac:dyDescent="0.25">
      <c r="A939" s="63"/>
      <c r="B939" s="64"/>
      <c r="C939" s="64"/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64"/>
      <c r="S939" s="28"/>
    </row>
    <row r="940" spans="1:19" x14ac:dyDescent="0.25">
      <c r="A940" s="63"/>
      <c r="B940" s="64"/>
      <c r="C940" s="64"/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64"/>
      <c r="S940" s="28"/>
    </row>
    <row r="941" spans="1:19" x14ac:dyDescent="0.25">
      <c r="A941" s="63"/>
      <c r="B941" s="64"/>
      <c r="C941" s="64"/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64"/>
      <c r="S941" s="28"/>
    </row>
    <row r="942" spans="1:19" x14ac:dyDescent="0.25">
      <c r="A942" s="63"/>
      <c r="B942" s="64"/>
      <c r="C942" s="64"/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64"/>
      <c r="S942" s="28"/>
    </row>
    <row r="943" spans="1:19" x14ac:dyDescent="0.25">
      <c r="A943" s="63"/>
      <c r="B943" s="64"/>
      <c r="C943" s="64"/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64"/>
      <c r="S943" s="28"/>
    </row>
    <row r="944" spans="1:19" x14ac:dyDescent="0.25">
      <c r="A944" s="63"/>
      <c r="B944" s="64"/>
      <c r="C944" s="64"/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64"/>
      <c r="S944" s="28"/>
    </row>
    <row r="945" spans="1:19" x14ac:dyDescent="0.25">
      <c r="A945" s="63"/>
      <c r="B945" s="64"/>
      <c r="C945" s="64"/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64"/>
      <c r="S945" s="28"/>
    </row>
    <row r="946" spans="1:19" x14ac:dyDescent="0.25">
      <c r="A946" s="63"/>
      <c r="B946" s="64"/>
      <c r="C946" s="64"/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64"/>
      <c r="S946" s="28"/>
    </row>
    <row r="947" spans="1:19" x14ac:dyDescent="0.25">
      <c r="A947" s="63"/>
      <c r="B947" s="64"/>
      <c r="C947" s="64"/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64"/>
      <c r="S947" s="28"/>
    </row>
    <row r="948" spans="1:19" x14ac:dyDescent="0.25">
      <c r="A948" s="63"/>
      <c r="B948" s="64"/>
      <c r="C948" s="64"/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64"/>
      <c r="S948" s="28"/>
    </row>
    <row r="949" spans="1:19" x14ac:dyDescent="0.25">
      <c r="A949" s="63"/>
      <c r="B949" s="64"/>
      <c r="C949" s="64"/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64"/>
      <c r="S949" s="28"/>
    </row>
    <row r="950" spans="1:19" x14ac:dyDescent="0.25">
      <c r="A950" s="63"/>
      <c r="B950" s="64"/>
      <c r="C950" s="64"/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64"/>
      <c r="S950" s="28"/>
    </row>
    <row r="951" spans="1:19" x14ac:dyDescent="0.25">
      <c r="A951" s="63"/>
      <c r="B951" s="64"/>
      <c r="C951" s="64"/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64"/>
      <c r="S951" s="28"/>
    </row>
    <row r="952" spans="1:19" x14ac:dyDescent="0.25">
      <c r="A952" s="63"/>
      <c r="B952" s="64"/>
      <c r="C952" s="64"/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64"/>
      <c r="S952" s="28"/>
    </row>
    <row r="953" spans="1:19" x14ac:dyDescent="0.25">
      <c r="A953" s="63"/>
      <c r="B953" s="64"/>
      <c r="C953" s="64"/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64"/>
      <c r="S953" s="28"/>
    </row>
    <row r="954" spans="1:19" x14ac:dyDescent="0.25">
      <c r="A954" s="63"/>
      <c r="B954" s="64"/>
      <c r="C954" s="64"/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64"/>
      <c r="S954" s="28"/>
    </row>
    <row r="955" spans="1:19" x14ac:dyDescent="0.25">
      <c r="A955" s="63"/>
      <c r="B955" s="64"/>
      <c r="C955" s="64"/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64"/>
      <c r="S955" s="28"/>
    </row>
    <row r="956" spans="1:19" x14ac:dyDescent="0.25">
      <c r="A956" s="63"/>
      <c r="B956" s="64"/>
      <c r="C956" s="64"/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64"/>
      <c r="S956" s="28"/>
    </row>
    <row r="957" spans="1:19" x14ac:dyDescent="0.25">
      <c r="A957" s="63"/>
      <c r="B957" s="64"/>
      <c r="C957" s="64"/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64"/>
      <c r="S957" s="28"/>
    </row>
    <row r="958" spans="1:19" x14ac:dyDescent="0.25">
      <c r="A958" s="63"/>
      <c r="B958" s="64"/>
      <c r="C958" s="64"/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64"/>
      <c r="S958" s="28"/>
    </row>
    <row r="959" spans="1:19" x14ac:dyDescent="0.25">
      <c r="A959" s="63"/>
      <c r="B959" s="64"/>
      <c r="C959" s="64"/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64"/>
      <c r="S959" s="28"/>
    </row>
    <row r="960" spans="1:19" x14ac:dyDescent="0.25">
      <c r="A960" s="63"/>
      <c r="B960" s="64"/>
      <c r="C960" s="64"/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64"/>
      <c r="S960" s="28"/>
    </row>
    <row r="961" spans="1:19" x14ac:dyDescent="0.25">
      <c r="A961" s="63"/>
      <c r="B961" s="64"/>
      <c r="C961" s="64"/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64"/>
      <c r="S961" s="28"/>
    </row>
    <row r="962" spans="1:19" x14ac:dyDescent="0.25">
      <c r="A962" s="63"/>
      <c r="B962" s="64"/>
      <c r="C962" s="64"/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64"/>
      <c r="S962" s="28"/>
    </row>
    <row r="963" spans="1:19" x14ac:dyDescent="0.25">
      <c r="A963" s="63"/>
      <c r="B963" s="64"/>
      <c r="C963" s="64"/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64"/>
      <c r="S963" s="28"/>
    </row>
    <row r="964" spans="1:19" x14ac:dyDescent="0.25">
      <c r="A964" s="63"/>
      <c r="B964" s="64"/>
      <c r="C964" s="64"/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64"/>
      <c r="S964" s="28"/>
    </row>
    <row r="965" spans="1:19" x14ac:dyDescent="0.25">
      <c r="A965" s="63"/>
      <c r="B965" s="64"/>
      <c r="C965" s="64"/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64"/>
      <c r="S965" s="28"/>
    </row>
    <row r="966" spans="1:19" x14ac:dyDescent="0.25">
      <c r="A966" s="63"/>
      <c r="B966" s="64"/>
      <c r="C966" s="64"/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64"/>
      <c r="S966" s="28"/>
    </row>
    <row r="967" spans="1:19" x14ac:dyDescent="0.25">
      <c r="A967" s="63"/>
      <c r="B967" s="64"/>
      <c r="C967" s="64"/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64"/>
      <c r="S967" s="28"/>
    </row>
    <row r="968" spans="1:19" x14ac:dyDescent="0.25">
      <c r="A968" s="63"/>
      <c r="B968" s="64"/>
      <c r="C968" s="64"/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64"/>
      <c r="S968" s="28"/>
    </row>
    <row r="969" spans="1:19" x14ac:dyDescent="0.25">
      <c r="A969" s="63"/>
      <c r="B969" s="64"/>
      <c r="C969" s="64"/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64"/>
      <c r="S969" s="28"/>
    </row>
    <row r="970" spans="1:19" x14ac:dyDescent="0.25">
      <c r="A970" s="63"/>
      <c r="B970" s="64"/>
      <c r="C970" s="64"/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64"/>
      <c r="S970" s="28"/>
    </row>
    <row r="971" spans="1:19" x14ac:dyDescent="0.25">
      <c r="A971" s="63"/>
      <c r="B971" s="64"/>
      <c r="C971" s="64"/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64"/>
      <c r="S971" s="28"/>
    </row>
    <row r="972" spans="1:19" x14ac:dyDescent="0.25">
      <c r="A972" s="63"/>
      <c r="B972" s="64"/>
      <c r="C972" s="64"/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64"/>
      <c r="S972" s="28"/>
    </row>
    <row r="973" spans="1:19" x14ac:dyDescent="0.25">
      <c r="A973" s="63"/>
      <c r="B973" s="64"/>
      <c r="C973" s="64"/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64"/>
      <c r="S973" s="28"/>
    </row>
    <row r="974" spans="1:19" x14ac:dyDescent="0.25">
      <c r="A974" s="63"/>
      <c r="B974" s="64"/>
      <c r="C974" s="64"/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64"/>
      <c r="S974" s="28"/>
    </row>
    <row r="975" spans="1:19" x14ac:dyDescent="0.25">
      <c r="A975" s="63"/>
      <c r="B975" s="64"/>
      <c r="C975" s="64"/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64"/>
      <c r="S975" s="28"/>
    </row>
    <row r="976" spans="1:19" x14ac:dyDescent="0.25">
      <c r="A976" s="63"/>
      <c r="B976" s="64"/>
      <c r="C976" s="64"/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64"/>
      <c r="S976" s="28"/>
    </row>
    <row r="977" spans="1:19" x14ac:dyDescent="0.25">
      <c r="A977" s="63"/>
      <c r="B977" s="64"/>
      <c r="C977" s="64"/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64"/>
      <c r="S977" s="28"/>
    </row>
    <row r="978" spans="1:19" x14ac:dyDescent="0.25">
      <c r="A978" s="63"/>
      <c r="B978" s="64"/>
      <c r="C978" s="64"/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64"/>
      <c r="S978" s="28"/>
    </row>
    <row r="979" spans="1:19" x14ac:dyDescent="0.25">
      <c r="A979" s="63"/>
      <c r="B979" s="64"/>
      <c r="C979" s="64"/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64"/>
      <c r="S979" s="28"/>
    </row>
    <row r="980" spans="1:19" x14ac:dyDescent="0.25">
      <c r="A980" s="63"/>
      <c r="B980" s="64"/>
      <c r="C980" s="64"/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64"/>
      <c r="S980" s="28"/>
    </row>
    <row r="981" spans="1:19" x14ac:dyDescent="0.25">
      <c r="A981" s="63"/>
      <c r="B981" s="64"/>
      <c r="C981" s="64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4"/>
      <c r="S981" s="28"/>
    </row>
    <row r="982" spans="1:19" x14ac:dyDescent="0.25">
      <c r="A982" s="63"/>
      <c r="B982" s="64"/>
      <c r="C982" s="64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4"/>
      <c r="S982" s="28"/>
    </row>
    <row r="983" spans="1:19" x14ac:dyDescent="0.25">
      <c r="A983" s="63"/>
      <c r="B983" s="64"/>
      <c r="C983" s="64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4"/>
      <c r="S983" s="28"/>
    </row>
    <row r="984" spans="1:19" x14ac:dyDescent="0.25">
      <c r="A984" s="63"/>
      <c r="B984" s="64"/>
      <c r="C984" s="64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4"/>
      <c r="S984" s="28"/>
    </row>
    <row r="985" spans="1:19" x14ac:dyDescent="0.25">
      <c r="A985" s="63"/>
      <c r="B985" s="64"/>
      <c r="C985" s="64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4"/>
      <c r="S985" s="28"/>
    </row>
    <row r="986" spans="1:19" x14ac:dyDescent="0.25">
      <c r="A986" s="63"/>
      <c r="B986" s="64"/>
      <c r="C986" s="64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4"/>
      <c r="S986" s="28"/>
    </row>
    <row r="987" spans="1:19" x14ac:dyDescent="0.25">
      <c r="A987" s="63"/>
      <c r="B987" s="64"/>
      <c r="C987" s="64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4"/>
      <c r="S987" s="28"/>
    </row>
    <row r="988" spans="1:19" x14ac:dyDescent="0.25">
      <c r="A988" s="63"/>
      <c r="B988" s="64"/>
      <c r="C988" s="64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4"/>
      <c r="S988" s="28"/>
    </row>
    <row r="989" spans="1:19" x14ac:dyDescent="0.25">
      <c r="A989" s="63"/>
      <c r="B989" s="64"/>
      <c r="C989" s="64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4"/>
      <c r="S989" s="28"/>
    </row>
    <row r="990" spans="1:19" x14ac:dyDescent="0.25">
      <c r="A990" s="63"/>
      <c r="B990" s="64"/>
      <c r="C990" s="64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4"/>
      <c r="S990" s="28"/>
    </row>
    <row r="991" spans="1:19" x14ac:dyDescent="0.25">
      <c r="A991" s="63"/>
      <c r="B991" s="64"/>
      <c r="C991" s="64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4"/>
      <c r="S991" s="28"/>
    </row>
    <row r="992" spans="1:19" x14ac:dyDescent="0.25">
      <c r="A992" s="63"/>
      <c r="B992" s="64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28"/>
    </row>
    <row r="993" spans="1:19" x14ac:dyDescent="0.25">
      <c r="A993" s="63"/>
      <c r="B993" s="64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28"/>
    </row>
    <row r="994" spans="1:19" x14ac:dyDescent="0.25">
      <c r="A994" s="63"/>
      <c r="B994" s="64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28"/>
    </row>
    <row r="995" spans="1:19" x14ac:dyDescent="0.25">
      <c r="A995" s="63"/>
      <c r="B995" s="64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28"/>
    </row>
    <row r="996" spans="1:19" x14ac:dyDescent="0.25">
      <c r="A996" s="63"/>
      <c r="B996" s="64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28"/>
    </row>
    <row r="997" spans="1:19" x14ac:dyDescent="0.25">
      <c r="A997" s="63"/>
      <c r="B997" s="64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4"/>
      <c r="S997" s="28"/>
    </row>
    <row r="998" spans="1:19" x14ac:dyDescent="0.25">
      <c r="A998" s="63"/>
      <c r="B998" s="64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4"/>
      <c r="S998" s="28"/>
    </row>
    <row r="999" spans="1:19" x14ac:dyDescent="0.25">
      <c r="A999" s="63"/>
      <c r="B999" s="64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4"/>
      <c r="S999" s="28"/>
    </row>
    <row r="1000" spans="1:19" x14ac:dyDescent="0.25">
      <c r="A1000" s="63"/>
      <c r="B1000" s="64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4"/>
      <c r="S1000" s="28"/>
    </row>
    <row r="1001" spans="1:19" x14ac:dyDescent="0.25">
      <c r="A1001" s="63"/>
      <c r="B1001" s="64"/>
      <c r="C1001" s="64"/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  <c r="Q1001" s="64"/>
      <c r="R1001" s="64"/>
      <c r="S1001" s="28"/>
    </row>
    <row r="1002" spans="1:19" x14ac:dyDescent="0.25">
      <c r="A1002" s="63"/>
      <c r="B1002" s="64"/>
      <c r="C1002" s="64"/>
      <c r="D1002" s="64"/>
      <c r="E1002" s="64"/>
      <c r="F1002" s="64"/>
      <c r="G1002" s="64"/>
      <c r="H1002" s="64"/>
      <c r="I1002" s="64"/>
      <c r="J1002" s="64"/>
      <c r="K1002" s="64"/>
      <c r="L1002" s="64"/>
      <c r="M1002" s="64"/>
      <c r="N1002" s="64"/>
      <c r="O1002" s="64"/>
      <c r="P1002" s="64"/>
      <c r="Q1002" s="64"/>
      <c r="R1002" s="64"/>
      <c r="S1002" s="28"/>
    </row>
    <row r="1003" spans="1:19" x14ac:dyDescent="0.25">
      <c r="A1003" s="63"/>
      <c r="B1003" s="64"/>
      <c r="C1003" s="64"/>
      <c r="D1003" s="64"/>
      <c r="E1003" s="64"/>
      <c r="F1003" s="64"/>
      <c r="G1003" s="64"/>
      <c r="H1003" s="64"/>
      <c r="I1003" s="64"/>
      <c r="J1003" s="64"/>
      <c r="K1003" s="64"/>
      <c r="L1003" s="64"/>
      <c r="M1003" s="64"/>
      <c r="N1003" s="64"/>
      <c r="O1003" s="64"/>
      <c r="P1003" s="64"/>
      <c r="Q1003" s="64"/>
      <c r="R1003" s="64"/>
      <c r="S1003" s="28"/>
    </row>
    <row r="1004" spans="1:19" x14ac:dyDescent="0.25">
      <c r="A1004" s="63"/>
      <c r="B1004" s="64"/>
      <c r="C1004" s="64"/>
      <c r="D1004" s="64"/>
      <c r="E1004" s="64"/>
      <c r="F1004" s="64"/>
      <c r="G1004" s="64"/>
      <c r="H1004" s="64"/>
      <c r="I1004" s="64"/>
      <c r="J1004" s="64"/>
      <c r="K1004" s="64"/>
      <c r="L1004" s="64"/>
      <c r="M1004" s="64"/>
      <c r="N1004" s="64"/>
      <c r="O1004" s="64"/>
      <c r="P1004" s="64"/>
      <c r="Q1004" s="64"/>
      <c r="R1004" s="64"/>
      <c r="S1004" s="28"/>
    </row>
    <row r="1005" spans="1:19" x14ac:dyDescent="0.25">
      <c r="A1005" s="63"/>
      <c r="B1005" s="64"/>
      <c r="C1005" s="64"/>
      <c r="D1005" s="64"/>
      <c r="E1005" s="64"/>
      <c r="F1005" s="64"/>
      <c r="G1005" s="64"/>
      <c r="H1005" s="64"/>
      <c r="I1005" s="64"/>
      <c r="J1005" s="64"/>
      <c r="K1005" s="64"/>
      <c r="L1005" s="64"/>
      <c r="M1005" s="64"/>
      <c r="N1005" s="64"/>
      <c r="O1005" s="64"/>
      <c r="P1005" s="64"/>
      <c r="Q1005" s="64"/>
      <c r="R1005" s="64"/>
      <c r="S1005" s="28"/>
    </row>
    <row r="1006" spans="1:19" x14ac:dyDescent="0.25">
      <c r="A1006" s="63"/>
      <c r="B1006" s="64"/>
      <c r="C1006" s="64"/>
      <c r="D1006" s="64"/>
      <c r="E1006" s="64"/>
      <c r="F1006" s="64"/>
      <c r="G1006" s="64"/>
      <c r="H1006" s="64"/>
      <c r="I1006" s="64"/>
      <c r="J1006" s="64"/>
      <c r="K1006" s="64"/>
      <c r="L1006" s="64"/>
      <c r="M1006" s="64"/>
      <c r="N1006" s="64"/>
      <c r="O1006" s="64"/>
      <c r="P1006" s="64"/>
      <c r="Q1006" s="64"/>
      <c r="R1006" s="64"/>
      <c r="S1006" s="28"/>
    </row>
    <row r="1007" spans="1:19" x14ac:dyDescent="0.25">
      <c r="A1007" s="63"/>
      <c r="B1007" s="64"/>
      <c r="C1007" s="64"/>
      <c r="D1007" s="64"/>
      <c r="E1007" s="64"/>
      <c r="F1007" s="64"/>
      <c r="G1007" s="64"/>
      <c r="H1007" s="64"/>
      <c r="I1007" s="64"/>
      <c r="J1007" s="64"/>
      <c r="K1007" s="64"/>
      <c r="L1007" s="64"/>
      <c r="M1007" s="64"/>
      <c r="N1007" s="64"/>
      <c r="O1007" s="64"/>
      <c r="P1007" s="64"/>
      <c r="Q1007" s="64"/>
      <c r="R1007" s="64"/>
      <c r="S1007" s="28"/>
    </row>
    <row r="1008" spans="1:19" x14ac:dyDescent="0.25">
      <c r="A1008" s="63"/>
      <c r="B1008" s="64"/>
      <c r="C1008" s="64"/>
      <c r="D1008" s="64"/>
      <c r="E1008" s="64"/>
      <c r="F1008" s="64"/>
      <c r="G1008" s="64"/>
      <c r="H1008" s="64"/>
      <c r="I1008" s="64"/>
      <c r="J1008" s="64"/>
      <c r="K1008" s="64"/>
      <c r="L1008" s="64"/>
      <c r="M1008" s="64"/>
      <c r="N1008" s="64"/>
      <c r="O1008" s="64"/>
      <c r="P1008" s="64"/>
      <c r="Q1008" s="64"/>
      <c r="R1008" s="64"/>
      <c r="S1008" s="28"/>
    </row>
    <row r="1009" spans="1:19" x14ac:dyDescent="0.25">
      <c r="A1009" s="63"/>
      <c r="B1009" s="64"/>
      <c r="C1009" s="64"/>
      <c r="D1009" s="64"/>
      <c r="E1009" s="64"/>
      <c r="F1009" s="64"/>
      <c r="G1009" s="64"/>
      <c r="H1009" s="64"/>
      <c r="I1009" s="64"/>
      <c r="J1009" s="64"/>
      <c r="K1009" s="64"/>
      <c r="L1009" s="64"/>
      <c r="M1009" s="64"/>
      <c r="N1009" s="64"/>
      <c r="O1009" s="64"/>
      <c r="P1009" s="64"/>
      <c r="Q1009" s="64"/>
      <c r="R1009" s="64"/>
      <c r="S1009" s="28"/>
    </row>
    <row r="1010" spans="1:19" x14ac:dyDescent="0.25">
      <c r="A1010" s="63"/>
      <c r="B1010" s="64"/>
      <c r="C1010" s="64"/>
      <c r="D1010" s="64"/>
      <c r="E1010" s="64"/>
      <c r="F1010" s="64"/>
      <c r="G1010" s="64"/>
      <c r="H1010" s="64"/>
      <c r="I1010" s="64"/>
      <c r="J1010" s="64"/>
      <c r="K1010" s="64"/>
      <c r="L1010" s="64"/>
      <c r="M1010" s="64"/>
      <c r="N1010" s="64"/>
      <c r="O1010" s="64"/>
      <c r="P1010" s="64"/>
      <c r="Q1010" s="64"/>
      <c r="R1010" s="64"/>
      <c r="S1010" s="28"/>
    </row>
    <row r="1011" spans="1:19" x14ac:dyDescent="0.25">
      <c r="A1011" s="63"/>
      <c r="B1011" s="64"/>
      <c r="C1011" s="64"/>
      <c r="D1011" s="64"/>
      <c r="E1011" s="64"/>
      <c r="F1011" s="64"/>
      <c r="G1011" s="64"/>
      <c r="H1011" s="64"/>
      <c r="I1011" s="64"/>
      <c r="J1011" s="64"/>
      <c r="K1011" s="64"/>
      <c r="L1011" s="64"/>
      <c r="M1011" s="64"/>
      <c r="N1011" s="64"/>
      <c r="O1011" s="64"/>
      <c r="P1011" s="64"/>
      <c r="Q1011" s="64"/>
      <c r="R1011" s="64"/>
      <c r="S1011" s="28"/>
    </row>
    <row r="1012" spans="1:19" x14ac:dyDescent="0.25">
      <c r="A1012" s="63"/>
      <c r="B1012" s="64"/>
      <c r="C1012" s="64"/>
      <c r="D1012" s="64"/>
      <c r="E1012" s="64"/>
      <c r="F1012" s="64"/>
      <c r="G1012" s="64"/>
      <c r="H1012" s="64"/>
      <c r="I1012" s="64"/>
      <c r="J1012" s="64"/>
      <c r="K1012" s="64"/>
      <c r="L1012" s="64"/>
      <c r="M1012" s="64"/>
      <c r="N1012" s="64"/>
      <c r="O1012" s="64"/>
      <c r="P1012" s="64"/>
      <c r="Q1012" s="64"/>
      <c r="R1012" s="64"/>
      <c r="S1012" s="28"/>
    </row>
    <row r="1013" spans="1:19" x14ac:dyDescent="0.25">
      <c r="A1013" s="63"/>
      <c r="B1013" s="64"/>
      <c r="C1013" s="64"/>
      <c r="D1013" s="64"/>
      <c r="E1013" s="64"/>
      <c r="F1013" s="64"/>
      <c r="G1013" s="64"/>
      <c r="H1013" s="64"/>
      <c r="I1013" s="64"/>
      <c r="J1013" s="64"/>
      <c r="K1013" s="64"/>
      <c r="L1013" s="64"/>
      <c r="M1013" s="64"/>
      <c r="N1013" s="64"/>
      <c r="O1013" s="64"/>
      <c r="P1013" s="64"/>
      <c r="Q1013" s="64"/>
      <c r="R1013" s="64"/>
      <c r="S1013" s="28"/>
    </row>
    <row r="1014" spans="1:19" x14ac:dyDescent="0.25">
      <c r="A1014" s="63"/>
      <c r="B1014" s="64"/>
      <c r="C1014" s="64"/>
      <c r="D1014" s="64"/>
      <c r="E1014" s="64"/>
      <c r="F1014" s="64"/>
      <c r="G1014" s="64"/>
      <c r="H1014" s="64"/>
      <c r="I1014" s="64"/>
      <c r="J1014" s="64"/>
      <c r="K1014" s="64"/>
      <c r="L1014" s="64"/>
      <c r="M1014" s="64"/>
      <c r="N1014" s="64"/>
      <c r="O1014" s="64"/>
      <c r="P1014" s="64"/>
      <c r="Q1014" s="64"/>
      <c r="R1014" s="64"/>
      <c r="S1014" s="28"/>
    </row>
    <row r="1015" spans="1:19" x14ac:dyDescent="0.25">
      <c r="A1015" s="63"/>
      <c r="B1015" s="64"/>
      <c r="C1015" s="64"/>
      <c r="D1015" s="64"/>
      <c r="E1015" s="64"/>
      <c r="F1015" s="64"/>
      <c r="G1015" s="64"/>
      <c r="H1015" s="64"/>
      <c r="I1015" s="64"/>
      <c r="J1015" s="64"/>
      <c r="K1015" s="64"/>
      <c r="L1015" s="64"/>
      <c r="M1015" s="64"/>
      <c r="N1015" s="64"/>
      <c r="O1015" s="64"/>
      <c r="P1015" s="64"/>
      <c r="Q1015" s="64"/>
      <c r="R1015" s="64"/>
      <c r="S1015" s="28"/>
    </row>
    <row r="1016" spans="1:19" x14ac:dyDescent="0.25">
      <c r="A1016" s="63"/>
      <c r="B1016" s="64"/>
      <c r="C1016" s="64"/>
      <c r="D1016" s="64"/>
      <c r="E1016" s="64"/>
      <c r="F1016" s="64"/>
      <c r="G1016" s="64"/>
      <c r="H1016" s="64"/>
      <c r="I1016" s="64"/>
      <c r="J1016" s="64"/>
      <c r="K1016" s="64"/>
      <c r="L1016" s="64"/>
      <c r="M1016" s="64"/>
      <c r="N1016" s="64"/>
      <c r="O1016" s="64"/>
      <c r="P1016" s="64"/>
      <c r="Q1016" s="64"/>
      <c r="R1016" s="64"/>
      <c r="S1016" s="28"/>
    </row>
    <row r="1017" spans="1:19" x14ac:dyDescent="0.25">
      <c r="A1017" s="63"/>
      <c r="B1017" s="64"/>
      <c r="C1017" s="64"/>
      <c r="D1017" s="64"/>
      <c r="E1017" s="64"/>
      <c r="F1017" s="64"/>
      <c r="G1017" s="64"/>
      <c r="H1017" s="64"/>
      <c r="I1017" s="64"/>
      <c r="J1017" s="64"/>
      <c r="K1017" s="64"/>
      <c r="L1017" s="64"/>
      <c r="M1017" s="64"/>
      <c r="N1017" s="64"/>
      <c r="O1017" s="64"/>
      <c r="P1017" s="64"/>
      <c r="Q1017" s="64"/>
      <c r="R1017" s="64"/>
      <c r="S1017" s="28"/>
    </row>
    <row r="1018" spans="1:19" x14ac:dyDescent="0.25">
      <c r="A1018" s="63"/>
      <c r="B1018" s="64"/>
      <c r="C1018" s="64"/>
      <c r="D1018" s="64"/>
      <c r="E1018" s="64"/>
      <c r="F1018" s="64"/>
      <c r="G1018" s="64"/>
      <c r="H1018" s="64"/>
      <c r="I1018" s="64"/>
      <c r="J1018" s="64"/>
      <c r="K1018" s="64"/>
      <c r="L1018" s="64"/>
      <c r="M1018" s="64"/>
      <c r="N1018" s="64"/>
      <c r="O1018" s="64"/>
      <c r="P1018" s="64"/>
      <c r="Q1018" s="64"/>
      <c r="R1018" s="64"/>
      <c r="S1018" s="28"/>
    </row>
    <row r="1019" spans="1:19" x14ac:dyDescent="0.25">
      <c r="A1019" s="63"/>
      <c r="B1019" s="64"/>
      <c r="C1019" s="64"/>
      <c r="D1019" s="64"/>
      <c r="E1019" s="64"/>
      <c r="F1019" s="64"/>
      <c r="G1019" s="64"/>
      <c r="H1019" s="64"/>
      <c r="I1019" s="64"/>
      <c r="J1019" s="64"/>
      <c r="K1019" s="64"/>
      <c r="L1019" s="64"/>
      <c r="M1019" s="64"/>
      <c r="N1019" s="64"/>
      <c r="O1019" s="64"/>
      <c r="P1019" s="64"/>
      <c r="Q1019" s="64"/>
      <c r="R1019" s="64"/>
      <c r="S1019" s="28"/>
    </row>
    <row r="1020" spans="1:19" x14ac:dyDescent="0.25">
      <c r="A1020" s="63"/>
      <c r="B1020" s="64"/>
      <c r="C1020" s="64"/>
      <c r="D1020" s="64"/>
      <c r="E1020" s="64"/>
      <c r="F1020" s="64"/>
      <c r="G1020" s="64"/>
      <c r="H1020" s="64"/>
      <c r="I1020" s="64"/>
      <c r="J1020" s="64"/>
      <c r="K1020" s="64"/>
      <c r="L1020" s="64"/>
      <c r="M1020" s="64"/>
      <c r="N1020" s="64"/>
      <c r="O1020" s="64"/>
      <c r="P1020" s="64"/>
      <c r="Q1020" s="64"/>
      <c r="R1020" s="64"/>
      <c r="S1020" s="28"/>
    </row>
    <row r="1021" spans="1:19" x14ac:dyDescent="0.25">
      <c r="A1021" s="63"/>
      <c r="B1021" s="64"/>
      <c r="C1021" s="64"/>
      <c r="D1021" s="64"/>
      <c r="E1021" s="64"/>
      <c r="F1021" s="64"/>
      <c r="G1021" s="64"/>
      <c r="H1021" s="64"/>
      <c r="I1021" s="64"/>
      <c r="J1021" s="64"/>
      <c r="K1021" s="64"/>
      <c r="L1021" s="64"/>
      <c r="M1021" s="64"/>
      <c r="N1021" s="64"/>
      <c r="O1021" s="64"/>
      <c r="P1021" s="64"/>
      <c r="Q1021" s="64"/>
      <c r="R1021" s="64"/>
      <c r="S1021" s="28"/>
    </row>
    <row r="1022" spans="1:19" x14ac:dyDescent="0.25">
      <c r="A1022" s="63"/>
      <c r="B1022" s="64"/>
      <c r="C1022" s="64"/>
      <c r="D1022" s="64"/>
      <c r="E1022" s="64"/>
      <c r="F1022" s="64"/>
      <c r="G1022" s="64"/>
      <c r="H1022" s="64"/>
      <c r="I1022" s="64"/>
      <c r="J1022" s="64"/>
      <c r="K1022" s="64"/>
      <c r="L1022" s="64"/>
      <c r="M1022" s="64"/>
      <c r="N1022" s="64"/>
      <c r="O1022" s="64"/>
      <c r="P1022" s="64"/>
      <c r="Q1022" s="64"/>
      <c r="R1022" s="64"/>
      <c r="S1022" s="28"/>
    </row>
    <row r="1023" spans="1:19" x14ac:dyDescent="0.25">
      <c r="A1023" s="63"/>
      <c r="B1023" s="64"/>
      <c r="C1023" s="64"/>
      <c r="D1023" s="64"/>
      <c r="E1023" s="64"/>
      <c r="F1023" s="64"/>
      <c r="G1023" s="64"/>
      <c r="H1023" s="64"/>
      <c r="I1023" s="64"/>
      <c r="J1023" s="64"/>
      <c r="K1023" s="64"/>
      <c r="L1023" s="64"/>
      <c r="M1023" s="64"/>
      <c r="N1023" s="64"/>
      <c r="O1023" s="64"/>
      <c r="P1023" s="64"/>
      <c r="Q1023" s="64"/>
      <c r="R1023" s="64"/>
      <c r="S1023" s="28"/>
    </row>
    <row r="1024" spans="1:19" x14ac:dyDescent="0.25">
      <c r="A1024" s="63"/>
      <c r="B1024" s="64"/>
      <c r="C1024" s="64"/>
      <c r="D1024" s="64"/>
      <c r="E1024" s="64"/>
      <c r="F1024" s="64"/>
      <c r="G1024" s="64"/>
      <c r="H1024" s="64"/>
      <c r="I1024" s="64"/>
      <c r="J1024" s="64"/>
      <c r="K1024" s="64"/>
      <c r="L1024" s="64"/>
      <c r="M1024" s="64"/>
      <c r="N1024" s="64"/>
      <c r="O1024" s="64"/>
      <c r="P1024" s="64"/>
      <c r="Q1024" s="64"/>
      <c r="R1024" s="64"/>
      <c r="S1024" s="28"/>
    </row>
    <row r="1025" spans="1:19" x14ac:dyDescent="0.25">
      <c r="A1025" s="63"/>
      <c r="B1025" s="64"/>
      <c r="C1025" s="64"/>
      <c r="D1025" s="64"/>
      <c r="E1025" s="64"/>
      <c r="F1025" s="64"/>
      <c r="G1025" s="64"/>
      <c r="H1025" s="64"/>
      <c r="I1025" s="64"/>
      <c r="J1025" s="64"/>
      <c r="K1025" s="64"/>
      <c r="L1025" s="64"/>
      <c r="M1025" s="64"/>
      <c r="N1025" s="64"/>
      <c r="O1025" s="64"/>
      <c r="P1025" s="64"/>
      <c r="Q1025" s="64"/>
      <c r="R1025" s="64"/>
      <c r="S1025" s="28"/>
    </row>
    <row r="1026" spans="1:19" x14ac:dyDescent="0.25">
      <c r="A1026" s="63"/>
      <c r="B1026" s="64"/>
      <c r="C1026" s="64"/>
      <c r="D1026" s="64"/>
      <c r="E1026" s="64"/>
      <c r="F1026" s="64"/>
      <c r="G1026" s="64"/>
      <c r="H1026" s="64"/>
      <c r="I1026" s="64"/>
      <c r="J1026" s="64"/>
      <c r="K1026" s="64"/>
      <c r="L1026" s="64"/>
      <c r="M1026" s="64"/>
      <c r="N1026" s="64"/>
      <c r="O1026" s="64"/>
      <c r="P1026" s="64"/>
      <c r="Q1026" s="64"/>
      <c r="R1026" s="64"/>
      <c r="S1026" s="28"/>
    </row>
    <row r="1027" spans="1:19" x14ac:dyDescent="0.25">
      <c r="A1027" s="63"/>
      <c r="B1027" s="64"/>
      <c r="C1027" s="64"/>
      <c r="D1027" s="64"/>
      <c r="E1027" s="64"/>
      <c r="F1027" s="64"/>
      <c r="G1027" s="64"/>
      <c r="H1027" s="64"/>
      <c r="I1027" s="64"/>
      <c r="J1027" s="64"/>
      <c r="K1027" s="64"/>
      <c r="L1027" s="64"/>
      <c r="M1027" s="64"/>
      <c r="N1027" s="64"/>
      <c r="O1027" s="64"/>
      <c r="P1027" s="64"/>
      <c r="Q1027" s="64"/>
      <c r="R1027" s="64"/>
      <c r="S1027" s="28"/>
    </row>
    <row r="1028" spans="1:19" x14ac:dyDescent="0.25">
      <c r="A1028" s="63"/>
      <c r="B1028" s="64"/>
      <c r="C1028" s="64"/>
      <c r="D1028" s="64"/>
      <c r="E1028" s="64"/>
      <c r="F1028" s="64"/>
      <c r="G1028" s="64"/>
      <c r="H1028" s="64"/>
      <c r="I1028" s="64"/>
      <c r="J1028" s="64"/>
      <c r="K1028" s="64"/>
      <c r="L1028" s="64"/>
      <c r="M1028" s="64"/>
      <c r="N1028" s="64"/>
      <c r="O1028" s="64"/>
      <c r="P1028" s="64"/>
      <c r="Q1028" s="64"/>
      <c r="R1028" s="64"/>
      <c r="S1028" s="28"/>
    </row>
    <row r="1029" spans="1:19" x14ac:dyDescent="0.25">
      <c r="A1029" s="63"/>
      <c r="B1029" s="64"/>
      <c r="C1029" s="64"/>
      <c r="D1029" s="64"/>
      <c r="E1029" s="64"/>
      <c r="F1029" s="64"/>
      <c r="G1029" s="64"/>
      <c r="H1029" s="64"/>
      <c r="I1029" s="64"/>
      <c r="J1029" s="64"/>
      <c r="K1029" s="64"/>
      <c r="L1029" s="64"/>
      <c r="M1029" s="64"/>
      <c r="N1029" s="64"/>
      <c r="O1029" s="64"/>
      <c r="P1029" s="64"/>
      <c r="Q1029" s="64"/>
      <c r="R1029" s="64"/>
      <c r="S1029" s="28"/>
    </row>
    <row r="1030" spans="1:19" x14ac:dyDescent="0.25">
      <c r="A1030" s="63"/>
      <c r="B1030" s="64"/>
      <c r="C1030" s="64"/>
      <c r="D1030" s="64"/>
      <c r="E1030" s="64"/>
      <c r="F1030" s="64"/>
      <c r="G1030" s="64"/>
      <c r="H1030" s="64"/>
      <c r="I1030" s="64"/>
      <c r="J1030" s="64"/>
      <c r="K1030" s="64"/>
      <c r="L1030" s="64"/>
      <c r="M1030" s="64"/>
      <c r="N1030" s="64"/>
      <c r="O1030" s="64"/>
      <c r="P1030" s="64"/>
      <c r="Q1030" s="64"/>
      <c r="R1030" s="64"/>
      <c r="S1030" s="28"/>
    </row>
    <row r="1031" spans="1:19" x14ac:dyDescent="0.25">
      <c r="A1031" s="63"/>
      <c r="B1031" s="64"/>
      <c r="C1031" s="64"/>
      <c r="D1031" s="64"/>
      <c r="E1031" s="64"/>
      <c r="F1031" s="64"/>
      <c r="G1031" s="64"/>
      <c r="H1031" s="64"/>
      <c r="I1031" s="64"/>
      <c r="J1031" s="64"/>
      <c r="K1031" s="64"/>
      <c r="L1031" s="64"/>
      <c r="M1031" s="64"/>
      <c r="N1031" s="64"/>
      <c r="O1031" s="64"/>
      <c r="P1031" s="64"/>
      <c r="Q1031" s="64"/>
      <c r="R1031" s="64"/>
      <c r="S1031" s="28"/>
    </row>
    <row r="1032" spans="1:19" x14ac:dyDescent="0.25">
      <c r="A1032" s="63"/>
      <c r="B1032" s="64"/>
      <c r="C1032" s="64"/>
      <c r="D1032" s="64"/>
      <c r="E1032" s="64"/>
      <c r="F1032" s="64"/>
      <c r="G1032" s="64"/>
      <c r="H1032" s="64"/>
      <c r="I1032" s="64"/>
      <c r="J1032" s="64"/>
      <c r="K1032" s="64"/>
      <c r="L1032" s="64"/>
      <c r="M1032" s="64"/>
      <c r="N1032" s="64"/>
      <c r="O1032" s="64"/>
      <c r="P1032" s="64"/>
      <c r="Q1032" s="64"/>
      <c r="R1032" s="64"/>
      <c r="S1032" s="28"/>
    </row>
    <row r="1033" spans="1:19" x14ac:dyDescent="0.25">
      <c r="A1033" s="63"/>
      <c r="B1033" s="64"/>
      <c r="C1033" s="64"/>
      <c r="D1033" s="64"/>
      <c r="E1033" s="64"/>
      <c r="F1033" s="64"/>
      <c r="G1033" s="64"/>
      <c r="H1033" s="64"/>
      <c r="I1033" s="64"/>
      <c r="J1033" s="64"/>
      <c r="K1033" s="64"/>
      <c r="L1033" s="64"/>
      <c r="M1033" s="64"/>
      <c r="N1033" s="64"/>
      <c r="O1033" s="64"/>
      <c r="P1033" s="64"/>
      <c r="Q1033" s="64"/>
      <c r="R1033" s="64"/>
      <c r="S1033" s="28"/>
    </row>
    <row r="1034" spans="1:19" x14ac:dyDescent="0.25">
      <c r="A1034" s="63"/>
      <c r="B1034" s="64"/>
      <c r="C1034" s="64"/>
      <c r="D1034" s="64"/>
      <c r="E1034" s="64"/>
      <c r="F1034" s="64"/>
      <c r="G1034" s="64"/>
      <c r="H1034" s="64"/>
      <c r="I1034" s="64"/>
      <c r="J1034" s="64"/>
      <c r="K1034" s="64"/>
      <c r="L1034" s="64"/>
      <c r="M1034" s="64"/>
      <c r="N1034" s="64"/>
      <c r="O1034" s="64"/>
      <c r="P1034" s="64"/>
      <c r="Q1034" s="64"/>
      <c r="R1034" s="64"/>
      <c r="S1034" s="28"/>
    </row>
    <row r="1035" spans="1:19" x14ac:dyDescent="0.25">
      <c r="A1035" s="63"/>
      <c r="B1035" s="64"/>
      <c r="C1035" s="64"/>
      <c r="D1035" s="64"/>
      <c r="E1035" s="64"/>
      <c r="F1035" s="64"/>
      <c r="G1035" s="64"/>
      <c r="H1035" s="64"/>
      <c r="I1035" s="64"/>
      <c r="J1035" s="64"/>
      <c r="K1035" s="64"/>
      <c r="L1035" s="64"/>
      <c r="M1035" s="64"/>
      <c r="N1035" s="64"/>
      <c r="O1035" s="64"/>
      <c r="P1035" s="64"/>
      <c r="Q1035" s="64"/>
      <c r="R1035" s="64"/>
      <c r="S1035" s="28"/>
    </row>
    <row r="1036" spans="1:19" x14ac:dyDescent="0.25">
      <c r="A1036" s="63"/>
      <c r="B1036" s="64"/>
      <c r="C1036" s="64"/>
      <c r="D1036" s="64"/>
      <c r="E1036" s="64"/>
      <c r="F1036" s="64"/>
      <c r="G1036" s="64"/>
      <c r="H1036" s="64"/>
      <c r="I1036" s="64"/>
      <c r="J1036" s="64"/>
      <c r="K1036" s="64"/>
      <c r="L1036" s="64"/>
      <c r="M1036" s="64"/>
      <c r="N1036" s="64"/>
      <c r="O1036" s="64"/>
      <c r="P1036" s="64"/>
      <c r="Q1036" s="64"/>
      <c r="R1036" s="64"/>
      <c r="S1036" s="28"/>
    </row>
    <row r="1037" spans="1:19" x14ac:dyDescent="0.25">
      <c r="A1037" s="63"/>
      <c r="B1037" s="64"/>
      <c r="C1037" s="64"/>
      <c r="D1037" s="64"/>
      <c r="E1037" s="64"/>
      <c r="F1037" s="64"/>
      <c r="G1037" s="64"/>
      <c r="H1037" s="64"/>
      <c r="I1037" s="64"/>
      <c r="J1037" s="64"/>
      <c r="K1037" s="64"/>
      <c r="L1037" s="64"/>
      <c r="M1037" s="64"/>
      <c r="N1037" s="64"/>
      <c r="O1037" s="64"/>
      <c r="P1037" s="64"/>
      <c r="Q1037" s="64"/>
      <c r="R1037" s="64"/>
      <c r="S1037" s="28"/>
    </row>
    <row r="1038" spans="1:19" x14ac:dyDescent="0.25">
      <c r="A1038" s="63"/>
      <c r="B1038" s="64"/>
      <c r="C1038" s="64"/>
      <c r="D1038" s="64"/>
      <c r="E1038" s="64"/>
      <c r="F1038" s="64"/>
      <c r="G1038" s="64"/>
      <c r="H1038" s="64"/>
      <c r="I1038" s="64"/>
      <c r="J1038" s="64"/>
      <c r="K1038" s="64"/>
      <c r="L1038" s="64"/>
      <c r="M1038" s="64"/>
      <c r="N1038" s="64"/>
      <c r="O1038" s="64"/>
      <c r="P1038" s="64"/>
      <c r="Q1038" s="64"/>
      <c r="R1038" s="64"/>
      <c r="S1038" s="28"/>
    </row>
    <row r="1039" spans="1:19" x14ac:dyDescent="0.25">
      <c r="A1039" s="63"/>
      <c r="B1039" s="64"/>
      <c r="C1039" s="64"/>
      <c r="D1039" s="64"/>
      <c r="E1039" s="64"/>
      <c r="F1039" s="64"/>
      <c r="G1039" s="64"/>
      <c r="H1039" s="64"/>
      <c r="I1039" s="64"/>
      <c r="J1039" s="64"/>
      <c r="K1039" s="64"/>
      <c r="L1039" s="64"/>
      <c r="M1039" s="64"/>
      <c r="N1039" s="64"/>
      <c r="O1039" s="64"/>
      <c r="P1039" s="64"/>
      <c r="Q1039" s="64"/>
      <c r="R1039" s="64"/>
      <c r="S1039" s="28"/>
    </row>
    <row r="1040" spans="1:19" x14ac:dyDescent="0.25">
      <c r="A1040" s="63"/>
      <c r="B1040" s="64"/>
      <c r="C1040" s="64"/>
      <c r="D1040" s="64"/>
      <c r="E1040" s="64"/>
      <c r="F1040" s="64"/>
      <c r="G1040" s="64"/>
      <c r="H1040" s="64"/>
      <c r="I1040" s="64"/>
      <c r="J1040" s="64"/>
      <c r="K1040" s="64"/>
      <c r="L1040" s="64"/>
      <c r="M1040" s="64"/>
      <c r="N1040" s="64"/>
      <c r="O1040" s="64"/>
      <c r="P1040" s="64"/>
      <c r="Q1040" s="64"/>
      <c r="R1040" s="64"/>
      <c r="S1040" s="28"/>
    </row>
    <row r="1041" spans="1:19" x14ac:dyDescent="0.25">
      <c r="A1041" s="63"/>
      <c r="B1041" s="64"/>
      <c r="C1041" s="64"/>
      <c r="D1041" s="64"/>
      <c r="E1041" s="64"/>
      <c r="F1041" s="64"/>
      <c r="G1041" s="64"/>
      <c r="H1041" s="64"/>
      <c r="I1041" s="64"/>
      <c r="J1041" s="64"/>
      <c r="K1041" s="64"/>
      <c r="L1041" s="64"/>
      <c r="M1041" s="64"/>
      <c r="N1041" s="64"/>
      <c r="O1041" s="64"/>
      <c r="P1041" s="64"/>
      <c r="Q1041" s="64"/>
      <c r="R1041" s="64"/>
      <c r="S1041" s="28"/>
    </row>
    <row r="1042" spans="1:19" x14ac:dyDescent="0.25">
      <c r="A1042" s="63"/>
      <c r="B1042" s="64"/>
      <c r="C1042" s="64"/>
      <c r="D1042" s="64"/>
      <c r="E1042" s="64"/>
      <c r="F1042" s="64"/>
      <c r="G1042" s="64"/>
      <c r="H1042" s="64"/>
      <c r="I1042" s="64"/>
      <c r="J1042" s="64"/>
      <c r="K1042" s="64"/>
      <c r="L1042" s="64"/>
      <c r="M1042" s="64"/>
      <c r="N1042" s="64"/>
      <c r="O1042" s="64"/>
      <c r="P1042" s="64"/>
      <c r="Q1042" s="64"/>
      <c r="R1042" s="64"/>
      <c r="S1042" s="28"/>
    </row>
    <row r="1043" spans="1:19" x14ac:dyDescent="0.25">
      <c r="A1043" s="63"/>
      <c r="B1043" s="64"/>
      <c r="C1043" s="64"/>
      <c r="D1043" s="64"/>
      <c r="E1043" s="64"/>
      <c r="F1043" s="64"/>
      <c r="G1043" s="64"/>
      <c r="H1043" s="64"/>
      <c r="I1043" s="64"/>
      <c r="J1043" s="64"/>
      <c r="K1043" s="64"/>
      <c r="L1043" s="64"/>
      <c r="M1043" s="64"/>
      <c r="N1043" s="64"/>
      <c r="O1043" s="64"/>
      <c r="P1043" s="64"/>
      <c r="Q1043" s="64"/>
      <c r="R1043" s="64"/>
      <c r="S1043" s="28"/>
    </row>
    <row r="1044" spans="1:19" x14ac:dyDescent="0.25">
      <c r="A1044" s="63"/>
      <c r="B1044" s="64"/>
      <c r="C1044" s="64"/>
      <c r="D1044" s="64"/>
      <c r="E1044" s="64"/>
      <c r="F1044" s="64"/>
      <c r="G1044" s="64"/>
      <c r="H1044" s="64"/>
      <c r="I1044" s="64"/>
      <c r="J1044" s="64"/>
      <c r="K1044" s="64"/>
      <c r="L1044" s="64"/>
      <c r="M1044" s="64"/>
      <c r="N1044" s="64"/>
      <c r="O1044" s="64"/>
      <c r="P1044" s="64"/>
      <c r="Q1044" s="64"/>
      <c r="R1044" s="64"/>
      <c r="S1044" s="28"/>
    </row>
    <row r="1045" spans="1:19" x14ac:dyDescent="0.25">
      <c r="A1045" s="63"/>
      <c r="B1045" s="64"/>
      <c r="C1045" s="64"/>
      <c r="D1045" s="64"/>
      <c r="E1045" s="64"/>
      <c r="F1045" s="64"/>
      <c r="G1045" s="64"/>
      <c r="H1045" s="64"/>
      <c r="I1045" s="64"/>
      <c r="J1045" s="64"/>
      <c r="K1045" s="64"/>
      <c r="L1045" s="64"/>
      <c r="M1045" s="64"/>
      <c r="N1045" s="64"/>
      <c r="O1045" s="64"/>
      <c r="P1045" s="64"/>
      <c r="Q1045" s="64"/>
      <c r="R1045" s="64"/>
      <c r="S1045" s="28"/>
    </row>
    <row r="1046" spans="1:19" x14ac:dyDescent="0.25">
      <c r="A1046" s="63"/>
      <c r="B1046" s="64"/>
      <c r="C1046" s="64"/>
      <c r="D1046" s="64"/>
      <c r="E1046" s="64"/>
      <c r="F1046" s="64"/>
      <c r="G1046" s="64"/>
      <c r="H1046" s="64"/>
      <c r="I1046" s="64"/>
      <c r="J1046" s="64"/>
      <c r="K1046" s="64"/>
      <c r="L1046" s="64"/>
      <c r="M1046" s="64"/>
      <c r="N1046" s="64"/>
      <c r="O1046" s="64"/>
      <c r="P1046" s="64"/>
      <c r="Q1046" s="64"/>
      <c r="R1046" s="64"/>
      <c r="S1046" s="28"/>
    </row>
    <row r="1047" spans="1:19" x14ac:dyDescent="0.25">
      <c r="A1047" s="63"/>
      <c r="B1047" s="64"/>
      <c r="C1047" s="64"/>
      <c r="D1047" s="64"/>
      <c r="E1047" s="64"/>
      <c r="F1047" s="64"/>
      <c r="G1047" s="64"/>
      <c r="H1047" s="64"/>
      <c r="I1047" s="64"/>
      <c r="J1047" s="64"/>
      <c r="K1047" s="64"/>
      <c r="L1047" s="64"/>
      <c r="M1047" s="64"/>
      <c r="N1047" s="64"/>
      <c r="O1047" s="64"/>
      <c r="P1047" s="64"/>
      <c r="Q1047" s="64"/>
      <c r="R1047" s="64"/>
      <c r="S1047" s="28"/>
    </row>
    <row r="1048" spans="1:19" x14ac:dyDescent="0.25">
      <c r="A1048" s="63"/>
      <c r="B1048" s="64"/>
      <c r="C1048" s="64"/>
      <c r="D1048" s="64"/>
      <c r="E1048" s="64"/>
      <c r="F1048" s="64"/>
      <c r="G1048" s="64"/>
      <c r="H1048" s="64"/>
      <c r="I1048" s="64"/>
      <c r="J1048" s="64"/>
      <c r="K1048" s="64"/>
      <c r="L1048" s="64"/>
      <c r="M1048" s="64"/>
      <c r="N1048" s="64"/>
      <c r="O1048" s="64"/>
      <c r="P1048" s="64"/>
      <c r="Q1048" s="64"/>
      <c r="R1048" s="64"/>
      <c r="S1048" s="28"/>
    </row>
    <row r="1049" spans="1:19" x14ac:dyDescent="0.25">
      <c r="A1049" s="63"/>
      <c r="B1049" s="64"/>
      <c r="C1049" s="64"/>
      <c r="D1049" s="64"/>
      <c r="E1049" s="64"/>
      <c r="F1049" s="64"/>
      <c r="G1049" s="64"/>
      <c r="H1049" s="64"/>
      <c r="I1049" s="64"/>
      <c r="J1049" s="64"/>
      <c r="K1049" s="64"/>
      <c r="L1049" s="64"/>
      <c r="M1049" s="64"/>
      <c r="N1049" s="64"/>
      <c r="O1049" s="64"/>
      <c r="P1049" s="64"/>
      <c r="Q1049" s="64"/>
      <c r="R1049" s="64"/>
      <c r="S1049" s="28"/>
    </row>
    <row r="1050" spans="1:19" x14ac:dyDescent="0.25">
      <c r="A1050" s="63"/>
      <c r="B1050" s="64"/>
      <c r="C1050" s="64"/>
      <c r="D1050" s="64"/>
      <c r="E1050" s="64"/>
      <c r="F1050" s="64"/>
      <c r="G1050" s="64"/>
      <c r="H1050" s="64"/>
      <c r="I1050" s="64"/>
      <c r="J1050" s="64"/>
      <c r="K1050" s="64"/>
      <c r="L1050" s="64"/>
      <c r="M1050" s="64"/>
      <c r="N1050" s="64"/>
      <c r="O1050" s="64"/>
      <c r="P1050" s="64"/>
      <c r="Q1050" s="64"/>
      <c r="R1050" s="64"/>
      <c r="S1050" s="28"/>
    </row>
    <row r="1051" spans="1:19" x14ac:dyDescent="0.25">
      <c r="A1051" s="63"/>
      <c r="B1051" s="64"/>
      <c r="C1051" s="64"/>
      <c r="D1051" s="64"/>
      <c r="E1051" s="64"/>
      <c r="F1051" s="64"/>
      <c r="G1051" s="64"/>
      <c r="H1051" s="64"/>
      <c r="I1051" s="64"/>
      <c r="J1051" s="64"/>
      <c r="K1051" s="64"/>
      <c r="L1051" s="64"/>
      <c r="M1051" s="64"/>
      <c r="N1051" s="64"/>
      <c r="O1051" s="64"/>
      <c r="P1051" s="64"/>
      <c r="Q1051" s="64"/>
      <c r="R1051" s="64"/>
      <c r="S1051" s="28"/>
    </row>
    <row r="1052" spans="1:19" x14ac:dyDescent="0.25">
      <c r="A1052" s="63"/>
      <c r="B1052" s="64"/>
      <c r="C1052" s="64"/>
      <c r="D1052" s="64"/>
      <c r="E1052" s="64"/>
      <c r="F1052" s="64"/>
      <c r="G1052" s="64"/>
      <c r="H1052" s="64"/>
      <c r="I1052" s="64"/>
      <c r="J1052" s="64"/>
      <c r="K1052" s="64"/>
      <c r="L1052" s="64"/>
      <c r="M1052" s="64"/>
      <c r="N1052" s="64"/>
      <c r="O1052" s="64"/>
      <c r="P1052" s="64"/>
      <c r="Q1052" s="64"/>
      <c r="R1052" s="64"/>
      <c r="S1052" s="28"/>
    </row>
    <row r="1053" spans="1:19" x14ac:dyDescent="0.25">
      <c r="A1053" s="63"/>
      <c r="B1053" s="64"/>
      <c r="C1053" s="64"/>
      <c r="D1053" s="64"/>
      <c r="E1053" s="64"/>
      <c r="F1053" s="64"/>
      <c r="G1053" s="64"/>
      <c r="H1053" s="64"/>
      <c r="I1053" s="64"/>
      <c r="J1053" s="64"/>
      <c r="K1053" s="64"/>
      <c r="L1053" s="64"/>
      <c r="M1053" s="64"/>
      <c r="N1053" s="64"/>
      <c r="O1053" s="64"/>
      <c r="P1053" s="64"/>
      <c r="Q1053" s="64"/>
      <c r="R1053" s="64"/>
      <c r="S1053" s="28"/>
    </row>
    <row r="1054" spans="1:19" x14ac:dyDescent="0.25">
      <c r="A1054" s="63"/>
      <c r="B1054" s="64"/>
      <c r="C1054" s="64"/>
      <c r="D1054" s="64"/>
      <c r="E1054" s="64"/>
      <c r="F1054" s="64"/>
      <c r="G1054" s="64"/>
      <c r="H1054" s="64"/>
      <c r="I1054" s="64"/>
      <c r="J1054" s="64"/>
      <c r="K1054" s="64"/>
      <c r="L1054" s="64"/>
      <c r="M1054" s="64"/>
      <c r="N1054" s="64"/>
      <c r="O1054" s="64"/>
      <c r="P1054" s="64"/>
      <c r="Q1054" s="64"/>
      <c r="R1054" s="64"/>
      <c r="S1054" s="28"/>
    </row>
    <row r="1055" spans="1:19" x14ac:dyDescent="0.25">
      <c r="A1055" s="63"/>
      <c r="B1055" s="64"/>
      <c r="C1055" s="64"/>
      <c r="D1055" s="64"/>
      <c r="E1055" s="64"/>
      <c r="F1055" s="64"/>
      <c r="G1055" s="64"/>
      <c r="H1055" s="64"/>
      <c r="I1055" s="64"/>
      <c r="J1055" s="64"/>
      <c r="K1055" s="64"/>
      <c r="L1055" s="64"/>
      <c r="M1055" s="64"/>
      <c r="N1055" s="64"/>
      <c r="O1055" s="64"/>
      <c r="P1055" s="64"/>
      <c r="Q1055" s="64"/>
      <c r="R1055" s="64"/>
      <c r="S1055" s="28"/>
    </row>
    <row r="1056" spans="1:19" x14ac:dyDescent="0.25">
      <c r="A1056" s="63"/>
      <c r="B1056" s="64"/>
      <c r="C1056" s="64"/>
      <c r="D1056" s="64"/>
      <c r="E1056" s="64"/>
      <c r="F1056" s="64"/>
      <c r="G1056" s="64"/>
      <c r="H1056" s="64"/>
      <c r="I1056" s="64"/>
      <c r="J1056" s="64"/>
      <c r="K1056" s="64"/>
      <c r="L1056" s="64"/>
      <c r="M1056" s="64"/>
      <c r="N1056" s="64"/>
      <c r="O1056" s="64"/>
      <c r="P1056" s="64"/>
      <c r="Q1056" s="64"/>
      <c r="R1056" s="64"/>
      <c r="S1056" s="28"/>
    </row>
    <row r="1057" spans="1:19" x14ac:dyDescent="0.25">
      <c r="A1057" s="63"/>
      <c r="B1057" s="64"/>
      <c r="C1057" s="64"/>
      <c r="D1057" s="64"/>
      <c r="E1057" s="64"/>
      <c r="F1057" s="64"/>
      <c r="G1057" s="64"/>
      <c r="H1057" s="64"/>
      <c r="I1057" s="64"/>
      <c r="J1057" s="64"/>
      <c r="K1057" s="64"/>
      <c r="L1057" s="64"/>
      <c r="M1057" s="64"/>
      <c r="N1057" s="64"/>
      <c r="O1057" s="64"/>
      <c r="P1057" s="64"/>
      <c r="Q1057" s="64"/>
      <c r="R1057" s="64"/>
      <c r="S1057" s="28"/>
    </row>
    <row r="1058" spans="1:19" x14ac:dyDescent="0.25">
      <c r="A1058" s="63"/>
      <c r="B1058" s="64"/>
      <c r="C1058" s="64"/>
      <c r="D1058" s="64"/>
      <c r="E1058" s="64"/>
      <c r="F1058" s="64"/>
      <c r="G1058" s="64"/>
      <c r="H1058" s="64"/>
      <c r="I1058" s="64"/>
      <c r="J1058" s="64"/>
      <c r="K1058" s="64"/>
      <c r="L1058" s="64"/>
      <c r="M1058" s="64"/>
      <c r="N1058" s="64"/>
      <c r="O1058" s="64"/>
      <c r="P1058" s="64"/>
      <c r="Q1058" s="64"/>
      <c r="R1058" s="64"/>
      <c r="S1058" s="28"/>
    </row>
    <row r="1059" spans="1:19" x14ac:dyDescent="0.25">
      <c r="A1059" s="63"/>
      <c r="B1059" s="64"/>
      <c r="C1059" s="64"/>
      <c r="D1059" s="64"/>
      <c r="E1059" s="64"/>
      <c r="F1059" s="64"/>
      <c r="G1059" s="64"/>
      <c r="H1059" s="64"/>
      <c r="I1059" s="64"/>
      <c r="J1059" s="64"/>
      <c r="K1059" s="64"/>
      <c r="L1059" s="64"/>
      <c r="M1059" s="64"/>
      <c r="N1059" s="64"/>
      <c r="O1059" s="64"/>
      <c r="P1059" s="64"/>
      <c r="Q1059" s="64"/>
      <c r="R1059" s="64"/>
      <c r="S1059" s="28"/>
    </row>
    <row r="1060" spans="1:19" x14ac:dyDescent="0.25">
      <c r="A1060" s="63"/>
      <c r="B1060" s="64"/>
      <c r="C1060" s="64"/>
      <c r="D1060" s="64"/>
      <c r="E1060" s="64"/>
      <c r="F1060" s="64"/>
      <c r="G1060" s="64"/>
      <c r="H1060" s="64"/>
      <c r="I1060" s="64"/>
      <c r="J1060" s="64"/>
      <c r="K1060" s="64"/>
      <c r="L1060" s="64"/>
      <c r="M1060" s="64"/>
      <c r="N1060" s="64"/>
      <c r="O1060" s="64"/>
      <c r="P1060" s="64"/>
      <c r="Q1060" s="64"/>
      <c r="R1060" s="64"/>
      <c r="S1060" s="28"/>
    </row>
    <row r="1061" spans="1:19" x14ac:dyDescent="0.25">
      <c r="A1061" s="63"/>
      <c r="B1061" s="64"/>
      <c r="C1061" s="64"/>
      <c r="D1061" s="64"/>
      <c r="E1061" s="64"/>
      <c r="F1061" s="64"/>
      <c r="G1061" s="64"/>
      <c r="H1061" s="64"/>
      <c r="I1061" s="64"/>
      <c r="J1061" s="64"/>
      <c r="K1061" s="64"/>
      <c r="L1061" s="64"/>
      <c r="M1061" s="64"/>
      <c r="N1061" s="64"/>
      <c r="O1061" s="64"/>
      <c r="P1061" s="64"/>
      <c r="Q1061" s="64"/>
      <c r="R1061" s="64"/>
      <c r="S1061" s="28"/>
    </row>
    <row r="1062" spans="1:19" x14ac:dyDescent="0.25">
      <c r="A1062" s="63"/>
      <c r="B1062" s="64"/>
      <c r="C1062" s="64"/>
      <c r="D1062" s="64"/>
      <c r="E1062" s="64"/>
      <c r="F1062" s="64"/>
      <c r="G1062" s="64"/>
      <c r="H1062" s="64"/>
      <c r="I1062" s="64"/>
      <c r="J1062" s="64"/>
      <c r="K1062" s="64"/>
      <c r="L1062" s="64"/>
      <c r="M1062" s="64"/>
      <c r="N1062" s="64"/>
      <c r="O1062" s="64"/>
      <c r="P1062" s="64"/>
      <c r="Q1062" s="64"/>
      <c r="R1062" s="64"/>
      <c r="S1062" s="28"/>
    </row>
    <row r="1063" spans="1:19" x14ac:dyDescent="0.25">
      <c r="A1063" s="63"/>
      <c r="B1063" s="64"/>
      <c r="C1063" s="64"/>
      <c r="D1063" s="64"/>
      <c r="E1063" s="64"/>
      <c r="F1063" s="64"/>
      <c r="G1063" s="64"/>
      <c r="H1063" s="64"/>
      <c r="I1063" s="64"/>
      <c r="J1063" s="64"/>
      <c r="K1063" s="64"/>
      <c r="L1063" s="64"/>
      <c r="M1063" s="64"/>
      <c r="N1063" s="64"/>
      <c r="O1063" s="64"/>
      <c r="P1063" s="64"/>
      <c r="Q1063" s="64"/>
      <c r="R1063" s="64"/>
      <c r="S1063" s="28"/>
    </row>
    <row r="1064" spans="1:19" x14ac:dyDescent="0.25">
      <c r="A1064" s="63"/>
      <c r="B1064" s="64"/>
      <c r="C1064" s="64"/>
      <c r="D1064" s="64"/>
      <c r="E1064" s="64"/>
      <c r="F1064" s="64"/>
      <c r="G1064" s="64"/>
      <c r="H1064" s="64"/>
      <c r="I1064" s="64"/>
      <c r="J1064" s="64"/>
      <c r="K1064" s="64"/>
      <c r="L1064" s="64"/>
      <c r="M1064" s="64"/>
      <c r="N1064" s="64"/>
      <c r="O1064" s="64"/>
      <c r="P1064" s="64"/>
      <c r="Q1064" s="64"/>
      <c r="R1064" s="64"/>
      <c r="S1064" s="28"/>
    </row>
    <row r="1065" spans="1:19" x14ac:dyDescent="0.25">
      <c r="A1065" s="63"/>
      <c r="B1065" s="64"/>
      <c r="C1065" s="64"/>
      <c r="D1065" s="64"/>
      <c r="E1065" s="64"/>
      <c r="F1065" s="64"/>
      <c r="G1065" s="64"/>
      <c r="H1065" s="64"/>
      <c r="I1065" s="64"/>
      <c r="J1065" s="64"/>
      <c r="K1065" s="64"/>
      <c r="L1065" s="64"/>
      <c r="M1065" s="64"/>
      <c r="N1065" s="64"/>
      <c r="O1065" s="64"/>
      <c r="P1065" s="64"/>
      <c r="Q1065" s="64"/>
      <c r="R1065" s="64"/>
      <c r="S1065" s="28"/>
    </row>
    <row r="1066" spans="1:19" x14ac:dyDescent="0.25">
      <c r="A1066" s="63"/>
      <c r="B1066" s="64"/>
      <c r="C1066" s="64"/>
      <c r="D1066" s="64"/>
      <c r="E1066" s="64"/>
      <c r="F1066" s="64"/>
      <c r="G1066" s="64"/>
      <c r="H1066" s="64"/>
      <c r="I1066" s="64"/>
      <c r="J1066" s="64"/>
      <c r="K1066" s="64"/>
      <c r="L1066" s="64"/>
      <c r="M1066" s="64"/>
      <c r="N1066" s="64"/>
      <c r="O1066" s="64"/>
      <c r="P1066" s="64"/>
      <c r="Q1066" s="64"/>
      <c r="R1066" s="64"/>
      <c r="S1066" s="28"/>
    </row>
    <row r="1067" spans="1:19" x14ac:dyDescent="0.25">
      <c r="A1067" s="63"/>
      <c r="B1067" s="64"/>
      <c r="C1067" s="64"/>
      <c r="D1067" s="64"/>
      <c r="E1067" s="64"/>
      <c r="F1067" s="64"/>
      <c r="G1067" s="64"/>
      <c r="H1067" s="64"/>
      <c r="I1067" s="64"/>
      <c r="J1067" s="64"/>
      <c r="K1067" s="64"/>
      <c r="L1067" s="64"/>
      <c r="M1067" s="64"/>
      <c r="N1067" s="64"/>
      <c r="O1067" s="64"/>
      <c r="P1067" s="64"/>
      <c r="Q1067" s="64"/>
      <c r="R1067" s="64"/>
      <c r="S1067" s="28"/>
    </row>
    <row r="1068" spans="1:19" x14ac:dyDescent="0.25">
      <c r="A1068" s="63"/>
      <c r="B1068" s="64"/>
      <c r="C1068" s="64"/>
      <c r="D1068" s="64"/>
      <c r="E1068" s="64"/>
      <c r="F1068" s="64"/>
      <c r="G1068" s="64"/>
      <c r="H1068" s="64"/>
      <c r="I1068" s="64"/>
      <c r="J1068" s="64"/>
      <c r="K1068" s="64"/>
      <c r="L1068" s="64"/>
      <c r="M1068" s="64"/>
      <c r="N1068" s="64"/>
      <c r="O1068" s="64"/>
      <c r="P1068" s="64"/>
      <c r="Q1068" s="64"/>
      <c r="R1068" s="64"/>
      <c r="S1068" s="28"/>
    </row>
    <row r="1069" spans="1:19" x14ac:dyDescent="0.25">
      <c r="A1069" s="63"/>
      <c r="B1069" s="64"/>
      <c r="C1069" s="64"/>
      <c r="D1069" s="64"/>
      <c r="E1069" s="64"/>
      <c r="F1069" s="64"/>
      <c r="G1069" s="64"/>
      <c r="H1069" s="64"/>
      <c r="I1069" s="64"/>
      <c r="J1069" s="64"/>
      <c r="K1069" s="64"/>
      <c r="L1069" s="64"/>
      <c r="M1069" s="64"/>
      <c r="N1069" s="64"/>
      <c r="O1069" s="64"/>
      <c r="P1069" s="64"/>
      <c r="Q1069" s="64"/>
      <c r="R1069" s="64"/>
      <c r="S1069" s="28"/>
    </row>
    <row r="1070" spans="1:19" x14ac:dyDescent="0.25">
      <c r="A1070" s="63"/>
      <c r="B1070" s="64"/>
      <c r="C1070" s="64"/>
      <c r="D1070" s="64"/>
      <c r="E1070" s="64"/>
      <c r="F1070" s="64"/>
      <c r="G1070" s="64"/>
      <c r="H1070" s="64"/>
      <c r="I1070" s="64"/>
      <c r="J1070" s="64"/>
      <c r="K1070" s="64"/>
      <c r="L1070" s="64"/>
      <c r="M1070" s="64"/>
      <c r="N1070" s="64"/>
      <c r="O1070" s="64"/>
      <c r="P1070" s="64"/>
      <c r="Q1070" s="64"/>
      <c r="R1070" s="64"/>
      <c r="S1070" s="28"/>
    </row>
    <row r="1071" spans="1:19" x14ac:dyDescent="0.25">
      <c r="A1071" s="63"/>
      <c r="B1071" s="64"/>
      <c r="C1071" s="64"/>
      <c r="D1071" s="64"/>
      <c r="E1071" s="64"/>
      <c r="F1071" s="64"/>
      <c r="G1071" s="64"/>
      <c r="H1071" s="64"/>
      <c r="I1071" s="64"/>
      <c r="J1071" s="64"/>
      <c r="K1071" s="64"/>
      <c r="L1071" s="64"/>
      <c r="M1071" s="64"/>
      <c r="N1071" s="64"/>
      <c r="O1071" s="64"/>
      <c r="P1071" s="64"/>
      <c r="Q1071" s="64"/>
      <c r="R1071" s="64"/>
      <c r="S1071" s="28"/>
    </row>
    <row r="1072" spans="1:19" x14ac:dyDescent="0.25">
      <c r="A1072" s="63"/>
      <c r="B1072" s="64"/>
      <c r="C1072" s="64"/>
      <c r="D1072" s="64"/>
      <c r="E1072" s="64"/>
      <c r="F1072" s="64"/>
      <c r="G1072" s="64"/>
      <c r="H1072" s="64"/>
      <c r="I1072" s="64"/>
      <c r="J1072" s="64"/>
      <c r="K1072" s="64"/>
      <c r="L1072" s="64"/>
      <c r="M1072" s="64"/>
      <c r="N1072" s="64"/>
      <c r="O1072" s="64"/>
      <c r="P1072" s="64"/>
      <c r="Q1072" s="64"/>
      <c r="R1072" s="64"/>
      <c r="S1072" s="28"/>
    </row>
    <row r="1073" spans="1:19" x14ac:dyDescent="0.25">
      <c r="A1073" s="63"/>
      <c r="B1073" s="64"/>
      <c r="C1073" s="64"/>
      <c r="D1073" s="64"/>
      <c r="E1073" s="64"/>
      <c r="F1073" s="64"/>
      <c r="G1073" s="64"/>
      <c r="H1073" s="64"/>
      <c r="I1073" s="64"/>
      <c r="J1073" s="64"/>
      <c r="K1073" s="64"/>
      <c r="L1073" s="64"/>
      <c r="M1073" s="64"/>
      <c r="N1073" s="64"/>
      <c r="O1073" s="64"/>
      <c r="P1073" s="64"/>
      <c r="Q1073" s="64"/>
      <c r="R1073" s="64"/>
      <c r="S1073" s="28"/>
    </row>
    <row r="1074" spans="1:19" x14ac:dyDescent="0.25">
      <c r="A1074" s="63"/>
      <c r="B1074" s="64"/>
      <c r="C1074" s="64"/>
      <c r="D1074" s="64"/>
      <c r="E1074" s="64"/>
      <c r="F1074" s="64"/>
      <c r="G1074" s="64"/>
      <c r="H1074" s="64"/>
      <c r="I1074" s="64"/>
      <c r="J1074" s="64"/>
      <c r="K1074" s="64"/>
      <c r="L1074" s="64"/>
      <c r="M1074" s="64"/>
      <c r="N1074" s="64"/>
      <c r="O1074" s="64"/>
      <c r="P1074" s="64"/>
      <c r="Q1074" s="64"/>
      <c r="R1074" s="64"/>
      <c r="S1074" s="28"/>
    </row>
    <row r="1075" spans="1:19" x14ac:dyDescent="0.25">
      <c r="A1075" s="63"/>
      <c r="B1075" s="64"/>
      <c r="C1075" s="64"/>
      <c r="D1075" s="64"/>
      <c r="E1075" s="64"/>
      <c r="F1075" s="64"/>
      <c r="G1075" s="64"/>
      <c r="H1075" s="64"/>
      <c r="I1075" s="64"/>
      <c r="J1075" s="64"/>
      <c r="K1075" s="64"/>
      <c r="L1075" s="64"/>
      <c r="M1075" s="64"/>
      <c r="N1075" s="64"/>
      <c r="O1075" s="64"/>
      <c r="P1075" s="64"/>
      <c r="Q1075" s="64"/>
      <c r="R1075" s="64"/>
      <c r="S1075" s="28"/>
    </row>
    <row r="1076" spans="1:19" x14ac:dyDescent="0.25">
      <c r="A1076" s="63"/>
      <c r="B1076" s="64"/>
      <c r="C1076" s="64"/>
      <c r="D1076" s="64"/>
      <c r="E1076" s="64"/>
      <c r="F1076" s="64"/>
      <c r="G1076" s="64"/>
      <c r="H1076" s="64"/>
      <c r="I1076" s="64"/>
      <c r="J1076" s="64"/>
      <c r="K1076" s="64"/>
      <c r="L1076" s="64"/>
      <c r="M1076" s="64"/>
      <c r="N1076" s="64"/>
      <c r="O1076" s="64"/>
      <c r="P1076" s="64"/>
      <c r="Q1076" s="64"/>
      <c r="R1076" s="64"/>
      <c r="S1076" s="28"/>
    </row>
    <row r="1077" spans="1:19" x14ac:dyDescent="0.25">
      <c r="A1077" s="63"/>
      <c r="B1077" s="64"/>
      <c r="C1077" s="64"/>
      <c r="D1077" s="64"/>
      <c r="E1077" s="64"/>
      <c r="F1077" s="64"/>
      <c r="G1077" s="64"/>
      <c r="H1077" s="64"/>
      <c r="I1077" s="64"/>
      <c r="J1077" s="64"/>
      <c r="K1077" s="64"/>
      <c r="L1077" s="64"/>
      <c r="M1077" s="64"/>
      <c r="N1077" s="64"/>
      <c r="O1077" s="64"/>
      <c r="P1077" s="64"/>
      <c r="Q1077" s="64"/>
      <c r="R1077" s="64"/>
      <c r="S1077" s="28"/>
    </row>
    <row r="1078" spans="1:19" x14ac:dyDescent="0.25">
      <c r="A1078" s="63"/>
      <c r="B1078" s="64"/>
      <c r="C1078" s="64"/>
      <c r="D1078" s="64"/>
      <c r="E1078" s="64"/>
      <c r="F1078" s="64"/>
      <c r="G1078" s="64"/>
      <c r="H1078" s="64"/>
      <c r="I1078" s="64"/>
      <c r="J1078" s="64"/>
      <c r="K1078" s="64"/>
      <c r="L1078" s="64"/>
      <c r="M1078" s="64"/>
      <c r="N1078" s="64"/>
      <c r="O1078" s="64"/>
      <c r="P1078" s="64"/>
      <c r="Q1078" s="64"/>
      <c r="R1078" s="64"/>
      <c r="S1078" s="28"/>
    </row>
    <row r="1079" spans="1:19" x14ac:dyDescent="0.25">
      <c r="A1079" s="63"/>
      <c r="B1079" s="64"/>
      <c r="C1079" s="64"/>
      <c r="D1079" s="64"/>
      <c r="E1079" s="64"/>
      <c r="F1079" s="64"/>
      <c r="G1079" s="64"/>
      <c r="H1079" s="64"/>
      <c r="I1079" s="64"/>
      <c r="J1079" s="64"/>
      <c r="K1079" s="64"/>
      <c r="L1079" s="64"/>
      <c r="M1079" s="64"/>
      <c r="N1079" s="64"/>
      <c r="O1079" s="64"/>
      <c r="P1079" s="64"/>
      <c r="Q1079" s="64"/>
      <c r="R1079" s="64"/>
      <c r="S1079" s="28"/>
    </row>
    <row r="1080" spans="1:19" x14ac:dyDescent="0.25">
      <c r="A1080" s="63"/>
      <c r="B1080" s="64"/>
      <c r="C1080" s="64"/>
      <c r="D1080" s="64"/>
      <c r="E1080" s="64"/>
      <c r="F1080" s="64"/>
      <c r="G1080" s="64"/>
      <c r="H1080" s="64"/>
      <c r="I1080" s="64"/>
      <c r="J1080" s="64"/>
      <c r="K1080" s="64"/>
      <c r="L1080" s="64"/>
      <c r="M1080" s="64"/>
      <c r="N1080" s="64"/>
      <c r="O1080" s="64"/>
      <c r="P1080" s="64"/>
      <c r="Q1080" s="64"/>
      <c r="R1080" s="64"/>
      <c r="S1080" s="28"/>
    </row>
    <row r="1081" spans="1:19" x14ac:dyDescent="0.25">
      <c r="A1081" s="63"/>
      <c r="B1081" s="64"/>
      <c r="C1081" s="64"/>
      <c r="D1081" s="64"/>
      <c r="E1081" s="64"/>
      <c r="F1081" s="64"/>
      <c r="G1081" s="64"/>
      <c r="H1081" s="64"/>
      <c r="I1081" s="64"/>
      <c r="J1081" s="64"/>
      <c r="K1081" s="64"/>
      <c r="L1081" s="64"/>
      <c r="M1081" s="64"/>
      <c r="N1081" s="64"/>
      <c r="O1081" s="64"/>
      <c r="P1081" s="64"/>
      <c r="Q1081" s="64"/>
      <c r="R1081" s="64"/>
      <c r="S1081" s="28"/>
    </row>
    <row r="1082" spans="1:19" x14ac:dyDescent="0.25">
      <c r="A1082" s="63"/>
      <c r="B1082" s="64"/>
      <c r="C1082" s="64"/>
      <c r="D1082" s="64"/>
      <c r="E1082" s="64"/>
      <c r="F1082" s="64"/>
      <c r="G1082" s="64"/>
      <c r="H1082" s="64"/>
      <c r="I1082" s="64"/>
      <c r="J1082" s="64"/>
      <c r="K1082" s="64"/>
      <c r="L1082" s="64"/>
      <c r="M1082" s="64"/>
      <c r="N1082" s="64"/>
      <c r="O1082" s="64"/>
      <c r="P1082" s="64"/>
      <c r="Q1082" s="64"/>
      <c r="R1082" s="64"/>
      <c r="S1082" s="28"/>
    </row>
    <row r="1083" spans="1:19" x14ac:dyDescent="0.25">
      <c r="A1083" s="63"/>
      <c r="B1083" s="64"/>
      <c r="C1083" s="64"/>
      <c r="D1083" s="64"/>
      <c r="E1083" s="64"/>
      <c r="F1083" s="64"/>
      <c r="G1083" s="64"/>
      <c r="H1083" s="64"/>
      <c r="I1083" s="64"/>
      <c r="J1083" s="64"/>
      <c r="K1083" s="64"/>
      <c r="L1083" s="64"/>
      <c r="M1083" s="64"/>
      <c r="N1083" s="64"/>
      <c r="O1083" s="64"/>
      <c r="P1083" s="64"/>
      <c r="Q1083" s="64"/>
      <c r="R1083" s="64"/>
      <c r="S1083" s="28"/>
    </row>
    <row r="1084" spans="1:19" x14ac:dyDescent="0.25">
      <c r="A1084" s="63"/>
      <c r="B1084" s="64"/>
      <c r="C1084" s="64"/>
      <c r="D1084" s="64"/>
      <c r="E1084" s="64"/>
      <c r="F1084" s="64"/>
      <c r="G1084" s="64"/>
      <c r="H1084" s="64"/>
      <c r="I1084" s="64"/>
      <c r="J1084" s="64"/>
      <c r="K1084" s="64"/>
      <c r="L1084" s="64"/>
      <c r="M1084" s="64"/>
      <c r="N1084" s="64"/>
      <c r="O1084" s="64"/>
      <c r="P1084" s="64"/>
      <c r="Q1084" s="64"/>
      <c r="R1084" s="64"/>
      <c r="S1084" s="28"/>
    </row>
    <row r="1085" spans="1:19" x14ac:dyDescent="0.25">
      <c r="A1085" s="63"/>
      <c r="B1085" s="64"/>
      <c r="C1085" s="64"/>
      <c r="D1085" s="64"/>
      <c r="E1085" s="64"/>
      <c r="F1085" s="64"/>
      <c r="G1085" s="64"/>
      <c r="H1085" s="64"/>
      <c r="I1085" s="64"/>
      <c r="J1085" s="64"/>
      <c r="K1085" s="64"/>
      <c r="L1085" s="64"/>
      <c r="M1085" s="64"/>
      <c r="N1085" s="64"/>
      <c r="O1085" s="64"/>
      <c r="P1085" s="64"/>
      <c r="Q1085" s="64"/>
      <c r="R1085" s="64"/>
      <c r="S1085" s="28"/>
    </row>
    <row r="1086" spans="1:19" x14ac:dyDescent="0.25">
      <c r="A1086" s="63"/>
      <c r="B1086" s="64"/>
      <c r="C1086" s="64"/>
      <c r="D1086" s="64"/>
      <c r="E1086" s="64"/>
      <c r="F1086" s="64"/>
      <c r="G1086" s="64"/>
      <c r="H1086" s="64"/>
      <c r="I1086" s="64"/>
      <c r="J1086" s="64"/>
      <c r="K1086" s="64"/>
      <c r="L1086" s="64"/>
      <c r="M1086" s="64"/>
      <c r="N1086" s="64"/>
      <c r="O1086" s="64"/>
      <c r="P1086" s="64"/>
      <c r="Q1086" s="64"/>
      <c r="R1086" s="64"/>
      <c r="S1086" s="28"/>
    </row>
    <row r="1087" spans="1:19" x14ac:dyDescent="0.25">
      <c r="A1087" s="63"/>
      <c r="B1087" s="64"/>
      <c r="C1087" s="64"/>
      <c r="D1087" s="64"/>
      <c r="E1087" s="64"/>
      <c r="F1087" s="64"/>
      <c r="G1087" s="64"/>
      <c r="H1087" s="64"/>
      <c r="I1087" s="64"/>
      <c r="J1087" s="64"/>
      <c r="K1087" s="64"/>
      <c r="L1087" s="64"/>
      <c r="M1087" s="64"/>
      <c r="N1087" s="64"/>
      <c r="O1087" s="64"/>
      <c r="P1087" s="64"/>
      <c r="Q1087" s="64"/>
      <c r="R1087" s="64"/>
      <c r="S1087" s="28"/>
    </row>
    <row r="1088" spans="1:19" x14ac:dyDescent="0.25">
      <c r="A1088" s="63"/>
      <c r="B1088" s="64"/>
      <c r="C1088" s="64"/>
      <c r="D1088" s="64"/>
      <c r="E1088" s="64"/>
      <c r="F1088" s="64"/>
      <c r="G1088" s="64"/>
      <c r="H1088" s="64"/>
      <c r="I1088" s="64"/>
      <c r="J1088" s="64"/>
      <c r="K1088" s="64"/>
      <c r="L1088" s="64"/>
      <c r="M1088" s="64"/>
      <c r="N1088" s="64"/>
      <c r="O1088" s="64"/>
      <c r="P1088" s="64"/>
      <c r="Q1088" s="64"/>
      <c r="R1088" s="64"/>
      <c r="S1088" s="28"/>
    </row>
    <row r="1089" spans="1:19" x14ac:dyDescent="0.25">
      <c r="A1089" s="63"/>
      <c r="B1089" s="64"/>
      <c r="C1089" s="64"/>
      <c r="D1089" s="64"/>
      <c r="E1089" s="64"/>
      <c r="F1089" s="64"/>
      <c r="G1089" s="64"/>
      <c r="H1089" s="64"/>
      <c r="I1089" s="64"/>
      <c r="J1089" s="64"/>
      <c r="K1089" s="64"/>
      <c r="L1089" s="64"/>
      <c r="M1089" s="64"/>
      <c r="N1089" s="64"/>
      <c r="O1089" s="64"/>
      <c r="P1089" s="64"/>
      <c r="Q1089" s="64"/>
      <c r="R1089" s="64"/>
      <c r="S1089" s="28"/>
    </row>
    <row r="1090" spans="1:19" x14ac:dyDescent="0.25">
      <c r="A1090" s="63"/>
      <c r="B1090" s="64"/>
      <c r="C1090" s="64"/>
      <c r="D1090" s="64"/>
      <c r="E1090" s="64"/>
      <c r="F1090" s="64"/>
      <c r="G1090" s="64"/>
      <c r="H1090" s="64"/>
      <c r="I1090" s="64"/>
      <c r="J1090" s="64"/>
      <c r="K1090" s="64"/>
      <c r="L1090" s="64"/>
      <c r="M1090" s="64"/>
      <c r="N1090" s="64"/>
      <c r="O1090" s="64"/>
      <c r="P1090" s="64"/>
      <c r="Q1090" s="64"/>
      <c r="R1090" s="64"/>
      <c r="S1090" s="28"/>
    </row>
    <row r="1091" spans="1:19" x14ac:dyDescent="0.25">
      <c r="A1091" s="63"/>
      <c r="B1091" s="64"/>
      <c r="C1091" s="64"/>
      <c r="D1091" s="64"/>
      <c r="E1091" s="64"/>
      <c r="F1091" s="64"/>
      <c r="G1091" s="64"/>
      <c r="H1091" s="64"/>
      <c r="I1091" s="64"/>
      <c r="J1091" s="64"/>
      <c r="K1091" s="64"/>
      <c r="L1091" s="64"/>
      <c r="M1091" s="64"/>
      <c r="N1091" s="64"/>
      <c r="O1091" s="64"/>
      <c r="P1091" s="64"/>
      <c r="Q1091" s="64"/>
      <c r="R1091" s="64"/>
      <c r="S1091" s="28"/>
    </row>
    <row r="1092" spans="1:19" x14ac:dyDescent="0.25">
      <c r="A1092" s="63"/>
      <c r="B1092" s="64"/>
      <c r="C1092" s="64"/>
      <c r="D1092" s="64"/>
      <c r="E1092" s="64"/>
      <c r="F1092" s="64"/>
      <c r="G1092" s="64"/>
      <c r="H1092" s="64"/>
      <c r="I1092" s="64"/>
      <c r="J1092" s="64"/>
      <c r="K1092" s="64"/>
      <c r="L1092" s="64"/>
      <c r="M1092" s="64"/>
      <c r="N1092" s="64"/>
      <c r="O1092" s="64"/>
      <c r="P1092" s="64"/>
      <c r="Q1092" s="64"/>
      <c r="R1092" s="64"/>
      <c r="S1092" s="28"/>
    </row>
    <row r="1093" spans="1:19" x14ac:dyDescent="0.25">
      <c r="A1093" s="63"/>
      <c r="B1093" s="64"/>
      <c r="C1093" s="64"/>
      <c r="D1093" s="64"/>
      <c r="E1093" s="64"/>
      <c r="F1093" s="64"/>
      <c r="G1093" s="64"/>
      <c r="H1093" s="64"/>
      <c r="I1093" s="64"/>
      <c r="J1093" s="64"/>
      <c r="K1093" s="64"/>
      <c r="L1093" s="64"/>
      <c r="M1093" s="64"/>
      <c r="N1093" s="64"/>
      <c r="O1093" s="64"/>
      <c r="P1093" s="64"/>
      <c r="Q1093" s="64"/>
      <c r="R1093" s="64"/>
      <c r="S1093" s="28"/>
    </row>
    <row r="1094" spans="1:19" x14ac:dyDescent="0.25">
      <c r="A1094" s="63"/>
      <c r="B1094" s="64"/>
      <c r="C1094" s="64"/>
      <c r="D1094" s="64"/>
      <c r="E1094" s="64"/>
      <c r="F1094" s="64"/>
      <c r="G1094" s="64"/>
      <c r="H1094" s="64"/>
      <c r="I1094" s="64"/>
      <c r="J1094" s="64"/>
      <c r="K1094" s="64"/>
      <c r="L1094" s="64"/>
      <c r="M1094" s="64"/>
      <c r="N1094" s="64"/>
      <c r="O1094" s="64"/>
      <c r="P1094" s="64"/>
      <c r="Q1094" s="64"/>
      <c r="R1094" s="64"/>
      <c r="S1094" s="28"/>
    </row>
    <row r="1095" spans="1:19" x14ac:dyDescent="0.25">
      <c r="A1095" s="63"/>
      <c r="B1095" s="64"/>
      <c r="C1095" s="64"/>
      <c r="D1095" s="64"/>
      <c r="E1095" s="64"/>
      <c r="F1095" s="64"/>
      <c r="G1095" s="64"/>
      <c r="H1095" s="64"/>
      <c r="I1095" s="64"/>
      <c r="J1095" s="64"/>
      <c r="K1095" s="64"/>
      <c r="L1095" s="64"/>
      <c r="M1095" s="64"/>
      <c r="N1095" s="64"/>
      <c r="O1095" s="64"/>
      <c r="P1095" s="64"/>
      <c r="Q1095" s="64"/>
      <c r="R1095" s="64"/>
      <c r="S1095" s="28"/>
    </row>
    <row r="1096" spans="1:19" x14ac:dyDescent="0.25">
      <c r="A1096" s="63"/>
      <c r="B1096" s="64"/>
      <c r="C1096" s="64"/>
      <c r="D1096" s="64"/>
      <c r="E1096" s="64"/>
      <c r="F1096" s="64"/>
      <c r="G1096" s="64"/>
      <c r="H1096" s="64"/>
      <c r="I1096" s="64"/>
      <c r="J1096" s="64"/>
      <c r="K1096" s="64"/>
      <c r="L1096" s="64"/>
      <c r="M1096" s="64"/>
      <c r="N1096" s="64"/>
      <c r="O1096" s="64"/>
      <c r="P1096" s="64"/>
      <c r="Q1096" s="64"/>
      <c r="R1096" s="64"/>
      <c r="S1096" s="28"/>
    </row>
    <row r="1097" spans="1:19" x14ac:dyDescent="0.25">
      <c r="A1097" s="63"/>
      <c r="B1097" s="64"/>
      <c r="C1097" s="64"/>
      <c r="D1097" s="64"/>
      <c r="E1097" s="64"/>
      <c r="F1097" s="64"/>
      <c r="G1097" s="64"/>
      <c r="H1097" s="64"/>
      <c r="I1097" s="64"/>
      <c r="J1097" s="64"/>
      <c r="K1097" s="64"/>
      <c r="L1097" s="64"/>
      <c r="M1097" s="64"/>
      <c r="N1097" s="64"/>
      <c r="O1097" s="64"/>
      <c r="P1097" s="64"/>
      <c r="Q1097" s="64"/>
      <c r="R1097" s="64"/>
      <c r="S1097" s="28"/>
    </row>
    <row r="1098" spans="1:19" x14ac:dyDescent="0.25">
      <c r="A1098" s="63"/>
      <c r="B1098" s="64"/>
      <c r="C1098" s="64"/>
      <c r="D1098" s="64"/>
      <c r="E1098" s="64"/>
      <c r="F1098" s="64"/>
      <c r="G1098" s="64"/>
      <c r="H1098" s="64"/>
      <c r="I1098" s="64"/>
      <c r="J1098" s="64"/>
      <c r="K1098" s="64"/>
      <c r="L1098" s="64"/>
      <c r="M1098" s="64"/>
      <c r="N1098" s="64"/>
      <c r="O1098" s="64"/>
      <c r="P1098" s="64"/>
      <c r="Q1098" s="64"/>
      <c r="R1098" s="64"/>
      <c r="S1098" s="28"/>
    </row>
    <row r="1099" spans="1:19" x14ac:dyDescent="0.25">
      <c r="A1099" s="63"/>
      <c r="B1099" s="64"/>
      <c r="C1099" s="64"/>
      <c r="D1099" s="64"/>
      <c r="E1099" s="64"/>
      <c r="F1099" s="64"/>
      <c r="G1099" s="64"/>
      <c r="H1099" s="64"/>
      <c r="I1099" s="64"/>
      <c r="J1099" s="64"/>
      <c r="K1099" s="64"/>
      <c r="L1099" s="64"/>
      <c r="M1099" s="64"/>
      <c r="N1099" s="64"/>
      <c r="O1099" s="64"/>
      <c r="P1099" s="64"/>
      <c r="Q1099" s="64"/>
      <c r="R1099" s="64"/>
      <c r="S1099" s="28"/>
    </row>
    <row r="1100" spans="1:19" x14ac:dyDescent="0.25">
      <c r="A1100" s="63"/>
      <c r="B1100" s="64"/>
      <c r="C1100" s="64"/>
      <c r="D1100" s="64"/>
      <c r="E1100" s="64"/>
      <c r="F1100" s="64"/>
      <c r="G1100" s="64"/>
      <c r="H1100" s="64"/>
      <c r="I1100" s="64"/>
      <c r="J1100" s="64"/>
      <c r="K1100" s="64"/>
      <c r="L1100" s="64"/>
      <c r="M1100" s="64"/>
      <c r="N1100" s="64"/>
      <c r="O1100" s="64"/>
      <c r="P1100" s="64"/>
      <c r="Q1100" s="64"/>
      <c r="R1100" s="64"/>
      <c r="S1100" s="28"/>
    </row>
    <row r="1101" spans="1:19" x14ac:dyDescent="0.25">
      <c r="A1101" s="63"/>
      <c r="B1101" s="64"/>
      <c r="C1101" s="64"/>
      <c r="D1101" s="64"/>
      <c r="E1101" s="64"/>
      <c r="F1101" s="64"/>
      <c r="G1101" s="64"/>
      <c r="H1101" s="64"/>
      <c r="I1101" s="64"/>
      <c r="J1101" s="64"/>
      <c r="K1101" s="64"/>
      <c r="L1101" s="64"/>
      <c r="M1101" s="64"/>
      <c r="N1101" s="64"/>
      <c r="O1101" s="64"/>
      <c r="P1101" s="64"/>
      <c r="Q1101" s="64"/>
      <c r="R1101" s="64"/>
      <c r="S1101" s="28"/>
    </row>
    <row r="1102" spans="1:19" x14ac:dyDescent="0.25">
      <c r="A1102" s="63"/>
      <c r="B1102" s="64"/>
      <c r="C1102" s="64"/>
      <c r="D1102" s="64"/>
      <c r="E1102" s="64"/>
      <c r="F1102" s="64"/>
      <c r="G1102" s="64"/>
      <c r="H1102" s="64"/>
      <c r="I1102" s="64"/>
      <c r="J1102" s="64"/>
      <c r="K1102" s="64"/>
      <c r="L1102" s="64"/>
      <c r="M1102" s="64"/>
      <c r="N1102" s="64"/>
      <c r="O1102" s="64"/>
      <c r="P1102" s="64"/>
      <c r="Q1102" s="64"/>
      <c r="R1102" s="64"/>
      <c r="S1102" s="28"/>
    </row>
    <row r="1103" spans="1:19" x14ac:dyDescent="0.25">
      <c r="A1103" s="63"/>
      <c r="B1103" s="64"/>
      <c r="C1103" s="64"/>
      <c r="D1103" s="64"/>
      <c r="E1103" s="64"/>
      <c r="F1103" s="64"/>
      <c r="G1103" s="64"/>
      <c r="H1103" s="64"/>
      <c r="I1103" s="64"/>
      <c r="J1103" s="64"/>
      <c r="K1103" s="64"/>
      <c r="L1103" s="64"/>
      <c r="M1103" s="64"/>
      <c r="N1103" s="64"/>
      <c r="O1103" s="64"/>
      <c r="P1103" s="64"/>
      <c r="Q1103" s="64"/>
      <c r="R1103" s="64"/>
      <c r="S1103" s="28"/>
    </row>
    <row r="1104" spans="1:19" x14ac:dyDescent="0.25">
      <c r="A1104" s="63"/>
      <c r="B1104" s="64"/>
      <c r="C1104" s="64"/>
      <c r="D1104" s="64"/>
      <c r="E1104" s="64"/>
      <c r="F1104" s="64"/>
      <c r="G1104" s="64"/>
      <c r="H1104" s="64"/>
      <c r="I1104" s="64"/>
      <c r="J1104" s="64"/>
      <c r="K1104" s="64"/>
      <c r="L1104" s="64"/>
      <c r="M1104" s="64"/>
      <c r="N1104" s="64"/>
      <c r="O1104" s="64"/>
      <c r="P1104" s="64"/>
      <c r="Q1104" s="64"/>
      <c r="R1104" s="64"/>
      <c r="S1104" s="28"/>
    </row>
    <row r="1105" spans="1:19" x14ac:dyDescent="0.25">
      <c r="A1105" s="63"/>
      <c r="B1105" s="64"/>
      <c r="C1105" s="64"/>
      <c r="D1105" s="64"/>
      <c r="E1105" s="64"/>
      <c r="F1105" s="64"/>
      <c r="G1105" s="64"/>
      <c r="H1105" s="64"/>
      <c r="I1105" s="64"/>
      <c r="J1105" s="64"/>
      <c r="K1105" s="64"/>
      <c r="L1105" s="64"/>
      <c r="M1105" s="64"/>
      <c r="N1105" s="64"/>
      <c r="O1105" s="64"/>
      <c r="P1105" s="64"/>
      <c r="Q1105" s="64"/>
      <c r="R1105" s="64"/>
      <c r="S1105" s="28"/>
    </row>
    <row r="1106" spans="1:19" x14ac:dyDescent="0.25">
      <c r="A1106" s="63"/>
      <c r="B1106" s="64"/>
      <c r="C1106" s="64"/>
      <c r="D1106" s="64"/>
      <c r="E1106" s="64"/>
      <c r="F1106" s="64"/>
      <c r="G1106" s="64"/>
      <c r="H1106" s="64"/>
      <c r="I1106" s="64"/>
      <c r="J1106" s="64"/>
      <c r="K1106" s="64"/>
      <c r="L1106" s="64"/>
      <c r="M1106" s="64"/>
      <c r="N1106" s="64"/>
      <c r="O1106" s="64"/>
      <c r="P1106" s="64"/>
      <c r="Q1106" s="64"/>
      <c r="R1106" s="64"/>
      <c r="S1106" s="28"/>
    </row>
    <row r="1107" spans="1:19" x14ac:dyDescent="0.25">
      <c r="A1107" s="63"/>
      <c r="B1107" s="64"/>
      <c r="C1107" s="64"/>
      <c r="D1107" s="64"/>
      <c r="E1107" s="64"/>
      <c r="F1107" s="64"/>
      <c r="G1107" s="64"/>
      <c r="H1107" s="64"/>
      <c r="I1107" s="64"/>
      <c r="J1107" s="64"/>
      <c r="K1107" s="64"/>
      <c r="L1107" s="64"/>
      <c r="M1107" s="64"/>
      <c r="N1107" s="64"/>
      <c r="O1107" s="64"/>
      <c r="P1107" s="64"/>
      <c r="Q1107" s="64"/>
      <c r="R1107" s="64"/>
      <c r="S1107" s="28"/>
    </row>
    <row r="1108" spans="1:19" x14ac:dyDescent="0.25">
      <c r="A1108" s="63"/>
      <c r="B1108" s="64"/>
      <c r="C1108" s="64"/>
      <c r="D1108" s="64"/>
      <c r="E1108" s="64"/>
      <c r="F1108" s="64"/>
      <c r="G1108" s="64"/>
      <c r="H1108" s="64"/>
      <c r="I1108" s="64"/>
      <c r="J1108" s="64"/>
      <c r="K1108" s="64"/>
      <c r="L1108" s="64"/>
      <c r="M1108" s="64"/>
      <c r="N1108" s="64"/>
      <c r="O1108" s="64"/>
      <c r="P1108" s="64"/>
      <c r="Q1108" s="64"/>
      <c r="R1108" s="64"/>
      <c r="S1108" s="28"/>
    </row>
    <row r="1109" spans="1:19" x14ac:dyDescent="0.25">
      <c r="A1109" s="63"/>
      <c r="B1109" s="64"/>
      <c r="C1109" s="64"/>
      <c r="D1109" s="64"/>
      <c r="E1109" s="64"/>
      <c r="F1109" s="64"/>
      <c r="G1109" s="64"/>
      <c r="H1109" s="64"/>
      <c r="I1109" s="64"/>
      <c r="J1109" s="64"/>
      <c r="K1109" s="64"/>
      <c r="L1109" s="64"/>
      <c r="M1109" s="64"/>
      <c r="N1109" s="64"/>
      <c r="O1109" s="64"/>
      <c r="P1109" s="64"/>
      <c r="Q1109" s="64"/>
      <c r="R1109" s="64"/>
      <c r="S1109" s="28"/>
    </row>
    <row r="1110" spans="1:19" x14ac:dyDescent="0.25">
      <c r="A1110" s="63"/>
      <c r="B1110" s="64"/>
      <c r="C1110" s="64"/>
      <c r="D1110" s="64"/>
      <c r="E1110" s="64"/>
      <c r="F1110" s="64"/>
      <c r="G1110" s="64"/>
      <c r="H1110" s="64"/>
      <c r="I1110" s="64"/>
      <c r="J1110" s="64"/>
      <c r="K1110" s="64"/>
      <c r="L1110" s="64"/>
      <c r="M1110" s="64"/>
      <c r="N1110" s="64"/>
      <c r="O1110" s="64"/>
      <c r="P1110" s="64"/>
      <c r="Q1110" s="64"/>
      <c r="R1110" s="64"/>
      <c r="S1110" s="28"/>
    </row>
    <row r="1111" spans="1:19" x14ac:dyDescent="0.25">
      <c r="A1111" s="63"/>
      <c r="B1111" s="64"/>
      <c r="C1111" s="64"/>
      <c r="D1111" s="64"/>
      <c r="E1111" s="64"/>
      <c r="F1111" s="64"/>
      <c r="G1111" s="64"/>
      <c r="H1111" s="64"/>
      <c r="I1111" s="64"/>
      <c r="J1111" s="64"/>
      <c r="K1111" s="64"/>
      <c r="L1111" s="64"/>
      <c r="M1111" s="64"/>
      <c r="N1111" s="64"/>
      <c r="O1111" s="64"/>
      <c r="P1111" s="64"/>
      <c r="Q1111" s="64"/>
      <c r="R1111" s="64"/>
      <c r="S1111" s="28"/>
    </row>
    <row r="1112" spans="1:19" x14ac:dyDescent="0.25">
      <c r="A1112" s="63"/>
      <c r="B1112" s="64"/>
      <c r="C1112" s="64"/>
      <c r="D1112" s="64"/>
      <c r="E1112" s="64"/>
      <c r="F1112" s="64"/>
      <c r="G1112" s="64"/>
      <c r="H1112" s="64"/>
      <c r="I1112" s="64"/>
      <c r="J1112" s="64"/>
      <c r="K1112" s="64"/>
      <c r="L1112" s="64"/>
      <c r="M1112" s="64"/>
      <c r="N1112" s="64"/>
      <c r="O1112" s="64"/>
      <c r="P1112" s="64"/>
      <c r="Q1112" s="64"/>
      <c r="R1112" s="64"/>
      <c r="S1112" s="28"/>
    </row>
    <row r="1113" spans="1:19" x14ac:dyDescent="0.25">
      <c r="A1113" s="63"/>
      <c r="B1113" s="64"/>
      <c r="C1113" s="64"/>
      <c r="D1113" s="64"/>
      <c r="E1113" s="64"/>
      <c r="F1113" s="64"/>
      <c r="G1113" s="64"/>
      <c r="H1113" s="64"/>
      <c r="I1113" s="64"/>
      <c r="J1113" s="64"/>
      <c r="K1113" s="64"/>
      <c r="L1113" s="64"/>
      <c r="M1113" s="64"/>
      <c r="N1113" s="64"/>
      <c r="O1113" s="64"/>
      <c r="P1113" s="64"/>
      <c r="Q1113" s="64"/>
      <c r="R1113" s="64"/>
      <c r="S1113" s="28"/>
    </row>
    <row r="1114" spans="1:19" x14ac:dyDescent="0.25">
      <c r="A1114" s="63"/>
      <c r="B1114" s="64"/>
      <c r="C1114" s="64"/>
      <c r="D1114" s="64"/>
      <c r="E1114" s="64"/>
      <c r="F1114" s="64"/>
      <c r="G1114" s="64"/>
      <c r="H1114" s="64"/>
      <c r="I1114" s="64"/>
      <c r="J1114" s="64"/>
      <c r="K1114" s="64"/>
      <c r="L1114" s="64"/>
      <c r="M1114" s="64"/>
      <c r="N1114" s="64"/>
      <c r="O1114" s="64"/>
      <c r="P1114" s="64"/>
      <c r="Q1114" s="64"/>
      <c r="R1114" s="64"/>
      <c r="S1114" s="28"/>
    </row>
    <row r="1115" spans="1:19" x14ac:dyDescent="0.25">
      <c r="A1115" s="63"/>
      <c r="B1115" s="64"/>
      <c r="C1115" s="64"/>
      <c r="D1115" s="64"/>
      <c r="E1115" s="64"/>
      <c r="F1115" s="64"/>
      <c r="G1115" s="64"/>
      <c r="H1115" s="64"/>
      <c r="I1115" s="64"/>
      <c r="J1115" s="64"/>
      <c r="K1115" s="64"/>
      <c r="L1115" s="64"/>
      <c r="M1115" s="64"/>
      <c r="N1115" s="64"/>
      <c r="O1115" s="64"/>
      <c r="P1115" s="64"/>
      <c r="Q1115" s="64"/>
      <c r="R1115" s="64"/>
      <c r="S1115" s="28"/>
    </row>
    <row r="1116" spans="1:19" x14ac:dyDescent="0.25">
      <c r="A1116" s="63"/>
      <c r="B1116" s="64"/>
      <c r="C1116" s="64"/>
      <c r="D1116" s="64"/>
      <c r="E1116" s="64"/>
      <c r="F1116" s="64"/>
      <c r="G1116" s="64"/>
      <c r="H1116" s="64"/>
      <c r="I1116" s="64"/>
      <c r="J1116" s="64"/>
      <c r="K1116" s="64"/>
      <c r="L1116" s="64"/>
      <c r="M1116" s="64"/>
      <c r="N1116" s="64"/>
      <c r="O1116" s="64"/>
      <c r="P1116" s="64"/>
      <c r="Q1116" s="64"/>
      <c r="R1116" s="64"/>
      <c r="S1116" s="28"/>
    </row>
    <row r="1117" spans="1:19" x14ac:dyDescent="0.25">
      <c r="A1117" s="63"/>
      <c r="B1117" s="64"/>
      <c r="C1117" s="64"/>
      <c r="D1117" s="64"/>
      <c r="E1117" s="64"/>
      <c r="F1117" s="64"/>
      <c r="G1117" s="64"/>
      <c r="H1117" s="64"/>
      <c r="I1117" s="64"/>
      <c r="J1117" s="64"/>
      <c r="K1117" s="64"/>
      <c r="L1117" s="64"/>
      <c r="M1117" s="64"/>
      <c r="N1117" s="64"/>
      <c r="O1117" s="64"/>
      <c r="P1117" s="64"/>
      <c r="Q1117" s="64"/>
      <c r="R1117" s="64"/>
      <c r="S1117" s="28"/>
    </row>
    <row r="1118" spans="1:19" x14ac:dyDescent="0.25">
      <c r="A1118" s="63"/>
      <c r="B1118" s="64"/>
      <c r="C1118" s="64"/>
      <c r="D1118" s="64"/>
      <c r="E1118" s="64"/>
      <c r="F1118" s="64"/>
      <c r="G1118" s="64"/>
      <c r="H1118" s="64"/>
      <c r="I1118" s="64"/>
      <c r="J1118" s="64"/>
      <c r="K1118" s="64"/>
      <c r="L1118" s="64"/>
      <c r="M1118" s="64"/>
      <c r="N1118" s="64"/>
      <c r="O1118" s="64"/>
      <c r="P1118" s="64"/>
      <c r="Q1118" s="64"/>
      <c r="R1118" s="64"/>
      <c r="S1118" s="28"/>
    </row>
    <row r="1119" spans="1:19" x14ac:dyDescent="0.25">
      <c r="A1119" s="63"/>
      <c r="B1119" s="64"/>
      <c r="C1119" s="64"/>
      <c r="D1119" s="64"/>
      <c r="E1119" s="64"/>
      <c r="F1119" s="64"/>
      <c r="G1119" s="64"/>
      <c r="H1119" s="64"/>
      <c r="I1119" s="64"/>
      <c r="J1119" s="64"/>
      <c r="K1119" s="64"/>
      <c r="L1119" s="64"/>
      <c r="M1119" s="64"/>
      <c r="N1119" s="64"/>
      <c r="O1119" s="64"/>
      <c r="P1119" s="64"/>
      <c r="Q1119" s="64"/>
      <c r="R1119" s="64"/>
      <c r="S1119" s="28"/>
    </row>
    <row r="1120" spans="1:19" x14ac:dyDescent="0.25">
      <c r="A1120" s="63"/>
      <c r="B1120" s="64"/>
      <c r="C1120" s="64"/>
      <c r="D1120" s="64"/>
      <c r="E1120" s="64"/>
      <c r="F1120" s="64"/>
      <c r="G1120" s="64"/>
      <c r="H1120" s="64"/>
      <c r="I1120" s="64"/>
      <c r="J1120" s="64"/>
      <c r="K1120" s="64"/>
      <c r="L1120" s="64"/>
      <c r="M1120" s="64"/>
      <c r="N1120" s="64"/>
      <c r="O1120" s="64"/>
      <c r="P1120" s="64"/>
      <c r="Q1120" s="64"/>
      <c r="R1120" s="64"/>
      <c r="S1120" s="64"/>
    </row>
    <row r="1121" spans="1:19" x14ac:dyDescent="0.25">
      <c r="A1121" s="63"/>
      <c r="B1121" s="64"/>
      <c r="C1121" s="64"/>
      <c r="D1121" s="64"/>
      <c r="E1121" s="64"/>
      <c r="F1121" s="64"/>
      <c r="G1121" s="64"/>
      <c r="H1121" s="64"/>
      <c r="I1121" s="64"/>
      <c r="J1121" s="64"/>
      <c r="K1121" s="64"/>
      <c r="L1121" s="64"/>
      <c r="M1121" s="64"/>
      <c r="N1121" s="64"/>
      <c r="O1121" s="64"/>
      <c r="P1121" s="64"/>
      <c r="Q1121" s="64"/>
      <c r="R1121" s="64"/>
      <c r="S1121" s="64"/>
    </row>
    <row r="1122" spans="1:19" x14ac:dyDescent="0.25">
      <c r="A1122" s="63"/>
      <c r="B1122" s="64"/>
      <c r="C1122" s="64"/>
      <c r="D1122" s="64"/>
      <c r="E1122" s="64"/>
      <c r="F1122" s="64"/>
      <c r="G1122" s="64"/>
      <c r="H1122" s="64"/>
      <c r="I1122" s="64"/>
      <c r="J1122" s="64"/>
      <c r="K1122" s="64"/>
      <c r="L1122" s="64"/>
      <c r="M1122" s="64"/>
      <c r="N1122" s="64"/>
      <c r="O1122" s="64"/>
      <c r="P1122" s="64"/>
      <c r="Q1122" s="64"/>
      <c r="R1122" s="64"/>
      <c r="S1122" s="64"/>
    </row>
    <row r="1123" spans="1:19" x14ac:dyDescent="0.25">
      <c r="A1123" s="63"/>
      <c r="B1123" s="64"/>
      <c r="C1123" s="64"/>
      <c r="D1123" s="64"/>
      <c r="E1123" s="64"/>
      <c r="F1123" s="64"/>
      <c r="G1123" s="64"/>
      <c r="H1123" s="64"/>
      <c r="I1123" s="64"/>
      <c r="J1123" s="64"/>
      <c r="K1123" s="64"/>
      <c r="L1123" s="64"/>
      <c r="M1123" s="64"/>
      <c r="N1123" s="64"/>
      <c r="O1123" s="64"/>
      <c r="P1123" s="64"/>
      <c r="Q1123" s="64"/>
      <c r="R1123" s="64"/>
      <c r="S1123" s="64"/>
    </row>
    <row r="1124" spans="1:19" x14ac:dyDescent="0.25">
      <c r="A1124" s="63"/>
      <c r="B1124" s="64"/>
      <c r="C1124" s="64"/>
      <c r="D1124" s="64"/>
      <c r="E1124" s="64"/>
      <c r="F1124" s="64"/>
      <c r="G1124" s="64"/>
      <c r="H1124" s="64"/>
      <c r="I1124" s="64"/>
      <c r="J1124" s="64"/>
      <c r="K1124" s="64"/>
      <c r="L1124" s="64"/>
      <c r="M1124" s="64"/>
      <c r="N1124" s="64"/>
      <c r="O1124" s="64"/>
      <c r="P1124" s="64"/>
      <c r="Q1124" s="64"/>
      <c r="R1124" s="64"/>
      <c r="S1124" s="64"/>
    </row>
    <row r="1125" spans="1:19" x14ac:dyDescent="0.25">
      <c r="A1125" s="63"/>
      <c r="B1125" s="64"/>
      <c r="C1125" s="64"/>
      <c r="D1125" s="64"/>
      <c r="E1125" s="64"/>
      <c r="F1125" s="64"/>
      <c r="G1125" s="64"/>
      <c r="H1125" s="64"/>
      <c r="I1125" s="64"/>
      <c r="J1125" s="64"/>
      <c r="K1125" s="64"/>
      <c r="L1125" s="64"/>
      <c r="M1125" s="64"/>
      <c r="N1125" s="64"/>
      <c r="O1125" s="64"/>
      <c r="P1125" s="64"/>
      <c r="Q1125" s="64"/>
      <c r="R1125" s="64"/>
      <c r="S1125" s="64"/>
    </row>
    <row r="1126" spans="1:19" x14ac:dyDescent="0.25">
      <c r="A1126" s="63"/>
      <c r="B1126" s="64"/>
      <c r="C1126" s="64"/>
      <c r="D1126" s="64"/>
      <c r="E1126" s="64"/>
      <c r="F1126" s="64"/>
      <c r="G1126" s="64"/>
      <c r="H1126" s="64"/>
      <c r="I1126" s="64"/>
      <c r="J1126" s="64"/>
      <c r="K1126" s="64"/>
      <c r="L1126" s="64"/>
      <c r="M1126" s="64"/>
      <c r="N1126" s="64"/>
      <c r="O1126" s="64"/>
      <c r="P1126" s="64"/>
      <c r="Q1126" s="64"/>
      <c r="R1126" s="64"/>
      <c r="S1126" s="64"/>
    </row>
    <row r="1127" spans="1:19" x14ac:dyDescent="0.25">
      <c r="A1127" s="63"/>
      <c r="B1127" s="64"/>
      <c r="C1127" s="64"/>
      <c r="D1127" s="64"/>
      <c r="E1127" s="64"/>
      <c r="F1127" s="64"/>
      <c r="G1127" s="64"/>
      <c r="H1127" s="64"/>
      <c r="I1127" s="64"/>
      <c r="J1127" s="64"/>
      <c r="K1127" s="64"/>
      <c r="L1127" s="64"/>
      <c r="M1127" s="64"/>
      <c r="N1127" s="64"/>
      <c r="O1127" s="64"/>
      <c r="P1127" s="64"/>
      <c r="Q1127" s="64"/>
      <c r="R1127" s="64"/>
      <c r="S1127" s="64"/>
    </row>
    <row r="1128" spans="1:19" x14ac:dyDescent="0.25">
      <c r="A1128" s="63"/>
      <c r="B1128" s="64"/>
      <c r="C1128" s="64"/>
      <c r="D1128" s="64"/>
      <c r="E1128" s="64"/>
      <c r="F1128" s="64"/>
      <c r="G1128" s="64"/>
      <c r="H1128" s="64"/>
      <c r="I1128" s="64"/>
      <c r="J1128" s="64"/>
      <c r="K1128" s="64"/>
      <c r="L1128" s="64"/>
      <c r="M1128" s="64"/>
      <c r="N1128" s="64"/>
      <c r="O1128" s="64"/>
      <c r="P1128" s="64"/>
      <c r="Q1128" s="64"/>
      <c r="R1128" s="64"/>
      <c r="S1128" s="64"/>
    </row>
    <row r="1129" spans="1:19" x14ac:dyDescent="0.25">
      <c r="A1129" s="63"/>
      <c r="B1129" s="64"/>
      <c r="C1129" s="64"/>
      <c r="D1129" s="64"/>
      <c r="E1129" s="64"/>
      <c r="F1129" s="64"/>
      <c r="G1129" s="64"/>
      <c r="H1129" s="64"/>
      <c r="I1129" s="64"/>
      <c r="J1129" s="64"/>
      <c r="K1129" s="64"/>
      <c r="L1129" s="64"/>
      <c r="M1129" s="64"/>
      <c r="N1129" s="64"/>
      <c r="O1129" s="64"/>
      <c r="P1129" s="64"/>
      <c r="Q1129" s="64"/>
      <c r="R1129" s="64"/>
      <c r="S1129" s="64"/>
    </row>
    <row r="1130" spans="1:19" x14ac:dyDescent="0.25">
      <c r="A1130" s="63"/>
      <c r="B1130" s="64"/>
      <c r="C1130" s="64"/>
      <c r="D1130" s="64"/>
      <c r="E1130" s="64"/>
      <c r="F1130" s="64"/>
      <c r="G1130" s="64"/>
      <c r="H1130" s="64"/>
      <c r="I1130" s="64"/>
      <c r="J1130" s="64"/>
      <c r="K1130" s="64"/>
      <c r="L1130" s="64"/>
      <c r="M1130" s="64"/>
      <c r="N1130" s="64"/>
      <c r="O1130" s="64"/>
      <c r="P1130" s="64"/>
      <c r="Q1130" s="64"/>
      <c r="R1130" s="64"/>
      <c r="S1130" s="64"/>
    </row>
    <row r="1131" spans="1:19" x14ac:dyDescent="0.25">
      <c r="A1131" s="63"/>
      <c r="B1131" s="64"/>
      <c r="C1131" s="64"/>
      <c r="D1131" s="64"/>
      <c r="E1131" s="64"/>
      <c r="F1131" s="64"/>
      <c r="G1131" s="64"/>
      <c r="H1131" s="64"/>
      <c r="I1131" s="64"/>
      <c r="J1131" s="64"/>
      <c r="K1131" s="64"/>
      <c r="L1131" s="64"/>
      <c r="M1131" s="64"/>
      <c r="N1131" s="64"/>
      <c r="O1131" s="64"/>
      <c r="P1131" s="64"/>
      <c r="Q1131" s="64"/>
      <c r="R1131" s="64"/>
      <c r="S1131" s="64"/>
    </row>
    <row r="1132" spans="1:19" x14ac:dyDescent="0.25">
      <c r="A1132" s="63"/>
      <c r="B1132" s="64"/>
      <c r="C1132" s="64"/>
      <c r="D1132" s="64"/>
      <c r="E1132" s="64"/>
      <c r="F1132" s="64"/>
      <c r="G1132" s="64"/>
      <c r="H1132" s="64"/>
      <c r="I1132" s="64"/>
      <c r="J1132" s="64"/>
      <c r="K1132" s="64"/>
      <c r="L1132" s="64"/>
      <c r="M1132" s="64"/>
      <c r="N1132" s="64"/>
      <c r="O1132" s="64"/>
      <c r="P1132" s="64"/>
      <c r="Q1132" s="64"/>
      <c r="R1132" s="64"/>
      <c r="S1132" s="64"/>
    </row>
    <row r="1133" spans="1:19" x14ac:dyDescent="0.25">
      <c r="A1133" s="63"/>
      <c r="B1133" s="64"/>
      <c r="C1133" s="64"/>
      <c r="D1133" s="64"/>
      <c r="E1133" s="64"/>
      <c r="F1133" s="64"/>
      <c r="G1133" s="64"/>
      <c r="H1133" s="64"/>
      <c r="I1133" s="64"/>
      <c r="J1133" s="64"/>
      <c r="K1133" s="64"/>
      <c r="L1133" s="64"/>
      <c r="M1133" s="64"/>
      <c r="N1133" s="64"/>
      <c r="O1133" s="64"/>
      <c r="P1133" s="64"/>
      <c r="Q1133" s="64"/>
      <c r="R1133" s="64"/>
      <c r="S1133" s="64"/>
    </row>
    <row r="1134" spans="1:19" x14ac:dyDescent="0.25">
      <c r="A1134" s="63"/>
      <c r="B1134" s="64"/>
      <c r="C1134" s="64"/>
      <c r="D1134" s="64"/>
      <c r="E1134" s="64"/>
      <c r="F1134" s="64"/>
      <c r="G1134" s="64"/>
      <c r="H1134" s="64"/>
      <c r="I1134" s="64"/>
      <c r="J1134" s="64"/>
      <c r="K1134" s="64"/>
      <c r="L1134" s="64"/>
      <c r="M1134" s="64"/>
      <c r="N1134" s="64"/>
      <c r="O1134" s="64"/>
      <c r="P1134" s="64"/>
      <c r="Q1134" s="64"/>
      <c r="R1134" s="64"/>
      <c r="S1134" s="64"/>
    </row>
    <row r="1135" spans="1:19" x14ac:dyDescent="0.25">
      <c r="A1135" s="63"/>
      <c r="B1135" s="64"/>
      <c r="C1135" s="64"/>
      <c r="D1135" s="64"/>
      <c r="E1135" s="64"/>
      <c r="F1135" s="64"/>
      <c r="G1135" s="64"/>
      <c r="H1135" s="64"/>
      <c r="I1135" s="64"/>
      <c r="J1135" s="64"/>
      <c r="K1135" s="64"/>
      <c r="L1135" s="64"/>
      <c r="M1135" s="64"/>
      <c r="N1135" s="64"/>
      <c r="O1135" s="64"/>
      <c r="P1135" s="64"/>
      <c r="Q1135" s="64"/>
      <c r="R1135" s="64"/>
      <c r="S1135" s="64"/>
    </row>
    <row r="1136" spans="1:19" x14ac:dyDescent="0.25">
      <c r="A1136" s="63"/>
      <c r="B1136" s="64"/>
      <c r="C1136" s="64"/>
      <c r="D1136" s="64"/>
      <c r="E1136" s="64"/>
      <c r="F1136" s="64"/>
      <c r="G1136" s="64"/>
      <c r="H1136" s="64"/>
      <c r="I1136" s="64"/>
      <c r="J1136" s="64"/>
      <c r="K1136" s="64"/>
      <c r="L1136" s="64"/>
      <c r="M1136" s="64"/>
      <c r="N1136" s="64"/>
      <c r="O1136" s="64"/>
      <c r="P1136" s="64"/>
      <c r="Q1136" s="64"/>
      <c r="R1136" s="64"/>
      <c r="S1136" s="64"/>
    </row>
    <row r="1137" spans="1:19" x14ac:dyDescent="0.25">
      <c r="A1137" s="63"/>
      <c r="B1137" s="64"/>
      <c r="C1137" s="64"/>
      <c r="D1137" s="64"/>
      <c r="E1137" s="64"/>
      <c r="F1137" s="64"/>
      <c r="G1137" s="64"/>
      <c r="H1137" s="64"/>
      <c r="I1137" s="64"/>
      <c r="J1137" s="64"/>
      <c r="K1137" s="64"/>
      <c r="L1137" s="64"/>
      <c r="M1137" s="64"/>
      <c r="N1137" s="64"/>
      <c r="O1137" s="64"/>
      <c r="P1137" s="64"/>
      <c r="Q1137" s="64"/>
      <c r="R1137" s="64"/>
      <c r="S1137" s="64"/>
    </row>
    <row r="1138" spans="1:19" x14ac:dyDescent="0.25">
      <c r="A1138" s="63"/>
      <c r="B1138" s="64"/>
      <c r="C1138" s="64"/>
      <c r="D1138" s="64"/>
      <c r="E1138" s="64"/>
      <c r="F1138" s="64"/>
      <c r="G1138" s="64"/>
      <c r="H1138" s="64"/>
      <c r="I1138" s="64"/>
      <c r="J1138" s="64"/>
      <c r="K1138" s="64"/>
      <c r="L1138" s="64"/>
      <c r="M1138" s="64"/>
      <c r="N1138" s="64"/>
      <c r="O1138" s="64"/>
      <c r="P1138" s="64"/>
      <c r="Q1138" s="64"/>
      <c r="R1138" s="64"/>
      <c r="S1138" s="64"/>
    </row>
    <row r="1139" spans="1:19" x14ac:dyDescent="0.25">
      <c r="A1139" s="63"/>
      <c r="B1139" s="64"/>
      <c r="C1139" s="64"/>
      <c r="D1139" s="64"/>
      <c r="E1139" s="64"/>
      <c r="F1139" s="64"/>
      <c r="G1139" s="64"/>
      <c r="H1139" s="64"/>
      <c r="I1139" s="64"/>
      <c r="J1139" s="64"/>
      <c r="K1139" s="64"/>
      <c r="L1139" s="64"/>
      <c r="M1139" s="64"/>
      <c r="N1139" s="64"/>
      <c r="O1139" s="64"/>
      <c r="P1139" s="64"/>
      <c r="Q1139" s="64"/>
      <c r="R1139" s="64"/>
      <c r="S1139" s="64"/>
    </row>
    <row r="1140" spans="1:19" x14ac:dyDescent="0.25">
      <c r="A1140" s="63"/>
      <c r="B1140" s="64"/>
      <c r="C1140" s="64"/>
      <c r="D1140" s="64"/>
      <c r="E1140" s="64"/>
      <c r="F1140" s="64"/>
      <c r="G1140" s="64"/>
      <c r="H1140" s="64"/>
      <c r="I1140" s="64"/>
      <c r="J1140" s="64"/>
      <c r="K1140" s="64"/>
      <c r="L1140" s="64"/>
      <c r="M1140" s="64"/>
      <c r="N1140" s="64"/>
      <c r="O1140" s="64"/>
      <c r="P1140" s="64"/>
      <c r="Q1140" s="64"/>
      <c r="R1140" s="64"/>
      <c r="S1140" s="64"/>
    </row>
    <row r="1141" spans="1:19" x14ac:dyDescent="0.25">
      <c r="A1141" s="63"/>
      <c r="B1141" s="64"/>
      <c r="C1141" s="64"/>
      <c r="D1141" s="64"/>
      <c r="E1141" s="64"/>
      <c r="F1141" s="64"/>
      <c r="G1141" s="64"/>
      <c r="H1141" s="64"/>
      <c r="I1141" s="64"/>
      <c r="J1141" s="64"/>
      <c r="K1141" s="64"/>
      <c r="L1141" s="64"/>
      <c r="M1141" s="64"/>
      <c r="N1141" s="64"/>
      <c r="O1141" s="64"/>
      <c r="P1141" s="64"/>
      <c r="Q1141" s="64"/>
      <c r="R1141" s="64"/>
      <c r="S1141" s="64"/>
    </row>
    <row r="1142" spans="1:19" x14ac:dyDescent="0.25">
      <c r="A1142" s="63"/>
      <c r="B1142" s="64"/>
      <c r="C1142" s="64"/>
      <c r="D1142" s="64"/>
      <c r="E1142" s="64"/>
      <c r="F1142" s="64"/>
      <c r="G1142" s="64"/>
      <c r="H1142" s="64"/>
      <c r="I1142" s="64"/>
      <c r="J1142" s="64"/>
      <c r="K1142" s="64"/>
      <c r="L1142" s="64"/>
      <c r="M1142" s="64"/>
      <c r="N1142" s="64"/>
      <c r="O1142" s="64"/>
      <c r="P1142" s="64"/>
      <c r="Q1142" s="64"/>
      <c r="R1142" s="64"/>
      <c r="S1142" s="64"/>
    </row>
    <row r="1143" spans="1:19" x14ac:dyDescent="0.25">
      <c r="A1143" s="63"/>
      <c r="B1143" s="64"/>
      <c r="C1143" s="64"/>
      <c r="D1143" s="64"/>
      <c r="E1143" s="64"/>
      <c r="F1143" s="64"/>
      <c r="G1143" s="64"/>
      <c r="H1143" s="64"/>
      <c r="I1143" s="64"/>
      <c r="J1143" s="64"/>
      <c r="K1143" s="64"/>
      <c r="L1143" s="64"/>
      <c r="M1143" s="64"/>
      <c r="N1143" s="64"/>
      <c r="O1143" s="64"/>
      <c r="P1143" s="64"/>
      <c r="Q1143" s="64"/>
      <c r="R1143" s="64"/>
      <c r="S1143" s="64"/>
    </row>
    <row r="1144" spans="1:19" x14ac:dyDescent="0.25">
      <c r="A1144" s="63"/>
      <c r="B1144" s="64"/>
      <c r="C1144" s="64"/>
      <c r="D1144" s="64"/>
      <c r="E1144" s="64"/>
      <c r="F1144" s="64"/>
      <c r="G1144" s="64"/>
      <c r="H1144" s="64"/>
      <c r="I1144" s="64"/>
      <c r="J1144" s="64"/>
      <c r="K1144" s="64"/>
      <c r="L1144" s="64"/>
      <c r="M1144" s="64"/>
      <c r="N1144" s="64"/>
      <c r="O1144" s="64"/>
      <c r="P1144" s="64"/>
      <c r="Q1144" s="64"/>
      <c r="R1144" s="64"/>
      <c r="S1144" s="64"/>
    </row>
    <row r="1145" spans="1:19" x14ac:dyDescent="0.25">
      <c r="A1145" s="63"/>
      <c r="B1145" s="64"/>
      <c r="C1145" s="64"/>
      <c r="D1145" s="64"/>
      <c r="E1145" s="64"/>
      <c r="F1145" s="64"/>
      <c r="G1145" s="64"/>
      <c r="H1145" s="64"/>
      <c r="I1145" s="64"/>
      <c r="J1145" s="64"/>
      <c r="K1145" s="64"/>
      <c r="L1145" s="64"/>
      <c r="M1145" s="64"/>
      <c r="N1145" s="64"/>
      <c r="O1145" s="64"/>
      <c r="P1145" s="64"/>
      <c r="Q1145" s="64"/>
      <c r="R1145" s="64"/>
      <c r="S1145" s="64"/>
    </row>
    <row r="1146" spans="1:19" x14ac:dyDescent="0.25">
      <c r="A1146" s="63"/>
      <c r="B1146" s="64"/>
      <c r="C1146" s="64"/>
      <c r="D1146" s="64"/>
      <c r="E1146" s="64"/>
      <c r="F1146" s="64"/>
      <c r="G1146" s="64"/>
      <c r="H1146" s="64"/>
      <c r="I1146" s="64"/>
      <c r="J1146" s="64"/>
      <c r="K1146" s="64"/>
      <c r="L1146" s="64"/>
      <c r="M1146" s="64"/>
      <c r="N1146" s="64"/>
      <c r="O1146" s="64"/>
      <c r="P1146" s="64"/>
      <c r="Q1146" s="64"/>
      <c r="R1146" s="64"/>
      <c r="S1146" s="64"/>
    </row>
    <row r="1147" spans="1:19" x14ac:dyDescent="0.25">
      <c r="A1147" s="63"/>
      <c r="B1147" s="64"/>
      <c r="C1147" s="64"/>
      <c r="D1147" s="64"/>
      <c r="E1147" s="64"/>
      <c r="F1147" s="64"/>
      <c r="G1147" s="64"/>
      <c r="H1147" s="64"/>
      <c r="I1147" s="64"/>
      <c r="J1147" s="64"/>
      <c r="K1147" s="64"/>
      <c r="L1147" s="64"/>
      <c r="M1147" s="64"/>
      <c r="N1147" s="64"/>
      <c r="O1147" s="64"/>
      <c r="P1147" s="64"/>
      <c r="Q1147" s="64"/>
      <c r="R1147" s="64"/>
      <c r="S1147" s="64"/>
    </row>
    <row r="1148" spans="1:19" x14ac:dyDescent="0.25">
      <c r="A1148" s="63"/>
      <c r="B1148" s="64"/>
      <c r="C1148" s="64"/>
      <c r="D1148" s="64"/>
      <c r="E1148" s="64"/>
      <c r="F1148" s="64"/>
      <c r="G1148" s="64"/>
      <c r="H1148" s="64"/>
      <c r="I1148" s="64"/>
      <c r="J1148" s="64"/>
      <c r="K1148" s="64"/>
      <c r="L1148" s="64"/>
      <c r="M1148" s="64"/>
      <c r="N1148" s="64"/>
      <c r="O1148" s="64"/>
      <c r="P1148" s="64"/>
      <c r="Q1148" s="64"/>
      <c r="R1148" s="64"/>
      <c r="S1148" s="64"/>
    </row>
    <row r="1149" spans="1:19" x14ac:dyDescent="0.25">
      <c r="A1149" s="63"/>
      <c r="B1149" s="64"/>
      <c r="C1149" s="64"/>
      <c r="D1149" s="64"/>
      <c r="E1149" s="64"/>
      <c r="F1149" s="64"/>
      <c r="G1149" s="64"/>
      <c r="H1149" s="64"/>
      <c r="I1149" s="64"/>
      <c r="J1149" s="64"/>
      <c r="K1149" s="64"/>
      <c r="L1149" s="64"/>
      <c r="M1149" s="64"/>
      <c r="N1149" s="64"/>
      <c r="O1149" s="64"/>
      <c r="P1149" s="64"/>
      <c r="Q1149" s="64"/>
      <c r="R1149" s="64"/>
      <c r="S1149" s="64"/>
    </row>
    <row r="1150" spans="1:19" x14ac:dyDescent="0.25">
      <c r="A1150" s="63"/>
      <c r="B1150" s="64"/>
      <c r="C1150" s="64"/>
      <c r="D1150" s="64"/>
      <c r="E1150" s="64"/>
      <c r="F1150" s="64"/>
      <c r="G1150" s="64"/>
      <c r="H1150" s="64"/>
      <c r="I1150" s="64"/>
      <c r="J1150" s="64"/>
      <c r="K1150" s="64"/>
      <c r="L1150" s="64"/>
      <c r="M1150" s="64"/>
      <c r="N1150" s="64"/>
      <c r="O1150" s="64"/>
      <c r="P1150" s="64"/>
      <c r="Q1150" s="64"/>
      <c r="R1150" s="64"/>
      <c r="S1150" s="64"/>
    </row>
    <row r="1151" spans="1:19" x14ac:dyDescent="0.25">
      <c r="A1151" s="63"/>
      <c r="B1151" s="64"/>
      <c r="C1151" s="64"/>
      <c r="D1151" s="64"/>
      <c r="E1151" s="64"/>
      <c r="F1151" s="64"/>
      <c r="G1151" s="64"/>
      <c r="H1151" s="64"/>
      <c r="I1151" s="64"/>
      <c r="J1151" s="64"/>
      <c r="K1151" s="64"/>
      <c r="L1151" s="64"/>
      <c r="M1151" s="64"/>
      <c r="N1151" s="64"/>
      <c r="O1151" s="64"/>
      <c r="P1151" s="64"/>
      <c r="Q1151" s="64"/>
      <c r="R1151" s="64"/>
      <c r="S1151" s="64"/>
    </row>
    <row r="1152" spans="1:19" x14ac:dyDescent="0.25">
      <c r="A1152" s="63"/>
      <c r="B1152" s="64"/>
      <c r="C1152" s="64"/>
      <c r="D1152" s="64"/>
      <c r="E1152" s="64"/>
      <c r="F1152" s="64"/>
      <c r="G1152" s="64"/>
      <c r="H1152" s="64"/>
      <c r="I1152" s="64"/>
      <c r="J1152" s="64"/>
      <c r="K1152" s="64"/>
      <c r="L1152" s="64"/>
      <c r="M1152" s="64"/>
      <c r="N1152" s="64"/>
      <c r="O1152" s="64"/>
      <c r="P1152" s="64"/>
      <c r="Q1152" s="64"/>
      <c r="R1152" s="64"/>
      <c r="S1152" s="64"/>
    </row>
    <row r="1153" spans="1:19" x14ac:dyDescent="0.25">
      <c r="A1153" s="63"/>
      <c r="B1153" s="64"/>
      <c r="C1153" s="64"/>
      <c r="D1153" s="64"/>
      <c r="E1153" s="64"/>
      <c r="F1153" s="64"/>
      <c r="G1153" s="64"/>
      <c r="H1153" s="64"/>
      <c r="I1153" s="64"/>
      <c r="J1153" s="64"/>
      <c r="K1153" s="64"/>
      <c r="L1153" s="64"/>
      <c r="M1153" s="64"/>
      <c r="N1153" s="64"/>
      <c r="O1153" s="64"/>
      <c r="P1153" s="64"/>
      <c r="Q1153" s="64"/>
      <c r="R1153" s="64"/>
      <c r="S1153" s="64"/>
    </row>
    <row r="1154" spans="1:19" x14ac:dyDescent="0.25">
      <c r="A1154" s="63"/>
      <c r="B1154" s="64"/>
      <c r="C1154" s="64"/>
      <c r="D1154" s="64"/>
      <c r="E1154" s="64"/>
      <c r="F1154" s="64"/>
      <c r="G1154" s="64"/>
      <c r="H1154" s="64"/>
      <c r="I1154" s="64"/>
      <c r="J1154" s="64"/>
      <c r="K1154" s="64"/>
      <c r="L1154" s="64"/>
      <c r="M1154" s="64"/>
      <c r="N1154" s="64"/>
      <c r="O1154" s="64"/>
      <c r="P1154" s="64"/>
      <c r="Q1154" s="64"/>
      <c r="R1154" s="64"/>
      <c r="S1154" s="64"/>
    </row>
    <row r="1155" spans="1:19" x14ac:dyDescent="0.25">
      <c r="A1155" s="63"/>
      <c r="B1155" s="64"/>
      <c r="C1155" s="64"/>
      <c r="D1155" s="64"/>
      <c r="E1155" s="64"/>
      <c r="F1155" s="64"/>
      <c r="G1155" s="64"/>
      <c r="H1155" s="64"/>
      <c r="I1155" s="64"/>
      <c r="J1155" s="64"/>
      <c r="K1155" s="64"/>
      <c r="L1155" s="64"/>
      <c r="M1155" s="64"/>
      <c r="N1155" s="64"/>
      <c r="O1155" s="64"/>
      <c r="P1155" s="64"/>
      <c r="Q1155" s="64"/>
      <c r="R1155" s="64"/>
      <c r="S1155" s="64"/>
    </row>
    <row r="1156" spans="1:19" x14ac:dyDescent="0.25">
      <c r="A1156" s="63"/>
      <c r="B1156" s="64"/>
      <c r="C1156" s="64"/>
      <c r="D1156" s="64"/>
      <c r="E1156" s="64"/>
      <c r="F1156" s="64"/>
      <c r="G1156" s="64"/>
      <c r="H1156" s="64"/>
      <c r="I1156" s="64"/>
      <c r="J1156" s="64"/>
      <c r="K1156" s="64"/>
      <c r="L1156" s="64"/>
      <c r="M1156" s="64"/>
      <c r="N1156" s="64"/>
      <c r="O1156" s="64"/>
      <c r="P1156" s="64"/>
      <c r="Q1156" s="64"/>
      <c r="R1156" s="64"/>
      <c r="S1156" s="64"/>
    </row>
    <row r="1157" spans="1:19" x14ac:dyDescent="0.25">
      <c r="A1157" s="63"/>
      <c r="B1157" s="64"/>
      <c r="C1157" s="64"/>
      <c r="D1157" s="64"/>
      <c r="E1157" s="64"/>
      <c r="F1157" s="64"/>
      <c r="G1157" s="64"/>
      <c r="H1157" s="64"/>
      <c r="I1157" s="64"/>
      <c r="J1157" s="64"/>
      <c r="K1157" s="64"/>
      <c r="L1157" s="64"/>
      <c r="M1157" s="64"/>
      <c r="N1157" s="64"/>
      <c r="O1157" s="64"/>
      <c r="P1157" s="64"/>
      <c r="Q1157" s="64"/>
      <c r="R1157" s="64"/>
      <c r="S1157" s="64"/>
    </row>
    <row r="1158" spans="1:19" x14ac:dyDescent="0.25">
      <c r="A1158" s="63"/>
      <c r="B1158" s="64"/>
      <c r="C1158" s="64"/>
      <c r="D1158" s="64"/>
      <c r="E1158" s="64"/>
      <c r="F1158" s="64"/>
      <c r="G1158" s="64"/>
      <c r="H1158" s="64"/>
      <c r="I1158" s="64"/>
      <c r="J1158" s="64"/>
      <c r="K1158" s="64"/>
      <c r="L1158" s="64"/>
      <c r="M1158" s="64"/>
      <c r="N1158" s="64"/>
      <c r="O1158" s="64"/>
      <c r="P1158" s="64"/>
      <c r="Q1158" s="64"/>
      <c r="R1158" s="64"/>
      <c r="S1158" s="64"/>
    </row>
    <row r="1159" spans="1:19" x14ac:dyDescent="0.25">
      <c r="A1159" s="63"/>
      <c r="B1159" s="64"/>
      <c r="C1159" s="64"/>
      <c r="D1159" s="64"/>
      <c r="E1159" s="64"/>
      <c r="F1159" s="64"/>
      <c r="G1159" s="64"/>
      <c r="H1159" s="64"/>
      <c r="I1159" s="64"/>
      <c r="J1159" s="64"/>
      <c r="K1159" s="64"/>
      <c r="L1159" s="64"/>
      <c r="M1159" s="64"/>
      <c r="N1159" s="64"/>
      <c r="O1159" s="64"/>
      <c r="P1159" s="64"/>
      <c r="Q1159" s="64"/>
      <c r="R1159" s="64"/>
      <c r="S1159" s="64"/>
    </row>
    <row r="1160" spans="1:19" x14ac:dyDescent="0.25">
      <c r="A1160" s="63"/>
      <c r="B1160" s="64"/>
      <c r="C1160" s="64"/>
      <c r="D1160" s="64"/>
      <c r="E1160" s="64"/>
      <c r="F1160" s="64"/>
      <c r="G1160" s="64"/>
      <c r="H1160" s="64"/>
      <c r="I1160" s="64"/>
      <c r="J1160" s="64"/>
      <c r="K1160" s="64"/>
      <c r="L1160" s="64"/>
      <c r="M1160" s="64"/>
      <c r="N1160" s="64"/>
      <c r="O1160" s="64"/>
      <c r="P1160" s="64"/>
      <c r="Q1160" s="64"/>
      <c r="R1160" s="64"/>
      <c r="S1160" s="64"/>
    </row>
    <row r="1161" spans="1:19" x14ac:dyDescent="0.25">
      <c r="A1161" s="63"/>
      <c r="B1161" s="64"/>
      <c r="C1161" s="64"/>
      <c r="D1161" s="64"/>
      <c r="E1161" s="64"/>
      <c r="F1161" s="64"/>
      <c r="G1161" s="64"/>
      <c r="H1161" s="64"/>
      <c r="I1161" s="64"/>
      <c r="J1161" s="64"/>
      <c r="K1161" s="64"/>
      <c r="L1161" s="64"/>
      <c r="M1161" s="64"/>
      <c r="N1161" s="64"/>
      <c r="O1161" s="64"/>
      <c r="P1161" s="64"/>
      <c r="Q1161" s="64"/>
      <c r="R1161" s="64"/>
      <c r="S1161" s="64"/>
    </row>
    <row r="1162" spans="1:19" x14ac:dyDescent="0.25">
      <c r="A1162" s="63"/>
      <c r="B1162" s="64"/>
      <c r="C1162" s="64"/>
      <c r="D1162" s="64"/>
      <c r="E1162" s="64"/>
      <c r="F1162" s="64"/>
      <c r="G1162" s="64"/>
      <c r="H1162" s="64"/>
      <c r="I1162" s="64"/>
      <c r="J1162" s="64"/>
      <c r="K1162" s="64"/>
      <c r="L1162" s="64"/>
      <c r="M1162" s="64"/>
      <c r="N1162" s="64"/>
      <c r="O1162" s="64"/>
      <c r="P1162" s="64"/>
      <c r="Q1162" s="64"/>
      <c r="R1162" s="64"/>
      <c r="S1162" s="64"/>
    </row>
    <row r="1163" spans="1:19" x14ac:dyDescent="0.25">
      <c r="A1163" s="63"/>
      <c r="B1163" s="64"/>
      <c r="C1163" s="64"/>
      <c r="D1163" s="64"/>
      <c r="E1163" s="64"/>
      <c r="F1163" s="64"/>
      <c r="G1163" s="64"/>
      <c r="H1163" s="64"/>
      <c r="I1163" s="64"/>
      <c r="J1163" s="64"/>
      <c r="K1163" s="64"/>
      <c r="L1163" s="64"/>
      <c r="M1163" s="64"/>
      <c r="N1163" s="64"/>
      <c r="O1163" s="64"/>
      <c r="P1163" s="64"/>
      <c r="Q1163" s="64"/>
      <c r="R1163" s="64"/>
      <c r="S1163" s="64"/>
    </row>
    <row r="1164" spans="1:19" x14ac:dyDescent="0.25">
      <c r="A1164" s="63"/>
      <c r="B1164" s="64"/>
      <c r="C1164" s="64"/>
      <c r="D1164" s="64"/>
      <c r="E1164" s="64"/>
      <c r="F1164" s="64"/>
      <c r="G1164" s="64"/>
      <c r="H1164" s="64"/>
      <c r="I1164" s="64"/>
      <c r="J1164" s="64"/>
      <c r="K1164" s="64"/>
      <c r="L1164" s="64"/>
      <c r="M1164" s="64"/>
      <c r="N1164" s="64"/>
      <c r="O1164" s="64"/>
      <c r="P1164" s="64"/>
      <c r="Q1164" s="64"/>
      <c r="R1164" s="64"/>
      <c r="S1164" s="64"/>
    </row>
    <row r="1165" spans="1:19" x14ac:dyDescent="0.25">
      <c r="A1165" s="63"/>
      <c r="B1165" s="64"/>
      <c r="C1165" s="64"/>
      <c r="D1165" s="64"/>
      <c r="E1165" s="64"/>
      <c r="F1165" s="64"/>
      <c r="G1165" s="64"/>
      <c r="H1165" s="64"/>
      <c r="I1165" s="64"/>
      <c r="J1165" s="64"/>
      <c r="K1165" s="64"/>
      <c r="L1165" s="64"/>
      <c r="M1165" s="64"/>
      <c r="N1165" s="64"/>
      <c r="O1165" s="64"/>
      <c r="P1165" s="64"/>
      <c r="Q1165" s="64"/>
      <c r="R1165" s="64"/>
      <c r="S1165" s="64"/>
    </row>
    <row r="1166" spans="1:19" x14ac:dyDescent="0.25">
      <c r="A1166" s="63"/>
      <c r="B1166" s="64"/>
      <c r="C1166" s="64"/>
      <c r="D1166" s="64"/>
      <c r="E1166" s="64"/>
      <c r="F1166" s="64"/>
      <c r="G1166" s="64"/>
      <c r="H1166" s="64"/>
      <c r="I1166" s="64"/>
      <c r="J1166" s="64"/>
      <c r="K1166" s="64"/>
      <c r="L1166" s="64"/>
      <c r="M1166" s="64"/>
      <c r="N1166" s="64"/>
      <c r="O1166" s="64"/>
      <c r="P1166" s="64"/>
      <c r="Q1166" s="64"/>
      <c r="R1166" s="64"/>
      <c r="S1166" s="64"/>
    </row>
    <row r="1167" spans="1:19" x14ac:dyDescent="0.25">
      <c r="A1167" s="63"/>
      <c r="B1167" s="64"/>
      <c r="C1167" s="64"/>
      <c r="D1167" s="64"/>
      <c r="E1167" s="64"/>
      <c r="F1167" s="64"/>
      <c r="G1167" s="64"/>
      <c r="H1167" s="64"/>
      <c r="I1167" s="64"/>
      <c r="J1167" s="64"/>
      <c r="K1167" s="64"/>
      <c r="L1167" s="64"/>
      <c r="M1167" s="64"/>
      <c r="N1167" s="64"/>
      <c r="O1167" s="64"/>
      <c r="P1167" s="64"/>
      <c r="Q1167" s="64"/>
      <c r="R1167" s="64"/>
      <c r="S1167" s="64"/>
    </row>
    <row r="1168" spans="1:19" x14ac:dyDescent="0.25">
      <c r="A1168" s="63"/>
      <c r="B1168" s="64"/>
      <c r="C1168" s="64"/>
      <c r="D1168" s="64"/>
      <c r="E1168" s="64"/>
      <c r="F1168" s="64"/>
      <c r="G1168" s="64"/>
      <c r="H1168" s="64"/>
      <c r="I1168" s="64"/>
      <c r="J1168" s="64"/>
      <c r="K1168" s="64"/>
      <c r="L1168" s="64"/>
      <c r="M1168" s="64"/>
      <c r="N1168" s="64"/>
      <c r="O1168" s="64"/>
      <c r="P1168" s="64"/>
      <c r="Q1168" s="64"/>
      <c r="R1168" s="64"/>
      <c r="S1168" s="64"/>
    </row>
    <row r="1169" spans="1:19" x14ac:dyDescent="0.25">
      <c r="A1169" s="63"/>
      <c r="B1169" s="64"/>
      <c r="C1169" s="64"/>
      <c r="D1169" s="64"/>
      <c r="E1169" s="64"/>
      <c r="F1169" s="64"/>
      <c r="G1169" s="64"/>
      <c r="H1169" s="64"/>
      <c r="I1169" s="64"/>
      <c r="J1169" s="64"/>
      <c r="K1169" s="64"/>
      <c r="L1169" s="64"/>
      <c r="M1169" s="64"/>
      <c r="N1169" s="64"/>
      <c r="O1169" s="64"/>
      <c r="P1169" s="64"/>
      <c r="Q1169" s="64"/>
      <c r="R1169" s="64"/>
      <c r="S1169" s="64"/>
    </row>
    <row r="1170" spans="1:19" x14ac:dyDescent="0.25">
      <c r="A1170" s="63"/>
      <c r="B1170" s="64"/>
      <c r="C1170" s="64"/>
      <c r="D1170" s="64"/>
      <c r="E1170" s="64"/>
      <c r="F1170" s="64"/>
      <c r="G1170" s="64"/>
      <c r="H1170" s="64"/>
      <c r="I1170" s="64"/>
      <c r="J1170" s="64"/>
      <c r="K1170" s="64"/>
      <c r="L1170" s="64"/>
      <c r="M1170" s="64"/>
      <c r="N1170" s="64"/>
      <c r="O1170" s="64"/>
      <c r="P1170" s="64"/>
      <c r="Q1170" s="64"/>
      <c r="R1170" s="64"/>
      <c r="S1170" s="64"/>
    </row>
    <row r="1171" spans="1:19" x14ac:dyDescent="0.25">
      <c r="A1171" s="63"/>
      <c r="B1171" s="64"/>
      <c r="C1171" s="64"/>
      <c r="D1171" s="64"/>
      <c r="E1171" s="64"/>
      <c r="F1171" s="64"/>
      <c r="G1171" s="64"/>
      <c r="H1171" s="64"/>
      <c r="I1171" s="64"/>
      <c r="J1171" s="64"/>
      <c r="K1171" s="64"/>
      <c r="L1171" s="64"/>
      <c r="M1171" s="64"/>
      <c r="N1171" s="64"/>
      <c r="O1171" s="64"/>
      <c r="P1171" s="64"/>
      <c r="Q1171" s="64"/>
      <c r="R1171" s="64"/>
      <c r="S1171" s="64"/>
    </row>
    <row r="1172" spans="1:19" x14ac:dyDescent="0.25">
      <c r="A1172" s="63"/>
      <c r="B1172" s="64"/>
      <c r="C1172" s="64"/>
      <c r="D1172" s="64"/>
      <c r="E1172" s="64"/>
      <c r="F1172" s="64"/>
      <c r="G1172" s="64"/>
      <c r="H1172" s="64"/>
      <c r="I1172" s="64"/>
      <c r="J1172" s="64"/>
      <c r="K1172" s="64"/>
      <c r="L1172" s="64"/>
      <c r="M1172" s="64"/>
      <c r="N1172" s="64"/>
      <c r="O1172" s="64"/>
      <c r="P1172" s="64"/>
      <c r="Q1172" s="64"/>
      <c r="R1172" s="64"/>
      <c r="S1172" s="64"/>
    </row>
    <row r="1173" spans="1:19" x14ac:dyDescent="0.25">
      <c r="A1173" s="63"/>
      <c r="B1173" s="64"/>
      <c r="C1173" s="64"/>
      <c r="D1173" s="64"/>
      <c r="E1173" s="64"/>
      <c r="F1173" s="64"/>
      <c r="G1173" s="64"/>
      <c r="H1173" s="64"/>
      <c r="I1173" s="64"/>
      <c r="J1173" s="64"/>
      <c r="K1173" s="64"/>
      <c r="L1173" s="64"/>
      <c r="M1173" s="64"/>
      <c r="N1173" s="64"/>
      <c r="O1173" s="64"/>
      <c r="P1173" s="64"/>
      <c r="Q1173" s="64"/>
      <c r="R1173" s="64"/>
      <c r="S1173" s="64"/>
    </row>
    <row r="1174" spans="1:19" x14ac:dyDescent="0.25">
      <c r="A1174" s="63"/>
      <c r="B1174" s="64"/>
      <c r="C1174" s="64"/>
      <c r="D1174" s="64"/>
      <c r="E1174" s="64"/>
      <c r="F1174" s="64"/>
      <c r="G1174" s="64"/>
      <c r="H1174" s="64"/>
      <c r="I1174" s="64"/>
      <c r="J1174" s="64"/>
      <c r="K1174" s="64"/>
      <c r="L1174" s="64"/>
      <c r="M1174" s="64"/>
      <c r="N1174" s="64"/>
      <c r="O1174" s="64"/>
      <c r="P1174" s="64"/>
      <c r="Q1174" s="64"/>
      <c r="R1174" s="64"/>
      <c r="S1174" s="64"/>
    </row>
    <row r="1175" spans="1:19" x14ac:dyDescent="0.25">
      <c r="A1175" s="63"/>
      <c r="B1175" s="64"/>
      <c r="C1175" s="64"/>
      <c r="D1175" s="64"/>
      <c r="E1175" s="64"/>
      <c r="F1175" s="64"/>
      <c r="G1175" s="64"/>
      <c r="H1175" s="64"/>
      <c r="I1175" s="64"/>
      <c r="J1175" s="64"/>
      <c r="K1175" s="64"/>
      <c r="L1175" s="64"/>
      <c r="M1175" s="64"/>
      <c r="N1175" s="64"/>
      <c r="O1175" s="64"/>
      <c r="P1175" s="64"/>
      <c r="Q1175" s="64"/>
      <c r="R1175" s="64"/>
      <c r="S1175" s="64"/>
    </row>
    <row r="1176" spans="1:19" x14ac:dyDescent="0.25">
      <c r="A1176" s="63"/>
      <c r="B1176" s="64"/>
      <c r="C1176" s="64"/>
      <c r="D1176" s="64"/>
      <c r="E1176" s="64"/>
      <c r="F1176" s="64"/>
      <c r="G1176" s="64"/>
      <c r="H1176" s="64"/>
      <c r="I1176" s="64"/>
      <c r="J1176" s="64"/>
      <c r="K1176" s="64"/>
      <c r="L1176" s="64"/>
      <c r="M1176" s="64"/>
      <c r="N1176" s="64"/>
      <c r="O1176" s="64"/>
      <c r="P1176" s="64"/>
      <c r="Q1176" s="64"/>
      <c r="R1176" s="64"/>
      <c r="S1176" s="64"/>
    </row>
    <row r="1177" spans="1:19" x14ac:dyDescent="0.25">
      <c r="A1177" s="63"/>
      <c r="B1177" s="64"/>
      <c r="C1177" s="64"/>
      <c r="D1177" s="64"/>
      <c r="E1177" s="64"/>
      <c r="F1177" s="64"/>
      <c r="G1177" s="64"/>
      <c r="H1177" s="64"/>
      <c r="I1177" s="64"/>
      <c r="J1177" s="64"/>
      <c r="K1177" s="64"/>
      <c r="L1177" s="64"/>
      <c r="M1177" s="64"/>
      <c r="N1177" s="64"/>
      <c r="O1177" s="64"/>
      <c r="P1177" s="64"/>
      <c r="Q1177" s="64"/>
      <c r="R1177" s="64"/>
      <c r="S1177" s="64"/>
    </row>
    <row r="1178" spans="1:19" x14ac:dyDescent="0.25">
      <c r="A1178" s="63"/>
      <c r="B1178" s="64"/>
      <c r="C1178" s="64"/>
      <c r="D1178" s="64"/>
      <c r="E1178" s="64"/>
      <c r="F1178" s="64"/>
      <c r="G1178" s="64"/>
      <c r="H1178" s="64"/>
      <c r="I1178" s="64"/>
      <c r="J1178" s="64"/>
      <c r="K1178" s="64"/>
      <c r="L1178" s="64"/>
      <c r="M1178" s="64"/>
      <c r="N1178" s="64"/>
      <c r="O1178" s="64"/>
      <c r="P1178" s="64"/>
      <c r="Q1178" s="64"/>
      <c r="R1178" s="64"/>
      <c r="S1178" s="64"/>
    </row>
    <row r="1179" spans="1:19" x14ac:dyDescent="0.25">
      <c r="A1179" s="63"/>
      <c r="B1179" s="64"/>
      <c r="C1179" s="64"/>
      <c r="D1179" s="64"/>
      <c r="E1179" s="64"/>
      <c r="F1179" s="64"/>
      <c r="G1179" s="64"/>
      <c r="H1179" s="64"/>
      <c r="I1179" s="64"/>
      <c r="J1179" s="64"/>
      <c r="K1179" s="64"/>
      <c r="L1179" s="64"/>
      <c r="M1179" s="64"/>
      <c r="N1179" s="64"/>
      <c r="O1179" s="64"/>
      <c r="P1179" s="64"/>
      <c r="Q1179" s="64"/>
      <c r="R1179" s="64"/>
      <c r="S1179" s="64"/>
    </row>
    <row r="1180" spans="1:19" x14ac:dyDescent="0.25">
      <c r="A1180" s="63"/>
      <c r="B1180" s="64"/>
      <c r="C1180" s="64"/>
      <c r="D1180" s="64"/>
      <c r="E1180" s="64"/>
      <c r="F1180" s="64"/>
      <c r="G1180" s="64"/>
      <c r="H1180" s="64"/>
      <c r="I1180" s="64"/>
      <c r="J1180" s="64"/>
      <c r="K1180" s="64"/>
      <c r="L1180" s="64"/>
      <c r="M1180" s="64"/>
      <c r="N1180" s="64"/>
      <c r="O1180" s="64"/>
      <c r="P1180" s="64"/>
      <c r="Q1180" s="64"/>
      <c r="R1180" s="64"/>
      <c r="S1180" s="64"/>
    </row>
    <row r="1181" spans="1:19" x14ac:dyDescent="0.25">
      <c r="A1181" s="63"/>
      <c r="B1181" s="64"/>
      <c r="C1181" s="64"/>
      <c r="D1181" s="64"/>
      <c r="E1181" s="64"/>
      <c r="F1181" s="64"/>
      <c r="G1181" s="64"/>
      <c r="H1181" s="64"/>
      <c r="I1181" s="64"/>
      <c r="J1181" s="64"/>
      <c r="K1181" s="64"/>
      <c r="L1181" s="64"/>
      <c r="M1181" s="64"/>
      <c r="N1181" s="64"/>
      <c r="O1181" s="64"/>
      <c r="P1181" s="64"/>
      <c r="Q1181" s="64"/>
      <c r="R1181" s="64"/>
      <c r="S1181" s="64"/>
    </row>
    <row r="1182" spans="1:19" x14ac:dyDescent="0.25">
      <c r="A1182" s="63"/>
      <c r="B1182" s="64"/>
      <c r="C1182" s="64"/>
      <c r="D1182" s="64"/>
      <c r="E1182" s="64"/>
      <c r="F1182" s="64"/>
      <c r="G1182" s="64"/>
      <c r="H1182" s="64"/>
      <c r="I1182" s="64"/>
      <c r="J1182" s="64"/>
      <c r="K1182" s="64"/>
      <c r="L1182" s="64"/>
      <c r="M1182" s="64"/>
      <c r="N1182" s="64"/>
      <c r="O1182" s="64"/>
      <c r="P1182" s="64"/>
      <c r="Q1182" s="64"/>
      <c r="R1182" s="64"/>
      <c r="S1182" s="64"/>
    </row>
    <row r="1183" spans="1:19" x14ac:dyDescent="0.25">
      <c r="A1183" s="63"/>
      <c r="B1183" s="64"/>
      <c r="C1183" s="64"/>
      <c r="D1183" s="64"/>
      <c r="E1183" s="64"/>
      <c r="F1183" s="64"/>
      <c r="G1183" s="64"/>
      <c r="H1183" s="64"/>
      <c r="I1183" s="64"/>
      <c r="J1183" s="64"/>
      <c r="K1183" s="64"/>
      <c r="L1183" s="64"/>
      <c r="M1183" s="64"/>
      <c r="N1183" s="64"/>
      <c r="O1183" s="64"/>
      <c r="P1183" s="64"/>
      <c r="Q1183" s="64"/>
      <c r="R1183" s="64"/>
      <c r="S1183" s="64"/>
    </row>
    <row r="1184" spans="1:19" x14ac:dyDescent="0.25">
      <c r="A1184" s="63"/>
      <c r="B1184" s="64"/>
      <c r="C1184" s="64"/>
      <c r="D1184" s="64"/>
      <c r="E1184" s="64"/>
      <c r="F1184" s="64"/>
      <c r="G1184" s="64"/>
      <c r="H1184" s="64"/>
      <c r="I1184" s="64"/>
      <c r="J1184" s="64"/>
      <c r="K1184" s="64"/>
      <c r="L1184" s="64"/>
      <c r="M1184" s="64"/>
      <c r="N1184" s="64"/>
      <c r="O1184" s="64"/>
      <c r="P1184" s="64"/>
      <c r="Q1184" s="64"/>
      <c r="R1184" s="64"/>
      <c r="S1184" s="64"/>
    </row>
    <row r="1185" spans="1:19" x14ac:dyDescent="0.25">
      <c r="A1185" s="63"/>
      <c r="B1185" s="64"/>
      <c r="C1185" s="64"/>
      <c r="D1185" s="64"/>
      <c r="E1185" s="64"/>
      <c r="F1185" s="64"/>
      <c r="G1185" s="64"/>
      <c r="H1185" s="64"/>
      <c r="I1185" s="64"/>
      <c r="J1185" s="64"/>
      <c r="K1185" s="64"/>
      <c r="L1185" s="64"/>
      <c r="M1185" s="64"/>
      <c r="N1185" s="64"/>
      <c r="O1185" s="64"/>
      <c r="P1185" s="64"/>
      <c r="Q1185" s="64"/>
      <c r="R1185" s="64"/>
      <c r="S1185" s="64"/>
    </row>
    <row r="1186" spans="1:19" x14ac:dyDescent="0.25">
      <c r="A1186" s="63"/>
      <c r="B1186" s="64"/>
      <c r="C1186" s="64"/>
      <c r="D1186" s="64"/>
      <c r="E1186" s="64"/>
      <c r="F1186" s="64"/>
      <c r="G1186" s="64"/>
      <c r="H1186" s="64"/>
      <c r="I1186" s="64"/>
      <c r="J1186" s="64"/>
      <c r="K1186" s="64"/>
      <c r="L1186" s="64"/>
      <c r="M1186" s="64"/>
      <c r="N1186" s="64"/>
      <c r="O1186" s="64"/>
      <c r="P1186" s="64"/>
      <c r="Q1186" s="64"/>
      <c r="R1186" s="64"/>
      <c r="S1186" s="64"/>
    </row>
    <row r="1187" spans="1:19" x14ac:dyDescent="0.25">
      <c r="A1187" s="63"/>
      <c r="B1187" s="64"/>
      <c r="C1187" s="64"/>
      <c r="D1187" s="64"/>
      <c r="E1187" s="64"/>
      <c r="F1187" s="64"/>
      <c r="G1187" s="64"/>
      <c r="H1187" s="64"/>
      <c r="I1187" s="64"/>
      <c r="J1187" s="64"/>
      <c r="K1187" s="64"/>
      <c r="L1187" s="64"/>
      <c r="M1187" s="64"/>
      <c r="N1187" s="64"/>
      <c r="O1187" s="64"/>
      <c r="P1187" s="64"/>
      <c r="Q1187" s="64"/>
      <c r="R1187" s="64"/>
      <c r="S1187" s="64"/>
    </row>
    <row r="1188" spans="1:19" x14ac:dyDescent="0.25">
      <c r="A1188" s="63"/>
      <c r="B1188" s="64"/>
      <c r="C1188" s="64"/>
      <c r="D1188" s="64"/>
      <c r="E1188" s="64"/>
      <c r="F1188" s="64"/>
      <c r="G1188" s="64"/>
      <c r="H1188" s="64"/>
      <c r="I1188" s="64"/>
      <c r="J1188" s="64"/>
      <c r="K1188" s="64"/>
      <c r="L1188" s="64"/>
      <c r="M1188" s="64"/>
      <c r="N1188" s="64"/>
      <c r="O1188" s="64"/>
      <c r="P1188" s="64"/>
      <c r="Q1188" s="64"/>
      <c r="R1188" s="64"/>
      <c r="S1188" s="64"/>
    </row>
    <row r="1189" spans="1:19" x14ac:dyDescent="0.25">
      <c r="A1189" s="63"/>
      <c r="B1189" s="64"/>
      <c r="C1189" s="64"/>
      <c r="D1189" s="64"/>
      <c r="E1189" s="64"/>
      <c r="F1189" s="64"/>
      <c r="G1189" s="64"/>
      <c r="H1189" s="64"/>
      <c r="I1189" s="64"/>
      <c r="J1189" s="64"/>
      <c r="K1189" s="64"/>
      <c r="L1189" s="64"/>
      <c r="M1189" s="64"/>
      <c r="N1189" s="64"/>
      <c r="O1189" s="64"/>
      <c r="P1189" s="64"/>
      <c r="Q1189" s="64"/>
      <c r="R1189" s="64"/>
      <c r="S1189" s="64"/>
    </row>
    <row r="1190" spans="1:19" x14ac:dyDescent="0.25">
      <c r="A1190" s="63"/>
      <c r="B1190" s="64"/>
      <c r="C1190" s="64"/>
      <c r="D1190" s="64"/>
      <c r="E1190" s="64"/>
      <c r="F1190" s="64"/>
      <c r="G1190" s="64"/>
      <c r="H1190" s="64"/>
      <c r="I1190" s="64"/>
      <c r="J1190" s="64"/>
      <c r="K1190" s="64"/>
      <c r="L1190" s="64"/>
      <c r="M1190" s="64"/>
      <c r="N1190" s="64"/>
      <c r="O1190" s="64"/>
      <c r="P1190" s="64"/>
      <c r="Q1190" s="64"/>
      <c r="R1190" s="64"/>
      <c r="S1190" s="64"/>
    </row>
    <row r="1191" spans="1:19" x14ac:dyDescent="0.25">
      <c r="A1191" s="63"/>
      <c r="B1191" s="64"/>
      <c r="C1191" s="64"/>
      <c r="D1191" s="64"/>
      <c r="E1191" s="64"/>
      <c r="F1191" s="64"/>
      <c r="G1191" s="64"/>
      <c r="H1191" s="64"/>
      <c r="I1191" s="64"/>
      <c r="J1191" s="64"/>
      <c r="K1191" s="64"/>
      <c r="L1191" s="64"/>
      <c r="M1191" s="64"/>
      <c r="N1191" s="64"/>
      <c r="O1191" s="64"/>
      <c r="P1191" s="64"/>
      <c r="Q1191" s="64"/>
      <c r="R1191" s="64"/>
      <c r="S1191" s="64"/>
    </row>
    <row r="1192" spans="1:19" x14ac:dyDescent="0.25">
      <c r="A1192" s="63"/>
      <c r="B1192" s="64"/>
      <c r="C1192" s="64"/>
      <c r="D1192" s="64"/>
      <c r="E1192" s="64"/>
      <c r="F1192" s="64"/>
      <c r="G1192" s="64"/>
      <c r="H1192" s="64"/>
      <c r="I1192" s="64"/>
      <c r="J1192" s="64"/>
      <c r="K1192" s="64"/>
      <c r="L1192" s="64"/>
      <c r="M1192" s="64"/>
      <c r="N1192" s="64"/>
      <c r="O1192" s="64"/>
      <c r="P1192" s="64"/>
      <c r="Q1192" s="64"/>
      <c r="R1192" s="64"/>
      <c r="S1192" s="64"/>
    </row>
    <row r="1193" spans="1:19" x14ac:dyDescent="0.25">
      <c r="A1193" s="63"/>
      <c r="B1193" s="64"/>
      <c r="C1193" s="64"/>
      <c r="D1193" s="64"/>
      <c r="E1193" s="64"/>
      <c r="F1193" s="64"/>
      <c r="G1193" s="64"/>
      <c r="H1193" s="64"/>
      <c r="I1193" s="64"/>
      <c r="J1193" s="64"/>
      <c r="K1193" s="64"/>
      <c r="L1193" s="64"/>
      <c r="M1193" s="64"/>
      <c r="N1193" s="64"/>
      <c r="O1193" s="64"/>
      <c r="P1193" s="64"/>
      <c r="Q1193" s="64"/>
      <c r="R1193" s="64"/>
      <c r="S1193" s="64"/>
    </row>
    <row r="1194" spans="1:19" x14ac:dyDescent="0.25">
      <c r="A1194" s="63"/>
      <c r="B1194" s="64"/>
      <c r="C1194" s="64"/>
      <c r="D1194" s="64"/>
      <c r="E1194" s="64"/>
      <c r="F1194" s="64"/>
      <c r="G1194" s="64"/>
      <c r="H1194" s="64"/>
      <c r="I1194" s="64"/>
      <c r="J1194" s="64"/>
      <c r="K1194" s="64"/>
      <c r="L1194" s="64"/>
      <c r="M1194" s="64"/>
      <c r="N1194" s="64"/>
      <c r="O1194" s="64"/>
      <c r="P1194" s="64"/>
      <c r="Q1194" s="64"/>
      <c r="R1194" s="64"/>
      <c r="S1194" s="64"/>
    </row>
    <row r="1195" spans="1:19" x14ac:dyDescent="0.25">
      <c r="A1195" s="63"/>
      <c r="B1195" s="64"/>
      <c r="C1195" s="64"/>
      <c r="D1195" s="64"/>
      <c r="E1195" s="64"/>
      <c r="F1195" s="64"/>
      <c r="G1195" s="64"/>
      <c r="H1195" s="64"/>
      <c r="I1195" s="64"/>
      <c r="J1195" s="64"/>
      <c r="K1195" s="64"/>
      <c r="L1195" s="64"/>
      <c r="M1195" s="64"/>
      <c r="N1195" s="64"/>
      <c r="O1195" s="64"/>
      <c r="P1195" s="64"/>
      <c r="Q1195" s="64"/>
      <c r="R1195" s="64"/>
      <c r="S1195" s="64"/>
    </row>
    <row r="1196" spans="1:19" x14ac:dyDescent="0.25">
      <c r="A1196" s="63"/>
      <c r="B1196" s="64"/>
      <c r="C1196" s="64"/>
      <c r="D1196" s="64"/>
      <c r="E1196" s="64"/>
      <c r="F1196" s="64"/>
      <c r="G1196" s="64"/>
      <c r="H1196" s="64"/>
      <c r="I1196" s="64"/>
      <c r="J1196" s="64"/>
      <c r="K1196" s="64"/>
      <c r="L1196" s="64"/>
      <c r="M1196" s="64"/>
      <c r="N1196" s="64"/>
      <c r="O1196" s="64"/>
      <c r="P1196" s="64"/>
      <c r="Q1196" s="64"/>
      <c r="R1196" s="64"/>
      <c r="S1196" s="64"/>
    </row>
    <row r="1197" spans="1:19" x14ac:dyDescent="0.25">
      <c r="A1197" s="63"/>
      <c r="B1197" s="64"/>
      <c r="C1197" s="64"/>
      <c r="D1197" s="64"/>
      <c r="E1197" s="64"/>
      <c r="F1197" s="64"/>
      <c r="G1197" s="64"/>
      <c r="H1197" s="64"/>
      <c r="I1197" s="64"/>
      <c r="J1197" s="64"/>
      <c r="K1197" s="64"/>
      <c r="L1197" s="64"/>
      <c r="M1197" s="64"/>
      <c r="N1197" s="64"/>
      <c r="O1197" s="64"/>
      <c r="P1197" s="64"/>
      <c r="Q1197" s="64"/>
      <c r="R1197" s="64"/>
      <c r="S1197" s="64"/>
    </row>
    <row r="1198" spans="1:19" x14ac:dyDescent="0.25">
      <c r="A1198" s="63"/>
      <c r="B1198" s="64"/>
      <c r="C1198" s="64"/>
      <c r="D1198" s="64"/>
      <c r="E1198" s="64"/>
      <c r="F1198" s="64"/>
      <c r="G1198" s="64"/>
      <c r="H1198" s="64"/>
      <c r="I1198" s="64"/>
      <c r="J1198" s="64"/>
      <c r="K1198" s="64"/>
      <c r="L1198" s="64"/>
      <c r="M1198" s="64"/>
      <c r="N1198" s="64"/>
      <c r="O1198" s="64"/>
      <c r="P1198" s="64"/>
      <c r="Q1198" s="64"/>
      <c r="R1198" s="64"/>
      <c r="S1198" s="64"/>
    </row>
    <row r="1199" spans="1:19" x14ac:dyDescent="0.25">
      <c r="A1199" s="63"/>
      <c r="B1199" s="64"/>
      <c r="C1199" s="64"/>
      <c r="D1199" s="64"/>
      <c r="E1199" s="64"/>
      <c r="F1199" s="64"/>
      <c r="G1199" s="64"/>
      <c r="H1199" s="64"/>
      <c r="I1199" s="64"/>
      <c r="J1199" s="64"/>
      <c r="K1199" s="64"/>
      <c r="L1199" s="64"/>
      <c r="M1199" s="64"/>
      <c r="N1199" s="64"/>
      <c r="O1199" s="64"/>
      <c r="P1199" s="64"/>
      <c r="Q1199" s="64"/>
      <c r="R1199" s="64"/>
      <c r="S1199" s="64"/>
    </row>
    <row r="1200" spans="1:19" x14ac:dyDescent="0.25">
      <c r="A1200" s="63"/>
      <c r="B1200" s="64"/>
      <c r="C1200" s="64"/>
      <c r="D1200" s="64"/>
      <c r="E1200" s="64"/>
      <c r="F1200" s="64"/>
      <c r="G1200" s="64"/>
      <c r="H1200" s="64"/>
      <c r="I1200" s="64"/>
      <c r="J1200" s="64"/>
      <c r="K1200" s="64"/>
      <c r="L1200" s="64"/>
      <c r="M1200" s="64"/>
      <c r="N1200" s="64"/>
      <c r="O1200" s="64"/>
      <c r="P1200" s="64"/>
      <c r="Q1200" s="64"/>
      <c r="R1200" s="64"/>
      <c r="S1200" s="64"/>
    </row>
    <row r="1201" spans="1:19" x14ac:dyDescent="0.25">
      <c r="A1201" s="63"/>
      <c r="B1201" s="64"/>
      <c r="C1201" s="64"/>
      <c r="D1201" s="64"/>
      <c r="E1201" s="64"/>
      <c r="F1201" s="64"/>
      <c r="G1201" s="64"/>
      <c r="H1201" s="64"/>
      <c r="I1201" s="64"/>
      <c r="J1201" s="64"/>
      <c r="K1201" s="64"/>
      <c r="L1201" s="64"/>
      <c r="M1201" s="64"/>
      <c r="N1201" s="64"/>
      <c r="O1201" s="64"/>
      <c r="P1201" s="64"/>
      <c r="Q1201" s="64"/>
      <c r="R1201" s="64"/>
      <c r="S1201" s="64"/>
    </row>
    <row r="1202" spans="1:19" x14ac:dyDescent="0.25">
      <c r="A1202" s="63"/>
      <c r="B1202" s="64"/>
      <c r="C1202" s="64"/>
      <c r="D1202" s="64"/>
      <c r="E1202" s="64"/>
      <c r="F1202" s="64"/>
      <c r="G1202" s="64"/>
      <c r="H1202" s="64"/>
      <c r="I1202" s="64"/>
      <c r="J1202" s="64"/>
      <c r="K1202" s="64"/>
      <c r="L1202" s="64"/>
      <c r="M1202" s="64"/>
      <c r="N1202" s="64"/>
      <c r="O1202" s="64"/>
      <c r="P1202" s="64"/>
      <c r="Q1202" s="64"/>
      <c r="R1202" s="64"/>
      <c r="S1202" s="64"/>
    </row>
    <row r="1203" spans="1:19" x14ac:dyDescent="0.25">
      <c r="A1203" s="63"/>
      <c r="B1203" s="64"/>
      <c r="C1203" s="64"/>
      <c r="D1203" s="64"/>
      <c r="E1203" s="64"/>
      <c r="F1203" s="64"/>
      <c r="G1203" s="64"/>
      <c r="H1203" s="64"/>
      <c r="I1203" s="64"/>
      <c r="J1203" s="64"/>
      <c r="K1203" s="64"/>
      <c r="L1203" s="64"/>
      <c r="M1203" s="64"/>
      <c r="N1203" s="64"/>
      <c r="O1203" s="64"/>
      <c r="P1203" s="64"/>
      <c r="Q1203" s="64"/>
      <c r="R1203" s="64"/>
      <c r="S1203" s="64"/>
    </row>
    <row r="1204" spans="1:19" x14ac:dyDescent="0.25">
      <c r="A1204" s="63"/>
      <c r="B1204" s="64"/>
      <c r="C1204" s="64"/>
      <c r="D1204" s="64"/>
      <c r="E1204" s="64"/>
      <c r="F1204" s="64"/>
      <c r="G1204" s="64"/>
      <c r="H1204" s="64"/>
      <c r="I1204" s="64"/>
      <c r="J1204" s="64"/>
      <c r="K1204" s="64"/>
      <c r="L1204" s="64"/>
      <c r="M1204" s="64"/>
      <c r="N1204" s="64"/>
      <c r="O1204" s="64"/>
      <c r="P1204" s="64"/>
      <c r="Q1204" s="64"/>
      <c r="R1204" s="64"/>
      <c r="S1204" s="64"/>
    </row>
    <row r="1205" spans="1:19" x14ac:dyDescent="0.25">
      <c r="A1205" s="63"/>
      <c r="B1205" s="64"/>
      <c r="C1205" s="64"/>
      <c r="D1205" s="64"/>
      <c r="E1205" s="64"/>
      <c r="F1205" s="64"/>
      <c r="G1205" s="64"/>
      <c r="H1205" s="64"/>
      <c r="I1205" s="64"/>
      <c r="J1205" s="64"/>
      <c r="K1205" s="64"/>
      <c r="L1205" s="64"/>
      <c r="M1205" s="64"/>
      <c r="N1205" s="64"/>
      <c r="O1205" s="64"/>
      <c r="P1205" s="64"/>
      <c r="Q1205" s="64"/>
      <c r="R1205" s="64"/>
      <c r="S1205" s="64"/>
    </row>
    <row r="1206" spans="1:19" x14ac:dyDescent="0.25">
      <c r="A1206" s="63"/>
      <c r="B1206" s="64"/>
      <c r="C1206" s="64"/>
      <c r="D1206" s="64"/>
      <c r="E1206" s="64"/>
      <c r="F1206" s="64"/>
      <c r="G1206" s="64"/>
      <c r="H1206" s="64"/>
      <c r="I1206" s="64"/>
      <c r="J1206" s="64"/>
      <c r="K1206" s="64"/>
      <c r="L1206" s="64"/>
      <c r="M1206" s="64"/>
      <c r="N1206" s="64"/>
      <c r="O1206" s="64"/>
      <c r="P1206" s="64"/>
      <c r="Q1206" s="64"/>
      <c r="R1206" s="64"/>
      <c r="S1206" s="64"/>
    </row>
    <row r="1207" spans="1:19" x14ac:dyDescent="0.25">
      <c r="A1207" s="63"/>
      <c r="B1207" s="64"/>
      <c r="C1207" s="64"/>
      <c r="D1207" s="64"/>
      <c r="E1207" s="64"/>
      <c r="F1207" s="64"/>
      <c r="G1207" s="64"/>
      <c r="H1207" s="64"/>
      <c r="I1207" s="64"/>
      <c r="J1207" s="64"/>
      <c r="K1207" s="64"/>
      <c r="L1207" s="64"/>
      <c r="M1207" s="64"/>
      <c r="N1207" s="64"/>
      <c r="O1207" s="64"/>
      <c r="P1207" s="64"/>
      <c r="Q1207" s="64"/>
      <c r="R1207" s="64"/>
      <c r="S1207" s="64"/>
    </row>
    <row r="1208" spans="1:19" x14ac:dyDescent="0.25">
      <c r="A1208" s="63"/>
      <c r="B1208" s="64"/>
      <c r="C1208" s="64"/>
      <c r="D1208" s="64"/>
      <c r="E1208" s="64"/>
      <c r="F1208" s="64"/>
      <c r="G1208" s="64"/>
      <c r="H1208" s="64"/>
      <c r="I1208" s="64"/>
      <c r="J1208" s="64"/>
      <c r="K1208" s="64"/>
      <c r="L1208" s="64"/>
      <c r="M1208" s="64"/>
      <c r="N1208" s="64"/>
      <c r="O1208" s="64"/>
      <c r="P1208" s="64"/>
      <c r="Q1208" s="64"/>
      <c r="R1208" s="64"/>
      <c r="S1208" s="64"/>
    </row>
    <row r="1209" spans="1:19" x14ac:dyDescent="0.25">
      <c r="A1209" s="63"/>
      <c r="B1209" s="64"/>
      <c r="C1209" s="64"/>
      <c r="D1209" s="64"/>
      <c r="E1209" s="64"/>
      <c r="F1209" s="64"/>
      <c r="G1209" s="64"/>
      <c r="H1209" s="64"/>
      <c r="I1209" s="64"/>
      <c r="J1209" s="64"/>
      <c r="K1209" s="64"/>
      <c r="L1209" s="64"/>
      <c r="M1209" s="64"/>
      <c r="N1209" s="64"/>
      <c r="O1209" s="64"/>
      <c r="P1209" s="64"/>
      <c r="Q1209" s="64"/>
      <c r="R1209" s="64"/>
      <c r="S1209" s="64"/>
    </row>
    <row r="1210" spans="1:19" x14ac:dyDescent="0.25">
      <c r="A1210" s="63"/>
      <c r="B1210" s="64"/>
      <c r="C1210" s="64"/>
      <c r="D1210" s="64"/>
      <c r="E1210" s="64"/>
      <c r="F1210" s="64"/>
      <c r="G1210" s="64"/>
      <c r="H1210" s="64"/>
      <c r="I1210" s="64"/>
      <c r="J1210" s="64"/>
      <c r="K1210" s="64"/>
      <c r="L1210" s="64"/>
      <c r="M1210" s="64"/>
      <c r="N1210" s="64"/>
      <c r="O1210" s="64"/>
      <c r="P1210" s="64"/>
      <c r="Q1210" s="64"/>
      <c r="R1210" s="64"/>
      <c r="S1210" s="64"/>
    </row>
    <row r="1211" spans="1:19" x14ac:dyDescent="0.25">
      <c r="A1211" s="63"/>
      <c r="B1211" s="64"/>
      <c r="C1211" s="64"/>
      <c r="D1211" s="64"/>
      <c r="E1211" s="64"/>
      <c r="F1211" s="64"/>
      <c r="G1211" s="64"/>
      <c r="H1211" s="64"/>
      <c r="I1211" s="64"/>
      <c r="J1211" s="64"/>
      <c r="K1211" s="64"/>
      <c r="L1211" s="64"/>
      <c r="M1211" s="64"/>
      <c r="N1211" s="64"/>
      <c r="O1211" s="64"/>
      <c r="P1211" s="64"/>
      <c r="Q1211" s="64"/>
      <c r="R1211" s="64"/>
      <c r="S1211" s="64"/>
    </row>
    <row r="1212" spans="1:19" x14ac:dyDescent="0.25">
      <c r="A1212" s="63"/>
      <c r="B1212" s="64"/>
      <c r="C1212" s="64"/>
      <c r="D1212" s="64"/>
      <c r="E1212" s="64"/>
      <c r="F1212" s="64"/>
      <c r="G1212" s="64"/>
      <c r="H1212" s="64"/>
      <c r="I1212" s="64"/>
      <c r="J1212" s="64"/>
      <c r="K1212" s="64"/>
      <c r="L1212" s="64"/>
      <c r="M1212" s="64"/>
      <c r="N1212" s="64"/>
      <c r="O1212" s="64"/>
      <c r="P1212" s="64"/>
      <c r="Q1212" s="64"/>
      <c r="R1212" s="64"/>
      <c r="S1212" s="64"/>
    </row>
    <row r="1213" spans="1:19" x14ac:dyDescent="0.25">
      <c r="A1213" s="63"/>
      <c r="B1213" s="64"/>
      <c r="C1213" s="64"/>
      <c r="D1213" s="64"/>
      <c r="E1213" s="64"/>
      <c r="F1213" s="64"/>
      <c r="G1213" s="64"/>
      <c r="H1213" s="64"/>
      <c r="I1213" s="64"/>
      <c r="J1213" s="64"/>
      <c r="K1213" s="64"/>
      <c r="L1213" s="64"/>
      <c r="M1213" s="64"/>
      <c r="N1213" s="64"/>
      <c r="O1213" s="64"/>
      <c r="P1213" s="64"/>
      <c r="Q1213" s="64"/>
      <c r="R1213" s="64"/>
      <c r="S1213" s="64"/>
    </row>
    <row r="1214" spans="1:19" x14ac:dyDescent="0.25">
      <c r="A1214" s="63"/>
      <c r="B1214" s="64"/>
      <c r="C1214" s="64"/>
      <c r="D1214" s="64"/>
      <c r="E1214" s="64"/>
      <c r="F1214" s="64"/>
      <c r="G1214" s="64"/>
      <c r="H1214" s="64"/>
      <c r="I1214" s="64"/>
      <c r="J1214" s="64"/>
      <c r="K1214" s="64"/>
      <c r="L1214" s="64"/>
      <c r="M1214" s="64"/>
      <c r="N1214" s="64"/>
      <c r="O1214" s="64"/>
      <c r="P1214" s="64"/>
      <c r="Q1214" s="64"/>
      <c r="R1214" s="64"/>
      <c r="S1214" s="64"/>
    </row>
    <row r="1215" spans="1:19" x14ac:dyDescent="0.25">
      <c r="A1215" s="63"/>
      <c r="B1215" s="64"/>
      <c r="C1215" s="64"/>
      <c r="D1215" s="64"/>
      <c r="E1215" s="64"/>
      <c r="F1215" s="64"/>
      <c r="G1215" s="64"/>
      <c r="H1215" s="64"/>
      <c r="I1215" s="64"/>
      <c r="J1215" s="64"/>
      <c r="K1215" s="64"/>
      <c r="L1215" s="64"/>
      <c r="M1215" s="64"/>
      <c r="N1215" s="64"/>
      <c r="O1215" s="64"/>
      <c r="P1215" s="64"/>
      <c r="Q1215" s="64"/>
      <c r="R1215" s="64"/>
      <c r="S1215" s="64"/>
    </row>
    <row r="1216" spans="1:19" x14ac:dyDescent="0.25">
      <c r="A1216" s="63"/>
      <c r="B1216" s="64"/>
      <c r="C1216" s="64"/>
      <c r="D1216" s="64"/>
      <c r="E1216" s="64"/>
      <c r="F1216" s="64"/>
      <c r="G1216" s="64"/>
      <c r="H1216" s="64"/>
      <c r="I1216" s="64"/>
      <c r="J1216" s="64"/>
      <c r="K1216" s="64"/>
      <c r="L1216" s="64"/>
      <c r="M1216" s="64"/>
      <c r="N1216" s="64"/>
      <c r="O1216" s="64"/>
      <c r="P1216" s="64"/>
      <c r="Q1216" s="64"/>
      <c r="R1216" s="64"/>
      <c r="S1216" s="64"/>
    </row>
    <row r="1217" spans="1:19" x14ac:dyDescent="0.25">
      <c r="A1217" s="63"/>
      <c r="B1217" s="64"/>
      <c r="C1217" s="64"/>
      <c r="D1217" s="64"/>
      <c r="E1217" s="64"/>
      <c r="F1217" s="64"/>
      <c r="G1217" s="64"/>
      <c r="H1217" s="64"/>
      <c r="I1217" s="64"/>
      <c r="J1217" s="64"/>
      <c r="K1217" s="64"/>
      <c r="L1217" s="64"/>
      <c r="M1217" s="64"/>
      <c r="N1217" s="64"/>
      <c r="O1217" s="64"/>
      <c r="P1217" s="64"/>
      <c r="Q1217" s="64"/>
      <c r="R1217" s="64"/>
      <c r="S1217" s="64"/>
    </row>
    <row r="1218" spans="1:19" x14ac:dyDescent="0.25">
      <c r="A1218" s="63"/>
      <c r="B1218" s="64"/>
      <c r="C1218" s="64"/>
      <c r="D1218" s="64"/>
      <c r="E1218" s="64"/>
      <c r="F1218" s="64"/>
      <c r="G1218" s="64"/>
      <c r="H1218" s="64"/>
      <c r="I1218" s="64"/>
      <c r="J1218" s="64"/>
      <c r="K1218" s="64"/>
      <c r="L1218" s="64"/>
      <c r="M1218" s="64"/>
      <c r="N1218" s="64"/>
      <c r="O1218" s="64"/>
      <c r="P1218" s="64"/>
      <c r="Q1218" s="64"/>
      <c r="R1218" s="64"/>
      <c r="S1218" s="64"/>
    </row>
    <row r="1219" spans="1:19" x14ac:dyDescent="0.25">
      <c r="A1219" s="63"/>
      <c r="B1219" s="64"/>
      <c r="C1219" s="64"/>
      <c r="D1219" s="64"/>
      <c r="E1219" s="64"/>
      <c r="F1219" s="64"/>
      <c r="G1219" s="64"/>
      <c r="H1219" s="64"/>
      <c r="I1219" s="64"/>
      <c r="J1219" s="64"/>
      <c r="K1219" s="64"/>
      <c r="L1219" s="64"/>
      <c r="M1219" s="64"/>
      <c r="N1219" s="64"/>
      <c r="O1219" s="64"/>
      <c r="P1219" s="64"/>
      <c r="Q1219" s="64"/>
      <c r="R1219" s="64"/>
      <c r="S1219" s="64"/>
    </row>
    <row r="1220" spans="1:19" x14ac:dyDescent="0.25">
      <c r="A1220" s="63"/>
      <c r="B1220" s="64"/>
      <c r="C1220" s="64"/>
      <c r="D1220" s="64"/>
      <c r="E1220" s="64"/>
      <c r="F1220" s="64"/>
      <c r="G1220" s="64"/>
      <c r="H1220" s="64"/>
      <c r="I1220" s="64"/>
      <c r="J1220" s="64"/>
      <c r="K1220" s="64"/>
      <c r="L1220" s="64"/>
      <c r="M1220" s="64"/>
      <c r="N1220" s="64"/>
      <c r="O1220" s="64"/>
      <c r="P1220" s="64"/>
      <c r="Q1220" s="64"/>
      <c r="R1220" s="64"/>
      <c r="S1220" s="64"/>
    </row>
    <row r="1221" spans="1:19" x14ac:dyDescent="0.25">
      <c r="A1221" s="63"/>
      <c r="B1221" s="64"/>
      <c r="C1221" s="64"/>
      <c r="D1221" s="64"/>
      <c r="E1221" s="64"/>
      <c r="F1221" s="64"/>
      <c r="G1221" s="64"/>
      <c r="H1221" s="64"/>
      <c r="I1221" s="64"/>
      <c r="J1221" s="64"/>
      <c r="K1221" s="64"/>
      <c r="L1221" s="64"/>
      <c r="M1221" s="64"/>
      <c r="N1221" s="64"/>
      <c r="O1221" s="64"/>
      <c r="P1221" s="64"/>
      <c r="Q1221" s="64"/>
      <c r="R1221" s="64"/>
      <c r="S1221" s="64"/>
    </row>
    <row r="1222" spans="1:19" x14ac:dyDescent="0.25">
      <c r="A1222" s="63"/>
      <c r="B1222" s="64"/>
      <c r="C1222" s="64"/>
      <c r="D1222" s="64"/>
      <c r="E1222" s="64"/>
      <c r="F1222" s="64"/>
      <c r="G1222" s="64"/>
      <c r="H1222" s="64"/>
      <c r="I1222" s="64"/>
      <c r="J1222" s="64"/>
      <c r="K1222" s="64"/>
      <c r="L1222" s="64"/>
      <c r="M1222" s="64"/>
      <c r="N1222" s="64"/>
      <c r="O1222" s="64"/>
      <c r="P1222" s="64"/>
      <c r="Q1222" s="64"/>
      <c r="R1222" s="64"/>
      <c r="S1222" s="64"/>
    </row>
    <row r="1223" spans="1:19" x14ac:dyDescent="0.25">
      <c r="A1223" s="63"/>
      <c r="B1223" s="64"/>
      <c r="C1223" s="64"/>
      <c r="D1223" s="64"/>
      <c r="E1223" s="64"/>
      <c r="F1223" s="64"/>
      <c r="G1223" s="64"/>
      <c r="H1223" s="64"/>
      <c r="I1223" s="64"/>
      <c r="J1223" s="64"/>
      <c r="K1223" s="64"/>
      <c r="L1223" s="64"/>
      <c r="M1223" s="64"/>
      <c r="N1223" s="64"/>
      <c r="O1223" s="64"/>
      <c r="P1223" s="64"/>
      <c r="Q1223" s="64"/>
      <c r="R1223" s="64"/>
      <c r="S1223" s="64"/>
    </row>
    <row r="1224" spans="1:19" x14ac:dyDescent="0.25">
      <c r="A1224" s="63"/>
      <c r="B1224" s="64"/>
      <c r="C1224" s="64"/>
      <c r="D1224" s="64"/>
      <c r="E1224" s="64"/>
      <c r="F1224" s="64"/>
      <c r="G1224" s="64"/>
      <c r="H1224" s="64"/>
      <c r="I1224" s="64"/>
      <c r="J1224" s="64"/>
      <c r="K1224" s="64"/>
      <c r="L1224" s="64"/>
      <c r="M1224" s="64"/>
      <c r="N1224" s="64"/>
      <c r="O1224" s="64"/>
      <c r="P1224" s="64"/>
      <c r="Q1224" s="64"/>
      <c r="R1224" s="64"/>
      <c r="S1224" s="64"/>
    </row>
    <row r="1225" spans="1:19" x14ac:dyDescent="0.25">
      <c r="A1225" s="63"/>
      <c r="B1225" s="64"/>
      <c r="C1225" s="64"/>
      <c r="D1225" s="64"/>
      <c r="E1225" s="64"/>
      <c r="F1225" s="64"/>
      <c r="G1225" s="64"/>
      <c r="H1225" s="64"/>
      <c r="I1225" s="64"/>
      <c r="J1225" s="64"/>
      <c r="K1225" s="64"/>
      <c r="L1225" s="64"/>
      <c r="M1225" s="64"/>
      <c r="N1225" s="64"/>
      <c r="O1225" s="64"/>
      <c r="P1225" s="64"/>
      <c r="Q1225" s="64"/>
      <c r="R1225" s="64"/>
      <c r="S1225" s="64"/>
    </row>
    <row r="1226" spans="1:19" x14ac:dyDescent="0.25">
      <c r="A1226" s="63"/>
      <c r="B1226" s="64"/>
      <c r="C1226" s="64"/>
      <c r="D1226" s="64"/>
      <c r="E1226" s="64"/>
      <c r="F1226" s="64"/>
      <c r="G1226" s="64"/>
      <c r="H1226" s="64"/>
      <c r="I1226" s="64"/>
      <c r="J1226" s="64"/>
      <c r="K1226" s="64"/>
      <c r="L1226" s="64"/>
      <c r="M1226" s="64"/>
      <c r="N1226" s="64"/>
      <c r="O1226" s="64"/>
      <c r="P1226" s="64"/>
      <c r="Q1226" s="64"/>
      <c r="R1226" s="64"/>
      <c r="S1226" s="64"/>
    </row>
    <row r="1227" spans="1:19" x14ac:dyDescent="0.25">
      <c r="A1227" s="63"/>
      <c r="B1227" s="64"/>
      <c r="C1227" s="64"/>
      <c r="D1227" s="64"/>
      <c r="E1227" s="64"/>
      <c r="F1227" s="64"/>
      <c r="G1227" s="64"/>
      <c r="H1227" s="64"/>
      <c r="I1227" s="64"/>
      <c r="J1227" s="64"/>
      <c r="K1227" s="64"/>
      <c r="L1227" s="64"/>
      <c r="M1227" s="64"/>
      <c r="N1227" s="64"/>
      <c r="O1227" s="64"/>
      <c r="P1227" s="64"/>
      <c r="Q1227" s="64"/>
      <c r="R1227" s="64"/>
      <c r="S1227" s="64"/>
    </row>
    <row r="1228" spans="1:19" x14ac:dyDescent="0.25">
      <c r="A1228" s="63"/>
      <c r="B1228" s="64"/>
      <c r="C1228" s="64"/>
      <c r="D1228" s="64"/>
      <c r="E1228" s="64"/>
      <c r="F1228" s="64"/>
      <c r="G1228" s="64"/>
      <c r="H1228" s="64"/>
      <c r="I1228" s="64"/>
      <c r="J1228" s="64"/>
      <c r="K1228" s="64"/>
      <c r="L1228" s="64"/>
      <c r="M1228" s="64"/>
      <c r="N1228" s="64"/>
      <c r="O1228" s="64"/>
      <c r="P1228" s="64"/>
      <c r="Q1228" s="64"/>
      <c r="R1228" s="64"/>
      <c r="S1228" s="64"/>
    </row>
    <row r="1229" spans="1:19" x14ac:dyDescent="0.25">
      <c r="A1229" s="63"/>
      <c r="B1229" s="64"/>
      <c r="C1229" s="64"/>
      <c r="D1229" s="64"/>
      <c r="E1229" s="64"/>
      <c r="F1229" s="64"/>
      <c r="G1229" s="64"/>
      <c r="H1229" s="64"/>
      <c r="I1229" s="64"/>
      <c r="J1229" s="64"/>
      <c r="K1229" s="64"/>
      <c r="L1229" s="64"/>
      <c r="M1229" s="64"/>
      <c r="N1229" s="64"/>
      <c r="O1229" s="64"/>
      <c r="P1229" s="64"/>
      <c r="Q1229" s="64"/>
      <c r="R1229" s="64"/>
      <c r="S1229" s="64"/>
    </row>
    <row r="1230" spans="1:19" x14ac:dyDescent="0.25">
      <c r="A1230" s="63"/>
      <c r="B1230" s="64"/>
      <c r="C1230" s="64"/>
      <c r="D1230" s="64"/>
      <c r="E1230" s="64"/>
      <c r="F1230" s="64"/>
      <c r="G1230" s="64"/>
      <c r="H1230" s="64"/>
      <c r="I1230" s="64"/>
      <c r="J1230" s="64"/>
      <c r="K1230" s="64"/>
      <c r="L1230" s="64"/>
      <c r="M1230" s="64"/>
      <c r="N1230" s="64"/>
      <c r="O1230" s="64"/>
      <c r="P1230" s="64"/>
      <c r="Q1230" s="64"/>
      <c r="R1230" s="64"/>
      <c r="S1230" s="64"/>
    </row>
    <row r="1231" spans="1:19" x14ac:dyDescent="0.25">
      <c r="A1231" s="63"/>
      <c r="B1231" s="64"/>
      <c r="C1231" s="64"/>
      <c r="D1231" s="64"/>
      <c r="E1231" s="64"/>
      <c r="F1231" s="64"/>
      <c r="G1231" s="64"/>
      <c r="H1231" s="64"/>
      <c r="I1231" s="64"/>
      <c r="J1231" s="64"/>
      <c r="K1231" s="64"/>
      <c r="L1231" s="64"/>
      <c r="M1231" s="64"/>
      <c r="N1231" s="64"/>
      <c r="O1231" s="64"/>
      <c r="P1231" s="64"/>
      <c r="Q1231" s="64"/>
      <c r="R1231" s="64"/>
      <c r="S1231" s="64"/>
    </row>
    <row r="1232" spans="1:19" x14ac:dyDescent="0.25">
      <c r="A1232" s="63"/>
      <c r="B1232" s="64"/>
      <c r="C1232" s="64"/>
      <c r="D1232" s="64"/>
      <c r="E1232" s="64"/>
      <c r="F1232" s="64"/>
      <c r="G1232" s="64"/>
      <c r="H1232" s="64"/>
      <c r="I1232" s="64"/>
      <c r="J1232" s="64"/>
      <c r="K1232" s="64"/>
      <c r="L1232" s="64"/>
      <c r="M1232" s="64"/>
      <c r="N1232" s="64"/>
      <c r="O1232" s="64"/>
      <c r="P1232" s="64"/>
      <c r="Q1232" s="64"/>
      <c r="R1232" s="64"/>
      <c r="S1232" s="64"/>
    </row>
    <row r="1233" spans="1:19" x14ac:dyDescent="0.25">
      <c r="A1233" s="63"/>
      <c r="B1233" s="64"/>
      <c r="C1233" s="64"/>
      <c r="D1233" s="64"/>
      <c r="E1233" s="64"/>
      <c r="F1233" s="64"/>
      <c r="G1233" s="64"/>
      <c r="H1233" s="64"/>
      <c r="I1233" s="64"/>
      <c r="J1233" s="64"/>
      <c r="K1233" s="64"/>
      <c r="L1233" s="64"/>
      <c r="M1233" s="64"/>
      <c r="N1233" s="64"/>
      <c r="O1233" s="64"/>
      <c r="P1233" s="64"/>
      <c r="Q1233" s="64"/>
      <c r="R1233" s="64"/>
      <c r="S1233" s="64"/>
    </row>
    <row r="1234" spans="1:19" x14ac:dyDescent="0.25">
      <c r="A1234" s="63"/>
      <c r="B1234" s="64"/>
      <c r="C1234" s="64"/>
      <c r="D1234" s="64"/>
      <c r="E1234" s="64"/>
      <c r="F1234" s="64"/>
      <c r="G1234" s="64"/>
      <c r="H1234" s="64"/>
      <c r="I1234" s="64"/>
      <c r="J1234" s="64"/>
      <c r="K1234" s="64"/>
      <c r="L1234" s="64"/>
      <c r="M1234" s="64"/>
      <c r="N1234" s="64"/>
      <c r="O1234" s="64"/>
      <c r="P1234" s="64"/>
      <c r="Q1234" s="64"/>
      <c r="R1234" s="64"/>
      <c r="S1234" s="64"/>
    </row>
    <row r="1235" spans="1:19" x14ac:dyDescent="0.25">
      <c r="A1235" s="63"/>
      <c r="B1235" s="64"/>
      <c r="C1235" s="64"/>
      <c r="D1235" s="64"/>
      <c r="E1235" s="64"/>
      <c r="F1235" s="64"/>
      <c r="G1235" s="64"/>
      <c r="H1235" s="64"/>
      <c r="I1235" s="64"/>
      <c r="J1235" s="64"/>
      <c r="K1235" s="64"/>
      <c r="L1235" s="64"/>
      <c r="M1235" s="64"/>
      <c r="N1235" s="64"/>
      <c r="O1235" s="64"/>
      <c r="P1235" s="64"/>
      <c r="Q1235" s="64"/>
      <c r="R1235" s="64"/>
      <c r="S1235" s="64"/>
    </row>
    <row r="1236" spans="1:19" x14ac:dyDescent="0.25">
      <c r="A1236" s="63"/>
      <c r="B1236" s="64"/>
      <c r="C1236" s="64"/>
      <c r="D1236" s="64"/>
      <c r="E1236" s="64"/>
      <c r="F1236" s="64"/>
      <c r="G1236" s="64"/>
      <c r="H1236" s="64"/>
      <c r="I1236" s="64"/>
      <c r="J1236" s="64"/>
      <c r="K1236" s="64"/>
      <c r="L1236" s="64"/>
      <c r="M1236" s="64"/>
      <c r="N1236" s="64"/>
      <c r="O1236" s="64"/>
      <c r="P1236" s="64"/>
      <c r="Q1236" s="64"/>
      <c r="R1236" s="64"/>
      <c r="S1236" s="64"/>
    </row>
    <row r="1237" spans="1:19" x14ac:dyDescent="0.25">
      <c r="A1237" s="63"/>
      <c r="B1237" s="64"/>
      <c r="C1237" s="64"/>
      <c r="D1237" s="64"/>
      <c r="E1237" s="64"/>
      <c r="F1237" s="64"/>
      <c r="G1237" s="64"/>
      <c r="H1237" s="64"/>
      <c r="I1237" s="64"/>
      <c r="J1237" s="64"/>
      <c r="K1237" s="64"/>
      <c r="L1237" s="64"/>
      <c r="M1237" s="64"/>
      <c r="N1237" s="64"/>
      <c r="O1237" s="64"/>
      <c r="P1237" s="64"/>
      <c r="Q1237" s="64"/>
      <c r="R1237" s="64"/>
      <c r="S1237" s="64"/>
    </row>
    <row r="1238" spans="1:19" x14ac:dyDescent="0.25">
      <c r="A1238" s="63"/>
      <c r="B1238" s="64"/>
      <c r="C1238" s="64"/>
      <c r="D1238" s="64"/>
      <c r="E1238" s="64"/>
      <c r="F1238" s="64"/>
      <c r="G1238" s="64"/>
      <c r="H1238" s="64"/>
      <c r="I1238" s="64"/>
      <c r="J1238" s="64"/>
      <c r="K1238" s="64"/>
      <c r="L1238" s="64"/>
      <c r="M1238" s="64"/>
      <c r="N1238" s="64"/>
      <c r="O1238" s="64"/>
      <c r="P1238" s="64"/>
      <c r="Q1238" s="64"/>
      <c r="R1238" s="64"/>
      <c r="S1238" s="64"/>
    </row>
    <row r="1239" spans="1:19" x14ac:dyDescent="0.25">
      <c r="A1239" s="63"/>
      <c r="B1239" s="64"/>
      <c r="C1239" s="64"/>
      <c r="D1239" s="64"/>
      <c r="E1239" s="64"/>
      <c r="F1239" s="64"/>
      <c r="G1239" s="64"/>
      <c r="H1239" s="64"/>
      <c r="I1239" s="64"/>
      <c r="J1239" s="64"/>
      <c r="K1239" s="64"/>
      <c r="L1239" s="64"/>
      <c r="M1239" s="64"/>
      <c r="N1239" s="64"/>
      <c r="O1239" s="64"/>
      <c r="P1239" s="64"/>
      <c r="Q1239" s="64"/>
      <c r="R1239" s="64"/>
      <c r="S1239" s="64"/>
    </row>
    <row r="1240" spans="1:19" x14ac:dyDescent="0.25">
      <c r="A1240" s="63"/>
      <c r="B1240" s="64"/>
      <c r="C1240" s="64"/>
      <c r="D1240" s="64"/>
      <c r="E1240" s="64"/>
      <c r="F1240" s="64"/>
      <c r="G1240" s="64"/>
      <c r="H1240" s="64"/>
      <c r="I1240" s="64"/>
      <c r="J1240" s="64"/>
      <c r="K1240" s="64"/>
      <c r="L1240" s="64"/>
      <c r="M1240" s="64"/>
      <c r="N1240" s="64"/>
      <c r="O1240" s="64"/>
      <c r="P1240" s="64"/>
      <c r="Q1240" s="64"/>
      <c r="R1240" s="64"/>
      <c r="S1240" s="64"/>
    </row>
    <row r="1241" spans="1:19" x14ac:dyDescent="0.25">
      <c r="A1241" s="63"/>
      <c r="B1241" s="64"/>
      <c r="C1241" s="64"/>
      <c r="D1241" s="64"/>
      <c r="E1241" s="64"/>
      <c r="F1241" s="64"/>
      <c r="G1241" s="64"/>
      <c r="H1241" s="64"/>
      <c r="I1241" s="64"/>
      <c r="J1241" s="64"/>
      <c r="K1241" s="64"/>
      <c r="L1241" s="64"/>
      <c r="M1241" s="64"/>
      <c r="N1241" s="64"/>
      <c r="O1241" s="64"/>
      <c r="P1241" s="64"/>
      <c r="Q1241" s="64"/>
      <c r="R1241" s="64"/>
      <c r="S1241" s="64"/>
    </row>
    <row r="1242" spans="1:19" x14ac:dyDescent="0.25">
      <c r="A1242" s="63"/>
      <c r="B1242" s="64"/>
      <c r="C1242" s="64"/>
      <c r="D1242" s="64"/>
      <c r="E1242" s="64"/>
      <c r="F1242" s="64"/>
      <c r="G1242" s="64"/>
      <c r="H1242" s="64"/>
      <c r="I1242" s="64"/>
      <c r="J1242" s="64"/>
      <c r="K1242" s="64"/>
      <c r="L1242" s="64"/>
      <c r="M1242" s="64"/>
      <c r="N1242" s="64"/>
      <c r="O1242" s="64"/>
      <c r="P1242" s="64"/>
      <c r="Q1242" s="64"/>
      <c r="R1242" s="64"/>
      <c r="S1242" s="64"/>
    </row>
    <row r="1243" spans="1:19" x14ac:dyDescent="0.25">
      <c r="A1243" s="63"/>
      <c r="B1243" s="64"/>
      <c r="C1243" s="64"/>
      <c r="D1243" s="64"/>
      <c r="E1243" s="64"/>
      <c r="F1243" s="64"/>
      <c r="G1243" s="64"/>
      <c r="H1243" s="64"/>
      <c r="I1243" s="64"/>
      <c r="J1243" s="64"/>
      <c r="K1243" s="64"/>
      <c r="L1243" s="64"/>
      <c r="M1243" s="64"/>
      <c r="N1243" s="64"/>
      <c r="O1243" s="64"/>
      <c r="P1243" s="64"/>
      <c r="Q1243" s="64"/>
      <c r="R1243" s="64"/>
      <c r="S1243" s="64"/>
    </row>
    <row r="1244" spans="1:19" x14ac:dyDescent="0.25">
      <c r="A1244" s="63"/>
      <c r="B1244" s="64"/>
      <c r="C1244" s="64"/>
      <c r="D1244" s="64"/>
      <c r="E1244" s="64"/>
      <c r="F1244" s="64"/>
      <c r="G1244" s="64"/>
      <c r="H1244" s="64"/>
      <c r="I1244" s="64"/>
      <c r="J1244" s="64"/>
      <c r="K1244" s="64"/>
      <c r="L1244" s="64"/>
      <c r="M1244" s="64"/>
      <c r="N1244" s="64"/>
      <c r="O1244" s="64"/>
      <c r="P1244" s="64"/>
      <c r="Q1244" s="64"/>
      <c r="R1244" s="64"/>
      <c r="S1244" s="64"/>
    </row>
    <row r="1245" spans="1:19" x14ac:dyDescent="0.25">
      <c r="A1245" s="63"/>
      <c r="B1245" s="64"/>
      <c r="C1245" s="64"/>
      <c r="D1245" s="64"/>
      <c r="E1245" s="64"/>
      <c r="F1245" s="64"/>
      <c r="G1245" s="64"/>
      <c r="H1245" s="64"/>
      <c r="I1245" s="64"/>
      <c r="J1245" s="64"/>
      <c r="K1245" s="64"/>
      <c r="L1245" s="64"/>
      <c r="M1245" s="64"/>
      <c r="N1245" s="64"/>
      <c r="O1245" s="64"/>
      <c r="P1245" s="64"/>
      <c r="Q1245" s="64"/>
      <c r="R1245" s="64"/>
      <c r="S1245" s="64"/>
    </row>
    <row r="1246" spans="1:19" x14ac:dyDescent="0.25">
      <c r="A1246" s="63"/>
      <c r="B1246" s="64"/>
      <c r="C1246" s="64"/>
      <c r="D1246" s="64"/>
      <c r="E1246" s="64"/>
      <c r="F1246" s="64"/>
      <c r="G1246" s="64"/>
      <c r="H1246" s="64"/>
      <c r="I1246" s="64"/>
      <c r="J1246" s="64"/>
      <c r="K1246" s="64"/>
      <c r="L1246" s="64"/>
      <c r="M1246" s="64"/>
      <c r="N1246" s="64"/>
      <c r="O1246" s="64"/>
      <c r="P1246" s="64"/>
      <c r="Q1246" s="64"/>
      <c r="R1246" s="64"/>
      <c r="S1246" s="64"/>
    </row>
    <row r="1247" spans="1:19" x14ac:dyDescent="0.25">
      <c r="A1247" s="63"/>
      <c r="B1247" s="64"/>
      <c r="C1247" s="64"/>
      <c r="D1247" s="64"/>
      <c r="E1247" s="64"/>
      <c r="F1247" s="64"/>
      <c r="G1247" s="64"/>
      <c r="H1247" s="64"/>
      <c r="I1247" s="64"/>
      <c r="J1247" s="64"/>
      <c r="K1247" s="64"/>
      <c r="L1247" s="64"/>
      <c r="M1247" s="64"/>
      <c r="N1247" s="64"/>
      <c r="O1247" s="64"/>
      <c r="P1247" s="64"/>
      <c r="Q1247" s="64"/>
      <c r="R1247" s="64"/>
      <c r="S1247" s="64"/>
    </row>
    <row r="1248" spans="1:19" x14ac:dyDescent="0.25">
      <c r="A1248" s="63"/>
      <c r="B1248" s="64"/>
      <c r="C1248" s="64"/>
      <c r="D1248" s="64"/>
      <c r="E1248" s="64"/>
      <c r="F1248" s="64"/>
      <c r="G1248" s="64"/>
      <c r="H1248" s="64"/>
      <c r="I1248" s="64"/>
      <c r="J1248" s="64"/>
      <c r="K1248" s="64"/>
      <c r="L1248" s="64"/>
      <c r="M1248" s="64"/>
      <c r="N1248" s="64"/>
      <c r="O1248" s="64"/>
      <c r="P1248" s="64"/>
      <c r="Q1248" s="64"/>
      <c r="R1248" s="64"/>
      <c r="S1248" s="64"/>
    </row>
    <row r="1249" spans="1:19" x14ac:dyDescent="0.25">
      <c r="A1249" s="63"/>
      <c r="B1249" s="64"/>
      <c r="C1249" s="64"/>
      <c r="D1249" s="64"/>
      <c r="E1249" s="64"/>
      <c r="F1249" s="64"/>
      <c r="G1249" s="64"/>
      <c r="H1249" s="64"/>
      <c r="I1249" s="64"/>
      <c r="J1249" s="64"/>
      <c r="K1249" s="64"/>
      <c r="L1249" s="64"/>
      <c r="M1249" s="64"/>
      <c r="N1249" s="64"/>
      <c r="O1249" s="64"/>
      <c r="P1249" s="64"/>
      <c r="Q1249" s="64"/>
      <c r="R1249" s="64"/>
      <c r="S1249" s="64"/>
    </row>
    <row r="1250" spans="1:19" x14ac:dyDescent="0.25">
      <c r="A1250" s="63"/>
      <c r="B1250" s="64"/>
      <c r="C1250" s="64"/>
      <c r="D1250" s="64"/>
      <c r="E1250" s="64"/>
      <c r="F1250" s="64"/>
      <c r="G1250" s="64"/>
      <c r="H1250" s="64"/>
      <c r="I1250" s="64"/>
      <c r="J1250" s="64"/>
      <c r="K1250" s="64"/>
      <c r="L1250" s="64"/>
      <c r="M1250" s="64"/>
      <c r="N1250" s="64"/>
      <c r="O1250" s="64"/>
      <c r="P1250" s="64"/>
      <c r="Q1250" s="64"/>
      <c r="R1250" s="64"/>
      <c r="S1250" s="64"/>
    </row>
    <row r="1251" spans="1:19" x14ac:dyDescent="0.25">
      <c r="A1251" s="63"/>
      <c r="B1251" s="64"/>
      <c r="C1251" s="64"/>
      <c r="D1251" s="64"/>
      <c r="E1251" s="64"/>
      <c r="F1251" s="64"/>
      <c r="G1251" s="64"/>
      <c r="H1251" s="64"/>
      <c r="I1251" s="64"/>
      <c r="J1251" s="64"/>
      <c r="K1251" s="64"/>
      <c r="L1251" s="64"/>
      <c r="M1251" s="64"/>
      <c r="N1251" s="64"/>
      <c r="O1251" s="64"/>
      <c r="P1251" s="64"/>
      <c r="Q1251" s="64"/>
      <c r="R1251" s="64"/>
      <c r="S1251" s="64"/>
    </row>
    <row r="1252" spans="1:19" x14ac:dyDescent="0.25">
      <c r="A1252" s="63"/>
      <c r="B1252" s="64"/>
      <c r="C1252" s="64"/>
      <c r="D1252" s="64"/>
      <c r="E1252" s="64"/>
      <c r="F1252" s="64"/>
      <c r="G1252" s="64"/>
      <c r="H1252" s="64"/>
      <c r="I1252" s="64"/>
      <c r="J1252" s="64"/>
      <c r="K1252" s="64"/>
      <c r="L1252" s="64"/>
      <c r="M1252" s="64"/>
      <c r="N1252" s="64"/>
      <c r="O1252" s="64"/>
      <c r="P1252" s="64"/>
      <c r="Q1252" s="64"/>
      <c r="R1252" s="64"/>
      <c r="S1252" s="64"/>
    </row>
    <row r="1253" spans="1:19" x14ac:dyDescent="0.25">
      <c r="A1253" s="63"/>
      <c r="B1253" s="64"/>
      <c r="C1253" s="64"/>
      <c r="D1253" s="64"/>
      <c r="E1253" s="64"/>
      <c r="F1253" s="64"/>
      <c r="G1253" s="64"/>
      <c r="H1253" s="64"/>
      <c r="I1253" s="64"/>
      <c r="J1253" s="64"/>
      <c r="K1253" s="64"/>
      <c r="L1253" s="64"/>
      <c r="M1253" s="64"/>
      <c r="N1253" s="64"/>
      <c r="O1253" s="64"/>
      <c r="P1253" s="64"/>
      <c r="Q1253" s="64"/>
      <c r="R1253" s="64"/>
      <c r="S1253" s="64"/>
    </row>
    <row r="1254" spans="1:19" x14ac:dyDescent="0.25">
      <c r="A1254" s="63"/>
      <c r="B1254" s="64"/>
      <c r="C1254" s="64"/>
      <c r="D1254" s="64"/>
      <c r="E1254" s="64"/>
      <c r="F1254" s="64"/>
      <c r="G1254" s="64"/>
      <c r="H1254" s="64"/>
      <c r="I1254" s="64"/>
      <c r="J1254" s="64"/>
      <c r="K1254" s="64"/>
      <c r="L1254" s="64"/>
      <c r="M1254" s="64"/>
      <c r="N1254" s="64"/>
      <c r="O1254" s="64"/>
      <c r="P1254" s="64"/>
      <c r="Q1254" s="64"/>
      <c r="R1254" s="64"/>
      <c r="S1254" s="64"/>
    </row>
    <row r="1255" spans="1:19" x14ac:dyDescent="0.25">
      <c r="A1255" s="63"/>
      <c r="B1255" s="64"/>
      <c r="C1255" s="64"/>
      <c r="D1255" s="64"/>
      <c r="E1255" s="64"/>
      <c r="F1255" s="64"/>
      <c r="G1255" s="64"/>
      <c r="H1255" s="64"/>
      <c r="I1255" s="64"/>
      <c r="J1255" s="64"/>
      <c r="K1255" s="64"/>
      <c r="L1255" s="64"/>
      <c r="M1255" s="64"/>
      <c r="N1255" s="64"/>
      <c r="O1255" s="64"/>
      <c r="P1255" s="64"/>
      <c r="Q1255" s="64"/>
      <c r="R1255" s="64"/>
      <c r="S1255" s="64"/>
    </row>
    <row r="1256" spans="1:19" x14ac:dyDescent="0.25">
      <c r="A1256" s="63"/>
      <c r="B1256" s="64"/>
      <c r="C1256" s="64"/>
      <c r="D1256" s="64"/>
      <c r="E1256" s="64"/>
      <c r="F1256" s="64"/>
      <c r="G1256" s="64"/>
      <c r="H1256" s="64"/>
      <c r="I1256" s="64"/>
      <c r="J1256" s="64"/>
      <c r="K1256" s="64"/>
      <c r="L1256" s="64"/>
      <c r="M1256" s="64"/>
      <c r="N1256" s="64"/>
      <c r="O1256" s="64"/>
      <c r="P1256" s="64"/>
      <c r="Q1256" s="64"/>
      <c r="R1256" s="64"/>
      <c r="S1256" s="64"/>
    </row>
    <row r="1257" spans="1:19" x14ac:dyDescent="0.25">
      <c r="A1257" s="63"/>
      <c r="B1257" s="64"/>
      <c r="C1257" s="64"/>
      <c r="D1257" s="64"/>
      <c r="E1257" s="64"/>
      <c r="F1257" s="64"/>
      <c r="G1257" s="64"/>
      <c r="H1257" s="64"/>
      <c r="I1257" s="64"/>
      <c r="J1257" s="64"/>
      <c r="K1257" s="64"/>
      <c r="L1257" s="64"/>
      <c r="M1257" s="64"/>
      <c r="N1257" s="64"/>
      <c r="O1257" s="64"/>
      <c r="P1257" s="64"/>
      <c r="Q1257" s="64"/>
      <c r="R1257" s="64"/>
      <c r="S1257" s="64"/>
    </row>
    <row r="1258" spans="1:19" x14ac:dyDescent="0.25">
      <c r="A1258" s="63"/>
      <c r="B1258" s="64"/>
      <c r="C1258" s="64"/>
      <c r="D1258" s="64"/>
      <c r="E1258" s="64"/>
      <c r="F1258" s="64"/>
      <c r="G1258" s="64"/>
      <c r="H1258" s="64"/>
      <c r="I1258" s="64"/>
      <c r="J1258" s="64"/>
      <c r="K1258" s="64"/>
      <c r="L1258" s="64"/>
      <c r="M1258" s="64"/>
      <c r="N1258" s="64"/>
      <c r="O1258" s="64"/>
      <c r="P1258" s="64"/>
      <c r="Q1258" s="64"/>
      <c r="R1258" s="64"/>
      <c r="S1258" s="64"/>
    </row>
    <row r="1259" spans="1:19" x14ac:dyDescent="0.25">
      <c r="A1259" s="63"/>
      <c r="B1259" s="64"/>
      <c r="C1259" s="64"/>
      <c r="D1259" s="64"/>
      <c r="E1259" s="64"/>
      <c r="F1259" s="64"/>
      <c r="G1259" s="64"/>
      <c r="H1259" s="64"/>
      <c r="I1259" s="64"/>
      <c r="J1259" s="64"/>
      <c r="K1259" s="64"/>
      <c r="L1259" s="64"/>
      <c r="M1259" s="64"/>
      <c r="N1259" s="64"/>
      <c r="O1259" s="64"/>
      <c r="P1259" s="64"/>
      <c r="Q1259" s="64"/>
      <c r="R1259" s="64"/>
      <c r="S1259" s="64"/>
    </row>
    <row r="1260" spans="1:19" x14ac:dyDescent="0.25">
      <c r="A1260" s="63"/>
      <c r="B1260" s="64"/>
      <c r="C1260" s="64"/>
      <c r="D1260" s="64"/>
      <c r="E1260" s="64"/>
      <c r="F1260" s="64"/>
      <c r="G1260" s="64"/>
      <c r="H1260" s="64"/>
      <c r="I1260" s="64"/>
      <c r="J1260" s="64"/>
      <c r="K1260" s="64"/>
      <c r="L1260" s="64"/>
      <c r="M1260" s="64"/>
      <c r="N1260" s="64"/>
      <c r="O1260" s="64"/>
      <c r="P1260" s="64"/>
      <c r="Q1260" s="64"/>
      <c r="R1260" s="64"/>
      <c r="S1260" s="64"/>
    </row>
    <row r="1261" spans="1:19" x14ac:dyDescent="0.25">
      <c r="A1261" s="63"/>
      <c r="B1261" s="64"/>
      <c r="C1261" s="64"/>
      <c r="D1261" s="64"/>
      <c r="E1261" s="64"/>
      <c r="F1261" s="64"/>
      <c r="G1261" s="64"/>
      <c r="H1261" s="64"/>
      <c r="I1261" s="64"/>
      <c r="J1261" s="64"/>
      <c r="K1261" s="64"/>
      <c r="L1261" s="64"/>
      <c r="M1261" s="64"/>
      <c r="N1261" s="64"/>
      <c r="O1261" s="64"/>
      <c r="P1261" s="64"/>
      <c r="Q1261" s="64"/>
      <c r="R1261" s="64"/>
      <c r="S1261" s="64"/>
    </row>
    <row r="1262" spans="1:19" x14ac:dyDescent="0.25">
      <c r="A1262" s="63"/>
      <c r="B1262" s="64"/>
      <c r="C1262" s="64"/>
      <c r="D1262" s="64"/>
      <c r="E1262" s="64"/>
      <c r="F1262" s="64"/>
      <c r="G1262" s="64"/>
      <c r="H1262" s="64"/>
      <c r="I1262" s="64"/>
      <c r="J1262" s="64"/>
      <c r="K1262" s="64"/>
      <c r="L1262" s="64"/>
      <c r="M1262" s="64"/>
      <c r="N1262" s="64"/>
      <c r="O1262" s="64"/>
      <c r="P1262" s="64"/>
      <c r="Q1262" s="64"/>
      <c r="R1262" s="64"/>
      <c r="S1262" s="64"/>
    </row>
    <row r="1263" spans="1:19" x14ac:dyDescent="0.25">
      <c r="A1263" s="63"/>
      <c r="B1263" s="64"/>
      <c r="C1263" s="64"/>
      <c r="D1263" s="64"/>
      <c r="E1263" s="64"/>
      <c r="F1263" s="64"/>
      <c r="G1263" s="64"/>
      <c r="H1263" s="64"/>
      <c r="I1263" s="64"/>
      <c r="J1263" s="64"/>
      <c r="K1263" s="64"/>
      <c r="L1263" s="64"/>
      <c r="M1263" s="64"/>
      <c r="N1263" s="64"/>
      <c r="O1263" s="64"/>
      <c r="P1263" s="64"/>
      <c r="Q1263" s="64"/>
      <c r="R1263" s="64"/>
      <c r="S1263" s="64"/>
    </row>
    <row r="1264" spans="1:19" x14ac:dyDescent="0.25">
      <c r="A1264" s="63"/>
      <c r="B1264" s="64"/>
      <c r="C1264" s="64"/>
      <c r="D1264" s="64"/>
      <c r="E1264" s="64"/>
      <c r="F1264" s="64"/>
      <c r="G1264" s="64"/>
      <c r="H1264" s="64"/>
      <c r="I1264" s="64"/>
      <c r="J1264" s="64"/>
      <c r="K1264" s="64"/>
      <c r="L1264" s="64"/>
      <c r="M1264" s="64"/>
      <c r="N1264" s="64"/>
      <c r="O1264" s="64"/>
      <c r="P1264" s="64"/>
      <c r="Q1264" s="64"/>
      <c r="R1264" s="64"/>
      <c r="S1264" s="64"/>
    </row>
    <row r="1265" spans="1:19" x14ac:dyDescent="0.25">
      <c r="A1265" s="63"/>
      <c r="B1265" s="64"/>
      <c r="C1265" s="64"/>
      <c r="D1265" s="64"/>
      <c r="E1265" s="64"/>
      <c r="F1265" s="64"/>
      <c r="G1265" s="64"/>
      <c r="H1265" s="64"/>
      <c r="I1265" s="64"/>
      <c r="J1265" s="64"/>
      <c r="K1265" s="64"/>
      <c r="L1265" s="64"/>
      <c r="M1265" s="64"/>
      <c r="N1265" s="64"/>
      <c r="O1265" s="64"/>
      <c r="P1265" s="64"/>
      <c r="Q1265" s="64"/>
      <c r="R1265" s="64"/>
      <c r="S1265" s="64"/>
    </row>
    <row r="1266" spans="1:19" x14ac:dyDescent="0.25">
      <c r="A1266" s="63"/>
      <c r="B1266" s="64"/>
      <c r="C1266" s="64"/>
      <c r="D1266" s="64"/>
      <c r="E1266" s="64"/>
      <c r="F1266" s="64"/>
      <c r="G1266" s="64"/>
      <c r="H1266" s="64"/>
      <c r="I1266" s="64"/>
      <c r="J1266" s="64"/>
      <c r="K1266" s="64"/>
      <c r="L1266" s="64"/>
      <c r="M1266" s="64"/>
      <c r="N1266" s="64"/>
      <c r="O1266" s="64"/>
      <c r="P1266" s="64"/>
      <c r="Q1266" s="64"/>
      <c r="R1266" s="64"/>
      <c r="S1266" s="64"/>
    </row>
    <row r="1267" spans="1:19" x14ac:dyDescent="0.25">
      <c r="A1267" s="63"/>
      <c r="B1267" s="64"/>
      <c r="C1267" s="64"/>
      <c r="D1267" s="64"/>
      <c r="E1267" s="64"/>
      <c r="F1267" s="64"/>
      <c r="G1267" s="64"/>
      <c r="H1267" s="64"/>
      <c r="I1267" s="64"/>
      <c r="J1267" s="64"/>
      <c r="K1267" s="64"/>
      <c r="L1267" s="64"/>
      <c r="M1267" s="64"/>
      <c r="N1267" s="64"/>
      <c r="O1267" s="64"/>
      <c r="P1267" s="64"/>
      <c r="Q1267" s="64"/>
      <c r="R1267" s="64"/>
      <c r="S1267" s="64"/>
    </row>
    <row r="1268" spans="1:19" x14ac:dyDescent="0.25">
      <c r="A1268" s="63"/>
      <c r="B1268" s="64"/>
      <c r="C1268" s="64"/>
      <c r="D1268" s="64"/>
      <c r="E1268" s="64"/>
      <c r="F1268" s="64"/>
      <c r="G1268" s="64"/>
      <c r="H1268" s="64"/>
      <c r="I1268" s="64"/>
      <c r="J1268" s="64"/>
      <c r="K1268" s="64"/>
      <c r="L1268" s="64"/>
      <c r="M1268" s="64"/>
      <c r="N1268" s="64"/>
      <c r="O1268" s="64"/>
      <c r="P1268" s="64"/>
      <c r="Q1268" s="64"/>
      <c r="R1268" s="64"/>
      <c r="S1268" s="64"/>
    </row>
    <row r="1269" spans="1:19" x14ac:dyDescent="0.25">
      <c r="A1269" s="63"/>
      <c r="B1269" s="64"/>
      <c r="C1269" s="64"/>
      <c r="D1269" s="64"/>
      <c r="E1269" s="64"/>
      <c r="F1269" s="64"/>
      <c r="G1269" s="64"/>
      <c r="H1269" s="64"/>
      <c r="I1269" s="64"/>
      <c r="J1269" s="64"/>
      <c r="K1269" s="64"/>
      <c r="L1269" s="64"/>
      <c r="M1269" s="64"/>
      <c r="N1269" s="64"/>
      <c r="O1269" s="64"/>
      <c r="P1269" s="64"/>
      <c r="Q1269" s="64"/>
      <c r="R1269" s="64"/>
      <c r="S1269" s="64"/>
    </row>
    <row r="1270" spans="1:19" x14ac:dyDescent="0.25">
      <c r="A1270" s="63"/>
      <c r="B1270" s="64"/>
      <c r="C1270" s="64"/>
      <c r="D1270" s="64"/>
      <c r="E1270" s="64"/>
      <c r="F1270" s="64"/>
      <c r="G1270" s="64"/>
      <c r="H1270" s="64"/>
      <c r="I1270" s="64"/>
      <c r="J1270" s="64"/>
      <c r="K1270" s="64"/>
      <c r="L1270" s="64"/>
      <c r="M1270" s="64"/>
      <c r="N1270" s="64"/>
      <c r="O1270" s="64"/>
      <c r="P1270" s="64"/>
      <c r="Q1270" s="64"/>
      <c r="R1270" s="64"/>
      <c r="S1270" s="64"/>
    </row>
    <row r="1271" spans="1:19" x14ac:dyDescent="0.25">
      <c r="A1271" s="63"/>
      <c r="B1271" s="64"/>
      <c r="C1271" s="64"/>
      <c r="D1271" s="64"/>
      <c r="E1271" s="64"/>
      <c r="F1271" s="64"/>
      <c r="G1271" s="64"/>
      <c r="H1271" s="64"/>
      <c r="I1271" s="64"/>
      <c r="J1271" s="64"/>
      <c r="K1271" s="64"/>
      <c r="L1271" s="64"/>
      <c r="M1271" s="64"/>
      <c r="N1271" s="64"/>
      <c r="O1271" s="64"/>
      <c r="P1271" s="64"/>
      <c r="Q1271" s="64"/>
      <c r="R1271" s="64"/>
      <c r="S1271" s="64"/>
    </row>
    <row r="1272" spans="1:19" x14ac:dyDescent="0.25">
      <c r="A1272" s="63"/>
      <c r="B1272" s="64"/>
      <c r="C1272" s="64"/>
      <c r="D1272" s="64"/>
      <c r="E1272" s="64"/>
      <c r="F1272" s="64"/>
      <c r="G1272" s="64"/>
      <c r="H1272" s="64"/>
      <c r="I1272" s="64"/>
      <c r="J1272" s="64"/>
      <c r="K1272" s="64"/>
      <c r="L1272" s="64"/>
      <c r="M1272" s="64"/>
      <c r="N1272" s="64"/>
      <c r="O1272" s="64"/>
      <c r="P1272" s="64"/>
      <c r="Q1272" s="64"/>
      <c r="R1272" s="64"/>
      <c r="S1272" s="64"/>
    </row>
    <row r="1273" spans="1:19" x14ac:dyDescent="0.25">
      <c r="A1273" s="63"/>
      <c r="B1273" s="64"/>
      <c r="C1273" s="64"/>
      <c r="D1273" s="64"/>
      <c r="E1273" s="64"/>
      <c r="F1273" s="64"/>
      <c r="G1273" s="64"/>
      <c r="H1273" s="64"/>
      <c r="I1273" s="64"/>
      <c r="J1273" s="64"/>
      <c r="K1273" s="64"/>
      <c r="L1273" s="64"/>
      <c r="M1273" s="64"/>
      <c r="N1273" s="64"/>
      <c r="O1273" s="64"/>
      <c r="P1273" s="64"/>
      <c r="Q1273" s="64"/>
      <c r="R1273" s="64"/>
      <c r="S1273" s="64"/>
    </row>
    <row r="1274" spans="1:19" x14ac:dyDescent="0.25">
      <c r="A1274" s="63"/>
      <c r="B1274" s="64"/>
      <c r="C1274" s="64"/>
      <c r="D1274" s="64"/>
      <c r="E1274" s="64"/>
      <c r="F1274" s="64"/>
      <c r="G1274" s="64"/>
      <c r="H1274" s="64"/>
      <c r="I1274" s="64"/>
      <c r="J1274" s="64"/>
      <c r="K1274" s="64"/>
      <c r="L1274" s="64"/>
      <c r="M1274" s="64"/>
      <c r="N1274" s="64"/>
      <c r="O1274" s="64"/>
      <c r="P1274" s="64"/>
      <c r="Q1274" s="64"/>
      <c r="R1274" s="64"/>
      <c r="S1274" s="64"/>
    </row>
    <row r="1275" spans="1:19" x14ac:dyDescent="0.25">
      <c r="A1275" s="63"/>
      <c r="B1275" s="64"/>
      <c r="C1275" s="64"/>
      <c r="D1275" s="64"/>
      <c r="E1275" s="64"/>
      <c r="F1275" s="64"/>
      <c r="G1275" s="64"/>
      <c r="H1275" s="64"/>
      <c r="I1275" s="64"/>
      <c r="J1275" s="64"/>
      <c r="K1275" s="64"/>
      <c r="L1275" s="64"/>
      <c r="M1275" s="64"/>
      <c r="N1275" s="64"/>
      <c r="O1275" s="64"/>
      <c r="P1275" s="64"/>
      <c r="Q1275" s="64"/>
      <c r="R1275" s="64"/>
      <c r="S1275" s="64"/>
    </row>
    <row r="1276" spans="1:19" x14ac:dyDescent="0.25">
      <c r="A1276" s="63"/>
      <c r="B1276" s="64"/>
      <c r="C1276" s="64"/>
      <c r="D1276" s="64"/>
      <c r="E1276" s="64"/>
      <c r="F1276" s="64"/>
      <c r="G1276" s="64"/>
      <c r="H1276" s="64"/>
      <c r="I1276" s="64"/>
      <c r="J1276" s="64"/>
      <c r="K1276" s="64"/>
      <c r="L1276" s="64"/>
      <c r="M1276" s="64"/>
      <c r="N1276" s="64"/>
      <c r="O1276" s="64"/>
      <c r="P1276" s="64"/>
      <c r="Q1276" s="64"/>
      <c r="R1276" s="64"/>
      <c r="S1276" s="64"/>
    </row>
    <row r="1277" spans="1:19" x14ac:dyDescent="0.25">
      <c r="A1277" s="63"/>
      <c r="B1277" s="64"/>
      <c r="C1277" s="64"/>
      <c r="D1277" s="64"/>
      <c r="E1277" s="64"/>
      <c r="F1277" s="64"/>
      <c r="G1277" s="64"/>
      <c r="H1277" s="64"/>
      <c r="I1277" s="64"/>
      <c r="J1277" s="64"/>
      <c r="K1277" s="64"/>
      <c r="L1277" s="64"/>
      <c r="M1277" s="64"/>
      <c r="N1277" s="64"/>
      <c r="O1277" s="64"/>
      <c r="P1277" s="64"/>
      <c r="Q1277" s="64"/>
      <c r="R1277" s="64"/>
      <c r="S1277" s="64"/>
    </row>
    <row r="1278" spans="1:19" x14ac:dyDescent="0.25">
      <c r="A1278" s="63"/>
      <c r="B1278" s="64"/>
      <c r="C1278" s="64"/>
      <c r="D1278" s="64"/>
      <c r="E1278" s="64"/>
      <c r="F1278" s="64"/>
      <c r="G1278" s="64"/>
      <c r="H1278" s="64"/>
      <c r="I1278" s="64"/>
      <c r="J1278" s="64"/>
      <c r="K1278" s="64"/>
      <c r="L1278" s="64"/>
      <c r="M1278" s="64"/>
      <c r="N1278" s="64"/>
      <c r="O1278" s="64"/>
      <c r="P1278" s="64"/>
      <c r="Q1278" s="64"/>
      <c r="R1278" s="64"/>
      <c r="S1278" s="64"/>
    </row>
    <row r="1279" spans="1:19" x14ac:dyDescent="0.25">
      <c r="A1279" s="63"/>
      <c r="B1279" s="64"/>
      <c r="C1279" s="64"/>
      <c r="D1279" s="64"/>
      <c r="E1279" s="64"/>
      <c r="F1279" s="64"/>
      <c r="G1279" s="64"/>
      <c r="H1279" s="64"/>
      <c r="I1279" s="64"/>
      <c r="J1279" s="64"/>
      <c r="K1279" s="64"/>
      <c r="L1279" s="64"/>
      <c r="M1279" s="64"/>
      <c r="N1279" s="64"/>
      <c r="O1279" s="64"/>
      <c r="P1279" s="64"/>
      <c r="Q1279" s="64"/>
      <c r="R1279" s="64"/>
      <c r="S1279" s="64"/>
    </row>
    <row r="1280" spans="1:19" x14ac:dyDescent="0.25">
      <c r="A1280" s="63"/>
      <c r="B1280" s="64"/>
      <c r="C1280" s="64"/>
      <c r="D1280" s="64"/>
      <c r="E1280" s="64"/>
      <c r="F1280" s="64"/>
      <c r="G1280" s="64"/>
      <c r="H1280" s="64"/>
      <c r="I1280" s="64"/>
      <c r="J1280" s="64"/>
      <c r="K1280" s="64"/>
      <c r="L1280" s="64"/>
      <c r="M1280" s="64"/>
      <c r="N1280" s="64"/>
      <c r="O1280" s="64"/>
      <c r="P1280" s="64"/>
      <c r="Q1280" s="64"/>
      <c r="R1280" s="64"/>
      <c r="S1280" s="64"/>
    </row>
    <row r="1281" spans="1:19" x14ac:dyDescent="0.25">
      <c r="A1281" s="63"/>
      <c r="B1281" s="64"/>
      <c r="C1281" s="64"/>
      <c r="D1281" s="64"/>
      <c r="E1281" s="64"/>
      <c r="F1281" s="64"/>
      <c r="G1281" s="64"/>
      <c r="H1281" s="64"/>
      <c r="I1281" s="64"/>
      <c r="J1281" s="64"/>
      <c r="K1281" s="64"/>
      <c r="L1281" s="64"/>
      <c r="M1281" s="64"/>
      <c r="N1281" s="64"/>
      <c r="O1281" s="64"/>
      <c r="P1281" s="64"/>
      <c r="Q1281" s="64"/>
      <c r="R1281" s="64"/>
      <c r="S1281" s="64"/>
    </row>
    <row r="1282" spans="1:19" x14ac:dyDescent="0.25">
      <c r="A1282" s="63"/>
      <c r="B1282" s="64"/>
      <c r="C1282" s="64"/>
      <c r="D1282" s="64"/>
      <c r="E1282" s="64"/>
      <c r="F1282" s="64"/>
      <c r="G1282" s="64"/>
      <c r="H1282" s="64"/>
      <c r="I1282" s="64"/>
      <c r="J1282" s="64"/>
      <c r="K1282" s="64"/>
      <c r="L1282" s="64"/>
      <c r="M1282" s="64"/>
      <c r="N1282" s="64"/>
      <c r="O1282" s="64"/>
      <c r="P1282" s="64"/>
      <c r="Q1282" s="64"/>
      <c r="R1282" s="64"/>
      <c r="S1282" s="64"/>
    </row>
    <row r="1283" spans="1:19" x14ac:dyDescent="0.25">
      <c r="A1283" s="63"/>
      <c r="B1283" s="64"/>
      <c r="C1283" s="64"/>
      <c r="D1283" s="64"/>
      <c r="E1283" s="64"/>
      <c r="F1283" s="64"/>
      <c r="G1283" s="64"/>
      <c r="H1283" s="64"/>
      <c r="I1283" s="64"/>
      <c r="J1283" s="64"/>
      <c r="K1283" s="64"/>
      <c r="L1283" s="64"/>
      <c r="M1283" s="64"/>
      <c r="N1283" s="64"/>
      <c r="O1283" s="64"/>
      <c r="P1283" s="64"/>
      <c r="Q1283" s="64"/>
      <c r="R1283" s="64"/>
      <c r="S1283" s="64"/>
    </row>
    <row r="1284" spans="1:19" x14ac:dyDescent="0.25">
      <c r="A1284" s="63"/>
      <c r="B1284" s="64"/>
      <c r="C1284" s="64"/>
      <c r="D1284" s="64"/>
      <c r="E1284" s="64"/>
      <c r="F1284" s="64"/>
      <c r="G1284" s="64"/>
      <c r="H1284" s="64"/>
      <c r="I1284" s="64"/>
      <c r="J1284" s="64"/>
      <c r="K1284" s="64"/>
      <c r="L1284" s="64"/>
      <c r="M1284" s="64"/>
      <c r="N1284" s="64"/>
      <c r="O1284" s="64"/>
      <c r="P1284" s="64"/>
      <c r="Q1284" s="64"/>
      <c r="R1284" s="64"/>
      <c r="S1284" s="64"/>
    </row>
    <row r="1285" spans="1:19" x14ac:dyDescent="0.25">
      <c r="A1285" s="63"/>
      <c r="B1285" s="64"/>
      <c r="C1285" s="64"/>
      <c r="D1285" s="64"/>
      <c r="E1285" s="64"/>
      <c r="F1285" s="64"/>
      <c r="G1285" s="64"/>
      <c r="H1285" s="64"/>
      <c r="I1285" s="64"/>
      <c r="J1285" s="64"/>
      <c r="K1285" s="64"/>
      <c r="L1285" s="64"/>
      <c r="M1285" s="64"/>
      <c r="N1285" s="64"/>
      <c r="O1285" s="64"/>
      <c r="P1285" s="64"/>
      <c r="Q1285" s="64"/>
      <c r="R1285" s="64"/>
      <c r="S1285" s="64"/>
    </row>
    <row r="1286" spans="1:19" x14ac:dyDescent="0.25">
      <c r="A1286" s="63"/>
      <c r="B1286" s="64"/>
      <c r="C1286" s="64"/>
      <c r="D1286" s="64"/>
      <c r="E1286" s="64"/>
      <c r="F1286" s="64"/>
      <c r="G1286" s="64"/>
      <c r="H1286" s="64"/>
      <c r="I1286" s="64"/>
      <c r="J1286" s="64"/>
      <c r="K1286" s="64"/>
      <c r="L1286" s="64"/>
      <c r="M1286" s="64"/>
      <c r="N1286" s="64"/>
      <c r="O1286" s="64"/>
      <c r="P1286" s="64"/>
      <c r="Q1286" s="64"/>
      <c r="R1286" s="64"/>
      <c r="S1286" s="64"/>
    </row>
    <row r="1287" spans="1:19" x14ac:dyDescent="0.25">
      <c r="A1287" s="63"/>
      <c r="B1287" s="64"/>
      <c r="C1287" s="64"/>
      <c r="D1287" s="64"/>
      <c r="E1287" s="64"/>
      <c r="F1287" s="64"/>
      <c r="G1287" s="64"/>
      <c r="H1287" s="64"/>
      <c r="I1287" s="64"/>
      <c r="J1287" s="64"/>
      <c r="K1287" s="64"/>
      <c r="L1287" s="64"/>
      <c r="M1287" s="64"/>
      <c r="N1287" s="64"/>
      <c r="O1287" s="64"/>
      <c r="P1287" s="64"/>
      <c r="Q1287" s="64"/>
      <c r="R1287" s="64"/>
      <c r="S1287" s="64"/>
    </row>
    <row r="1288" spans="1:19" x14ac:dyDescent="0.25">
      <c r="A1288" s="63"/>
      <c r="B1288" s="64"/>
      <c r="C1288" s="64"/>
      <c r="D1288" s="64"/>
      <c r="E1288" s="64"/>
      <c r="F1288" s="64"/>
      <c r="G1288" s="64"/>
      <c r="H1288" s="64"/>
      <c r="I1288" s="64"/>
      <c r="J1288" s="64"/>
      <c r="K1288" s="64"/>
      <c r="L1288" s="64"/>
      <c r="M1288" s="64"/>
      <c r="N1288" s="64"/>
      <c r="O1288" s="64"/>
      <c r="P1288" s="64"/>
      <c r="Q1288" s="64"/>
      <c r="R1288" s="64"/>
      <c r="S1288" s="64"/>
    </row>
    <row r="1289" spans="1:19" x14ac:dyDescent="0.25">
      <c r="A1289" s="63"/>
      <c r="B1289" s="64"/>
      <c r="C1289" s="64"/>
      <c r="D1289" s="64"/>
      <c r="E1289" s="64"/>
      <c r="F1289" s="64"/>
      <c r="G1289" s="64"/>
      <c r="H1289" s="64"/>
      <c r="I1289" s="64"/>
      <c r="J1289" s="64"/>
      <c r="K1289" s="64"/>
      <c r="L1289" s="64"/>
      <c r="M1289" s="64"/>
      <c r="N1289" s="64"/>
      <c r="O1289" s="64"/>
      <c r="P1289" s="64"/>
      <c r="Q1289" s="64"/>
      <c r="R1289" s="64"/>
      <c r="S1289" s="64"/>
    </row>
    <row r="1290" spans="1:19" x14ac:dyDescent="0.25">
      <c r="A1290" s="63"/>
      <c r="B1290" s="64"/>
      <c r="C1290" s="64"/>
      <c r="D1290" s="64"/>
      <c r="E1290" s="64"/>
      <c r="F1290" s="64"/>
      <c r="G1290" s="64"/>
      <c r="H1290" s="64"/>
      <c r="I1290" s="64"/>
      <c r="J1290" s="64"/>
      <c r="K1290" s="64"/>
      <c r="L1290" s="64"/>
      <c r="M1290" s="64"/>
      <c r="N1290" s="64"/>
      <c r="O1290" s="64"/>
      <c r="P1290" s="64"/>
      <c r="Q1290" s="64"/>
      <c r="R1290" s="64"/>
      <c r="S1290" s="64"/>
    </row>
    <row r="1291" spans="1:19" x14ac:dyDescent="0.25">
      <c r="A1291" s="63"/>
      <c r="B1291" s="64"/>
      <c r="C1291" s="64"/>
      <c r="D1291" s="64"/>
      <c r="E1291" s="64"/>
      <c r="F1291" s="64"/>
      <c r="G1291" s="64"/>
      <c r="H1291" s="64"/>
      <c r="I1291" s="64"/>
      <c r="J1291" s="64"/>
      <c r="K1291" s="64"/>
      <c r="L1291" s="64"/>
      <c r="M1291" s="64"/>
      <c r="N1291" s="64"/>
      <c r="O1291" s="64"/>
      <c r="P1291" s="64"/>
      <c r="Q1291" s="64"/>
      <c r="R1291" s="64"/>
      <c r="S1291" s="64"/>
    </row>
    <row r="1292" spans="1:19" x14ac:dyDescent="0.25">
      <c r="A1292" s="63"/>
      <c r="B1292" s="64"/>
      <c r="C1292" s="64"/>
      <c r="D1292" s="64"/>
      <c r="E1292" s="64"/>
      <c r="F1292" s="64"/>
      <c r="G1292" s="64"/>
      <c r="H1292" s="64"/>
      <c r="I1292" s="64"/>
      <c r="J1292" s="64"/>
      <c r="K1292" s="64"/>
      <c r="L1292" s="64"/>
      <c r="M1292" s="64"/>
      <c r="N1292" s="64"/>
      <c r="O1292" s="64"/>
      <c r="P1292" s="64"/>
      <c r="Q1292" s="64"/>
      <c r="R1292" s="64"/>
      <c r="S1292" s="64"/>
    </row>
    <row r="1293" spans="1:19" x14ac:dyDescent="0.25">
      <c r="A1293" s="63"/>
      <c r="B1293" s="64"/>
      <c r="C1293" s="64"/>
      <c r="D1293" s="64"/>
      <c r="E1293" s="64"/>
      <c r="F1293" s="64"/>
      <c r="G1293" s="64"/>
      <c r="H1293" s="64"/>
      <c r="I1293" s="64"/>
      <c r="J1293" s="64"/>
      <c r="K1293" s="64"/>
      <c r="L1293" s="64"/>
      <c r="M1293" s="64"/>
      <c r="N1293" s="64"/>
      <c r="O1293" s="64"/>
      <c r="P1293" s="64"/>
      <c r="Q1293" s="64"/>
      <c r="R1293" s="64"/>
      <c r="S1293" s="64"/>
    </row>
    <row r="1294" spans="1:19" x14ac:dyDescent="0.25">
      <c r="A1294" s="63"/>
      <c r="B1294" s="64"/>
      <c r="C1294" s="64"/>
      <c r="D1294" s="64"/>
      <c r="E1294" s="64"/>
      <c r="F1294" s="64"/>
      <c r="G1294" s="64"/>
      <c r="H1294" s="64"/>
      <c r="I1294" s="64"/>
      <c r="J1294" s="64"/>
      <c r="K1294" s="64"/>
      <c r="L1294" s="64"/>
      <c r="M1294" s="64"/>
      <c r="N1294" s="64"/>
      <c r="O1294" s="64"/>
      <c r="P1294" s="64"/>
      <c r="Q1294" s="64"/>
      <c r="R1294" s="64"/>
      <c r="S1294" s="64"/>
    </row>
    <row r="1295" spans="1:19" x14ac:dyDescent="0.25">
      <c r="A1295" s="63"/>
      <c r="B1295" s="64"/>
      <c r="C1295" s="64"/>
      <c r="D1295" s="64"/>
      <c r="E1295" s="64"/>
      <c r="F1295" s="64"/>
      <c r="G1295" s="64"/>
      <c r="H1295" s="64"/>
      <c r="I1295" s="64"/>
      <c r="J1295" s="64"/>
      <c r="K1295" s="64"/>
      <c r="L1295" s="64"/>
      <c r="M1295" s="64"/>
      <c r="N1295" s="64"/>
      <c r="O1295" s="64"/>
      <c r="P1295" s="64"/>
      <c r="Q1295" s="64"/>
      <c r="R1295" s="64"/>
      <c r="S1295" s="64"/>
    </row>
    <row r="1296" spans="1:19" x14ac:dyDescent="0.25">
      <c r="A1296" s="63"/>
      <c r="B1296" s="64"/>
      <c r="C1296" s="64"/>
      <c r="D1296" s="64"/>
      <c r="E1296" s="64"/>
      <c r="F1296" s="64"/>
      <c r="G1296" s="64"/>
      <c r="H1296" s="64"/>
      <c r="I1296" s="64"/>
      <c r="J1296" s="64"/>
      <c r="K1296" s="64"/>
      <c r="L1296" s="64"/>
      <c r="M1296" s="64"/>
      <c r="N1296" s="64"/>
      <c r="O1296" s="64"/>
      <c r="P1296" s="64"/>
      <c r="Q1296" s="64"/>
      <c r="R1296" s="64"/>
      <c r="S1296" s="64"/>
    </row>
    <row r="1297" spans="1:19" x14ac:dyDescent="0.25">
      <c r="A1297" s="63"/>
      <c r="B1297" s="64"/>
      <c r="C1297" s="64"/>
      <c r="D1297" s="64"/>
      <c r="E1297" s="64"/>
      <c r="F1297" s="64"/>
      <c r="G1297" s="64"/>
      <c r="H1297" s="64"/>
      <c r="I1297" s="64"/>
      <c r="J1297" s="64"/>
      <c r="K1297" s="64"/>
      <c r="L1297" s="64"/>
      <c r="M1297" s="64"/>
      <c r="N1297" s="64"/>
      <c r="O1297" s="64"/>
      <c r="P1297" s="64"/>
      <c r="Q1297" s="64"/>
      <c r="R1297" s="64"/>
      <c r="S1297" s="64"/>
    </row>
    <row r="1298" spans="1:19" x14ac:dyDescent="0.25">
      <c r="A1298" s="63"/>
      <c r="B1298" s="64"/>
      <c r="C1298" s="64"/>
      <c r="D1298" s="64"/>
      <c r="E1298" s="64"/>
      <c r="F1298" s="64"/>
      <c r="G1298" s="64"/>
      <c r="H1298" s="64"/>
      <c r="I1298" s="64"/>
      <c r="J1298" s="64"/>
      <c r="K1298" s="64"/>
      <c r="L1298" s="64"/>
      <c r="M1298" s="64"/>
      <c r="N1298" s="64"/>
      <c r="O1298" s="64"/>
      <c r="P1298" s="64"/>
      <c r="Q1298" s="64"/>
      <c r="R1298" s="64"/>
      <c r="S1298" s="64"/>
    </row>
    <row r="1299" spans="1:19" x14ac:dyDescent="0.25">
      <c r="A1299" s="63"/>
      <c r="B1299" s="64"/>
      <c r="C1299" s="64"/>
      <c r="D1299" s="64"/>
      <c r="E1299" s="64"/>
      <c r="F1299" s="64"/>
      <c r="G1299" s="64"/>
      <c r="H1299" s="64"/>
      <c r="I1299" s="64"/>
      <c r="J1299" s="64"/>
      <c r="K1299" s="64"/>
      <c r="L1299" s="64"/>
      <c r="M1299" s="64"/>
      <c r="N1299" s="64"/>
      <c r="O1299" s="64"/>
      <c r="P1299" s="64"/>
      <c r="Q1299" s="64"/>
      <c r="R1299" s="64"/>
      <c r="S1299" s="64"/>
    </row>
    <row r="1300" spans="1:19" x14ac:dyDescent="0.25">
      <c r="A1300" s="63"/>
      <c r="B1300" s="64"/>
      <c r="C1300" s="64"/>
      <c r="D1300" s="64"/>
      <c r="E1300" s="64"/>
      <c r="F1300" s="64"/>
      <c r="G1300" s="64"/>
      <c r="H1300" s="64"/>
      <c r="I1300" s="64"/>
      <c r="J1300" s="64"/>
      <c r="K1300" s="64"/>
      <c r="L1300" s="64"/>
      <c r="M1300" s="64"/>
      <c r="N1300" s="64"/>
      <c r="O1300" s="64"/>
      <c r="P1300" s="64"/>
      <c r="Q1300" s="64"/>
      <c r="R1300" s="64"/>
      <c r="S1300" s="64"/>
    </row>
    <row r="1301" spans="1:19" x14ac:dyDescent="0.25">
      <c r="A1301" s="63"/>
      <c r="B1301" s="64"/>
      <c r="C1301" s="64"/>
      <c r="D1301" s="64"/>
      <c r="E1301" s="64"/>
      <c r="F1301" s="64"/>
      <c r="G1301" s="64"/>
      <c r="H1301" s="64"/>
      <c r="I1301" s="64"/>
      <c r="J1301" s="64"/>
      <c r="K1301" s="64"/>
      <c r="L1301" s="64"/>
      <c r="M1301" s="64"/>
      <c r="N1301" s="64"/>
      <c r="O1301" s="64"/>
      <c r="P1301" s="64"/>
      <c r="Q1301" s="64"/>
      <c r="R1301" s="64"/>
      <c r="S1301" s="64"/>
    </row>
    <row r="1302" spans="1:19" x14ac:dyDescent="0.25">
      <c r="A1302" s="63"/>
      <c r="B1302" s="64"/>
      <c r="C1302" s="64"/>
      <c r="D1302" s="64"/>
      <c r="E1302" s="64"/>
      <c r="F1302" s="64"/>
      <c r="G1302" s="64"/>
      <c r="H1302" s="64"/>
      <c r="I1302" s="64"/>
      <c r="J1302" s="64"/>
      <c r="K1302" s="64"/>
      <c r="L1302" s="64"/>
      <c r="M1302" s="64"/>
      <c r="N1302" s="64"/>
      <c r="O1302" s="64"/>
      <c r="P1302" s="64"/>
      <c r="Q1302" s="64"/>
      <c r="R1302" s="64"/>
      <c r="S1302" s="64"/>
    </row>
    <row r="1303" spans="1:19" x14ac:dyDescent="0.25">
      <c r="A1303" s="63"/>
      <c r="B1303" s="64"/>
      <c r="C1303" s="64"/>
      <c r="D1303" s="64"/>
      <c r="E1303" s="64"/>
      <c r="F1303" s="64"/>
      <c r="G1303" s="64"/>
      <c r="H1303" s="64"/>
      <c r="I1303" s="64"/>
      <c r="J1303" s="64"/>
      <c r="K1303" s="64"/>
      <c r="L1303" s="64"/>
      <c r="M1303" s="64"/>
      <c r="N1303" s="64"/>
      <c r="O1303" s="64"/>
      <c r="P1303" s="64"/>
      <c r="Q1303" s="64"/>
      <c r="R1303" s="64"/>
      <c r="S1303" s="64"/>
    </row>
    <row r="1304" spans="1:19" x14ac:dyDescent="0.25">
      <c r="A1304" s="63"/>
      <c r="B1304" s="64"/>
      <c r="C1304" s="64"/>
      <c r="D1304" s="64"/>
      <c r="E1304" s="64"/>
      <c r="F1304" s="64"/>
      <c r="G1304" s="64"/>
      <c r="H1304" s="64"/>
      <c r="I1304" s="64"/>
      <c r="J1304" s="64"/>
      <c r="K1304" s="64"/>
      <c r="L1304" s="64"/>
      <c r="M1304" s="64"/>
      <c r="N1304" s="64"/>
      <c r="O1304" s="64"/>
      <c r="P1304" s="64"/>
      <c r="Q1304" s="64"/>
      <c r="R1304" s="64"/>
      <c r="S1304" s="64"/>
    </row>
    <row r="1305" spans="1:19" x14ac:dyDescent="0.25">
      <c r="A1305" s="63"/>
      <c r="B1305" s="64"/>
      <c r="C1305" s="64"/>
      <c r="D1305" s="64"/>
      <c r="E1305" s="64"/>
      <c r="F1305" s="64"/>
      <c r="G1305" s="64"/>
      <c r="H1305" s="64"/>
      <c r="I1305" s="64"/>
      <c r="J1305" s="64"/>
      <c r="K1305" s="64"/>
      <c r="L1305" s="64"/>
      <c r="M1305" s="64"/>
      <c r="N1305" s="64"/>
      <c r="O1305" s="64"/>
      <c r="P1305" s="64"/>
      <c r="Q1305" s="64"/>
      <c r="R1305" s="64"/>
      <c r="S1305" s="64"/>
    </row>
    <row r="1306" spans="1:19" x14ac:dyDescent="0.25">
      <c r="A1306" s="63"/>
      <c r="B1306" s="64"/>
      <c r="C1306" s="64"/>
      <c r="D1306" s="64"/>
      <c r="E1306" s="64"/>
      <c r="F1306" s="64"/>
      <c r="G1306" s="64"/>
      <c r="H1306" s="64"/>
      <c r="I1306" s="64"/>
      <c r="J1306" s="64"/>
      <c r="K1306" s="64"/>
      <c r="L1306" s="64"/>
      <c r="M1306" s="64"/>
      <c r="N1306" s="64"/>
      <c r="O1306" s="64"/>
      <c r="P1306" s="64"/>
      <c r="Q1306" s="64"/>
      <c r="R1306" s="64"/>
      <c r="S1306" s="64"/>
    </row>
    <row r="1307" spans="1:19" x14ac:dyDescent="0.25">
      <c r="A1307" s="63"/>
      <c r="B1307" s="64"/>
      <c r="C1307" s="64"/>
      <c r="D1307" s="64"/>
      <c r="E1307" s="64"/>
      <c r="F1307" s="64"/>
      <c r="G1307" s="64"/>
      <c r="H1307" s="64"/>
      <c r="I1307" s="64"/>
      <c r="J1307" s="64"/>
      <c r="K1307" s="64"/>
      <c r="L1307" s="64"/>
      <c r="M1307" s="64"/>
      <c r="N1307" s="64"/>
      <c r="O1307" s="64"/>
      <c r="P1307" s="64"/>
      <c r="Q1307" s="64"/>
      <c r="R1307" s="64"/>
      <c r="S1307" s="64"/>
    </row>
    <row r="1308" spans="1:19" x14ac:dyDescent="0.25">
      <c r="A1308" s="63"/>
      <c r="B1308" s="64"/>
      <c r="C1308" s="64"/>
      <c r="D1308" s="64"/>
      <c r="E1308" s="64"/>
      <c r="F1308" s="64"/>
      <c r="G1308" s="64"/>
      <c r="H1308" s="64"/>
      <c r="I1308" s="64"/>
      <c r="J1308" s="64"/>
      <c r="K1308" s="64"/>
      <c r="L1308" s="64"/>
      <c r="M1308" s="64"/>
      <c r="N1308" s="64"/>
      <c r="O1308" s="64"/>
      <c r="P1308" s="64"/>
      <c r="Q1308" s="64"/>
      <c r="R1308" s="64"/>
      <c r="S1308" s="64"/>
    </row>
    <row r="1309" spans="1:19" x14ac:dyDescent="0.25">
      <c r="A1309" s="63"/>
      <c r="B1309" s="64"/>
      <c r="C1309" s="64"/>
      <c r="D1309" s="64"/>
      <c r="E1309" s="64"/>
      <c r="F1309" s="64"/>
      <c r="G1309" s="64"/>
      <c r="H1309" s="64"/>
      <c r="I1309" s="64"/>
      <c r="J1309" s="64"/>
      <c r="K1309" s="64"/>
      <c r="L1309" s="64"/>
      <c r="M1309" s="64"/>
      <c r="N1309" s="64"/>
      <c r="O1309" s="64"/>
      <c r="P1309" s="64"/>
      <c r="Q1309" s="64"/>
      <c r="R1309" s="64"/>
      <c r="S1309" s="64"/>
    </row>
    <row r="1310" spans="1:19" x14ac:dyDescent="0.25">
      <c r="A1310" s="63"/>
      <c r="B1310" s="64"/>
      <c r="C1310" s="64"/>
      <c r="D1310" s="64"/>
      <c r="E1310" s="64"/>
      <c r="F1310" s="64"/>
      <c r="G1310" s="64"/>
      <c r="H1310" s="64"/>
      <c r="I1310" s="64"/>
      <c r="J1310" s="64"/>
      <c r="K1310" s="64"/>
      <c r="L1310" s="64"/>
      <c r="M1310" s="64"/>
      <c r="N1310" s="64"/>
      <c r="O1310" s="64"/>
      <c r="P1310" s="64"/>
      <c r="Q1310" s="64"/>
      <c r="R1310" s="64"/>
      <c r="S1310" s="64"/>
    </row>
    <row r="1311" spans="1:19" x14ac:dyDescent="0.25">
      <c r="A1311" s="63"/>
      <c r="B1311" s="64"/>
      <c r="C1311" s="64"/>
      <c r="D1311" s="64"/>
      <c r="E1311" s="64"/>
      <c r="F1311" s="64"/>
      <c r="G1311" s="64"/>
      <c r="H1311" s="64"/>
      <c r="I1311" s="64"/>
      <c r="J1311" s="64"/>
      <c r="K1311" s="64"/>
      <c r="L1311" s="64"/>
      <c r="M1311" s="64"/>
      <c r="N1311" s="64"/>
      <c r="O1311" s="64"/>
      <c r="P1311" s="64"/>
      <c r="Q1311" s="64"/>
      <c r="R1311" s="64"/>
      <c r="S1311" s="64"/>
    </row>
    <row r="1312" spans="1:19" x14ac:dyDescent="0.25">
      <c r="A1312" s="63"/>
      <c r="B1312" s="64"/>
      <c r="C1312" s="64"/>
      <c r="D1312" s="64"/>
      <c r="E1312" s="64"/>
      <c r="F1312" s="64"/>
      <c r="G1312" s="64"/>
      <c r="H1312" s="64"/>
      <c r="I1312" s="64"/>
      <c r="J1312" s="64"/>
      <c r="K1312" s="64"/>
      <c r="L1312" s="64"/>
      <c r="M1312" s="64"/>
      <c r="N1312" s="64"/>
      <c r="O1312" s="64"/>
      <c r="P1312" s="64"/>
      <c r="Q1312" s="64"/>
      <c r="R1312" s="64"/>
      <c r="S1312" s="64"/>
    </row>
    <row r="1313" spans="1:19" x14ac:dyDescent="0.25">
      <c r="A1313" s="63"/>
      <c r="B1313" s="64"/>
      <c r="C1313" s="64"/>
      <c r="D1313" s="64"/>
      <c r="E1313" s="64"/>
      <c r="F1313" s="64"/>
      <c r="G1313" s="64"/>
      <c r="H1313" s="64"/>
      <c r="I1313" s="64"/>
      <c r="J1313" s="64"/>
      <c r="K1313" s="64"/>
      <c r="L1313" s="64"/>
      <c r="M1313" s="64"/>
      <c r="N1313" s="64"/>
      <c r="O1313" s="64"/>
      <c r="P1313" s="64"/>
      <c r="Q1313" s="64"/>
      <c r="R1313" s="64"/>
      <c r="S1313" s="64"/>
    </row>
    <row r="1314" spans="1:19" x14ac:dyDescent="0.25">
      <c r="A1314" s="63"/>
      <c r="B1314" s="64"/>
      <c r="C1314" s="64"/>
      <c r="D1314" s="64"/>
      <c r="E1314" s="64"/>
      <c r="F1314" s="64"/>
      <c r="G1314" s="64"/>
      <c r="H1314" s="64"/>
      <c r="I1314" s="64"/>
      <c r="J1314" s="64"/>
      <c r="K1314" s="64"/>
      <c r="L1314" s="64"/>
      <c r="M1314" s="64"/>
      <c r="N1314" s="64"/>
      <c r="O1314" s="64"/>
      <c r="P1314" s="64"/>
      <c r="Q1314" s="64"/>
      <c r="R1314" s="64"/>
      <c r="S1314" s="64"/>
    </row>
    <row r="1315" spans="1:19" x14ac:dyDescent="0.25">
      <c r="A1315" s="63"/>
      <c r="B1315" s="64"/>
      <c r="C1315" s="64"/>
      <c r="D1315" s="64"/>
      <c r="E1315" s="64"/>
      <c r="F1315" s="64"/>
      <c r="G1315" s="64"/>
      <c r="H1315" s="64"/>
      <c r="I1315" s="64"/>
      <c r="J1315" s="64"/>
      <c r="K1315" s="64"/>
      <c r="L1315" s="64"/>
      <c r="M1315" s="64"/>
      <c r="N1315" s="64"/>
      <c r="O1315" s="64"/>
      <c r="P1315" s="64"/>
      <c r="Q1315" s="64"/>
      <c r="R1315" s="64"/>
      <c r="S1315" s="64"/>
    </row>
    <row r="1316" spans="1:19" x14ac:dyDescent="0.25">
      <c r="A1316" s="63"/>
      <c r="B1316" s="64"/>
      <c r="C1316" s="64"/>
      <c r="D1316" s="64"/>
      <c r="E1316" s="64"/>
      <c r="F1316" s="64"/>
      <c r="G1316" s="64"/>
      <c r="H1316" s="64"/>
      <c r="I1316" s="64"/>
      <c r="J1316" s="64"/>
      <c r="K1316" s="64"/>
      <c r="L1316" s="64"/>
      <c r="M1316" s="64"/>
      <c r="N1316" s="64"/>
      <c r="O1316" s="64"/>
      <c r="P1316" s="64"/>
      <c r="Q1316" s="64"/>
      <c r="R1316" s="64"/>
      <c r="S1316" s="64"/>
    </row>
    <row r="1317" spans="1:19" x14ac:dyDescent="0.25">
      <c r="A1317" s="63"/>
      <c r="B1317" s="64"/>
      <c r="C1317" s="64"/>
      <c r="D1317" s="64"/>
      <c r="E1317" s="64"/>
      <c r="F1317" s="64"/>
      <c r="G1317" s="64"/>
      <c r="H1317" s="64"/>
      <c r="I1317" s="64"/>
      <c r="J1317" s="64"/>
      <c r="K1317" s="64"/>
      <c r="L1317" s="64"/>
      <c r="M1317" s="64"/>
      <c r="N1317" s="64"/>
      <c r="O1317" s="64"/>
      <c r="P1317" s="64"/>
      <c r="Q1317" s="64"/>
      <c r="R1317" s="64"/>
      <c r="S1317" s="64"/>
    </row>
    <row r="1318" spans="1:19" x14ac:dyDescent="0.25">
      <c r="A1318" s="63"/>
      <c r="B1318" s="64"/>
      <c r="C1318" s="64"/>
      <c r="D1318" s="64"/>
      <c r="E1318" s="64"/>
      <c r="F1318" s="64"/>
      <c r="G1318" s="64"/>
      <c r="H1318" s="64"/>
      <c r="I1318" s="64"/>
      <c r="J1318" s="64"/>
      <c r="K1318" s="64"/>
      <c r="L1318" s="64"/>
      <c r="M1318" s="64"/>
      <c r="N1318" s="64"/>
      <c r="O1318" s="64"/>
      <c r="P1318" s="64"/>
      <c r="Q1318" s="64"/>
      <c r="R1318" s="64"/>
      <c r="S1318" s="64"/>
    </row>
    <row r="1319" spans="1:19" x14ac:dyDescent="0.25">
      <c r="A1319" s="63"/>
      <c r="B1319" s="64"/>
      <c r="C1319" s="64"/>
      <c r="D1319" s="64"/>
      <c r="E1319" s="64"/>
      <c r="F1319" s="64"/>
      <c r="G1319" s="64"/>
      <c r="H1319" s="64"/>
      <c r="I1319" s="64"/>
      <c r="J1319" s="64"/>
      <c r="K1319" s="64"/>
      <c r="L1319" s="64"/>
      <c r="M1319" s="64"/>
      <c r="N1319" s="64"/>
      <c r="O1319" s="64"/>
      <c r="P1319" s="64"/>
      <c r="Q1319" s="64"/>
      <c r="R1319" s="64"/>
      <c r="S1319" s="64"/>
    </row>
    <row r="1320" spans="1:19" x14ac:dyDescent="0.25">
      <c r="A1320" s="63"/>
      <c r="B1320" s="64"/>
      <c r="C1320" s="64"/>
      <c r="D1320" s="64"/>
      <c r="E1320" s="64"/>
      <c r="F1320" s="64"/>
      <c r="G1320" s="64"/>
      <c r="H1320" s="64"/>
      <c r="I1320" s="64"/>
      <c r="J1320" s="64"/>
      <c r="K1320" s="64"/>
      <c r="L1320" s="64"/>
      <c r="M1320" s="64"/>
      <c r="N1320" s="64"/>
      <c r="O1320" s="64"/>
      <c r="P1320" s="64"/>
      <c r="Q1320" s="64"/>
      <c r="R1320" s="64"/>
      <c r="S1320" s="64"/>
    </row>
    <row r="1321" spans="1:19" x14ac:dyDescent="0.25">
      <c r="A1321" s="63"/>
      <c r="B1321" s="64"/>
      <c r="C1321" s="64"/>
      <c r="D1321" s="64"/>
      <c r="E1321" s="64"/>
      <c r="F1321" s="64"/>
      <c r="G1321" s="64"/>
      <c r="H1321" s="64"/>
      <c r="I1321" s="64"/>
      <c r="J1321" s="64"/>
      <c r="K1321" s="64"/>
      <c r="L1321" s="64"/>
      <c r="M1321" s="64"/>
      <c r="N1321" s="64"/>
      <c r="O1321" s="64"/>
      <c r="P1321" s="64"/>
      <c r="Q1321" s="64"/>
      <c r="R1321" s="64"/>
      <c r="S1321" s="64"/>
    </row>
    <row r="1322" spans="1:19" x14ac:dyDescent="0.25">
      <c r="A1322" s="63"/>
      <c r="B1322" s="64"/>
      <c r="C1322" s="64"/>
      <c r="D1322" s="64"/>
      <c r="E1322" s="64"/>
      <c r="F1322" s="64"/>
      <c r="G1322" s="64"/>
      <c r="H1322" s="64"/>
      <c r="I1322" s="64"/>
      <c r="J1322" s="64"/>
      <c r="K1322" s="64"/>
      <c r="L1322" s="64"/>
      <c r="M1322" s="64"/>
      <c r="N1322" s="64"/>
      <c r="O1322" s="64"/>
      <c r="P1322" s="64"/>
      <c r="Q1322" s="64"/>
      <c r="R1322" s="64"/>
      <c r="S1322" s="64"/>
    </row>
    <row r="1323" spans="1:19" x14ac:dyDescent="0.25">
      <c r="A1323" s="63"/>
      <c r="B1323" s="64"/>
      <c r="C1323" s="64"/>
      <c r="D1323" s="64"/>
      <c r="E1323" s="64"/>
      <c r="F1323" s="64"/>
      <c r="G1323" s="64"/>
      <c r="H1323" s="64"/>
      <c r="I1323" s="64"/>
      <c r="J1323" s="64"/>
      <c r="K1323" s="64"/>
      <c r="L1323" s="64"/>
      <c r="M1323" s="64"/>
      <c r="N1323" s="64"/>
      <c r="O1323" s="64"/>
      <c r="P1323" s="64"/>
      <c r="Q1323" s="64"/>
      <c r="R1323" s="64"/>
      <c r="S1323" s="64"/>
    </row>
    <row r="1324" spans="1:19" x14ac:dyDescent="0.25">
      <c r="A1324" s="63"/>
      <c r="B1324" s="64"/>
      <c r="C1324" s="64"/>
      <c r="D1324" s="64"/>
      <c r="E1324" s="64"/>
      <c r="F1324" s="64"/>
      <c r="G1324" s="64"/>
      <c r="H1324" s="64"/>
      <c r="I1324" s="64"/>
      <c r="J1324" s="64"/>
      <c r="K1324" s="64"/>
      <c r="L1324" s="64"/>
      <c r="M1324" s="64"/>
      <c r="N1324" s="64"/>
      <c r="O1324" s="64"/>
      <c r="P1324" s="64"/>
      <c r="Q1324" s="64"/>
      <c r="R1324" s="64"/>
      <c r="S1324" s="64"/>
    </row>
    <row r="1325" spans="1:19" x14ac:dyDescent="0.25">
      <c r="A1325" s="63"/>
      <c r="B1325" s="64"/>
      <c r="C1325" s="64"/>
      <c r="D1325" s="64"/>
      <c r="E1325" s="64"/>
      <c r="F1325" s="64"/>
      <c r="G1325" s="64"/>
      <c r="H1325" s="64"/>
      <c r="I1325" s="64"/>
      <c r="J1325" s="64"/>
      <c r="K1325" s="64"/>
      <c r="L1325" s="64"/>
      <c r="M1325" s="64"/>
      <c r="N1325" s="64"/>
      <c r="O1325" s="64"/>
      <c r="P1325" s="64"/>
      <c r="Q1325" s="64"/>
      <c r="R1325" s="64"/>
      <c r="S1325" s="64"/>
    </row>
    <row r="1326" spans="1:19" x14ac:dyDescent="0.25">
      <c r="A1326" s="63"/>
      <c r="B1326" s="64"/>
      <c r="C1326" s="64"/>
      <c r="D1326" s="64"/>
      <c r="E1326" s="64"/>
      <c r="F1326" s="64"/>
      <c r="G1326" s="64"/>
      <c r="H1326" s="64"/>
      <c r="I1326" s="64"/>
      <c r="J1326" s="64"/>
      <c r="K1326" s="64"/>
      <c r="L1326" s="64"/>
      <c r="M1326" s="64"/>
      <c r="N1326" s="64"/>
      <c r="O1326" s="64"/>
      <c r="P1326" s="64"/>
      <c r="Q1326" s="64"/>
      <c r="R1326" s="64"/>
      <c r="S1326" s="64"/>
    </row>
    <row r="1327" spans="1:19" x14ac:dyDescent="0.25">
      <c r="A1327" s="63"/>
      <c r="B1327" s="64"/>
      <c r="C1327" s="64"/>
      <c r="D1327" s="64"/>
      <c r="E1327" s="64"/>
      <c r="F1327" s="64"/>
      <c r="G1327" s="64"/>
      <c r="H1327" s="64"/>
      <c r="I1327" s="64"/>
      <c r="J1327" s="64"/>
      <c r="K1327" s="64"/>
      <c r="L1327" s="64"/>
      <c r="M1327" s="64"/>
      <c r="N1327" s="64"/>
      <c r="O1327" s="64"/>
      <c r="P1327" s="64"/>
      <c r="Q1327" s="64"/>
      <c r="R1327" s="64"/>
      <c r="S1327" s="64"/>
    </row>
    <row r="1328" spans="1:19" x14ac:dyDescent="0.25">
      <c r="A1328" s="63"/>
      <c r="B1328" s="64"/>
      <c r="C1328" s="64"/>
      <c r="D1328" s="64"/>
      <c r="E1328" s="64"/>
      <c r="F1328" s="64"/>
      <c r="G1328" s="64"/>
      <c r="H1328" s="64"/>
      <c r="I1328" s="64"/>
      <c r="J1328" s="64"/>
      <c r="K1328" s="64"/>
      <c r="L1328" s="64"/>
      <c r="M1328" s="64"/>
      <c r="N1328" s="64"/>
      <c r="O1328" s="64"/>
      <c r="P1328" s="64"/>
      <c r="Q1328" s="64"/>
      <c r="R1328" s="64"/>
      <c r="S1328" s="64"/>
    </row>
    <row r="1329" spans="1:19" x14ac:dyDescent="0.25">
      <c r="A1329" s="63"/>
      <c r="B1329" s="64"/>
      <c r="C1329" s="64"/>
      <c r="D1329" s="64"/>
      <c r="E1329" s="64"/>
      <c r="F1329" s="64"/>
      <c r="G1329" s="64"/>
      <c r="H1329" s="64"/>
      <c r="I1329" s="64"/>
      <c r="J1329" s="64"/>
      <c r="K1329" s="64"/>
      <c r="L1329" s="64"/>
      <c r="M1329" s="64"/>
      <c r="N1329" s="64"/>
      <c r="O1329" s="64"/>
      <c r="P1329" s="64"/>
      <c r="Q1329" s="64"/>
      <c r="R1329" s="64"/>
      <c r="S1329" s="64"/>
    </row>
    <row r="1330" spans="1:19" x14ac:dyDescent="0.25">
      <c r="A1330" s="63"/>
      <c r="B1330" s="64"/>
      <c r="C1330" s="64"/>
      <c r="D1330" s="64"/>
      <c r="E1330" s="64"/>
      <c r="F1330" s="64"/>
      <c r="G1330" s="64"/>
      <c r="H1330" s="64"/>
      <c r="I1330" s="64"/>
      <c r="J1330" s="64"/>
      <c r="K1330" s="64"/>
      <c r="L1330" s="64"/>
      <c r="M1330" s="64"/>
      <c r="N1330" s="64"/>
      <c r="O1330" s="64"/>
      <c r="P1330" s="64"/>
      <c r="Q1330" s="64"/>
      <c r="R1330" s="64"/>
      <c r="S1330" s="64"/>
    </row>
    <row r="1331" spans="1:19" x14ac:dyDescent="0.25">
      <c r="A1331" s="63"/>
      <c r="B1331" s="64"/>
      <c r="C1331" s="64"/>
      <c r="D1331" s="64"/>
      <c r="E1331" s="64"/>
      <c r="F1331" s="64"/>
      <c r="G1331" s="64"/>
      <c r="H1331" s="64"/>
      <c r="I1331" s="64"/>
      <c r="J1331" s="64"/>
      <c r="K1331" s="64"/>
      <c r="L1331" s="64"/>
      <c r="M1331" s="64"/>
      <c r="N1331" s="64"/>
      <c r="O1331" s="64"/>
      <c r="P1331" s="64"/>
      <c r="Q1331" s="64"/>
      <c r="R1331" s="64"/>
      <c r="S1331" s="64"/>
    </row>
    <row r="1332" spans="1:19" x14ac:dyDescent="0.25">
      <c r="A1332" s="63"/>
      <c r="B1332" s="64"/>
      <c r="C1332" s="64"/>
      <c r="D1332" s="64"/>
      <c r="E1332" s="64"/>
      <c r="F1332" s="64"/>
      <c r="G1332" s="64"/>
      <c r="H1332" s="64"/>
      <c r="I1332" s="64"/>
      <c r="J1332" s="64"/>
      <c r="K1332" s="64"/>
      <c r="L1332" s="64"/>
      <c r="M1332" s="64"/>
      <c r="N1332" s="64"/>
      <c r="O1332" s="64"/>
      <c r="P1332" s="64"/>
      <c r="Q1332" s="64"/>
      <c r="R1332" s="64"/>
      <c r="S1332" s="64"/>
    </row>
    <row r="1333" spans="1:19" x14ac:dyDescent="0.25">
      <c r="A1333" s="63"/>
      <c r="B1333" s="64"/>
      <c r="C1333" s="64"/>
      <c r="D1333" s="64"/>
      <c r="E1333" s="64"/>
      <c r="F1333" s="64"/>
      <c r="G1333" s="64"/>
      <c r="H1333" s="64"/>
      <c r="I1333" s="64"/>
      <c r="J1333" s="64"/>
      <c r="K1333" s="64"/>
      <c r="L1333" s="64"/>
      <c r="M1333" s="64"/>
      <c r="N1333" s="64"/>
      <c r="O1333" s="64"/>
      <c r="P1333" s="64"/>
      <c r="Q1333" s="64"/>
      <c r="R1333" s="64"/>
      <c r="S1333" s="64"/>
    </row>
    <row r="1334" spans="1:19" x14ac:dyDescent="0.25">
      <c r="A1334" s="63"/>
      <c r="B1334" s="64"/>
      <c r="C1334" s="64"/>
      <c r="D1334" s="64"/>
      <c r="E1334" s="64"/>
      <c r="F1334" s="64"/>
      <c r="G1334" s="64"/>
      <c r="H1334" s="64"/>
      <c r="I1334" s="64"/>
      <c r="J1334" s="64"/>
      <c r="K1334" s="64"/>
      <c r="L1334" s="64"/>
      <c r="M1334" s="64"/>
      <c r="N1334" s="64"/>
      <c r="O1334" s="64"/>
      <c r="P1334" s="64"/>
      <c r="Q1334" s="64"/>
      <c r="R1334" s="64"/>
      <c r="S1334" s="64"/>
    </row>
    <row r="1335" spans="1:19" x14ac:dyDescent="0.25">
      <c r="A1335" s="63"/>
      <c r="B1335" s="64"/>
      <c r="C1335" s="64"/>
      <c r="D1335" s="64"/>
      <c r="E1335" s="64"/>
      <c r="F1335" s="64"/>
      <c r="G1335" s="64"/>
      <c r="H1335" s="64"/>
      <c r="I1335" s="64"/>
      <c r="J1335" s="64"/>
      <c r="K1335" s="64"/>
      <c r="L1335" s="64"/>
      <c r="M1335" s="64"/>
      <c r="N1335" s="64"/>
      <c r="O1335" s="64"/>
      <c r="P1335" s="64"/>
      <c r="Q1335" s="64"/>
      <c r="R1335" s="64"/>
      <c r="S1335" s="64"/>
    </row>
    <row r="1336" spans="1:19" x14ac:dyDescent="0.25">
      <c r="A1336" s="63"/>
      <c r="B1336" s="64"/>
      <c r="C1336" s="64"/>
      <c r="D1336" s="64"/>
      <c r="E1336" s="64"/>
      <c r="F1336" s="64"/>
      <c r="G1336" s="64"/>
      <c r="H1336" s="64"/>
      <c r="I1336" s="64"/>
      <c r="J1336" s="64"/>
      <c r="K1336" s="64"/>
      <c r="L1336" s="64"/>
      <c r="M1336" s="64"/>
      <c r="N1336" s="64"/>
      <c r="O1336" s="64"/>
      <c r="P1336" s="64"/>
      <c r="Q1336" s="64"/>
      <c r="R1336" s="64"/>
      <c r="S1336" s="64"/>
    </row>
    <row r="1337" spans="1:19" x14ac:dyDescent="0.25">
      <c r="A1337" s="63"/>
      <c r="B1337" s="64"/>
      <c r="C1337" s="64"/>
      <c r="D1337" s="64"/>
      <c r="E1337" s="64"/>
      <c r="F1337" s="64"/>
      <c r="G1337" s="64"/>
      <c r="H1337" s="64"/>
      <c r="I1337" s="64"/>
      <c r="J1337" s="64"/>
      <c r="K1337" s="64"/>
      <c r="L1337" s="64"/>
      <c r="M1337" s="64"/>
      <c r="N1337" s="64"/>
      <c r="O1337" s="64"/>
      <c r="P1337" s="64"/>
      <c r="Q1337" s="64"/>
      <c r="R1337" s="64"/>
      <c r="S1337" s="64"/>
    </row>
    <row r="1338" spans="1:19" x14ac:dyDescent="0.25">
      <c r="A1338" s="63"/>
      <c r="B1338" s="64"/>
      <c r="C1338" s="64"/>
      <c r="D1338" s="64"/>
      <c r="E1338" s="64"/>
      <c r="F1338" s="64"/>
      <c r="G1338" s="64"/>
      <c r="H1338" s="64"/>
      <c r="I1338" s="64"/>
      <c r="J1338" s="64"/>
      <c r="K1338" s="64"/>
      <c r="L1338" s="64"/>
      <c r="M1338" s="64"/>
      <c r="N1338" s="64"/>
      <c r="O1338" s="64"/>
      <c r="P1338" s="64"/>
      <c r="Q1338" s="64"/>
      <c r="R1338" s="64"/>
      <c r="S1338" s="64"/>
    </row>
    <row r="1339" spans="1:19" x14ac:dyDescent="0.25">
      <c r="A1339" s="63"/>
      <c r="B1339" s="64"/>
      <c r="C1339" s="64"/>
      <c r="D1339" s="64"/>
      <c r="E1339" s="64"/>
      <c r="F1339" s="64"/>
      <c r="G1339" s="64"/>
      <c r="H1339" s="64"/>
      <c r="I1339" s="64"/>
      <c r="J1339" s="64"/>
      <c r="K1339" s="64"/>
      <c r="L1339" s="64"/>
      <c r="M1339" s="64"/>
      <c r="N1339" s="64"/>
      <c r="O1339" s="64"/>
      <c r="P1339" s="64"/>
      <c r="Q1339" s="64"/>
      <c r="R1339" s="64"/>
      <c r="S1339" s="64"/>
    </row>
    <row r="1340" spans="1:19" x14ac:dyDescent="0.25">
      <c r="A1340" s="63"/>
      <c r="B1340" s="64"/>
      <c r="C1340" s="64"/>
      <c r="D1340" s="64"/>
      <c r="E1340" s="64"/>
      <c r="F1340" s="64"/>
      <c r="G1340" s="64"/>
      <c r="H1340" s="64"/>
      <c r="I1340" s="64"/>
      <c r="J1340" s="64"/>
      <c r="K1340" s="64"/>
      <c r="L1340" s="64"/>
      <c r="M1340" s="64"/>
      <c r="N1340" s="64"/>
      <c r="O1340" s="64"/>
      <c r="P1340" s="64"/>
      <c r="Q1340" s="64"/>
      <c r="R1340" s="64"/>
      <c r="S1340" s="64"/>
    </row>
    <row r="1341" spans="1:19" x14ac:dyDescent="0.25">
      <c r="A1341" s="63"/>
      <c r="B1341" s="64"/>
      <c r="C1341" s="64"/>
      <c r="D1341" s="64"/>
      <c r="E1341" s="64"/>
      <c r="F1341" s="64"/>
      <c r="G1341" s="64"/>
      <c r="H1341" s="64"/>
      <c r="I1341" s="64"/>
      <c r="J1341" s="64"/>
      <c r="K1341" s="64"/>
      <c r="L1341" s="64"/>
      <c r="M1341" s="64"/>
      <c r="N1341" s="64"/>
      <c r="O1341" s="64"/>
      <c r="P1341" s="64"/>
      <c r="Q1341" s="64"/>
      <c r="R1341" s="64"/>
      <c r="S1341" s="64"/>
    </row>
    <row r="1342" spans="1:19" x14ac:dyDescent="0.25">
      <c r="A1342" s="63"/>
      <c r="B1342" s="64"/>
      <c r="C1342" s="64"/>
      <c r="D1342" s="64"/>
      <c r="E1342" s="64"/>
      <c r="F1342" s="64"/>
      <c r="G1342" s="64"/>
      <c r="H1342" s="64"/>
      <c r="I1342" s="64"/>
      <c r="J1342" s="64"/>
      <c r="K1342" s="64"/>
      <c r="L1342" s="64"/>
      <c r="M1342" s="64"/>
      <c r="N1342" s="64"/>
      <c r="O1342" s="64"/>
      <c r="P1342" s="64"/>
      <c r="Q1342" s="64"/>
      <c r="R1342" s="64"/>
      <c r="S1342" s="64"/>
    </row>
    <row r="1343" spans="1:19" x14ac:dyDescent="0.25">
      <c r="A1343" s="63"/>
      <c r="B1343" s="64"/>
      <c r="C1343" s="64"/>
      <c r="D1343" s="64"/>
      <c r="E1343" s="64"/>
      <c r="F1343" s="64"/>
      <c r="G1343" s="64"/>
      <c r="H1343" s="64"/>
      <c r="I1343" s="64"/>
      <c r="J1343" s="64"/>
      <c r="K1343" s="64"/>
      <c r="L1343" s="64"/>
      <c r="M1343" s="64"/>
      <c r="N1343" s="64"/>
      <c r="O1343" s="64"/>
      <c r="P1343" s="64"/>
      <c r="Q1343" s="64"/>
      <c r="R1343" s="64"/>
      <c r="S1343" s="64"/>
    </row>
    <row r="1344" spans="1:19" x14ac:dyDescent="0.25">
      <c r="A1344" s="63"/>
      <c r="B1344" s="64"/>
      <c r="C1344" s="64"/>
      <c r="D1344" s="64"/>
      <c r="E1344" s="64"/>
      <c r="F1344" s="64"/>
      <c r="G1344" s="64"/>
      <c r="H1344" s="64"/>
      <c r="I1344" s="64"/>
      <c r="J1344" s="64"/>
      <c r="K1344" s="64"/>
      <c r="L1344" s="64"/>
      <c r="M1344" s="64"/>
      <c r="N1344" s="64"/>
      <c r="O1344" s="64"/>
      <c r="P1344" s="64"/>
      <c r="Q1344" s="64"/>
      <c r="R1344" s="64"/>
      <c r="S1344" s="64"/>
    </row>
    <row r="1345" spans="1:19" x14ac:dyDescent="0.25">
      <c r="A1345" s="63"/>
      <c r="B1345" s="64"/>
      <c r="C1345" s="64"/>
      <c r="D1345" s="64"/>
      <c r="E1345" s="64"/>
      <c r="F1345" s="64"/>
      <c r="G1345" s="64"/>
      <c r="H1345" s="64"/>
      <c r="I1345" s="64"/>
      <c r="J1345" s="64"/>
      <c r="K1345" s="64"/>
      <c r="L1345" s="64"/>
      <c r="M1345" s="64"/>
      <c r="N1345" s="64"/>
      <c r="O1345" s="64"/>
      <c r="P1345" s="64"/>
      <c r="Q1345" s="64"/>
      <c r="R1345" s="64"/>
      <c r="S1345" s="64"/>
    </row>
    <row r="1346" spans="1:19" x14ac:dyDescent="0.25">
      <c r="A1346" s="63"/>
      <c r="B1346" s="64"/>
      <c r="C1346" s="64"/>
      <c r="D1346" s="64"/>
      <c r="E1346" s="64"/>
      <c r="F1346" s="64"/>
      <c r="G1346" s="64"/>
      <c r="H1346" s="64"/>
      <c r="I1346" s="64"/>
      <c r="J1346" s="64"/>
      <c r="K1346" s="64"/>
      <c r="L1346" s="64"/>
      <c r="M1346" s="64"/>
      <c r="N1346" s="64"/>
      <c r="O1346" s="64"/>
      <c r="P1346" s="64"/>
      <c r="Q1346" s="64"/>
      <c r="R1346" s="64"/>
      <c r="S1346" s="64"/>
    </row>
    <row r="1347" spans="1:19" x14ac:dyDescent="0.25">
      <c r="A1347" s="63"/>
      <c r="B1347" s="64"/>
      <c r="C1347" s="64"/>
      <c r="D1347" s="64"/>
      <c r="E1347" s="64"/>
      <c r="F1347" s="64"/>
      <c r="G1347" s="64"/>
      <c r="H1347" s="64"/>
      <c r="I1347" s="64"/>
      <c r="J1347" s="64"/>
      <c r="K1347" s="64"/>
      <c r="L1347" s="64"/>
      <c r="M1347" s="64"/>
      <c r="N1347" s="64"/>
      <c r="O1347" s="64"/>
      <c r="P1347" s="64"/>
      <c r="Q1347" s="64"/>
      <c r="R1347" s="64"/>
      <c r="S1347" s="64"/>
    </row>
    <row r="1348" spans="1:19" x14ac:dyDescent="0.25">
      <c r="A1348" s="63"/>
      <c r="B1348" s="64"/>
      <c r="C1348" s="64"/>
      <c r="D1348" s="64"/>
      <c r="E1348" s="64"/>
      <c r="F1348" s="64"/>
      <c r="G1348" s="64"/>
      <c r="H1348" s="64"/>
      <c r="I1348" s="64"/>
      <c r="J1348" s="64"/>
      <c r="K1348" s="64"/>
      <c r="L1348" s="64"/>
      <c r="M1348" s="64"/>
      <c r="N1348" s="64"/>
      <c r="O1348" s="64"/>
      <c r="P1348" s="64"/>
      <c r="Q1348" s="64"/>
      <c r="R1348" s="64"/>
      <c r="S1348" s="64"/>
    </row>
    <row r="1349" spans="1:19" x14ac:dyDescent="0.25">
      <c r="A1349" s="63"/>
      <c r="B1349" s="64"/>
      <c r="C1349" s="64"/>
      <c r="D1349" s="64"/>
      <c r="E1349" s="64"/>
      <c r="F1349" s="64"/>
      <c r="G1349" s="64"/>
      <c r="H1349" s="64"/>
      <c r="I1349" s="64"/>
      <c r="J1349" s="64"/>
      <c r="K1349" s="64"/>
      <c r="L1349" s="64"/>
      <c r="M1349" s="64"/>
      <c r="N1349" s="64"/>
      <c r="O1349" s="64"/>
      <c r="P1349" s="64"/>
      <c r="Q1349" s="64"/>
      <c r="R1349" s="64"/>
      <c r="S1349" s="64"/>
    </row>
    <row r="1350" spans="1:19" x14ac:dyDescent="0.25">
      <c r="A1350" s="63"/>
      <c r="B1350" s="64"/>
      <c r="C1350" s="64"/>
      <c r="D1350" s="64"/>
      <c r="E1350" s="64"/>
      <c r="F1350" s="64"/>
      <c r="G1350" s="64"/>
      <c r="H1350" s="64"/>
      <c r="I1350" s="64"/>
      <c r="J1350" s="64"/>
      <c r="K1350" s="64"/>
      <c r="L1350" s="64"/>
      <c r="M1350" s="64"/>
      <c r="N1350" s="64"/>
      <c r="O1350" s="64"/>
      <c r="P1350" s="64"/>
      <c r="Q1350" s="64"/>
      <c r="R1350" s="64"/>
      <c r="S1350" s="64"/>
    </row>
    <row r="1351" spans="1:19" x14ac:dyDescent="0.25">
      <c r="A1351" s="63"/>
      <c r="B1351" s="64"/>
      <c r="C1351" s="64"/>
      <c r="D1351" s="64"/>
      <c r="E1351" s="64"/>
      <c r="F1351" s="64"/>
      <c r="G1351" s="64"/>
      <c r="H1351" s="64"/>
      <c r="I1351" s="64"/>
      <c r="J1351" s="64"/>
      <c r="K1351" s="64"/>
      <c r="L1351" s="64"/>
      <c r="M1351" s="64"/>
      <c r="N1351" s="64"/>
      <c r="O1351" s="64"/>
      <c r="P1351" s="64"/>
      <c r="Q1351" s="64"/>
      <c r="R1351" s="64"/>
      <c r="S1351" s="64"/>
    </row>
    <row r="1352" spans="1:19" x14ac:dyDescent="0.25">
      <c r="A1352" s="63"/>
      <c r="B1352" s="64"/>
      <c r="C1352" s="64"/>
      <c r="D1352" s="64"/>
      <c r="E1352" s="64"/>
      <c r="F1352" s="64"/>
      <c r="G1352" s="64"/>
      <c r="H1352" s="64"/>
      <c r="I1352" s="64"/>
      <c r="J1352" s="64"/>
      <c r="K1352" s="64"/>
      <c r="L1352" s="64"/>
      <c r="M1352" s="64"/>
      <c r="N1352" s="64"/>
      <c r="O1352" s="64"/>
      <c r="P1352" s="64"/>
      <c r="Q1352" s="64"/>
      <c r="R1352" s="64"/>
      <c r="S1352" s="64"/>
    </row>
    <row r="1353" spans="1:19" x14ac:dyDescent="0.25">
      <c r="A1353" s="63"/>
      <c r="B1353" s="64"/>
      <c r="C1353" s="64"/>
      <c r="D1353" s="64"/>
      <c r="E1353" s="64"/>
      <c r="F1353" s="64"/>
      <c r="G1353" s="64"/>
      <c r="H1353" s="64"/>
      <c r="I1353" s="64"/>
      <c r="J1353" s="64"/>
      <c r="K1353" s="64"/>
      <c r="L1353" s="64"/>
      <c r="M1353" s="64"/>
      <c r="N1353" s="64"/>
      <c r="O1353" s="64"/>
      <c r="P1353" s="64"/>
      <c r="Q1353" s="64"/>
      <c r="R1353" s="64"/>
      <c r="S1353" s="64"/>
    </row>
    <row r="1354" spans="1:19" x14ac:dyDescent="0.25">
      <c r="A1354" s="63"/>
      <c r="B1354" s="64"/>
      <c r="C1354" s="64"/>
      <c r="D1354" s="64"/>
      <c r="E1354" s="64"/>
      <c r="F1354" s="64"/>
      <c r="G1354" s="64"/>
      <c r="H1354" s="64"/>
      <c r="I1354" s="64"/>
      <c r="J1354" s="64"/>
      <c r="K1354" s="64"/>
      <c r="L1354" s="64"/>
      <c r="M1354" s="64"/>
      <c r="N1354" s="64"/>
      <c r="O1354" s="64"/>
      <c r="P1354" s="64"/>
      <c r="Q1354" s="64"/>
      <c r="R1354" s="64"/>
      <c r="S1354" s="64"/>
    </row>
    <row r="1355" spans="1:19" x14ac:dyDescent="0.25">
      <c r="A1355" s="63"/>
      <c r="B1355" s="64"/>
      <c r="C1355" s="64"/>
      <c r="D1355" s="64"/>
      <c r="E1355" s="64"/>
      <c r="F1355" s="64"/>
      <c r="G1355" s="64"/>
      <c r="H1355" s="64"/>
      <c r="I1355" s="64"/>
      <c r="J1355" s="64"/>
      <c r="K1355" s="64"/>
      <c r="L1355" s="64"/>
      <c r="M1355" s="64"/>
      <c r="N1355" s="64"/>
      <c r="O1355" s="64"/>
      <c r="P1355" s="64"/>
      <c r="Q1355" s="64"/>
      <c r="R1355" s="64"/>
      <c r="S1355" s="64"/>
    </row>
    <row r="1356" spans="1:19" x14ac:dyDescent="0.25">
      <c r="A1356" s="63"/>
      <c r="B1356" s="64"/>
      <c r="C1356" s="64"/>
      <c r="D1356" s="64"/>
      <c r="E1356" s="64"/>
      <c r="F1356" s="64"/>
      <c r="G1356" s="64"/>
      <c r="H1356" s="64"/>
      <c r="I1356" s="64"/>
      <c r="J1356" s="64"/>
      <c r="K1356" s="64"/>
      <c r="L1356" s="64"/>
      <c r="M1356" s="64"/>
      <c r="N1356" s="64"/>
      <c r="O1356" s="64"/>
      <c r="P1356" s="64"/>
      <c r="Q1356" s="64"/>
      <c r="R1356" s="64"/>
      <c r="S1356" s="64"/>
    </row>
    <row r="1357" spans="1:19" x14ac:dyDescent="0.25">
      <c r="A1357" s="63"/>
      <c r="B1357" s="64"/>
      <c r="C1357" s="64"/>
      <c r="D1357" s="64"/>
      <c r="E1357" s="64"/>
      <c r="F1357" s="64"/>
      <c r="G1357" s="64"/>
      <c r="H1357" s="64"/>
      <c r="I1357" s="64"/>
      <c r="J1357" s="64"/>
      <c r="K1357" s="64"/>
      <c r="L1357" s="64"/>
      <c r="M1357" s="64"/>
      <c r="N1357" s="64"/>
      <c r="O1357" s="64"/>
      <c r="P1357" s="64"/>
      <c r="Q1357" s="64"/>
      <c r="R1357" s="64"/>
      <c r="S1357" s="64"/>
    </row>
    <row r="1358" spans="1:19" x14ac:dyDescent="0.25">
      <c r="A1358" s="63"/>
      <c r="B1358" s="64"/>
      <c r="C1358" s="64"/>
      <c r="D1358" s="64"/>
      <c r="E1358" s="64"/>
      <c r="F1358" s="64"/>
      <c r="G1358" s="64"/>
      <c r="H1358" s="64"/>
      <c r="I1358" s="64"/>
      <c r="J1358" s="64"/>
      <c r="K1358" s="64"/>
      <c r="L1358" s="64"/>
      <c r="M1358" s="64"/>
      <c r="N1358" s="64"/>
      <c r="O1358" s="64"/>
      <c r="P1358" s="64"/>
      <c r="Q1358" s="64"/>
      <c r="R1358" s="64"/>
      <c r="S1358" s="64"/>
    </row>
    <row r="1359" spans="1:19" x14ac:dyDescent="0.25">
      <c r="A1359" s="63"/>
      <c r="B1359" s="64"/>
      <c r="C1359" s="64"/>
      <c r="D1359" s="64"/>
      <c r="E1359" s="64"/>
      <c r="F1359" s="64"/>
      <c r="G1359" s="64"/>
      <c r="H1359" s="64"/>
      <c r="I1359" s="64"/>
      <c r="J1359" s="64"/>
      <c r="K1359" s="64"/>
      <c r="L1359" s="64"/>
      <c r="M1359" s="64"/>
      <c r="N1359" s="64"/>
      <c r="O1359" s="64"/>
      <c r="P1359" s="64"/>
      <c r="Q1359" s="64"/>
      <c r="R1359" s="64"/>
      <c r="S1359" s="64"/>
    </row>
    <row r="1360" spans="1:19" x14ac:dyDescent="0.25">
      <c r="A1360" s="63"/>
      <c r="B1360" s="64"/>
      <c r="C1360" s="64"/>
      <c r="D1360" s="64"/>
      <c r="E1360" s="64"/>
      <c r="F1360" s="64"/>
      <c r="G1360" s="64"/>
      <c r="H1360" s="64"/>
      <c r="I1360" s="64"/>
      <c r="J1360" s="64"/>
      <c r="K1360" s="64"/>
      <c r="L1360" s="64"/>
      <c r="M1360" s="64"/>
      <c r="N1360" s="64"/>
      <c r="O1360" s="64"/>
      <c r="P1360" s="64"/>
      <c r="Q1360" s="64"/>
      <c r="R1360" s="64"/>
      <c r="S1360" s="64"/>
    </row>
    <row r="1361" spans="1:19" x14ac:dyDescent="0.25">
      <c r="A1361" s="63"/>
      <c r="B1361" s="64"/>
      <c r="C1361" s="64"/>
      <c r="D1361" s="64"/>
      <c r="E1361" s="64"/>
      <c r="F1361" s="64"/>
      <c r="G1361" s="64"/>
      <c r="H1361" s="64"/>
      <c r="I1361" s="64"/>
      <c r="J1361" s="64"/>
      <c r="K1361" s="64"/>
      <c r="L1361" s="64"/>
      <c r="M1361" s="64"/>
      <c r="N1361" s="64"/>
      <c r="O1361" s="64"/>
      <c r="P1361" s="64"/>
      <c r="Q1361" s="64"/>
      <c r="R1361" s="64"/>
      <c r="S1361" s="64"/>
    </row>
    <row r="1362" spans="1:19" x14ac:dyDescent="0.25">
      <c r="A1362" s="63"/>
      <c r="B1362" s="64"/>
      <c r="C1362" s="64"/>
      <c r="D1362" s="64"/>
      <c r="E1362" s="64"/>
      <c r="F1362" s="64"/>
      <c r="G1362" s="64"/>
      <c r="H1362" s="64"/>
      <c r="I1362" s="64"/>
      <c r="J1362" s="64"/>
      <c r="K1362" s="64"/>
      <c r="L1362" s="64"/>
      <c r="M1362" s="64"/>
      <c r="N1362" s="64"/>
      <c r="O1362" s="64"/>
      <c r="P1362" s="64"/>
      <c r="Q1362" s="64"/>
      <c r="R1362" s="64"/>
      <c r="S1362" s="64"/>
    </row>
    <row r="1363" spans="1:19" x14ac:dyDescent="0.25">
      <c r="A1363" s="63"/>
      <c r="B1363" s="64"/>
      <c r="C1363" s="64"/>
      <c r="D1363" s="64"/>
      <c r="E1363" s="64"/>
      <c r="F1363" s="64"/>
      <c r="G1363" s="64"/>
      <c r="H1363" s="64"/>
      <c r="I1363" s="64"/>
      <c r="J1363" s="64"/>
      <c r="K1363" s="64"/>
      <c r="L1363" s="64"/>
      <c r="M1363" s="64"/>
      <c r="N1363" s="64"/>
      <c r="O1363" s="64"/>
      <c r="P1363" s="64"/>
      <c r="Q1363" s="64"/>
      <c r="R1363" s="64"/>
      <c r="S1363" s="64"/>
    </row>
    <row r="1364" spans="1:19" x14ac:dyDescent="0.25">
      <c r="A1364" s="63"/>
      <c r="B1364" s="64"/>
      <c r="C1364" s="64"/>
      <c r="D1364" s="64"/>
      <c r="E1364" s="64"/>
      <c r="F1364" s="64"/>
      <c r="G1364" s="64"/>
      <c r="H1364" s="64"/>
      <c r="I1364" s="64"/>
      <c r="J1364" s="64"/>
      <c r="K1364" s="64"/>
      <c r="L1364" s="64"/>
      <c r="M1364" s="64"/>
      <c r="N1364" s="64"/>
      <c r="O1364" s="64"/>
      <c r="P1364" s="64"/>
      <c r="Q1364" s="64"/>
      <c r="R1364" s="64"/>
      <c r="S1364" s="64"/>
    </row>
    <row r="1365" spans="1:19" x14ac:dyDescent="0.25">
      <c r="A1365" s="63"/>
      <c r="B1365" s="64"/>
      <c r="C1365" s="64"/>
      <c r="D1365" s="64"/>
      <c r="E1365" s="64"/>
      <c r="F1365" s="64"/>
      <c r="G1365" s="64"/>
      <c r="H1365" s="64"/>
      <c r="I1365" s="64"/>
      <c r="J1365" s="64"/>
      <c r="K1365" s="64"/>
      <c r="L1365" s="64"/>
      <c r="M1365" s="64"/>
      <c r="N1365" s="64"/>
      <c r="O1365" s="64"/>
      <c r="P1365" s="64"/>
      <c r="Q1365" s="64"/>
      <c r="R1365" s="64"/>
      <c r="S1365" s="64"/>
    </row>
    <row r="1366" spans="1:19" x14ac:dyDescent="0.25">
      <c r="A1366" s="63"/>
      <c r="B1366" s="64"/>
      <c r="C1366" s="64"/>
      <c r="D1366" s="64"/>
      <c r="E1366" s="64"/>
      <c r="F1366" s="64"/>
      <c r="G1366" s="64"/>
      <c r="H1366" s="64"/>
      <c r="I1366" s="64"/>
      <c r="J1366" s="64"/>
      <c r="K1366" s="64"/>
      <c r="L1366" s="64"/>
      <c r="M1366" s="64"/>
      <c r="N1366" s="64"/>
      <c r="O1366" s="64"/>
      <c r="P1366" s="64"/>
      <c r="Q1366" s="64"/>
      <c r="R1366" s="64"/>
      <c r="S1366" s="64"/>
    </row>
    <row r="1367" spans="1:19" x14ac:dyDescent="0.25">
      <c r="A1367" s="63"/>
      <c r="B1367" s="64"/>
      <c r="C1367" s="64"/>
      <c r="D1367" s="64"/>
      <c r="E1367" s="64"/>
      <c r="F1367" s="64"/>
      <c r="G1367" s="64"/>
      <c r="H1367" s="64"/>
      <c r="I1367" s="64"/>
      <c r="J1367" s="64"/>
      <c r="K1367" s="64"/>
      <c r="L1367" s="64"/>
      <c r="M1367" s="64"/>
      <c r="N1367" s="64"/>
      <c r="O1367" s="64"/>
      <c r="P1367" s="64"/>
      <c r="Q1367" s="64"/>
      <c r="R1367" s="64"/>
      <c r="S1367" s="64"/>
    </row>
    <row r="1368" spans="1:19" x14ac:dyDescent="0.25">
      <c r="A1368" s="63"/>
      <c r="B1368" s="64"/>
      <c r="C1368" s="64"/>
      <c r="D1368" s="64"/>
      <c r="E1368" s="64"/>
      <c r="F1368" s="64"/>
      <c r="G1368" s="64"/>
      <c r="H1368" s="64"/>
      <c r="I1368" s="64"/>
      <c r="J1368" s="64"/>
      <c r="K1368" s="64"/>
      <c r="L1368" s="64"/>
      <c r="M1368" s="64"/>
      <c r="N1368" s="64"/>
      <c r="O1368" s="64"/>
      <c r="P1368" s="64"/>
      <c r="Q1368" s="64"/>
      <c r="R1368" s="64"/>
      <c r="S1368" s="64"/>
    </row>
    <row r="1369" spans="1:19" x14ac:dyDescent="0.25">
      <c r="A1369" s="63"/>
      <c r="B1369" s="64"/>
      <c r="C1369" s="64"/>
      <c r="D1369" s="64"/>
      <c r="E1369" s="64"/>
      <c r="F1369" s="64"/>
      <c r="G1369" s="64"/>
      <c r="H1369" s="64"/>
      <c r="I1369" s="64"/>
      <c r="J1369" s="64"/>
      <c r="K1369" s="64"/>
      <c r="L1369" s="64"/>
      <c r="M1369" s="64"/>
      <c r="N1369" s="64"/>
      <c r="O1369" s="64"/>
      <c r="P1369" s="64"/>
      <c r="Q1369" s="64"/>
      <c r="R1369" s="64"/>
      <c r="S1369" s="64"/>
    </row>
    <row r="1370" spans="1:19" x14ac:dyDescent="0.25">
      <c r="A1370" s="63"/>
      <c r="B1370" s="64"/>
      <c r="C1370" s="64"/>
      <c r="D1370" s="64"/>
      <c r="E1370" s="64"/>
      <c r="F1370" s="64"/>
      <c r="G1370" s="64"/>
      <c r="H1370" s="64"/>
      <c r="I1370" s="64"/>
      <c r="J1370" s="64"/>
      <c r="K1370" s="64"/>
      <c r="L1370" s="64"/>
      <c r="M1370" s="64"/>
      <c r="N1370" s="64"/>
      <c r="O1370" s="64"/>
      <c r="P1370" s="64"/>
      <c r="Q1370" s="64"/>
      <c r="R1370" s="64"/>
      <c r="S1370" s="64"/>
    </row>
    <row r="1371" spans="1:19" x14ac:dyDescent="0.25">
      <c r="A1371" s="63"/>
      <c r="B1371" s="64"/>
      <c r="C1371" s="64"/>
      <c r="D1371" s="64"/>
      <c r="E1371" s="64"/>
      <c r="F1371" s="64"/>
      <c r="G1371" s="64"/>
      <c r="H1371" s="64"/>
      <c r="I1371" s="64"/>
      <c r="J1371" s="64"/>
      <c r="K1371" s="64"/>
      <c r="L1371" s="64"/>
      <c r="M1371" s="64"/>
      <c r="N1371" s="64"/>
      <c r="O1371" s="64"/>
      <c r="P1371" s="64"/>
      <c r="Q1371" s="64"/>
      <c r="R1371" s="64"/>
      <c r="S1371" s="64"/>
    </row>
    <row r="1372" spans="1:19" x14ac:dyDescent="0.25">
      <c r="A1372" s="63"/>
      <c r="B1372" s="64"/>
      <c r="C1372" s="64"/>
      <c r="D1372" s="64"/>
      <c r="E1372" s="64"/>
      <c r="F1372" s="64"/>
      <c r="G1372" s="64"/>
      <c r="H1372" s="64"/>
      <c r="I1372" s="64"/>
      <c r="J1372" s="64"/>
      <c r="K1372" s="64"/>
      <c r="L1372" s="64"/>
      <c r="M1372" s="64"/>
      <c r="N1372" s="64"/>
      <c r="O1372" s="64"/>
      <c r="P1372" s="64"/>
      <c r="Q1372" s="64"/>
      <c r="R1372" s="64"/>
      <c r="S1372" s="64"/>
    </row>
    <row r="1373" spans="1:19" x14ac:dyDescent="0.25">
      <c r="A1373" s="63"/>
      <c r="B1373" s="64"/>
      <c r="C1373" s="64"/>
      <c r="D1373" s="64"/>
      <c r="E1373" s="64"/>
      <c r="F1373" s="64"/>
      <c r="G1373" s="64"/>
      <c r="H1373" s="64"/>
      <c r="I1373" s="64"/>
      <c r="J1373" s="64"/>
      <c r="K1373" s="64"/>
      <c r="L1373" s="64"/>
      <c r="M1373" s="64"/>
      <c r="N1373" s="64"/>
      <c r="O1373" s="64"/>
      <c r="P1373" s="64"/>
      <c r="Q1373" s="64"/>
      <c r="R1373" s="64"/>
      <c r="S1373" s="64"/>
    </row>
    <row r="1374" spans="1:19" x14ac:dyDescent="0.25">
      <c r="A1374" s="63"/>
      <c r="B1374" s="64"/>
      <c r="C1374" s="64"/>
      <c r="D1374" s="64"/>
      <c r="E1374" s="64"/>
      <c r="F1374" s="64"/>
      <c r="G1374" s="64"/>
      <c r="H1374" s="64"/>
      <c r="I1374" s="64"/>
      <c r="J1374" s="64"/>
      <c r="K1374" s="64"/>
      <c r="L1374" s="64"/>
      <c r="M1374" s="64"/>
      <c r="N1374" s="64"/>
      <c r="O1374" s="64"/>
      <c r="P1374" s="64"/>
      <c r="Q1374" s="64"/>
      <c r="R1374" s="64"/>
      <c r="S1374" s="64"/>
    </row>
    <row r="1375" spans="1:19" x14ac:dyDescent="0.25">
      <c r="A1375" s="63"/>
      <c r="B1375" s="64"/>
      <c r="C1375" s="64"/>
      <c r="D1375" s="64"/>
      <c r="E1375" s="64"/>
      <c r="F1375" s="64"/>
      <c r="G1375" s="64"/>
      <c r="H1375" s="64"/>
      <c r="I1375" s="64"/>
      <c r="J1375" s="64"/>
      <c r="K1375" s="64"/>
      <c r="L1375" s="64"/>
      <c r="M1375" s="64"/>
      <c r="N1375" s="64"/>
      <c r="O1375" s="64"/>
      <c r="P1375" s="64"/>
      <c r="Q1375" s="64"/>
      <c r="R1375" s="64"/>
      <c r="S1375" s="64"/>
    </row>
    <row r="1376" spans="1:19" x14ac:dyDescent="0.25">
      <c r="A1376" s="63"/>
      <c r="B1376" s="64"/>
      <c r="C1376" s="64"/>
      <c r="D1376" s="64"/>
      <c r="E1376" s="64"/>
      <c r="F1376" s="64"/>
      <c r="G1376" s="64"/>
      <c r="H1376" s="64"/>
      <c r="I1376" s="64"/>
      <c r="J1376" s="64"/>
      <c r="K1376" s="64"/>
      <c r="L1376" s="64"/>
      <c r="M1376" s="64"/>
      <c r="N1376" s="64"/>
      <c r="O1376" s="64"/>
      <c r="P1376" s="64"/>
      <c r="Q1376" s="64"/>
      <c r="R1376" s="64"/>
      <c r="S1376" s="64"/>
    </row>
    <row r="1377" spans="1:19" x14ac:dyDescent="0.25">
      <c r="A1377" s="63"/>
      <c r="B1377" s="64"/>
      <c r="C1377" s="64"/>
      <c r="D1377" s="64"/>
      <c r="E1377" s="64"/>
      <c r="F1377" s="64"/>
      <c r="G1377" s="64"/>
      <c r="H1377" s="64"/>
      <c r="I1377" s="64"/>
      <c r="J1377" s="64"/>
      <c r="K1377" s="64"/>
      <c r="L1377" s="64"/>
      <c r="M1377" s="64"/>
      <c r="N1377" s="64"/>
      <c r="O1377" s="64"/>
      <c r="P1377" s="64"/>
      <c r="Q1377" s="64"/>
      <c r="R1377" s="64"/>
      <c r="S1377" s="64"/>
    </row>
    <row r="1378" spans="1:19" x14ac:dyDescent="0.25">
      <c r="A1378" s="63"/>
      <c r="B1378" s="64"/>
      <c r="C1378" s="64"/>
      <c r="D1378" s="64"/>
      <c r="E1378" s="64"/>
      <c r="F1378" s="64"/>
      <c r="G1378" s="64"/>
      <c r="H1378" s="64"/>
      <c r="I1378" s="64"/>
      <c r="J1378" s="64"/>
      <c r="K1378" s="64"/>
      <c r="L1378" s="64"/>
      <c r="M1378" s="64"/>
      <c r="N1378" s="64"/>
      <c r="O1378" s="64"/>
      <c r="P1378" s="64"/>
      <c r="Q1378" s="64"/>
      <c r="R1378" s="64"/>
      <c r="S1378" s="64"/>
    </row>
    <row r="1379" spans="1:19" x14ac:dyDescent="0.25">
      <c r="A1379" s="63"/>
      <c r="B1379" s="64"/>
      <c r="C1379" s="64"/>
      <c r="D1379" s="64"/>
      <c r="E1379" s="64"/>
      <c r="F1379" s="64"/>
      <c r="G1379" s="64"/>
      <c r="H1379" s="64"/>
      <c r="I1379" s="64"/>
      <c r="J1379" s="64"/>
      <c r="K1379" s="64"/>
      <c r="L1379" s="64"/>
      <c r="M1379" s="64"/>
      <c r="N1379" s="64"/>
      <c r="O1379" s="64"/>
      <c r="P1379" s="64"/>
      <c r="Q1379" s="64"/>
      <c r="R1379" s="64"/>
      <c r="S1379" s="64"/>
    </row>
    <row r="1380" spans="1:19" x14ac:dyDescent="0.25">
      <c r="A1380" s="63"/>
      <c r="B1380" s="64"/>
      <c r="C1380" s="64"/>
      <c r="D1380" s="64"/>
      <c r="E1380" s="64"/>
      <c r="F1380" s="64"/>
      <c r="G1380" s="64"/>
      <c r="H1380" s="64"/>
      <c r="I1380" s="64"/>
      <c r="J1380" s="64"/>
      <c r="K1380" s="64"/>
      <c r="L1380" s="64"/>
      <c r="M1380" s="64"/>
      <c r="N1380" s="64"/>
      <c r="O1380" s="64"/>
      <c r="P1380" s="64"/>
      <c r="Q1380" s="64"/>
      <c r="R1380" s="64"/>
      <c r="S1380" s="64"/>
    </row>
    <row r="1381" spans="1:19" x14ac:dyDescent="0.25">
      <c r="A1381" s="63"/>
      <c r="B1381" s="64"/>
      <c r="C1381" s="64"/>
      <c r="D1381" s="64"/>
      <c r="E1381" s="64"/>
      <c r="F1381" s="64"/>
      <c r="G1381" s="64"/>
      <c r="H1381" s="64"/>
      <c r="I1381" s="64"/>
      <c r="J1381" s="64"/>
      <c r="K1381" s="64"/>
      <c r="L1381" s="64"/>
      <c r="M1381" s="64"/>
      <c r="N1381" s="64"/>
      <c r="O1381" s="64"/>
      <c r="P1381" s="64"/>
      <c r="Q1381" s="64"/>
      <c r="R1381" s="64"/>
      <c r="S1381" s="64"/>
    </row>
    <row r="1382" spans="1:19" x14ac:dyDescent="0.25">
      <c r="A1382" s="63"/>
      <c r="B1382" s="64"/>
      <c r="C1382" s="64"/>
      <c r="D1382" s="64"/>
      <c r="E1382" s="64"/>
      <c r="F1382" s="64"/>
      <c r="G1382" s="64"/>
      <c r="H1382" s="64"/>
      <c r="I1382" s="64"/>
      <c r="J1382" s="64"/>
      <c r="K1382" s="64"/>
      <c r="L1382" s="64"/>
      <c r="M1382" s="64"/>
      <c r="N1382" s="64"/>
      <c r="O1382" s="64"/>
      <c r="P1382" s="64"/>
      <c r="Q1382" s="64"/>
      <c r="R1382" s="64"/>
      <c r="S1382" s="64"/>
    </row>
    <row r="1383" spans="1:19" x14ac:dyDescent="0.25">
      <c r="A1383" s="63"/>
      <c r="B1383" s="64"/>
      <c r="C1383" s="64"/>
      <c r="D1383" s="64"/>
      <c r="E1383" s="64"/>
      <c r="F1383" s="64"/>
      <c r="G1383" s="64"/>
      <c r="H1383" s="64"/>
      <c r="I1383" s="64"/>
      <c r="J1383" s="64"/>
      <c r="K1383" s="64"/>
      <c r="L1383" s="64"/>
      <c r="M1383" s="64"/>
      <c r="N1383" s="64"/>
      <c r="O1383" s="64"/>
      <c r="P1383" s="64"/>
      <c r="Q1383" s="64"/>
      <c r="R1383" s="64"/>
      <c r="S1383" s="64"/>
    </row>
    <row r="1384" spans="1:19" x14ac:dyDescent="0.25">
      <c r="A1384" s="63"/>
      <c r="B1384" s="64"/>
      <c r="C1384" s="64"/>
      <c r="D1384" s="64"/>
      <c r="E1384" s="64"/>
      <c r="F1384" s="64"/>
      <c r="G1384" s="64"/>
      <c r="H1384" s="64"/>
      <c r="I1384" s="64"/>
      <c r="J1384" s="64"/>
      <c r="K1384" s="64"/>
      <c r="L1384" s="64"/>
      <c r="M1384" s="64"/>
      <c r="N1384" s="64"/>
      <c r="O1384" s="64"/>
      <c r="P1384" s="64"/>
      <c r="Q1384" s="64"/>
      <c r="R1384" s="64"/>
      <c r="S1384" s="64"/>
    </row>
    <row r="1385" spans="1:19" x14ac:dyDescent="0.25">
      <c r="A1385" s="63"/>
      <c r="B1385" s="64"/>
      <c r="C1385" s="64"/>
      <c r="D1385" s="64"/>
      <c r="E1385" s="64"/>
      <c r="F1385" s="64"/>
      <c r="G1385" s="64"/>
      <c r="H1385" s="64"/>
      <c r="I1385" s="64"/>
      <c r="J1385" s="64"/>
      <c r="K1385" s="64"/>
      <c r="L1385" s="64"/>
      <c r="M1385" s="64"/>
      <c r="N1385" s="64"/>
      <c r="O1385" s="64"/>
      <c r="P1385" s="64"/>
      <c r="Q1385" s="64"/>
      <c r="R1385" s="64"/>
      <c r="S1385" s="64"/>
    </row>
    <row r="1386" spans="1:19" x14ac:dyDescent="0.25">
      <c r="A1386" s="63"/>
      <c r="B1386" s="64"/>
      <c r="C1386" s="64"/>
      <c r="D1386" s="64"/>
      <c r="E1386" s="64"/>
      <c r="F1386" s="64"/>
      <c r="G1386" s="64"/>
      <c r="H1386" s="64"/>
      <c r="I1386" s="64"/>
      <c r="J1386" s="64"/>
      <c r="K1386" s="64"/>
      <c r="L1386" s="64"/>
      <c r="M1386" s="64"/>
      <c r="N1386" s="64"/>
      <c r="O1386" s="64"/>
      <c r="P1386" s="64"/>
      <c r="Q1386" s="64"/>
      <c r="R1386" s="64"/>
      <c r="S1386" s="64"/>
    </row>
    <row r="1387" spans="1:19" x14ac:dyDescent="0.25">
      <c r="A1387" s="63"/>
      <c r="B1387" s="64"/>
      <c r="C1387" s="64"/>
      <c r="D1387" s="64"/>
      <c r="E1387" s="64"/>
      <c r="F1387" s="64"/>
      <c r="G1387" s="64"/>
      <c r="H1387" s="64"/>
      <c r="I1387" s="64"/>
      <c r="J1387" s="64"/>
      <c r="K1387" s="64"/>
      <c r="L1387" s="64"/>
      <c r="M1387" s="64"/>
      <c r="N1387" s="64"/>
      <c r="O1387" s="64"/>
      <c r="P1387" s="64"/>
      <c r="Q1387" s="64"/>
      <c r="R1387" s="64"/>
      <c r="S1387" s="64"/>
    </row>
    <row r="1388" spans="1:19" x14ac:dyDescent="0.25">
      <c r="A1388" s="63"/>
      <c r="B1388" s="64"/>
      <c r="C1388" s="64"/>
      <c r="D1388" s="64"/>
      <c r="E1388" s="64"/>
      <c r="F1388" s="64"/>
      <c r="G1388" s="64"/>
      <c r="H1388" s="64"/>
      <c r="I1388" s="64"/>
      <c r="J1388" s="64"/>
      <c r="K1388" s="64"/>
      <c r="L1388" s="64"/>
      <c r="M1388" s="64"/>
      <c r="N1388" s="64"/>
      <c r="O1388" s="64"/>
      <c r="P1388" s="64"/>
      <c r="Q1388" s="64"/>
      <c r="R1388" s="64"/>
      <c r="S1388" s="64"/>
    </row>
    <row r="1389" spans="1:19" x14ac:dyDescent="0.25">
      <c r="A1389" s="63"/>
      <c r="B1389" s="64"/>
      <c r="C1389" s="64"/>
      <c r="D1389" s="64"/>
      <c r="E1389" s="64"/>
      <c r="F1389" s="64"/>
      <c r="G1389" s="64"/>
      <c r="H1389" s="64"/>
      <c r="I1389" s="64"/>
      <c r="J1389" s="64"/>
      <c r="K1389" s="64"/>
      <c r="L1389" s="64"/>
      <c r="M1389" s="64"/>
      <c r="N1389" s="64"/>
      <c r="O1389" s="64"/>
      <c r="P1389" s="64"/>
      <c r="Q1389" s="64"/>
      <c r="R1389" s="64"/>
      <c r="S1389" s="64"/>
    </row>
    <row r="1390" spans="1:19" x14ac:dyDescent="0.25">
      <c r="A1390" s="63"/>
      <c r="B1390" s="64"/>
      <c r="C1390" s="64"/>
      <c r="D1390" s="64"/>
      <c r="E1390" s="64"/>
      <c r="F1390" s="64"/>
      <c r="G1390" s="64"/>
      <c r="H1390" s="64"/>
      <c r="I1390" s="64"/>
      <c r="J1390" s="64"/>
      <c r="K1390" s="64"/>
      <c r="L1390" s="64"/>
      <c r="M1390" s="64"/>
      <c r="N1390" s="64"/>
      <c r="O1390" s="64"/>
      <c r="P1390" s="64"/>
      <c r="Q1390" s="64"/>
      <c r="R1390" s="64"/>
      <c r="S1390" s="64"/>
    </row>
    <row r="1391" spans="1:19" x14ac:dyDescent="0.25">
      <c r="A1391" s="63"/>
      <c r="B1391" s="64"/>
      <c r="C1391" s="64"/>
      <c r="D1391" s="64"/>
      <c r="E1391" s="64"/>
      <c r="F1391" s="64"/>
      <c r="G1391" s="64"/>
      <c r="H1391" s="64"/>
      <c r="I1391" s="64"/>
      <c r="J1391" s="64"/>
      <c r="K1391" s="64"/>
      <c r="L1391" s="64"/>
      <c r="M1391" s="64"/>
      <c r="N1391" s="64"/>
      <c r="O1391" s="64"/>
      <c r="P1391" s="64"/>
      <c r="Q1391" s="64"/>
      <c r="R1391" s="64"/>
      <c r="S1391" s="64"/>
    </row>
    <row r="1392" spans="1:19" x14ac:dyDescent="0.25">
      <c r="A1392" s="63"/>
      <c r="B1392" s="64"/>
      <c r="C1392" s="64"/>
      <c r="D1392" s="64"/>
      <c r="E1392" s="64"/>
      <c r="F1392" s="64"/>
      <c r="G1392" s="64"/>
      <c r="H1392" s="64"/>
      <c r="I1392" s="64"/>
      <c r="J1392" s="64"/>
      <c r="K1392" s="64"/>
      <c r="L1392" s="64"/>
      <c r="M1392" s="64"/>
      <c r="N1392" s="64"/>
      <c r="O1392" s="64"/>
      <c r="P1392" s="64"/>
      <c r="Q1392" s="64"/>
      <c r="R1392" s="64"/>
      <c r="S1392" s="64"/>
    </row>
    <row r="1393" spans="1:19" x14ac:dyDescent="0.25">
      <c r="A1393" s="63"/>
      <c r="B1393" s="64"/>
      <c r="C1393" s="64"/>
      <c r="D1393" s="64"/>
      <c r="E1393" s="64"/>
      <c r="F1393" s="64"/>
      <c r="G1393" s="64"/>
      <c r="H1393" s="64"/>
      <c r="I1393" s="64"/>
      <c r="J1393" s="64"/>
      <c r="K1393" s="64"/>
      <c r="L1393" s="64"/>
      <c r="M1393" s="64"/>
      <c r="N1393" s="64"/>
      <c r="O1393" s="64"/>
      <c r="P1393" s="64"/>
      <c r="Q1393" s="64"/>
      <c r="R1393" s="64"/>
      <c r="S1393" s="64"/>
    </row>
    <row r="1394" spans="1:19" x14ac:dyDescent="0.25">
      <c r="A1394" s="63"/>
      <c r="B1394" s="64"/>
      <c r="C1394" s="64"/>
      <c r="D1394" s="64"/>
      <c r="E1394" s="64"/>
      <c r="F1394" s="64"/>
      <c r="G1394" s="64"/>
      <c r="H1394" s="64"/>
      <c r="I1394" s="64"/>
      <c r="J1394" s="64"/>
      <c r="K1394" s="64"/>
      <c r="L1394" s="64"/>
      <c r="M1394" s="64"/>
      <c r="N1394" s="64"/>
      <c r="O1394" s="64"/>
      <c r="P1394" s="64"/>
      <c r="Q1394" s="64"/>
      <c r="R1394" s="64"/>
      <c r="S1394" s="64"/>
    </row>
    <row r="1395" spans="1:19" x14ac:dyDescent="0.25">
      <c r="A1395" s="63"/>
      <c r="B1395" s="64"/>
      <c r="C1395" s="64"/>
      <c r="D1395" s="64"/>
      <c r="E1395" s="64"/>
      <c r="F1395" s="64"/>
      <c r="G1395" s="64"/>
      <c r="H1395" s="64"/>
      <c r="I1395" s="64"/>
      <c r="J1395" s="64"/>
      <c r="K1395" s="64"/>
      <c r="L1395" s="64"/>
      <c r="M1395" s="64"/>
      <c r="N1395" s="64"/>
      <c r="O1395" s="64"/>
      <c r="P1395" s="64"/>
      <c r="Q1395" s="64"/>
      <c r="R1395" s="64"/>
      <c r="S1395" s="64"/>
    </row>
    <row r="1396" spans="1:19" x14ac:dyDescent="0.25">
      <c r="A1396" s="63"/>
      <c r="B1396" s="64"/>
      <c r="C1396" s="64"/>
      <c r="D1396" s="64"/>
      <c r="E1396" s="64"/>
      <c r="F1396" s="64"/>
      <c r="G1396" s="64"/>
      <c r="H1396" s="64"/>
      <c r="I1396" s="64"/>
      <c r="J1396" s="64"/>
      <c r="K1396" s="64"/>
      <c r="L1396" s="64"/>
      <c r="M1396" s="64"/>
      <c r="N1396" s="64"/>
      <c r="O1396" s="64"/>
      <c r="P1396" s="64"/>
      <c r="Q1396" s="64"/>
      <c r="R1396" s="64"/>
      <c r="S1396" s="64"/>
    </row>
    <row r="1397" spans="1:19" x14ac:dyDescent="0.25">
      <c r="A1397" s="63"/>
      <c r="B1397" s="64"/>
      <c r="C1397" s="64"/>
      <c r="D1397" s="64"/>
      <c r="E1397" s="64"/>
      <c r="F1397" s="64"/>
      <c r="G1397" s="64"/>
      <c r="H1397" s="64"/>
      <c r="I1397" s="64"/>
      <c r="J1397" s="64"/>
      <c r="K1397" s="64"/>
      <c r="L1397" s="64"/>
      <c r="M1397" s="64"/>
      <c r="N1397" s="64"/>
      <c r="O1397" s="64"/>
      <c r="P1397" s="64"/>
      <c r="Q1397" s="64"/>
      <c r="R1397" s="64"/>
      <c r="S1397" s="64"/>
    </row>
    <row r="1398" spans="1:19" x14ac:dyDescent="0.25">
      <c r="A1398" s="63"/>
      <c r="B1398" s="64"/>
      <c r="C1398" s="64"/>
      <c r="D1398" s="64"/>
      <c r="E1398" s="64"/>
      <c r="F1398" s="64"/>
      <c r="G1398" s="64"/>
      <c r="H1398" s="64"/>
      <c r="I1398" s="64"/>
      <c r="J1398" s="64"/>
      <c r="K1398" s="64"/>
      <c r="L1398" s="64"/>
      <c r="M1398" s="64"/>
      <c r="N1398" s="64"/>
      <c r="O1398" s="64"/>
      <c r="P1398" s="64"/>
      <c r="Q1398" s="64"/>
      <c r="R1398" s="64"/>
      <c r="S1398" s="64"/>
    </row>
    <row r="1399" spans="1:19" x14ac:dyDescent="0.25">
      <c r="A1399" s="63"/>
      <c r="B1399" s="64"/>
      <c r="C1399" s="64"/>
      <c r="D1399" s="64"/>
      <c r="E1399" s="64"/>
      <c r="F1399" s="64"/>
      <c r="G1399" s="64"/>
      <c r="H1399" s="64"/>
      <c r="I1399" s="64"/>
      <c r="J1399" s="64"/>
      <c r="K1399" s="64"/>
      <c r="L1399" s="64"/>
      <c r="M1399" s="64"/>
      <c r="N1399" s="64"/>
      <c r="O1399" s="64"/>
      <c r="P1399" s="64"/>
      <c r="Q1399" s="64"/>
      <c r="R1399" s="64"/>
      <c r="S1399" s="64"/>
    </row>
    <row r="1400" spans="1:19" x14ac:dyDescent="0.25">
      <c r="A1400" s="63"/>
      <c r="B1400" s="64"/>
      <c r="C1400" s="64"/>
      <c r="D1400" s="64"/>
      <c r="E1400" s="64"/>
      <c r="F1400" s="64"/>
      <c r="G1400" s="64"/>
      <c r="H1400" s="64"/>
      <c r="I1400" s="64"/>
      <c r="J1400" s="64"/>
      <c r="K1400" s="64"/>
      <c r="L1400" s="64"/>
      <c r="M1400" s="64"/>
      <c r="N1400" s="64"/>
      <c r="O1400" s="64"/>
      <c r="P1400" s="64"/>
      <c r="Q1400" s="64"/>
      <c r="R1400" s="64"/>
      <c r="S1400" s="64"/>
    </row>
    <row r="1401" spans="1:19" x14ac:dyDescent="0.25">
      <c r="A1401" s="63"/>
      <c r="B1401" s="64"/>
      <c r="C1401" s="64"/>
      <c r="D1401" s="64"/>
      <c r="E1401" s="64"/>
      <c r="F1401" s="64"/>
      <c r="G1401" s="64"/>
      <c r="H1401" s="64"/>
      <c r="I1401" s="64"/>
      <c r="J1401" s="64"/>
      <c r="K1401" s="64"/>
      <c r="L1401" s="64"/>
      <c r="M1401" s="64"/>
      <c r="N1401" s="64"/>
      <c r="O1401" s="64"/>
      <c r="P1401" s="64"/>
      <c r="Q1401" s="64"/>
      <c r="R1401" s="64"/>
      <c r="S1401" s="64"/>
    </row>
    <row r="1402" spans="1:19" x14ac:dyDescent="0.25">
      <c r="A1402" s="63"/>
      <c r="B1402" s="64"/>
      <c r="C1402" s="64"/>
      <c r="D1402" s="64"/>
      <c r="E1402" s="64"/>
      <c r="F1402" s="64"/>
      <c r="G1402" s="64"/>
      <c r="H1402" s="64"/>
      <c r="I1402" s="64"/>
      <c r="J1402" s="64"/>
      <c r="K1402" s="64"/>
      <c r="L1402" s="64"/>
      <c r="M1402" s="64"/>
      <c r="N1402" s="64"/>
      <c r="O1402" s="64"/>
      <c r="P1402" s="64"/>
      <c r="Q1402" s="64"/>
      <c r="R1402" s="64"/>
      <c r="S1402" s="64"/>
    </row>
    <row r="1403" spans="1:19" x14ac:dyDescent="0.25">
      <c r="A1403" s="63"/>
      <c r="B1403" s="64"/>
      <c r="C1403" s="64"/>
      <c r="D1403" s="64"/>
      <c r="E1403" s="64"/>
      <c r="F1403" s="64"/>
      <c r="G1403" s="64"/>
      <c r="H1403" s="64"/>
      <c r="I1403" s="64"/>
      <c r="J1403" s="64"/>
      <c r="K1403" s="64"/>
      <c r="L1403" s="64"/>
      <c r="M1403" s="64"/>
      <c r="N1403" s="64"/>
      <c r="O1403" s="64"/>
      <c r="P1403" s="64"/>
      <c r="Q1403" s="64"/>
      <c r="R1403" s="64"/>
      <c r="S1403" s="64"/>
    </row>
    <row r="1404" spans="1:19" x14ac:dyDescent="0.25">
      <c r="A1404" s="63"/>
      <c r="B1404" s="64"/>
      <c r="C1404" s="64"/>
      <c r="D1404" s="64"/>
      <c r="E1404" s="64"/>
      <c r="F1404" s="64"/>
      <c r="G1404" s="64"/>
      <c r="H1404" s="64"/>
      <c r="I1404" s="64"/>
      <c r="J1404" s="64"/>
      <c r="K1404" s="64"/>
      <c r="L1404" s="64"/>
      <c r="M1404" s="64"/>
      <c r="N1404" s="64"/>
      <c r="O1404" s="64"/>
      <c r="P1404" s="64"/>
      <c r="Q1404" s="64"/>
      <c r="R1404" s="64"/>
      <c r="S1404" s="64"/>
    </row>
    <row r="1405" spans="1:19" x14ac:dyDescent="0.25">
      <c r="A1405" s="63"/>
      <c r="B1405" s="64"/>
      <c r="C1405" s="64"/>
      <c r="D1405" s="64"/>
      <c r="E1405" s="64"/>
      <c r="F1405" s="64"/>
      <c r="G1405" s="64"/>
      <c r="H1405" s="64"/>
      <c r="I1405" s="64"/>
      <c r="J1405" s="64"/>
      <c r="K1405" s="64"/>
      <c r="L1405" s="64"/>
      <c r="M1405" s="64"/>
      <c r="N1405" s="64"/>
      <c r="O1405" s="64"/>
      <c r="P1405" s="64"/>
      <c r="Q1405" s="64"/>
      <c r="R1405" s="64"/>
      <c r="S1405" s="64"/>
    </row>
    <row r="1406" spans="1:19" x14ac:dyDescent="0.25">
      <c r="A1406" s="63"/>
      <c r="B1406" s="64"/>
      <c r="C1406" s="64"/>
      <c r="D1406" s="64"/>
      <c r="E1406" s="64"/>
      <c r="F1406" s="64"/>
      <c r="G1406" s="64"/>
      <c r="H1406" s="64"/>
      <c r="I1406" s="64"/>
      <c r="J1406" s="64"/>
      <c r="K1406" s="64"/>
      <c r="L1406" s="64"/>
      <c r="M1406" s="64"/>
      <c r="N1406" s="64"/>
      <c r="O1406" s="64"/>
      <c r="P1406" s="64"/>
      <c r="Q1406" s="64"/>
      <c r="R1406" s="64"/>
      <c r="S1406" s="64"/>
    </row>
    <row r="1407" spans="1:19" x14ac:dyDescent="0.25">
      <c r="A1407" s="63"/>
      <c r="B1407" s="64"/>
      <c r="C1407" s="64"/>
      <c r="D1407" s="64"/>
      <c r="E1407" s="64"/>
      <c r="F1407" s="64"/>
      <c r="G1407" s="64"/>
      <c r="H1407" s="64"/>
      <c r="I1407" s="64"/>
      <c r="J1407" s="64"/>
      <c r="K1407" s="64"/>
      <c r="L1407" s="64"/>
      <c r="M1407" s="64"/>
      <c r="N1407" s="64"/>
      <c r="O1407" s="64"/>
      <c r="P1407" s="64"/>
      <c r="Q1407" s="64"/>
      <c r="R1407" s="64"/>
      <c r="S1407" s="64"/>
    </row>
    <row r="1408" spans="1:19" x14ac:dyDescent="0.25">
      <c r="A1408" s="63"/>
      <c r="B1408" s="64"/>
      <c r="C1408" s="64"/>
      <c r="D1408" s="64"/>
      <c r="E1408" s="64"/>
      <c r="F1408" s="64"/>
      <c r="G1408" s="64"/>
      <c r="H1408" s="64"/>
      <c r="I1408" s="64"/>
      <c r="J1408" s="64"/>
      <c r="K1408" s="64"/>
      <c r="L1408" s="64"/>
      <c r="M1408" s="64"/>
      <c r="N1408" s="64"/>
      <c r="O1408" s="64"/>
      <c r="P1408" s="64"/>
      <c r="Q1408" s="64"/>
      <c r="R1408" s="64"/>
      <c r="S1408" s="64"/>
    </row>
    <row r="1409" spans="1:19" x14ac:dyDescent="0.25">
      <c r="A1409" s="63"/>
      <c r="B1409" s="64"/>
      <c r="C1409" s="64"/>
      <c r="D1409" s="64"/>
      <c r="E1409" s="64"/>
      <c r="F1409" s="64"/>
      <c r="G1409" s="64"/>
      <c r="H1409" s="64"/>
      <c r="I1409" s="64"/>
      <c r="J1409" s="64"/>
      <c r="K1409" s="64"/>
      <c r="L1409" s="64"/>
      <c r="M1409" s="64"/>
      <c r="N1409" s="64"/>
      <c r="O1409" s="64"/>
      <c r="P1409" s="64"/>
      <c r="Q1409" s="64"/>
      <c r="R1409" s="64"/>
      <c r="S1409" s="64"/>
    </row>
    <row r="1410" spans="1:19" x14ac:dyDescent="0.25">
      <c r="A1410" s="63"/>
      <c r="B1410" s="64"/>
      <c r="C1410" s="64"/>
      <c r="D1410" s="64"/>
      <c r="E1410" s="64"/>
      <c r="F1410" s="64"/>
      <c r="G1410" s="64"/>
      <c r="H1410" s="64"/>
      <c r="I1410" s="64"/>
      <c r="J1410" s="64"/>
      <c r="K1410" s="64"/>
      <c r="L1410" s="64"/>
      <c r="M1410" s="64"/>
      <c r="N1410" s="64"/>
      <c r="O1410" s="64"/>
      <c r="P1410" s="64"/>
      <c r="Q1410" s="64"/>
      <c r="R1410" s="64"/>
      <c r="S1410" s="64"/>
    </row>
    <row r="1411" spans="1:19" x14ac:dyDescent="0.25">
      <c r="A1411" s="63"/>
      <c r="B1411" s="64"/>
      <c r="C1411" s="64"/>
      <c r="D1411" s="64"/>
      <c r="E1411" s="64"/>
      <c r="F1411" s="64"/>
      <c r="G1411" s="64"/>
      <c r="H1411" s="64"/>
      <c r="I1411" s="64"/>
      <c r="J1411" s="64"/>
      <c r="K1411" s="64"/>
      <c r="L1411" s="64"/>
      <c r="M1411" s="64"/>
      <c r="N1411" s="64"/>
      <c r="O1411" s="64"/>
      <c r="P1411" s="64"/>
      <c r="Q1411" s="64"/>
      <c r="R1411" s="64"/>
      <c r="S1411" s="64"/>
    </row>
    <row r="1412" spans="1:19" x14ac:dyDescent="0.25">
      <c r="A1412" s="63"/>
      <c r="B1412" s="64"/>
      <c r="C1412" s="64"/>
      <c r="D1412" s="64"/>
      <c r="E1412" s="64"/>
      <c r="F1412" s="64"/>
      <c r="G1412" s="64"/>
      <c r="H1412" s="64"/>
      <c r="I1412" s="64"/>
      <c r="J1412" s="64"/>
      <c r="K1412" s="64"/>
      <c r="L1412" s="64"/>
      <c r="M1412" s="64"/>
      <c r="N1412" s="64"/>
      <c r="O1412" s="64"/>
      <c r="P1412" s="64"/>
      <c r="Q1412" s="64"/>
      <c r="R1412" s="64"/>
      <c r="S1412" s="64"/>
    </row>
    <row r="1413" spans="1:19" x14ac:dyDescent="0.25">
      <c r="A1413" s="63"/>
      <c r="B1413" s="64"/>
      <c r="C1413" s="64"/>
      <c r="D1413" s="64"/>
      <c r="E1413" s="64"/>
      <c r="F1413" s="64"/>
      <c r="G1413" s="64"/>
      <c r="H1413" s="64"/>
      <c r="I1413" s="64"/>
      <c r="J1413" s="64"/>
      <c r="K1413" s="64"/>
      <c r="L1413" s="64"/>
      <c r="M1413" s="64"/>
      <c r="N1413" s="64"/>
      <c r="O1413" s="64"/>
      <c r="P1413" s="64"/>
      <c r="Q1413" s="64"/>
      <c r="R1413" s="64"/>
      <c r="S1413" s="64"/>
    </row>
    <row r="1414" spans="1:19" x14ac:dyDescent="0.25">
      <c r="A1414" s="63"/>
      <c r="B1414" s="64"/>
      <c r="C1414" s="64"/>
      <c r="D1414" s="64"/>
      <c r="E1414" s="64"/>
      <c r="F1414" s="64"/>
      <c r="G1414" s="64"/>
      <c r="H1414" s="64"/>
      <c r="I1414" s="64"/>
      <c r="J1414" s="64"/>
      <c r="K1414" s="64"/>
      <c r="L1414" s="64"/>
      <c r="M1414" s="64"/>
      <c r="N1414" s="64"/>
      <c r="O1414" s="64"/>
      <c r="P1414" s="64"/>
      <c r="Q1414" s="64"/>
      <c r="R1414" s="64"/>
      <c r="S1414" s="64"/>
    </row>
    <row r="1415" spans="1:19" x14ac:dyDescent="0.25">
      <c r="A1415" s="63"/>
      <c r="B1415" s="64"/>
      <c r="C1415" s="64"/>
      <c r="D1415" s="64"/>
      <c r="E1415" s="64"/>
      <c r="F1415" s="64"/>
      <c r="G1415" s="64"/>
      <c r="H1415" s="64"/>
      <c r="I1415" s="64"/>
      <c r="J1415" s="64"/>
      <c r="K1415" s="64"/>
      <c r="L1415" s="64"/>
      <c r="M1415" s="64"/>
      <c r="N1415" s="64"/>
      <c r="O1415" s="64"/>
      <c r="P1415" s="64"/>
      <c r="Q1415" s="64"/>
      <c r="R1415" s="64"/>
      <c r="S1415" s="64"/>
    </row>
    <row r="1416" spans="1:19" x14ac:dyDescent="0.25">
      <c r="A1416" s="63"/>
      <c r="B1416" s="64"/>
      <c r="C1416" s="64"/>
      <c r="D1416" s="64"/>
      <c r="E1416" s="64"/>
      <c r="F1416" s="64"/>
      <c r="G1416" s="64"/>
      <c r="H1416" s="64"/>
      <c r="I1416" s="64"/>
      <c r="J1416" s="64"/>
      <c r="K1416" s="64"/>
      <c r="L1416" s="64"/>
      <c r="M1416" s="64"/>
      <c r="N1416" s="64"/>
      <c r="O1416" s="64"/>
      <c r="P1416" s="64"/>
      <c r="Q1416" s="64"/>
      <c r="R1416" s="64"/>
      <c r="S1416" s="64"/>
    </row>
    <row r="1417" spans="1:19" x14ac:dyDescent="0.25">
      <c r="A1417" s="63"/>
      <c r="B1417" s="64"/>
      <c r="C1417" s="64"/>
      <c r="D1417" s="64"/>
      <c r="E1417" s="64"/>
      <c r="F1417" s="64"/>
      <c r="G1417" s="64"/>
      <c r="H1417" s="64"/>
      <c r="I1417" s="64"/>
      <c r="J1417" s="64"/>
      <c r="K1417" s="64"/>
      <c r="L1417" s="64"/>
      <c r="M1417" s="64"/>
      <c r="N1417" s="64"/>
      <c r="O1417" s="64"/>
      <c r="P1417" s="64"/>
      <c r="Q1417" s="64"/>
      <c r="R1417" s="64"/>
      <c r="S1417" s="64"/>
    </row>
    <row r="1418" spans="1:19" x14ac:dyDescent="0.25">
      <c r="A1418" s="63"/>
      <c r="B1418" s="64"/>
      <c r="C1418" s="64"/>
      <c r="D1418" s="64"/>
      <c r="E1418" s="64"/>
      <c r="F1418" s="64"/>
      <c r="G1418" s="64"/>
      <c r="H1418" s="64"/>
      <c r="I1418" s="64"/>
      <c r="J1418" s="64"/>
      <c r="K1418" s="64"/>
      <c r="L1418" s="64"/>
      <c r="M1418" s="64"/>
      <c r="N1418" s="64"/>
      <c r="O1418" s="64"/>
      <c r="P1418" s="64"/>
      <c r="Q1418" s="64"/>
      <c r="R1418" s="64"/>
      <c r="S1418" s="64"/>
    </row>
    <row r="1419" spans="1:19" x14ac:dyDescent="0.25">
      <c r="A1419" s="63"/>
      <c r="B1419" s="64"/>
      <c r="C1419" s="64"/>
      <c r="D1419" s="64"/>
      <c r="E1419" s="64"/>
      <c r="F1419" s="64"/>
      <c r="G1419" s="64"/>
      <c r="H1419" s="64"/>
      <c r="I1419" s="64"/>
      <c r="J1419" s="64"/>
      <c r="K1419" s="64"/>
      <c r="L1419" s="64"/>
      <c r="M1419" s="64"/>
      <c r="N1419" s="64"/>
      <c r="O1419" s="64"/>
      <c r="P1419" s="64"/>
      <c r="Q1419" s="64"/>
      <c r="R1419" s="64"/>
      <c r="S1419" s="64"/>
    </row>
    <row r="1420" spans="1:19" x14ac:dyDescent="0.25">
      <c r="A1420" s="63"/>
      <c r="B1420" s="64"/>
      <c r="C1420" s="64"/>
      <c r="D1420" s="64"/>
      <c r="E1420" s="64"/>
      <c r="F1420" s="64"/>
      <c r="G1420" s="64"/>
      <c r="H1420" s="64"/>
      <c r="I1420" s="64"/>
      <c r="J1420" s="64"/>
      <c r="K1420" s="64"/>
      <c r="L1420" s="64"/>
      <c r="M1420" s="64"/>
      <c r="N1420" s="64"/>
      <c r="O1420" s="64"/>
      <c r="P1420" s="64"/>
      <c r="Q1420" s="64"/>
      <c r="R1420" s="64"/>
      <c r="S1420" s="64"/>
    </row>
    <row r="1421" spans="1:19" x14ac:dyDescent="0.25">
      <c r="A1421" s="63"/>
      <c r="B1421" s="64"/>
      <c r="C1421" s="64"/>
      <c r="D1421" s="64"/>
      <c r="E1421" s="64"/>
      <c r="F1421" s="64"/>
      <c r="G1421" s="64"/>
      <c r="H1421" s="64"/>
      <c r="I1421" s="64"/>
      <c r="J1421" s="64"/>
      <c r="K1421" s="64"/>
      <c r="L1421" s="64"/>
      <c r="M1421" s="64"/>
      <c r="N1421" s="64"/>
      <c r="O1421" s="64"/>
      <c r="P1421" s="64"/>
      <c r="Q1421" s="64"/>
      <c r="R1421" s="64"/>
      <c r="S1421" s="64"/>
    </row>
    <row r="1422" spans="1:19" x14ac:dyDescent="0.25">
      <c r="A1422" s="63"/>
      <c r="B1422" s="64"/>
      <c r="C1422" s="64"/>
      <c r="D1422" s="64"/>
      <c r="E1422" s="64"/>
      <c r="F1422" s="64"/>
      <c r="G1422" s="64"/>
      <c r="H1422" s="64"/>
      <c r="I1422" s="64"/>
      <c r="J1422" s="64"/>
      <c r="K1422" s="64"/>
      <c r="L1422" s="64"/>
      <c r="M1422" s="64"/>
      <c r="N1422" s="64"/>
      <c r="O1422" s="64"/>
      <c r="P1422" s="64"/>
      <c r="Q1422" s="64"/>
      <c r="R1422" s="64"/>
      <c r="S1422" s="64"/>
    </row>
    <row r="1423" spans="1:19" x14ac:dyDescent="0.25">
      <c r="A1423" s="63"/>
      <c r="B1423" s="64"/>
      <c r="C1423" s="64"/>
      <c r="D1423" s="64"/>
      <c r="E1423" s="64"/>
      <c r="F1423" s="64"/>
      <c r="G1423" s="64"/>
      <c r="H1423" s="64"/>
      <c r="I1423" s="64"/>
      <c r="J1423" s="64"/>
      <c r="K1423" s="64"/>
      <c r="L1423" s="64"/>
      <c r="M1423" s="64"/>
      <c r="N1423" s="64"/>
      <c r="O1423" s="64"/>
      <c r="P1423" s="64"/>
      <c r="Q1423" s="64"/>
      <c r="R1423" s="64"/>
      <c r="S1423" s="64"/>
    </row>
    <row r="1424" spans="1:19" x14ac:dyDescent="0.25">
      <c r="A1424" s="63"/>
      <c r="B1424" s="64"/>
      <c r="C1424" s="64"/>
      <c r="D1424" s="64"/>
      <c r="E1424" s="64"/>
      <c r="F1424" s="64"/>
      <c r="G1424" s="64"/>
      <c r="H1424" s="64"/>
      <c r="I1424" s="64"/>
      <c r="J1424" s="64"/>
      <c r="K1424" s="64"/>
      <c r="L1424" s="64"/>
      <c r="M1424" s="64"/>
      <c r="N1424" s="64"/>
      <c r="O1424" s="64"/>
      <c r="P1424" s="64"/>
      <c r="Q1424" s="64"/>
      <c r="R1424" s="64"/>
      <c r="S1424" s="64"/>
    </row>
    <row r="1425" spans="1:19" x14ac:dyDescent="0.25">
      <c r="A1425" s="63"/>
      <c r="B1425" s="64"/>
      <c r="C1425" s="64"/>
      <c r="D1425" s="64"/>
      <c r="E1425" s="64"/>
      <c r="F1425" s="64"/>
      <c r="G1425" s="64"/>
      <c r="H1425" s="64"/>
      <c r="I1425" s="64"/>
      <c r="J1425" s="64"/>
      <c r="K1425" s="64"/>
      <c r="L1425" s="64"/>
      <c r="M1425" s="64"/>
      <c r="N1425" s="64"/>
      <c r="O1425" s="64"/>
      <c r="P1425" s="64"/>
      <c r="Q1425" s="64"/>
      <c r="R1425" s="64"/>
      <c r="S1425" s="64"/>
    </row>
    <row r="1426" spans="1:19" x14ac:dyDescent="0.25">
      <c r="A1426" s="63"/>
      <c r="B1426" s="64"/>
      <c r="C1426" s="64"/>
      <c r="D1426" s="64"/>
      <c r="E1426" s="64"/>
      <c r="F1426" s="64"/>
      <c r="G1426" s="64"/>
      <c r="H1426" s="64"/>
      <c r="I1426" s="64"/>
      <c r="J1426" s="64"/>
      <c r="K1426" s="64"/>
      <c r="L1426" s="64"/>
      <c r="M1426" s="64"/>
      <c r="N1426" s="64"/>
      <c r="O1426" s="64"/>
      <c r="P1426" s="64"/>
      <c r="Q1426" s="64"/>
      <c r="R1426" s="64"/>
      <c r="S1426" s="64"/>
    </row>
    <row r="1427" spans="1:19" x14ac:dyDescent="0.25">
      <c r="A1427" s="63"/>
      <c r="B1427" s="64"/>
      <c r="C1427" s="64"/>
      <c r="D1427" s="64"/>
      <c r="E1427" s="64"/>
      <c r="F1427" s="64"/>
      <c r="G1427" s="64"/>
      <c r="H1427" s="64"/>
      <c r="I1427" s="64"/>
      <c r="J1427" s="64"/>
      <c r="K1427" s="64"/>
      <c r="L1427" s="64"/>
      <c r="M1427" s="64"/>
      <c r="N1427" s="64"/>
      <c r="O1427" s="64"/>
      <c r="P1427" s="64"/>
      <c r="Q1427" s="64"/>
      <c r="R1427" s="64"/>
      <c r="S1427" s="64"/>
    </row>
    <row r="1428" spans="1:19" x14ac:dyDescent="0.25">
      <c r="A1428" s="63"/>
      <c r="B1428" s="64"/>
      <c r="C1428" s="64"/>
      <c r="D1428" s="64"/>
      <c r="E1428" s="64"/>
      <c r="F1428" s="64"/>
      <c r="G1428" s="64"/>
      <c r="H1428" s="64"/>
      <c r="I1428" s="64"/>
      <c r="J1428" s="64"/>
      <c r="K1428" s="64"/>
      <c r="L1428" s="64"/>
      <c r="M1428" s="64"/>
      <c r="N1428" s="64"/>
      <c r="O1428" s="64"/>
      <c r="P1428" s="64"/>
      <c r="Q1428" s="64"/>
      <c r="R1428" s="64"/>
      <c r="S1428" s="64"/>
    </row>
    <row r="1429" spans="1:19" x14ac:dyDescent="0.25">
      <c r="A1429" s="63"/>
      <c r="B1429" s="64"/>
      <c r="C1429" s="64"/>
      <c r="D1429" s="64"/>
      <c r="E1429" s="64"/>
      <c r="F1429" s="64"/>
      <c r="G1429" s="64"/>
      <c r="H1429" s="64"/>
      <c r="I1429" s="64"/>
      <c r="J1429" s="64"/>
      <c r="K1429" s="64"/>
      <c r="L1429" s="64"/>
      <c r="M1429" s="64"/>
      <c r="N1429" s="64"/>
      <c r="O1429" s="64"/>
      <c r="P1429" s="64"/>
      <c r="Q1429" s="64"/>
      <c r="R1429" s="64"/>
      <c r="S1429" s="64"/>
    </row>
    <row r="1430" spans="1:19" x14ac:dyDescent="0.25">
      <c r="A1430" s="63"/>
      <c r="B1430" s="64"/>
      <c r="C1430" s="64"/>
      <c r="D1430" s="64"/>
      <c r="E1430" s="64"/>
      <c r="F1430" s="64"/>
      <c r="G1430" s="64"/>
      <c r="H1430" s="64"/>
      <c r="I1430" s="64"/>
      <c r="J1430" s="64"/>
      <c r="K1430" s="64"/>
      <c r="L1430" s="64"/>
      <c r="M1430" s="64"/>
      <c r="N1430" s="64"/>
      <c r="O1430" s="64"/>
      <c r="P1430" s="64"/>
      <c r="Q1430" s="64"/>
      <c r="R1430" s="64"/>
      <c r="S1430" s="64"/>
    </row>
    <row r="1431" spans="1:19" x14ac:dyDescent="0.25">
      <c r="A1431" s="63"/>
      <c r="B1431" s="64"/>
      <c r="C1431" s="64"/>
      <c r="D1431" s="64"/>
      <c r="E1431" s="64"/>
      <c r="F1431" s="64"/>
      <c r="G1431" s="64"/>
      <c r="H1431" s="64"/>
      <c r="I1431" s="64"/>
      <c r="J1431" s="64"/>
      <c r="K1431" s="64"/>
      <c r="L1431" s="64"/>
      <c r="M1431" s="64"/>
      <c r="N1431" s="64"/>
      <c r="O1431" s="64"/>
      <c r="P1431" s="64"/>
      <c r="Q1431" s="64"/>
      <c r="R1431" s="64"/>
      <c r="S1431" s="64"/>
    </row>
    <row r="1432" spans="1:19" x14ac:dyDescent="0.25">
      <c r="A1432" s="63"/>
      <c r="B1432" s="64"/>
      <c r="C1432" s="64"/>
      <c r="D1432" s="64"/>
      <c r="E1432" s="64"/>
      <c r="F1432" s="64"/>
      <c r="G1432" s="64"/>
      <c r="H1432" s="64"/>
      <c r="I1432" s="64"/>
      <c r="J1432" s="64"/>
      <c r="K1432" s="64"/>
      <c r="L1432" s="64"/>
      <c r="M1432" s="64"/>
      <c r="N1432" s="64"/>
      <c r="O1432" s="64"/>
      <c r="P1432" s="64"/>
      <c r="Q1432" s="64"/>
      <c r="R1432" s="64"/>
      <c r="S1432" s="64"/>
    </row>
    <row r="1433" spans="1:19" x14ac:dyDescent="0.25">
      <c r="A1433" s="63"/>
      <c r="B1433" s="64"/>
      <c r="C1433" s="64"/>
      <c r="D1433" s="64"/>
      <c r="E1433" s="64"/>
      <c r="F1433" s="64"/>
      <c r="G1433" s="64"/>
      <c r="H1433" s="64"/>
      <c r="I1433" s="64"/>
      <c r="J1433" s="64"/>
      <c r="K1433" s="64"/>
      <c r="L1433" s="64"/>
      <c r="M1433" s="64"/>
      <c r="N1433" s="64"/>
      <c r="O1433" s="64"/>
      <c r="P1433" s="64"/>
      <c r="Q1433" s="64"/>
      <c r="R1433" s="64"/>
      <c r="S1433" s="64"/>
    </row>
    <row r="1434" spans="1:19" x14ac:dyDescent="0.25">
      <c r="A1434" s="63"/>
      <c r="B1434" s="64"/>
      <c r="C1434" s="64"/>
      <c r="D1434" s="64"/>
      <c r="E1434" s="64"/>
      <c r="F1434" s="64"/>
      <c r="G1434" s="64"/>
      <c r="H1434" s="64"/>
      <c r="I1434" s="64"/>
      <c r="J1434" s="64"/>
      <c r="K1434" s="64"/>
      <c r="L1434" s="64"/>
      <c r="M1434" s="64"/>
      <c r="N1434" s="64"/>
      <c r="O1434" s="64"/>
      <c r="P1434" s="64"/>
      <c r="Q1434" s="64"/>
      <c r="R1434" s="64"/>
      <c r="S1434" s="64"/>
    </row>
    <row r="1435" spans="1:19" x14ac:dyDescent="0.25">
      <c r="A1435" s="63"/>
      <c r="B1435" s="64"/>
      <c r="C1435" s="64"/>
      <c r="D1435" s="64"/>
      <c r="E1435" s="64"/>
      <c r="F1435" s="64"/>
      <c r="G1435" s="64"/>
      <c r="H1435" s="64"/>
      <c r="I1435" s="64"/>
      <c r="J1435" s="64"/>
      <c r="K1435" s="64"/>
      <c r="L1435" s="64"/>
      <c r="M1435" s="64"/>
      <c r="N1435" s="64"/>
      <c r="O1435" s="64"/>
      <c r="P1435" s="64"/>
      <c r="Q1435" s="64"/>
      <c r="R1435" s="64"/>
      <c r="S1435" s="64"/>
    </row>
    <row r="1436" spans="1:19" x14ac:dyDescent="0.25">
      <c r="A1436" s="63"/>
      <c r="B1436" s="64"/>
      <c r="C1436" s="64"/>
      <c r="D1436" s="64"/>
      <c r="E1436" s="64"/>
      <c r="F1436" s="64"/>
      <c r="G1436" s="64"/>
      <c r="H1436" s="64"/>
      <c r="I1436" s="64"/>
      <c r="J1436" s="64"/>
      <c r="K1436" s="64"/>
      <c r="L1436" s="64"/>
      <c r="M1436" s="64"/>
      <c r="N1436" s="64"/>
      <c r="O1436" s="64"/>
      <c r="P1436" s="64"/>
      <c r="Q1436" s="64"/>
      <c r="R1436" s="64"/>
      <c r="S1436" s="64"/>
    </row>
    <row r="1437" spans="1:19" x14ac:dyDescent="0.25">
      <c r="A1437" s="63"/>
      <c r="B1437" s="64"/>
      <c r="C1437" s="64"/>
      <c r="D1437" s="64"/>
      <c r="E1437" s="64"/>
      <c r="F1437" s="64"/>
      <c r="G1437" s="64"/>
      <c r="H1437" s="64"/>
      <c r="I1437" s="64"/>
      <c r="J1437" s="64"/>
      <c r="K1437" s="64"/>
      <c r="L1437" s="64"/>
      <c r="M1437" s="64"/>
      <c r="N1437" s="64"/>
      <c r="O1437" s="64"/>
      <c r="P1437" s="64"/>
      <c r="Q1437" s="64"/>
      <c r="R1437" s="64"/>
      <c r="S1437" s="64"/>
    </row>
    <row r="1438" spans="1:19" x14ac:dyDescent="0.25">
      <c r="A1438" s="63"/>
      <c r="B1438" s="64"/>
      <c r="C1438" s="64"/>
      <c r="D1438" s="64"/>
      <c r="E1438" s="64"/>
      <c r="F1438" s="64"/>
      <c r="G1438" s="64"/>
      <c r="H1438" s="64"/>
      <c r="I1438" s="64"/>
      <c r="J1438" s="64"/>
      <c r="K1438" s="64"/>
      <c r="L1438" s="64"/>
      <c r="M1438" s="64"/>
      <c r="N1438" s="64"/>
      <c r="O1438" s="64"/>
      <c r="P1438" s="64"/>
      <c r="Q1438" s="64"/>
      <c r="R1438" s="64"/>
      <c r="S1438" s="64"/>
    </row>
    <row r="1439" spans="1:19" x14ac:dyDescent="0.25">
      <c r="A1439" s="63"/>
      <c r="B1439" s="64"/>
      <c r="C1439" s="64"/>
      <c r="D1439" s="64"/>
      <c r="E1439" s="64"/>
      <c r="F1439" s="64"/>
      <c r="G1439" s="64"/>
      <c r="H1439" s="64"/>
      <c r="I1439" s="64"/>
      <c r="J1439" s="64"/>
      <c r="K1439" s="64"/>
      <c r="L1439" s="64"/>
      <c r="M1439" s="64"/>
      <c r="N1439" s="64"/>
      <c r="O1439" s="64"/>
      <c r="P1439" s="64"/>
      <c r="Q1439" s="64"/>
      <c r="R1439" s="64"/>
      <c r="S1439" s="64"/>
    </row>
    <row r="1440" spans="1:19" x14ac:dyDescent="0.25">
      <c r="A1440" s="63"/>
      <c r="B1440" s="64"/>
      <c r="C1440" s="64"/>
      <c r="D1440" s="64"/>
      <c r="E1440" s="64"/>
      <c r="F1440" s="64"/>
      <c r="G1440" s="64"/>
      <c r="H1440" s="64"/>
      <c r="I1440" s="64"/>
      <c r="J1440" s="64"/>
      <c r="K1440" s="64"/>
      <c r="L1440" s="64"/>
      <c r="M1440" s="64"/>
      <c r="N1440" s="64"/>
      <c r="O1440" s="64"/>
      <c r="P1440" s="64"/>
      <c r="Q1440" s="64"/>
      <c r="R1440" s="64"/>
      <c r="S1440" s="64"/>
    </row>
    <row r="1441" spans="1:19" x14ac:dyDescent="0.25">
      <c r="A1441" s="63"/>
      <c r="B1441" s="64"/>
      <c r="C1441" s="64"/>
      <c r="D1441" s="64"/>
      <c r="E1441" s="64"/>
      <c r="F1441" s="64"/>
      <c r="G1441" s="64"/>
      <c r="H1441" s="64"/>
      <c r="I1441" s="64"/>
      <c r="J1441" s="64"/>
      <c r="K1441" s="64"/>
      <c r="L1441" s="64"/>
      <c r="M1441" s="64"/>
      <c r="N1441" s="64"/>
      <c r="O1441" s="64"/>
      <c r="P1441" s="64"/>
      <c r="Q1441" s="64"/>
      <c r="R1441" s="64"/>
      <c r="S1441" s="64"/>
    </row>
    <row r="1442" spans="1:19" x14ac:dyDescent="0.25">
      <c r="A1442" s="63"/>
      <c r="B1442" s="64"/>
      <c r="C1442" s="64"/>
      <c r="D1442" s="64"/>
      <c r="E1442" s="64"/>
      <c r="F1442" s="64"/>
      <c r="G1442" s="64"/>
      <c r="H1442" s="64"/>
      <c r="I1442" s="64"/>
      <c r="J1442" s="64"/>
      <c r="K1442" s="64"/>
      <c r="L1442" s="64"/>
      <c r="M1442" s="64"/>
      <c r="N1442" s="64"/>
      <c r="O1442" s="64"/>
      <c r="P1442" s="64"/>
      <c r="Q1442" s="64"/>
      <c r="R1442" s="64"/>
      <c r="S1442" s="64"/>
    </row>
    <row r="1443" spans="1:19" x14ac:dyDescent="0.25">
      <c r="A1443" s="63"/>
      <c r="B1443" s="64"/>
      <c r="C1443" s="64"/>
      <c r="D1443" s="64"/>
      <c r="E1443" s="64"/>
      <c r="F1443" s="64"/>
      <c r="G1443" s="64"/>
      <c r="H1443" s="64"/>
      <c r="I1443" s="64"/>
      <c r="J1443" s="64"/>
      <c r="K1443" s="64"/>
      <c r="L1443" s="64"/>
      <c r="M1443" s="64"/>
      <c r="N1443" s="64"/>
      <c r="O1443" s="64"/>
      <c r="P1443" s="64"/>
      <c r="Q1443" s="64"/>
      <c r="R1443" s="64"/>
      <c r="S1443" s="64"/>
    </row>
    <row r="1444" spans="1:19" x14ac:dyDescent="0.25">
      <c r="A1444" s="63"/>
      <c r="B1444" s="64"/>
      <c r="C1444" s="64"/>
      <c r="D1444" s="64"/>
      <c r="E1444" s="64"/>
      <c r="F1444" s="64"/>
      <c r="G1444" s="64"/>
      <c r="H1444" s="64"/>
      <c r="I1444" s="64"/>
      <c r="J1444" s="64"/>
      <c r="K1444" s="64"/>
      <c r="L1444" s="64"/>
      <c r="M1444" s="64"/>
      <c r="N1444" s="64"/>
      <c r="O1444" s="64"/>
      <c r="P1444" s="64"/>
      <c r="Q1444" s="64"/>
      <c r="R1444" s="64"/>
      <c r="S1444" s="64"/>
    </row>
    <row r="1445" spans="1:19" x14ac:dyDescent="0.25">
      <c r="A1445" s="63"/>
      <c r="B1445" s="64"/>
      <c r="C1445" s="64"/>
      <c r="D1445" s="64"/>
      <c r="E1445" s="64"/>
      <c r="F1445" s="64"/>
      <c r="G1445" s="64"/>
      <c r="H1445" s="64"/>
      <c r="I1445" s="64"/>
      <c r="J1445" s="64"/>
      <c r="K1445" s="64"/>
      <c r="L1445" s="64"/>
      <c r="M1445" s="64"/>
      <c r="N1445" s="64"/>
      <c r="O1445" s="64"/>
      <c r="P1445" s="64"/>
      <c r="Q1445" s="64"/>
      <c r="R1445" s="64"/>
      <c r="S1445" s="64"/>
    </row>
    <row r="1446" spans="1:19" x14ac:dyDescent="0.25">
      <c r="A1446" s="63"/>
      <c r="B1446" s="64"/>
      <c r="C1446" s="64"/>
      <c r="D1446" s="64"/>
      <c r="E1446" s="64"/>
      <c r="F1446" s="64"/>
      <c r="G1446" s="64"/>
      <c r="H1446" s="64"/>
      <c r="I1446" s="64"/>
      <c r="J1446" s="64"/>
      <c r="K1446" s="64"/>
      <c r="L1446" s="64"/>
      <c r="M1446" s="64"/>
      <c r="N1446" s="64"/>
      <c r="O1446" s="64"/>
      <c r="P1446" s="64"/>
      <c r="Q1446" s="64"/>
      <c r="R1446" s="64"/>
      <c r="S1446" s="64"/>
    </row>
    <row r="1447" spans="1:19" x14ac:dyDescent="0.25">
      <c r="A1447" s="63"/>
      <c r="B1447" s="64"/>
      <c r="C1447" s="64"/>
      <c r="D1447" s="64"/>
      <c r="E1447" s="64"/>
      <c r="F1447" s="64"/>
      <c r="G1447" s="64"/>
      <c r="H1447" s="64"/>
      <c r="I1447" s="64"/>
      <c r="J1447" s="64"/>
      <c r="K1447" s="64"/>
      <c r="L1447" s="64"/>
      <c r="M1447" s="64"/>
      <c r="N1447" s="64"/>
      <c r="O1447" s="64"/>
      <c r="P1447" s="64"/>
      <c r="Q1447" s="64"/>
      <c r="R1447" s="64"/>
      <c r="S1447" s="64"/>
    </row>
    <row r="1448" spans="1:19" x14ac:dyDescent="0.25">
      <c r="A1448" s="63"/>
      <c r="B1448" s="64"/>
      <c r="C1448" s="64"/>
      <c r="D1448" s="64"/>
      <c r="E1448" s="64"/>
      <c r="F1448" s="64"/>
      <c r="G1448" s="64"/>
      <c r="H1448" s="64"/>
      <c r="I1448" s="64"/>
      <c r="J1448" s="64"/>
      <c r="K1448" s="64"/>
      <c r="L1448" s="64"/>
      <c r="M1448" s="64"/>
      <c r="N1448" s="64"/>
      <c r="O1448" s="64"/>
      <c r="P1448" s="64"/>
      <c r="Q1448" s="64"/>
      <c r="R1448" s="64"/>
      <c r="S1448" s="64"/>
    </row>
    <row r="1449" spans="1:19" x14ac:dyDescent="0.25">
      <c r="A1449" s="63"/>
      <c r="B1449" s="64"/>
      <c r="C1449" s="64"/>
      <c r="D1449" s="64"/>
      <c r="E1449" s="64"/>
      <c r="F1449" s="64"/>
      <c r="G1449" s="64"/>
      <c r="H1449" s="64"/>
      <c r="I1449" s="64"/>
      <c r="J1449" s="64"/>
      <c r="K1449" s="64"/>
      <c r="L1449" s="64"/>
      <c r="M1449" s="64"/>
      <c r="N1449" s="64"/>
      <c r="O1449" s="64"/>
      <c r="P1449" s="64"/>
      <c r="Q1449" s="64"/>
      <c r="R1449" s="64"/>
      <c r="S1449" s="64"/>
    </row>
    <row r="1450" spans="1:19" x14ac:dyDescent="0.25">
      <c r="A1450" s="63"/>
      <c r="B1450" s="64"/>
      <c r="C1450" s="64"/>
      <c r="D1450" s="64"/>
      <c r="E1450" s="64"/>
      <c r="F1450" s="64"/>
      <c r="G1450" s="64"/>
      <c r="H1450" s="64"/>
      <c r="I1450" s="64"/>
      <c r="J1450" s="64"/>
      <c r="K1450" s="64"/>
      <c r="L1450" s="64"/>
      <c r="M1450" s="64"/>
      <c r="N1450" s="64"/>
      <c r="O1450" s="64"/>
      <c r="P1450" s="64"/>
      <c r="Q1450" s="64"/>
      <c r="R1450" s="64"/>
      <c r="S1450" s="64"/>
    </row>
    <row r="1451" spans="1:19" x14ac:dyDescent="0.25">
      <c r="A1451" s="63"/>
      <c r="B1451" s="64"/>
      <c r="C1451" s="64"/>
      <c r="D1451" s="64"/>
      <c r="E1451" s="64"/>
      <c r="F1451" s="64"/>
      <c r="G1451" s="64"/>
      <c r="H1451" s="64"/>
      <c r="I1451" s="64"/>
      <c r="J1451" s="64"/>
      <c r="K1451" s="64"/>
      <c r="L1451" s="64"/>
      <c r="M1451" s="64"/>
      <c r="N1451" s="64"/>
      <c r="O1451" s="64"/>
      <c r="P1451" s="64"/>
      <c r="Q1451" s="64"/>
      <c r="R1451" s="64"/>
      <c r="S1451" s="64"/>
    </row>
    <row r="1452" spans="1:19" x14ac:dyDescent="0.25">
      <c r="A1452" s="63"/>
      <c r="B1452" s="64"/>
      <c r="C1452" s="64"/>
      <c r="D1452" s="64"/>
      <c r="E1452" s="64"/>
      <c r="F1452" s="64"/>
      <c r="G1452" s="64"/>
      <c r="H1452" s="64"/>
      <c r="I1452" s="64"/>
      <c r="J1452" s="64"/>
      <c r="K1452" s="64"/>
      <c r="L1452" s="64"/>
      <c r="M1452" s="64"/>
      <c r="N1452" s="64"/>
      <c r="O1452" s="64"/>
      <c r="P1452" s="64"/>
      <c r="Q1452" s="64"/>
      <c r="R1452" s="64"/>
      <c r="S1452" s="64"/>
    </row>
    <row r="1453" spans="1:19" x14ac:dyDescent="0.25">
      <c r="A1453" s="63"/>
      <c r="B1453" s="64"/>
      <c r="C1453" s="64"/>
      <c r="D1453" s="64"/>
      <c r="E1453" s="64"/>
      <c r="F1453" s="64"/>
      <c r="G1453" s="64"/>
      <c r="H1453" s="64"/>
      <c r="I1453" s="64"/>
      <c r="J1453" s="64"/>
      <c r="K1453" s="64"/>
      <c r="L1453" s="64"/>
      <c r="M1453" s="64"/>
      <c r="N1453" s="64"/>
      <c r="O1453" s="64"/>
      <c r="P1453" s="64"/>
      <c r="Q1453" s="64"/>
      <c r="R1453" s="64"/>
      <c r="S1453" s="64"/>
    </row>
    <row r="1454" spans="1:19" x14ac:dyDescent="0.25">
      <c r="A1454" s="63"/>
      <c r="B1454" s="64"/>
      <c r="C1454" s="64"/>
      <c r="D1454" s="64"/>
      <c r="E1454" s="64"/>
      <c r="F1454" s="64"/>
      <c r="G1454" s="64"/>
      <c r="H1454" s="64"/>
      <c r="I1454" s="64"/>
      <c r="J1454" s="64"/>
      <c r="K1454" s="64"/>
      <c r="L1454" s="64"/>
      <c r="M1454" s="64"/>
      <c r="N1454" s="64"/>
      <c r="O1454" s="64"/>
      <c r="P1454" s="64"/>
      <c r="Q1454" s="64"/>
      <c r="R1454" s="64"/>
      <c r="S1454" s="64"/>
    </row>
    <row r="1455" spans="1:19" x14ac:dyDescent="0.25">
      <c r="A1455" s="63"/>
      <c r="B1455" s="64"/>
      <c r="C1455" s="64"/>
      <c r="D1455" s="64"/>
      <c r="E1455" s="64"/>
      <c r="F1455" s="64"/>
      <c r="G1455" s="64"/>
      <c r="H1455" s="64"/>
      <c r="I1455" s="64"/>
      <c r="J1455" s="64"/>
      <c r="K1455" s="64"/>
      <c r="L1455" s="64"/>
      <c r="M1455" s="64"/>
      <c r="N1455" s="64"/>
      <c r="O1455" s="64"/>
      <c r="P1455" s="64"/>
      <c r="Q1455" s="64"/>
      <c r="R1455" s="64"/>
      <c r="S1455" s="64"/>
    </row>
    <row r="1456" spans="1:19" x14ac:dyDescent="0.25">
      <c r="A1456" s="63"/>
      <c r="B1456" s="64"/>
      <c r="C1456" s="64"/>
      <c r="D1456" s="64"/>
      <c r="E1456" s="64"/>
      <c r="F1456" s="64"/>
      <c r="G1456" s="64"/>
      <c r="H1456" s="64"/>
      <c r="I1456" s="64"/>
      <c r="J1456" s="64"/>
      <c r="K1456" s="64"/>
      <c r="L1456" s="64"/>
      <c r="M1456" s="64"/>
      <c r="N1456" s="64"/>
      <c r="O1456" s="64"/>
      <c r="P1456" s="64"/>
      <c r="Q1456" s="64"/>
      <c r="R1456" s="64"/>
      <c r="S1456" s="64"/>
    </row>
    <row r="1457" spans="1:19" x14ac:dyDescent="0.25">
      <c r="A1457" s="63"/>
      <c r="B1457" s="64"/>
      <c r="C1457" s="64"/>
      <c r="D1457" s="64"/>
      <c r="E1457" s="64"/>
      <c r="F1457" s="64"/>
      <c r="G1457" s="64"/>
      <c r="H1457" s="64"/>
      <c r="I1457" s="64"/>
      <c r="J1457" s="64"/>
      <c r="K1457" s="64"/>
      <c r="L1457" s="64"/>
      <c r="M1457" s="64"/>
      <c r="N1457" s="64"/>
      <c r="O1457" s="64"/>
      <c r="P1457" s="64"/>
      <c r="Q1457" s="64"/>
      <c r="R1457" s="64"/>
      <c r="S1457" s="64"/>
    </row>
    <row r="1458" spans="1:19" x14ac:dyDescent="0.25">
      <c r="A1458" s="63"/>
      <c r="B1458" s="64"/>
      <c r="C1458" s="64"/>
      <c r="D1458" s="64"/>
      <c r="E1458" s="64"/>
      <c r="F1458" s="64"/>
      <c r="G1458" s="64"/>
      <c r="H1458" s="64"/>
      <c r="I1458" s="64"/>
      <c r="J1458" s="64"/>
      <c r="K1458" s="64"/>
      <c r="L1458" s="64"/>
      <c r="M1458" s="64"/>
      <c r="N1458" s="64"/>
      <c r="O1458" s="64"/>
      <c r="P1458" s="64"/>
      <c r="Q1458" s="64"/>
      <c r="R1458" s="64"/>
      <c r="S1458" s="64"/>
    </row>
    <row r="1459" spans="1:19" x14ac:dyDescent="0.25">
      <c r="A1459" s="63"/>
      <c r="B1459" s="64"/>
      <c r="C1459" s="64"/>
      <c r="D1459" s="64"/>
      <c r="E1459" s="64"/>
      <c r="F1459" s="64"/>
      <c r="G1459" s="64"/>
      <c r="H1459" s="64"/>
      <c r="I1459" s="64"/>
      <c r="J1459" s="64"/>
      <c r="K1459" s="64"/>
      <c r="L1459" s="64"/>
      <c r="M1459" s="64"/>
      <c r="N1459" s="64"/>
      <c r="O1459" s="64"/>
      <c r="P1459" s="64"/>
      <c r="Q1459" s="64"/>
      <c r="R1459" s="64"/>
      <c r="S1459" s="64"/>
    </row>
    <row r="1460" spans="1:19" x14ac:dyDescent="0.25">
      <c r="A1460" s="63"/>
      <c r="B1460" s="64"/>
      <c r="C1460" s="64"/>
      <c r="D1460" s="64"/>
      <c r="E1460" s="64"/>
      <c r="F1460" s="64"/>
      <c r="G1460" s="64"/>
      <c r="H1460" s="64"/>
      <c r="I1460" s="64"/>
      <c r="J1460" s="64"/>
      <c r="K1460" s="64"/>
      <c r="L1460" s="64"/>
      <c r="M1460" s="64"/>
      <c r="N1460" s="64"/>
      <c r="O1460" s="64"/>
      <c r="P1460" s="64"/>
      <c r="Q1460" s="64"/>
      <c r="R1460" s="64"/>
      <c r="S1460" s="64"/>
    </row>
    <row r="1461" spans="1:19" x14ac:dyDescent="0.25">
      <c r="A1461" s="63"/>
      <c r="B1461" s="64"/>
      <c r="C1461" s="64"/>
      <c r="D1461" s="64"/>
      <c r="E1461" s="64"/>
      <c r="F1461" s="64"/>
      <c r="G1461" s="64"/>
      <c r="H1461" s="64"/>
      <c r="I1461" s="64"/>
      <c r="J1461" s="64"/>
      <c r="K1461" s="64"/>
      <c r="L1461" s="64"/>
      <c r="M1461" s="64"/>
      <c r="N1461" s="64"/>
      <c r="O1461" s="64"/>
      <c r="P1461" s="64"/>
      <c r="Q1461" s="64"/>
      <c r="R1461" s="64"/>
      <c r="S1461" s="64"/>
    </row>
    <row r="1462" spans="1:19" x14ac:dyDescent="0.25">
      <c r="A1462" s="63"/>
      <c r="B1462" s="64"/>
      <c r="C1462" s="64"/>
      <c r="D1462" s="64"/>
      <c r="E1462" s="64"/>
      <c r="F1462" s="64"/>
      <c r="G1462" s="64"/>
      <c r="H1462" s="64"/>
      <c r="I1462" s="64"/>
      <c r="J1462" s="64"/>
      <c r="K1462" s="64"/>
      <c r="L1462" s="64"/>
      <c r="M1462" s="64"/>
      <c r="N1462" s="64"/>
      <c r="O1462" s="64"/>
      <c r="P1462" s="64"/>
      <c r="Q1462" s="64"/>
      <c r="R1462" s="64"/>
      <c r="S1462" s="64"/>
    </row>
    <row r="1463" spans="1:19" x14ac:dyDescent="0.25">
      <c r="A1463" s="63"/>
      <c r="B1463" s="64"/>
      <c r="C1463" s="64"/>
      <c r="D1463" s="64"/>
      <c r="E1463" s="64"/>
      <c r="F1463" s="64"/>
      <c r="G1463" s="64"/>
      <c r="H1463" s="64"/>
      <c r="I1463" s="64"/>
      <c r="J1463" s="64"/>
      <c r="K1463" s="64"/>
      <c r="L1463" s="64"/>
      <c r="M1463" s="64"/>
      <c r="N1463" s="64"/>
      <c r="O1463" s="64"/>
      <c r="P1463" s="64"/>
      <c r="Q1463" s="64"/>
      <c r="R1463" s="64"/>
      <c r="S1463" s="64"/>
    </row>
    <row r="1464" spans="1:19" x14ac:dyDescent="0.25">
      <c r="A1464" s="63"/>
      <c r="B1464" s="64"/>
      <c r="C1464" s="64"/>
      <c r="D1464" s="64"/>
      <c r="E1464" s="64"/>
      <c r="F1464" s="64"/>
      <c r="G1464" s="64"/>
      <c r="H1464" s="64"/>
      <c r="I1464" s="64"/>
      <c r="J1464" s="64"/>
      <c r="K1464" s="64"/>
      <c r="L1464" s="64"/>
      <c r="M1464" s="64"/>
      <c r="N1464" s="64"/>
      <c r="O1464" s="64"/>
      <c r="P1464" s="64"/>
      <c r="Q1464" s="64"/>
      <c r="R1464" s="64"/>
      <c r="S1464" s="64"/>
    </row>
    <row r="1465" spans="1:19" x14ac:dyDescent="0.25">
      <c r="A1465" s="63"/>
      <c r="B1465" s="64"/>
      <c r="C1465" s="64"/>
      <c r="D1465" s="64"/>
      <c r="E1465" s="64"/>
      <c r="F1465" s="64"/>
      <c r="G1465" s="64"/>
      <c r="H1465" s="64"/>
      <c r="I1465" s="64"/>
      <c r="J1465" s="64"/>
      <c r="K1465" s="64"/>
      <c r="L1465" s="64"/>
      <c r="M1465" s="64"/>
      <c r="N1465" s="64"/>
      <c r="O1465" s="64"/>
      <c r="P1465" s="64"/>
      <c r="Q1465" s="64"/>
      <c r="R1465" s="64"/>
      <c r="S1465" s="64"/>
    </row>
    <row r="1466" spans="1:19" x14ac:dyDescent="0.25">
      <c r="A1466" s="63"/>
      <c r="B1466" s="64"/>
      <c r="C1466" s="64"/>
      <c r="D1466" s="64"/>
      <c r="E1466" s="64"/>
      <c r="F1466" s="64"/>
      <c r="G1466" s="64"/>
      <c r="H1466" s="64"/>
      <c r="I1466" s="64"/>
      <c r="J1466" s="64"/>
      <c r="K1466" s="64"/>
      <c r="L1466" s="64"/>
      <c r="M1466" s="64"/>
      <c r="N1466" s="64"/>
      <c r="O1466" s="64"/>
      <c r="P1466" s="64"/>
      <c r="Q1466" s="64"/>
      <c r="R1466" s="64"/>
      <c r="S1466" s="64"/>
    </row>
    <row r="1467" spans="1:19" x14ac:dyDescent="0.25">
      <c r="A1467" s="63"/>
      <c r="B1467" s="64"/>
      <c r="C1467" s="64"/>
      <c r="D1467" s="64"/>
      <c r="E1467" s="64"/>
      <c r="F1467" s="64"/>
      <c r="G1467" s="64"/>
      <c r="H1467" s="64"/>
      <c r="I1467" s="64"/>
      <c r="J1467" s="64"/>
      <c r="K1467" s="64"/>
      <c r="L1467" s="64"/>
      <c r="M1467" s="64"/>
      <c r="N1467" s="64"/>
      <c r="O1467" s="64"/>
      <c r="P1467" s="64"/>
      <c r="Q1467" s="64"/>
      <c r="R1467" s="64"/>
      <c r="S1467" s="64"/>
    </row>
    <row r="1468" spans="1:19" x14ac:dyDescent="0.25">
      <c r="A1468" s="63"/>
      <c r="B1468" s="64"/>
      <c r="C1468" s="64"/>
      <c r="D1468" s="64"/>
      <c r="E1468" s="64"/>
      <c r="F1468" s="64"/>
      <c r="G1468" s="64"/>
      <c r="H1468" s="64"/>
      <c r="I1468" s="64"/>
      <c r="J1468" s="64"/>
      <c r="K1468" s="64"/>
      <c r="L1468" s="64"/>
      <c r="M1468" s="64"/>
      <c r="N1468" s="64"/>
      <c r="O1468" s="64"/>
      <c r="P1468" s="64"/>
      <c r="Q1468" s="64"/>
      <c r="R1468" s="64"/>
      <c r="S1468" s="64"/>
    </row>
    <row r="1469" spans="1:19" x14ac:dyDescent="0.25">
      <c r="A1469" s="63"/>
      <c r="B1469" s="64"/>
      <c r="C1469" s="64"/>
      <c r="D1469" s="64"/>
      <c r="E1469" s="64"/>
      <c r="F1469" s="64"/>
      <c r="G1469" s="64"/>
      <c r="H1469" s="64"/>
      <c r="I1469" s="64"/>
      <c r="J1469" s="64"/>
      <c r="K1469" s="64"/>
      <c r="L1469" s="64"/>
      <c r="M1469" s="64"/>
      <c r="N1469" s="64"/>
      <c r="O1469" s="64"/>
      <c r="P1469" s="64"/>
      <c r="Q1469" s="64"/>
      <c r="R1469" s="64"/>
      <c r="S1469" s="64"/>
    </row>
    <row r="1470" spans="1:19" x14ac:dyDescent="0.25">
      <c r="A1470" s="63"/>
      <c r="B1470" s="64"/>
      <c r="C1470" s="64"/>
      <c r="D1470" s="64"/>
      <c r="E1470" s="64"/>
      <c r="F1470" s="64"/>
      <c r="G1470" s="64"/>
      <c r="H1470" s="64"/>
      <c r="I1470" s="64"/>
      <c r="J1470" s="64"/>
      <c r="K1470" s="64"/>
      <c r="L1470" s="64"/>
      <c r="M1470" s="64"/>
      <c r="N1470" s="64"/>
      <c r="O1470" s="64"/>
      <c r="P1470" s="64"/>
      <c r="Q1470" s="64"/>
      <c r="R1470" s="64"/>
      <c r="S1470" s="64"/>
    </row>
    <row r="1471" spans="1:19" x14ac:dyDescent="0.25">
      <c r="A1471" s="63"/>
      <c r="B1471" s="64"/>
      <c r="C1471" s="64"/>
      <c r="D1471" s="64"/>
      <c r="E1471" s="64"/>
      <c r="F1471" s="64"/>
      <c r="G1471" s="64"/>
      <c r="H1471" s="64"/>
      <c r="I1471" s="64"/>
      <c r="J1471" s="64"/>
      <c r="K1471" s="64"/>
      <c r="L1471" s="64"/>
      <c r="M1471" s="64"/>
      <c r="N1471" s="64"/>
      <c r="O1471" s="64"/>
      <c r="P1471" s="64"/>
      <c r="Q1471" s="64"/>
      <c r="R1471" s="64"/>
      <c r="S1471" s="64"/>
    </row>
    <row r="1472" spans="1:19" x14ac:dyDescent="0.25">
      <c r="A1472" s="63"/>
      <c r="B1472" s="64"/>
      <c r="C1472" s="64"/>
      <c r="D1472" s="64"/>
      <c r="E1472" s="64"/>
      <c r="F1472" s="64"/>
      <c r="G1472" s="64"/>
      <c r="H1472" s="64"/>
      <c r="I1472" s="64"/>
      <c r="J1472" s="64"/>
      <c r="K1472" s="64"/>
      <c r="L1472" s="64"/>
      <c r="M1472" s="64"/>
      <c r="N1472" s="64"/>
      <c r="O1472" s="64"/>
      <c r="P1472" s="64"/>
      <c r="Q1472" s="64"/>
      <c r="R1472" s="64"/>
      <c r="S1472" s="64"/>
    </row>
    <row r="1473" spans="1:19" x14ac:dyDescent="0.25">
      <c r="A1473" s="63"/>
      <c r="B1473" s="64"/>
      <c r="C1473" s="64"/>
      <c r="D1473" s="64"/>
      <c r="E1473" s="64"/>
      <c r="F1473" s="64"/>
      <c r="G1473" s="64"/>
      <c r="H1473" s="64"/>
      <c r="I1473" s="64"/>
      <c r="J1473" s="64"/>
      <c r="K1473" s="64"/>
      <c r="L1473" s="64"/>
      <c r="M1473" s="64"/>
      <c r="N1473" s="64"/>
      <c r="O1473" s="64"/>
      <c r="P1473" s="64"/>
      <c r="Q1473" s="64"/>
      <c r="R1473" s="64"/>
      <c r="S1473" s="64"/>
    </row>
    <row r="1474" spans="1:19" x14ac:dyDescent="0.25">
      <c r="A1474" s="63"/>
      <c r="B1474" s="64"/>
      <c r="C1474" s="64"/>
      <c r="D1474" s="64"/>
      <c r="E1474" s="64"/>
      <c r="F1474" s="64"/>
      <c r="G1474" s="64"/>
      <c r="H1474" s="64"/>
      <c r="I1474" s="64"/>
      <c r="J1474" s="64"/>
      <c r="K1474" s="64"/>
      <c r="L1474" s="64"/>
      <c r="M1474" s="64"/>
      <c r="N1474" s="64"/>
      <c r="O1474" s="64"/>
      <c r="P1474" s="64"/>
      <c r="Q1474" s="64"/>
      <c r="R1474" s="64"/>
      <c r="S1474" s="64"/>
    </row>
    <row r="1475" spans="1:19" x14ac:dyDescent="0.25">
      <c r="A1475" s="63"/>
      <c r="B1475" s="64"/>
      <c r="C1475" s="64"/>
      <c r="D1475" s="64"/>
      <c r="E1475" s="64"/>
      <c r="F1475" s="64"/>
      <c r="G1475" s="64"/>
      <c r="H1475" s="64"/>
      <c r="I1475" s="64"/>
      <c r="J1475" s="64"/>
      <c r="K1475" s="64"/>
      <c r="L1475" s="64"/>
      <c r="M1475" s="64"/>
      <c r="N1475" s="64"/>
      <c r="O1475" s="64"/>
      <c r="P1475" s="64"/>
      <c r="Q1475" s="64"/>
      <c r="R1475" s="64"/>
      <c r="S1475" s="64"/>
    </row>
    <row r="1476" spans="1:19" x14ac:dyDescent="0.25">
      <c r="A1476" s="63"/>
      <c r="B1476" s="64"/>
      <c r="C1476" s="64"/>
      <c r="D1476" s="64"/>
      <c r="E1476" s="64"/>
      <c r="F1476" s="64"/>
      <c r="G1476" s="64"/>
      <c r="H1476" s="64"/>
      <c r="I1476" s="64"/>
      <c r="J1476" s="64"/>
      <c r="K1476" s="64"/>
      <c r="L1476" s="64"/>
      <c r="M1476" s="64"/>
      <c r="N1476" s="64"/>
      <c r="O1476" s="64"/>
      <c r="P1476" s="64"/>
      <c r="Q1476" s="64"/>
      <c r="R1476" s="64"/>
      <c r="S1476" s="64"/>
    </row>
    <row r="1477" spans="1:19" x14ac:dyDescent="0.25">
      <c r="A1477" s="63"/>
      <c r="B1477" s="64"/>
      <c r="C1477" s="64"/>
      <c r="D1477" s="64"/>
      <c r="E1477" s="64"/>
      <c r="F1477" s="64"/>
      <c r="G1477" s="64"/>
      <c r="H1477" s="64"/>
      <c r="I1477" s="64"/>
      <c r="J1477" s="64"/>
      <c r="K1477" s="64"/>
      <c r="L1477" s="64"/>
      <c r="M1477" s="64"/>
      <c r="N1477" s="64"/>
      <c r="O1477" s="64"/>
      <c r="P1477" s="64"/>
      <c r="Q1477" s="64"/>
      <c r="R1477" s="64"/>
      <c r="S1477" s="64"/>
    </row>
    <row r="1478" spans="1:19" x14ac:dyDescent="0.25">
      <c r="A1478" s="63"/>
      <c r="B1478" s="64"/>
      <c r="C1478" s="64"/>
      <c r="D1478" s="64"/>
      <c r="E1478" s="64"/>
      <c r="F1478" s="64"/>
      <c r="G1478" s="64"/>
      <c r="H1478" s="64"/>
      <c r="I1478" s="64"/>
      <c r="J1478" s="64"/>
      <c r="K1478" s="64"/>
      <c r="L1478" s="64"/>
      <c r="M1478" s="64"/>
      <c r="N1478" s="64"/>
      <c r="O1478" s="64"/>
      <c r="P1478" s="64"/>
      <c r="Q1478" s="64"/>
      <c r="R1478" s="64"/>
      <c r="S1478" s="64"/>
    </row>
    <row r="1479" spans="1:19" x14ac:dyDescent="0.25">
      <c r="A1479" s="63"/>
      <c r="B1479" s="64"/>
      <c r="C1479" s="64"/>
      <c r="D1479" s="64"/>
      <c r="E1479" s="64"/>
      <c r="F1479" s="64"/>
      <c r="G1479" s="64"/>
      <c r="H1479" s="64"/>
      <c r="I1479" s="64"/>
      <c r="J1479" s="64"/>
      <c r="K1479" s="64"/>
      <c r="L1479" s="64"/>
      <c r="M1479" s="64"/>
      <c r="N1479" s="64"/>
      <c r="O1479" s="64"/>
      <c r="P1479" s="64"/>
      <c r="Q1479" s="64"/>
      <c r="R1479" s="64"/>
      <c r="S1479" s="64"/>
    </row>
    <row r="1480" spans="1:19" x14ac:dyDescent="0.25">
      <c r="A1480" s="63"/>
      <c r="B1480" s="64"/>
      <c r="C1480" s="64"/>
      <c r="D1480" s="64"/>
      <c r="E1480" s="64"/>
      <c r="F1480" s="64"/>
      <c r="G1480" s="64"/>
      <c r="H1480" s="64"/>
      <c r="I1480" s="64"/>
      <c r="J1480" s="64"/>
      <c r="K1480" s="64"/>
      <c r="L1480" s="64"/>
      <c r="M1480" s="64"/>
      <c r="N1480" s="64"/>
      <c r="O1480" s="64"/>
      <c r="P1480" s="64"/>
      <c r="Q1480" s="64"/>
      <c r="R1480" s="64"/>
      <c r="S1480" s="64"/>
    </row>
    <row r="1481" spans="1:19" x14ac:dyDescent="0.25">
      <c r="A1481" s="63"/>
      <c r="B1481" s="64"/>
      <c r="C1481" s="64"/>
      <c r="D1481" s="64"/>
      <c r="E1481" s="64"/>
      <c r="F1481" s="64"/>
      <c r="G1481" s="64"/>
      <c r="H1481" s="64"/>
      <c r="I1481" s="64"/>
      <c r="J1481" s="64"/>
      <c r="K1481" s="64"/>
      <c r="L1481" s="64"/>
      <c r="M1481" s="64"/>
      <c r="N1481" s="64"/>
      <c r="O1481" s="64"/>
      <c r="P1481" s="64"/>
      <c r="Q1481" s="64"/>
      <c r="R1481" s="64"/>
      <c r="S1481" s="64"/>
    </row>
    <row r="1482" spans="1:19" x14ac:dyDescent="0.25">
      <c r="A1482" s="63"/>
      <c r="B1482" s="64"/>
      <c r="C1482" s="64"/>
      <c r="D1482" s="64"/>
      <c r="E1482" s="64"/>
      <c r="F1482" s="64"/>
      <c r="G1482" s="64"/>
      <c r="H1482" s="64"/>
      <c r="I1482" s="64"/>
      <c r="J1482" s="64"/>
      <c r="K1482" s="64"/>
      <c r="L1482" s="64"/>
      <c r="M1482" s="64"/>
      <c r="N1482" s="64"/>
      <c r="O1482" s="64"/>
      <c r="P1482" s="64"/>
      <c r="Q1482" s="64"/>
      <c r="R1482" s="64"/>
      <c r="S1482" s="64"/>
    </row>
    <row r="1483" spans="1:19" x14ac:dyDescent="0.25">
      <c r="A1483" s="63"/>
      <c r="B1483" s="64"/>
      <c r="C1483" s="64"/>
      <c r="D1483" s="64"/>
      <c r="E1483" s="64"/>
      <c r="F1483" s="64"/>
      <c r="G1483" s="64"/>
      <c r="H1483" s="64"/>
      <c r="I1483" s="64"/>
      <c r="J1483" s="64"/>
      <c r="K1483" s="64"/>
      <c r="L1483" s="64"/>
      <c r="M1483" s="64"/>
      <c r="N1483" s="64"/>
      <c r="O1483" s="64"/>
      <c r="P1483" s="64"/>
      <c r="Q1483" s="64"/>
      <c r="R1483" s="64"/>
      <c r="S1483" s="64"/>
    </row>
    <row r="1484" spans="1:19" x14ac:dyDescent="0.25">
      <c r="A1484" s="63"/>
      <c r="B1484" s="64"/>
      <c r="C1484" s="64"/>
      <c r="D1484" s="64"/>
      <c r="E1484" s="64"/>
      <c r="F1484" s="64"/>
      <c r="G1484" s="64"/>
      <c r="H1484" s="64"/>
      <c r="I1484" s="64"/>
      <c r="J1484" s="64"/>
      <c r="K1484" s="64"/>
      <c r="L1484" s="64"/>
      <c r="M1484" s="64"/>
      <c r="N1484" s="64"/>
      <c r="O1484" s="64"/>
      <c r="P1484" s="64"/>
      <c r="Q1484" s="64"/>
      <c r="R1484" s="64"/>
      <c r="S1484" s="64"/>
    </row>
    <row r="1485" spans="1:19" x14ac:dyDescent="0.25">
      <c r="A1485" s="63"/>
      <c r="B1485" s="64"/>
      <c r="C1485" s="64"/>
      <c r="D1485" s="64"/>
      <c r="E1485" s="64"/>
      <c r="F1485" s="64"/>
      <c r="G1485" s="64"/>
      <c r="H1485" s="64"/>
      <c r="I1485" s="64"/>
      <c r="J1485" s="64"/>
      <c r="K1485" s="64"/>
      <c r="L1485" s="64"/>
      <c r="M1485" s="64"/>
      <c r="N1485" s="64"/>
      <c r="O1485" s="64"/>
      <c r="P1485" s="64"/>
      <c r="Q1485" s="64"/>
      <c r="R1485" s="64"/>
      <c r="S1485" s="64"/>
    </row>
    <row r="1486" spans="1:19" x14ac:dyDescent="0.25">
      <c r="A1486" s="63"/>
      <c r="B1486" s="64"/>
      <c r="C1486" s="64"/>
      <c r="D1486" s="64"/>
      <c r="E1486" s="64"/>
      <c r="F1486" s="64"/>
      <c r="G1486" s="64"/>
      <c r="H1486" s="64"/>
      <c r="I1486" s="64"/>
      <c r="J1486" s="64"/>
      <c r="K1486" s="64"/>
      <c r="L1486" s="64"/>
      <c r="M1486" s="64"/>
      <c r="N1486" s="64"/>
      <c r="O1486" s="64"/>
      <c r="P1486" s="64"/>
      <c r="Q1486" s="64"/>
      <c r="R1486" s="64"/>
      <c r="S1486" s="64"/>
    </row>
    <row r="1487" spans="1:19" x14ac:dyDescent="0.25">
      <c r="A1487" s="63"/>
      <c r="B1487" s="64"/>
      <c r="C1487" s="64"/>
      <c r="D1487" s="64"/>
      <c r="E1487" s="64"/>
      <c r="F1487" s="64"/>
      <c r="G1487" s="64"/>
      <c r="H1487" s="64"/>
      <c r="I1487" s="64"/>
      <c r="J1487" s="64"/>
      <c r="K1487" s="64"/>
      <c r="L1487" s="64"/>
      <c r="M1487" s="64"/>
      <c r="N1487" s="64"/>
      <c r="O1487" s="64"/>
      <c r="P1487" s="64"/>
      <c r="Q1487" s="64"/>
      <c r="R1487" s="64"/>
      <c r="S1487" s="64"/>
    </row>
    <row r="1488" spans="1:19" x14ac:dyDescent="0.25">
      <c r="A1488" s="63"/>
      <c r="B1488" s="64"/>
      <c r="C1488" s="64"/>
      <c r="D1488" s="64"/>
      <c r="E1488" s="64"/>
      <c r="F1488" s="64"/>
      <c r="G1488" s="64"/>
      <c r="H1488" s="64"/>
      <c r="I1488" s="64"/>
      <c r="J1488" s="64"/>
      <c r="K1488" s="64"/>
      <c r="L1488" s="64"/>
      <c r="M1488" s="64"/>
      <c r="N1488" s="64"/>
      <c r="O1488" s="64"/>
      <c r="P1488" s="64"/>
      <c r="Q1488" s="64"/>
      <c r="R1488" s="64"/>
      <c r="S1488" s="64"/>
    </row>
    <row r="1489" spans="1:19" x14ac:dyDescent="0.25">
      <c r="A1489" s="63"/>
      <c r="B1489" s="64"/>
      <c r="C1489" s="64"/>
      <c r="D1489" s="64"/>
      <c r="E1489" s="64"/>
      <c r="F1489" s="64"/>
      <c r="G1489" s="64"/>
      <c r="H1489" s="64"/>
      <c r="I1489" s="64"/>
      <c r="J1489" s="64"/>
      <c r="K1489" s="64"/>
      <c r="L1489" s="64"/>
      <c r="M1489" s="64"/>
      <c r="N1489" s="64"/>
      <c r="O1489" s="64"/>
      <c r="P1489" s="64"/>
      <c r="Q1489" s="64"/>
      <c r="R1489" s="64"/>
      <c r="S1489" s="64"/>
    </row>
    <row r="1490" spans="1:19" x14ac:dyDescent="0.25">
      <c r="A1490" s="63"/>
      <c r="B1490" s="64"/>
      <c r="C1490" s="64"/>
      <c r="D1490" s="64"/>
      <c r="E1490" s="64"/>
      <c r="F1490" s="64"/>
      <c r="G1490" s="64"/>
      <c r="H1490" s="64"/>
      <c r="I1490" s="64"/>
      <c r="J1490" s="64"/>
      <c r="K1490" s="64"/>
      <c r="L1490" s="64"/>
      <c r="M1490" s="64"/>
      <c r="N1490" s="64"/>
      <c r="O1490" s="64"/>
      <c r="P1490" s="64"/>
      <c r="Q1490" s="64"/>
      <c r="R1490" s="64"/>
      <c r="S1490" s="64"/>
    </row>
    <row r="1491" spans="1:19" x14ac:dyDescent="0.25">
      <c r="A1491" s="63"/>
      <c r="B1491" s="64"/>
      <c r="C1491" s="64"/>
      <c r="D1491" s="64"/>
      <c r="E1491" s="64"/>
      <c r="F1491" s="64"/>
      <c r="G1491" s="64"/>
      <c r="H1491" s="64"/>
      <c r="I1491" s="64"/>
      <c r="J1491" s="64"/>
      <c r="K1491" s="64"/>
      <c r="L1491" s="64"/>
      <c r="M1491" s="64"/>
      <c r="N1491" s="64"/>
      <c r="O1491" s="64"/>
      <c r="P1491" s="64"/>
      <c r="Q1491" s="64"/>
      <c r="R1491" s="64"/>
      <c r="S1491" s="64"/>
    </row>
    <row r="1492" spans="1:19" x14ac:dyDescent="0.25">
      <c r="A1492" s="63"/>
      <c r="B1492" s="64"/>
      <c r="C1492" s="64"/>
      <c r="D1492" s="64"/>
      <c r="E1492" s="64"/>
      <c r="F1492" s="64"/>
      <c r="G1492" s="64"/>
      <c r="H1492" s="64"/>
      <c r="I1492" s="64"/>
      <c r="J1492" s="64"/>
      <c r="K1492" s="64"/>
      <c r="L1492" s="64"/>
      <c r="M1492" s="64"/>
      <c r="N1492" s="64"/>
      <c r="O1492" s="64"/>
      <c r="P1492" s="64"/>
      <c r="Q1492" s="64"/>
      <c r="R1492" s="64"/>
      <c r="S1492" s="64"/>
    </row>
    <row r="1493" spans="1:19" x14ac:dyDescent="0.25">
      <c r="A1493" s="63"/>
      <c r="B1493" s="64"/>
      <c r="C1493" s="64"/>
      <c r="D1493" s="64"/>
      <c r="E1493" s="64"/>
      <c r="F1493" s="64"/>
      <c r="G1493" s="64"/>
      <c r="H1493" s="64"/>
      <c r="I1493" s="64"/>
      <c r="J1493" s="64"/>
      <c r="K1493" s="64"/>
      <c r="L1493" s="64"/>
      <c r="M1493" s="64"/>
      <c r="N1493" s="64"/>
      <c r="O1493" s="64"/>
      <c r="P1493" s="64"/>
      <c r="Q1493" s="64"/>
      <c r="R1493" s="64"/>
      <c r="S1493" s="64"/>
    </row>
    <row r="1494" spans="1:19" x14ac:dyDescent="0.25">
      <c r="A1494" s="63"/>
      <c r="B1494" s="64"/>
      <c r="C1494" s="64"/>
      <c r="D1494" s="64"/>
      <c r="E1494" s="64"/>
      <c r="F1494" s="64"/>
      <c r="G1494" s="64"/>
      <c r="H1494" s="64"/>
      <c r="I1494" s="64"/>
      <c r="J1494" s="64"/>
      <c r="K1494" s="64"/>
      <c r="L1494" s="64"/>
      <c r="M1494" s="64"/>
      <c r="N1494" s="64"/>
      <c r="O1494" s="64"/>
      <c r="P1494" s="64"/>
      <c r="Q1494" s="64"/>
      <c r="R1494" s="64"/>
      <c r="S1494" s="64"/>
    </row>
    <row r="1495" spans="1:19" x14ac:dyDescent="0.25">
      <c r="A1495" s="63"/>
      <c r="B1495" s="64"/>
      <c r="C1495" s="64"/>
      <c r="D1495" s="64"/>
      <c r="E1495" s="64"/>
      <c r="F1495" s="64"/>
      <c r="G1495" s="64"/>
      <c r="H1495" s="64"/>
      <c r="I1495" s="64"/>
      <c r="J1495" s="64"/>
      <c r="K1495" s="64"/>
      <c r="L1495" s="64"/>
      <c r="M1495" s="64"/>
      <c r="N1495" s="64"/>
      <c r="O1495" s="64"/>
      <c r="P1495" s="64"/>
      <c r="Q1495" s="64"/>
      <c r="R1495" s="64"/>
      <c r="S1495" s="64"/>
    </row>
    <row r="1496" spans="1:19" x14ac:dyDescent="0.25">
      <c r="A1496" s="63"/>
      <c r="B1496" s="64"/>
      <c r="C1496" s="64"/>
      <c r="D1496" s="64"/>
      <c r="E1496" s="64"/>
      <c r="F1496" s="64"/>
      <c r="G1496" s="64"/>
      <c r="H1496" s="64"/>
      <c r="I1496" s="64"/>
      <c r="J1496" s="64"/>
      <c r="K1496" s="64"/>
      <c r="L1496" s="64"/>
      <c r="M1496" s="64"/>
      <c r="N1496" s="64"/>
      <c r="O1496" s="64"/>
      <c r="P1496" s="64"/>
      <c r="Q1496" s="64"/>
      <c r="R1496" s="64"/>
      <c r="S1496" s="64"/>
    </row>
    <row r="1497" spans="1:19" x14ac:dyDescent="0.25">
      <c r="A1497" s="63"/>
      <c r="B1497" s="64"/>
      <c r="C1497" s="64"/>
      <c r="D1497" s="64"/>
      <c r="E1497" s="64"/>
      <c r="F1497" s="64"/>
      <c r="G1497" s="64"/>
      <c r="H1497" s="64"/>
      <c r="I1497" s="64"/>
      <c r="J1497" s="64"/>
      <c r="K1497" s="64"/>
      <c r="L1497" s="64"/>
      <c r="M1497" s="64"/>
      <c r="N1497" s="64"/>
      <c r="O1497" s="64"/>
      <c r="P1497" s="64"/>
      <c r="Q1497" s="64"/>
      <c r="R1497" s="64"/>
      <c r="S1497" s="64"/>
    </row>
    <row r="1498" spans="1:19" x14ac:dyDescent="0.25">
      <c r="A1498" s="63"/>
      <c r="B1498" s="64"/>
      <c r="C1498" s="64"/>
      <c r="D1498" s="64"/>
      <c r="E1498" s="64"/>
      <c r="F1498" s="64"/>
      <c r="G1498" s="64"/>
      <c r="H1498" s="64"/>
      <c r="I1498" s="64"/>
      <c r="J1498" s="64"/>
      <c r="K1498" s="64"/>
      <c r="L1498" s="64"/>
      <c r="M1498" s="64"/>
      <c r="N1498" s="64"/>
      <c r="O1498" s="64"/>
      <c r="P1498" s="64"/>
      <c r="Q1498" s="64"/>
      <c r="R1498" s="64"/>
      <c r="S1498" s="64"/>
    </row>
    <row r="1499" spans="1:19" x14ac:dyDescent="0.25">
      <c r="A1499" s="63"/>
      <c r="B1499" s="64"/>
      <c r="C1499" s="64"/>
      <c r="D1499" s="64"/>
      <c r="E1499" s="64"/>
      <c r="F1499" s="64"/>
      <c r="G1499" s="64"/>
      <c r="H1499" s="64"/>
      <c r="I1499" s="64"/>
      <c r="J1499" s="64"/>
      <c r="K1499" s="64"/>
      <c r="L1499" s="64"/>
      <c r="M1499" s="64"/>
      <c r="N1499" s="64"/>
      <c r="O1499" s="64"/>
      <c r="P1499" s="64"/>
      <c r="Q1499" s="64"/>
      <c r="R1499" s="64"/>
      <c r="S1499" s="64"/>
    </row>
    <row r="1500" spans="1:19" x14ac:dyDescent="0.25">
      <c r="A1500" s="63"/>
      <c r="B1500" s="64"/>
      <c r="C1500" s="64"/>
      <c r="D1500" s="64"/>
      <c r="E1500" s="64"/>
      <c r="F1500" s="64"/>
      <c r="G1500" s="64"/>
      <c r="H1500" s="64"/>
      <c r="I1500" s="64"/>
      <c r="J1500" s="64"/>
      <c r="K1500" s="64"/>
      <c r="L1500" s="64"/>
      <c r="M1500" s="64"/>
      <c r="N1500" s="64"/>
      <c r="O1500" s="64"/>
      <c r="P1500" s="64"/>
      <c r="Q1500" s="64"/>
      <c r="R1500" s="64"/>
      <c r="S1500" s="64"/>
    </row>
    <row r="1501" spans="1:19" x14ac:dyDescent="0.25">
      <c r="A1501" s="63"/>
      <c r="B1501" s="64"/>
      <c r="C1501" s="64"/>
      <c r="D1501" s="64"/>
      <c r="E1501" s="64"/>
      <c r="F1501" s="64"/>
      <c r="G1501" s="64"/>
      <c r="H1501" s="64"/>
      <c r="I1501" s="64"/>
      <c r="J1501" s="64"/>
      <c r="K1501" s="64"/>
      <c r="L1501" s="64"/>
      <c r="M1501" s="64"/>
      <c r="N1501" s="64"/>
      <c r="O1501" s="64"/>
      <c r="P1501" s="64"/>
      <c r="Q1501" s="64"/>
      <c r="R1501" s="64"/>
      <c r="S1501" s="64"/>
    </row>
    <row r="1502" spans="1:19" x14ac:dyDescent="0.25">
      <c r="A1502" s="63"/>
      <c r="B1502" s="64"/>
      <c r="C1502" s="64"/>
      <c r="D1502" s="64"/>
      <c r="E1502" s="64"/>
      <c r="F1502" s="64"/>
      <c r="G1502" s="64"/>
      <c r="H1502" s="64"/>
      <c r="I1502" s="64"/>
      <c r="J1502" s="64"/>
      <c r="K1502" s="64"/>
      <c r="L1502" s="64"/>
      <c r="M1502" s="64"/>
      <c r="N1502" s="64"/>
      <c r="O1502" s="64"/>
      <c r="P1502" s="64"/>
      <c r="Q1502" s="64"/>
      <c r="R1502" s="64"/>
      <c r="S1502" s="64"/>
    </row>
    <row r="1503" spans="1:19" x14ac:dyDescent="0.25">
      <c r="A1503" s="63"/>
      <c r="B1503" s="64"/>
      <c r="C1503" s="64"/>
      <c r="D1503" s="64"/>
      <c r="E1503" s="64"/>
      <c r="F1503" s="64"/>
      <c r="G1503" s="64"/>
      <c r="H1503" s="64"/>
      <c r="I1503" s="64"/>
      <c r="J1503" s="64"/>
      <c r="K1503" s="64"/>
      <c r="L1503" s="64"/>
      <c r="M1503" s="64"/>
      <c r="N1503" s="64"/>
      <c r="O1503" s="64"/>
      <c r="P1503" s="64"/>
      <c r="Q1503" s="64"/>
      <c r="R1503" s="64"/>
      <c r="S1503" s="64"/>
    </row>
    <row r="1504" spans="1:19" x14ac:dyDescent="0.25">
      <c r="A1504" s="63"/>
      <c r="B1504" s="64"/>
      <c r="C1504" s="64"/>
      <c r="D1504" s="64"/>
      <c r="E1504" s="64"/>
      <c r="F1504" s="64"/>
      <c r="G1504" s="64"/>
      <c r="H1504" s="64"/>
      <c r="I1504" s="64"/>
      <c r="J1504" s="64"/>
      <c r="K1504" s="64"/>
      <c r="L1504" s="64"/>
      <c r="M1504" s="64"/>
      <c r="N1504" s="64"/>
      <c r="O1504" s="64"/>
      <c r="P1504" s="64"/>
      <c r="Q1504" s="64"/>
      <c r="R1504" s="64"/>
      <c r="S1504" s="64"/>
    </row>
    <row r="1505" spans="1:19" x14ac:dyDescent="0.25">
      <c r="A1505" s="63"/>
      <c r="B1505" s="64"/>
      <c r="C1505" s="64"/>
      <c r="D1505" s="64"/>
      <c r="E1505" s="64"/>
      <c r="F1505" s="64"/>
      <c r="G1505" s="64"/>
      <c r="H1505" s="64"/>
      <c r="I1505" s="64"/>
      <c r="J1505" s="64"/>
      <c r="K1505" s="64"/>
      <c r="L1505" s="64"/>
      <c r="M1505" s="64"/>
      <c r="N1505" s="64"/>
      <c r="O1505" s="64"/>
      <c r="P1505" s="64"/>
      <c r="Q1505" s="64"/>
      <c r="R1505" s="64"/>
      <c r="S1505" s="64"/>
    </row>
    <row r="1506" spans="1:19" x14ac:dyDescent="0.25">
      <c r="A1506" s="63"/>
      <c r="B1506" s="64"/>
      <c r="C1506" s="64"/>
      <c r="D1506" s="64"/>
      <c r="E1506" s="64"/>
      <c r="F1506" s="64"/>
      <c r="G1506" s="64"/>
      <c r="H1506" s="64"/>
      <c r="I1506" s="64"/>
      <c r="J1506" s="64"/>
      <c r="K1506" s="64"/>
      <c r="L1506" s="64"/>
      <c r="M1506" s="64"/>
      <c r="N1506" s="64"/>
      <c r="O1506" s="64"/>
      <c r="P1506" s="64"/>
      <c r="Q1506" s="64"/>
      <c r="R1506" s="64"/>
      <c r="S1506" s="64"/>
    </row>
    <row r="1507" spans="1:19" x14ac:dyDescent="0.25">
      <c r="A1507" s="63"/>
      <c r="B1507" s="64"/>
      <c r="C1507" s="64"/>
      <c r="D1507" s="64"/>
      <c r="E1507" s="64"/>
      <c r="F1507" s="64"/>
      <c r="G1507" s="64"/>
      <c r="H1507" s="64"/>
      <c r="I1507" s="64"/>
      <c r="J1507" s="64"/>
      <c r="K1507" s="64"/>
      <c r="L1507" s="64"/>
      <c r="M1507" s="64"/>
      <c r="N1507" s="64"/>
      <c r="O1507" s="64"/>
      <c r="P1507" s="64"/>
      <c r="Q1507" s="64"/>
      <c r="R1507" s="64"/>
      <c r="S1507" s="64"/>
    </row>
    <row r="1508" spans="1:19" x14ac:dyDescent="0.25">
      <c r="A1508" s="63"/>
      <c r="B1508" s="64"/>
      <c r="C1508" s="64"/>
      <c r="D1508" s="64"/>
      <c r="E1508" s="64"/>
      <c r="F1508" s="64"/>
      <c r="G1508" s="64"/>
      <c r="H1508" s="64"/>
      <c r="I1508" s="64"/>
      <c r="J1508" s="64"/>
      <c r="K1508" s="64"/>
      <c r="L1508" s="64"/>
      <c r="M1508" s="64"/>
      <c r="N1508" s="64"/>
      <c r="O1508" s="64"/>
      <c r="P1508" s="64"/>
      <c r="Q1508" s="64"/>
      <c r="R1508" s="64"/>
      <c r="S1508" s="64"/>
    </row>
    <row r="1509" spans="1:19" x14ac:dyDescent="0.25">
      <c r="A1509" s="63"/>
      <c r="B1509" s="64"/>
      <c r="C1509" s="64"/>
      <c r="D1509" s="64"/>
      <c r="E1509" s="64"/>
      <c r="F1509" s="64"/>
      <c r="G1509" s="64"/>
      <c r="H1509" s="64"/>
      <c r="I1509" s="64"/>
      <c r="J1509" s="64"/>
      <c r="K1509" s="64"/>
      <c r="L1509" s="64"/>
      <c r="M1509" s="64"/>
      <c r="N1509" s="64"/>
      <c r="O1509" s="64"/>
      <c r="P1509" s="64"/>
      <c r="Q1509" s="64"/>
      <c r="R1509" s="64"/>
      <c r="S1509" s="64"/>
    </row>
    <row r="1510" spans="1:19" x14ac:dyDescent="0.25">
      <c r="A1510" s="63"/>
      <c r="B1510" s="64"/>
      <c r="C1510" s="64"/>
      <c r="D1510" s="64"/>
      <c r="E1510" s="64"/>
      <c r="F1510" s="64"/>
      <c r="G1510" s="64"/>
      <c r="H1510" s="64"/>
      <c r="I1510" s="64"/>
      <c r="J1510" s="64"/>
      <c r="K1510" s="64"/>
      <c r="L1510" s="64"/>
      <c r="M1510" s="64"/>
      <c r="N1510" s="64"/>
      <c r="O1510" s="64"/>
      <c r="P1510" s="64"/>
      <c r="Q1510" s="64"/>
      <c r="R1510" s="64"/>
      <c r="S1510" s="64"/>
    </row>
    <row r="1511" spans="1:19" x14ac:dyDescent="0.25">
      <c r="A1511" s="63"/>
      <c r="B1511" s="64"/>
      <c r="C1511" s="64"/>
      <c r="D1511" s="64"/>
      <c r="E1511" s="64"/>
      <c r="F1511" s="64"/>
      <c r="G1511" s="64"/>
      <c r="H1511" s="64"/>
      <c r="I1511" s="64"/>
      <c r="J1511" s="64"/>
      <c r="K1511" s="64"/>
      <c r="L1511" s="64"/>
      <c r="M1511" s="64"/>
      <c r="N1511" s="64"/>
      <c r="O1511" s="64"/>
      <c r="P1511" s="64"/>
      <c r="Q1511" s="64"/>
      <c r="R1511" s="64"/>
      <c r="S1511" s="64"/>
    </row>
    <row r="1512" spans="1:19" x14ac:dyDescent="0.25">
      <c r="A1512" s="63"/>
      <c r="B1512" s="64"/>
      <c r="C1512" s="64"/>
      <c r="D1512" s="64"/>
      <c r="E1512" s="64"/>
      <c r="F1512" s="64"/>
      <c r="G1512" s="64"/>
      <c r="H1512" s="64"/>
      <c r="I1512" s="64"/>
      <c r="J1512" s="64"/>
      <c r="K1512" s="64"/>
      <c r="L1512" s="64"/>
      <c r="M1512" s="64"/>
      <c r="N1512" s="64"/>
      <c r="O1512" s="64"/>
      <c r="P1512" s="64"/>
      <c r="Q1512" s="64"/>
      <c r="R1512" s="64"/>
      <c r="S1512" s="64"/>
    </row>
    <row r="1513" spans="1:19" x14ac:dyDescent="0.25">
      <c r="A1513" s="63"/>
      <c r="B1513" s="64"/>
      <c r="C1513" s="64"/>
      <c r="D1513" s="64"/>
      <c r="E1513" s="64"/>
      <c r="F1513" s="64"/>
      <c r="G1513" s="64"/>
      <c r="H1513" s="64"/>
      <c r="I1513" s="64"/>
      <c r="J1513" s="64"/>
      <c r="K1513" s="64"/>
      <c r="L1513" s="64"/>
      <c r="M1513" s="64"/>
      <c r="N1513" s="64"/>
      <c r="O1513" s="64"/>
      <c r="P1513" s="64"/>
      <c r="Q1513" s="64"/>
      <c r="R1513" s="64"/>
      <c r="S1513" s="64"/>
    </row>
    <row r="1514" spans="1:19" x14ac:dyDescent="0.25">
      <c r="A1514" s="63"/>
      <c r="B1514" s="64"/>
      <c r="C1514" s="64"/>
      <c r="D1514" s="64"/>
      <c r="E1514" s="64"/>
      <c r="F1514" s="64"/>
      <c r="G1514" s="64"/>
      <c r="H1514" s="64"/>
      <c r="I1514" s="64"/>
      <c r="J1514" s="64"/>
      <c r="K1514" s="64"/>
      <c r="L1514" s="64"/>
      <c r="M1514" s="64"/>
      <c r="N1514" s="64"/>
      <c r="O1514" s="64"/>
      <c r="P1514" s="64"/>
      <c r="Q1514" s="64"/>
      <c r="R1514" s="64"/>
      <c r="S1514" s="64"/>
    </row>
    <row r="1515" spans="1:19" x14ac:dyDescent="0.25">
      <c r="A1515" s="63"/>
      <c r="B1515" s="64"/>
      <c r="C1515" s="64"/>
      <c r="D1515" s="64"/>
      <c r="E1515" s="64"/>
      <c r="F1515" s="64"/>
      <c r="G1515" s="64"/>
      <c r="H1515" s="64"/>
      <c r="I1515" s="64"/>
      <c r="J1515" s="64"/>
      <c r="K1515" s="64"/>
      <c r="L1515" s="64"/>
      <c r="M1515" s="64"/>
      <c r="N1515" s="64"/>
      <c r="O1515" s="64"/>
      <c r="P1515" s="64"/>
      <c r="Q1515" s="64"/>
      <c r="R1515" s="64"/>
      <c r="S1515" s="64"/>
    </row>
    <row r="1516" spans="1:19" x14ac:dyDescent="0.25">
      <c r="A1516" s="63"/>
      <c r="B1516" s="64"/>
      <c r="C1516" s="64"/>
      <c r="D1516" s="64"/>
      <c r="E1516" s="64"/>
      <c r="F1516" s="64"/>
      <c r="G1516" s="64"/>
      <c r="H1516" s="64"/>
      <c r="I1516" s="64"/>
      <c r="J1516" s="64"/>
      <c r="K1516" s="64"/>
      <c r="L1516" s="64"/>
      <c r="M1516" s="64"/>
      <c r="N1516" s="64"/>
      <c r="O1516" s="64"/>
      <c r="P1516" s="64"/>
      <c r="Q1516" s="64"/>
      <c r="R1516" s="64"/>
      <c r="S1516" s="64"/>
    </row>
    <row r="1517" spans="1:19" x14ac:dyDescent="0.25">
      <c r="A1517" s="63"/>
      <c r="B1517" s="64"/>
      <c r="C1517" s="64"/>
      <c r="D1517" s="64"/>
      <c r="E1517" s="64"/>
      <c r="F1517" s="64"/>
      <c r="G1517" s="64"/>
      <c r="H1517" s="64"/>
      <c r="I1517" s="64"/>
      <c r="J1517" s="64"/>
      <c r="K1517" s="64"/>
      <c r="L1517" s="64"/>
      <c r="M1517" s="64"/>
      <c r="N1517" s="64"/>
      <c r="O1517" s="64"/>
      <c r="P1517" s="64"/>
      <c r="Q1517" s="64"/>
      <c r="R1517" s="64"/>
      <c r="S1517" s="64"/>
    </row>
    <row r="1518" spans="1:19" x14ac:dyDescent="0.25">
      <c r="A1518" s="63"/>
      <c r="B1518" s="64"/>
      <c r="C1518" s="64"/>
      <c r="D1518" s="64"/>
      <c r="E1518" s="64"/>
      <c r="F1518" s="64"/>
      <c r="G1518" s="64"/>
      <c r="H1518" s="64"/>
      <c r="I1518" s="64"/>
      <c r="J1518" s="64"/>
      <c r="K1518" s="64"/>
      <c r="L1518" s="64"/>
      <c r="M1518" s="64"/>
      <c r="N1518" s="64"/>
      <c r="O1518" s="64"/>
      <c r="P1518" s="64"/>
      <c r="Q1518" s="64"/>
      <c r="R1518" s="64"/>
      <c r="S1518" s="64"/>
    </row>
    <row r="1519" spans="1:19" x14ac:dyDescent="0.25">
      <c r="A1519" s="63"/>
      <c r="B1519" s="64"/>
      <c r="C1519" s="64"/>
      <c r="D1519" s="64"/>
      <c r="E1519" s="64"/>
      <c r="F1519" s="64"/>
      <c r="G1519" s="64"/>
      <c r="H1519" s="64"/>
      <c r="I1519" s="64"/>
      <c r="J1519" s="64"/>
      <c r="K1519" s="64"/>
      <c r="L1519" s="64"/>
      <c r="M1519" s="64"/>
      <c r="N1519" s="64"/>
      <c r="O1519" s="64"/>
      <c r="P1519" s="64"/>
      <c r="Q1519" s="64"/>
      <c r="R1519" s="64"/>
      <c r="S1519" s="64"/>
    </row>
    <row r="1520" spans="1:19" x14ac:dyDescent="0.25">
      <c r="A1520" s="63"/>
      <c r="B1520" s="64"/>
      <c r="C1520" s="64"/>
      <c r="D1520" s="64"/>
      <c r="E1520" s="64"/>
      <c r="F1520" s="64"/>
      <c r="G1520" s="64"/>
      <c r="H1520" s="64"/>
      <c r="I1520" s="64"/>
      <c r="J1520" s="64"/>
      <c r="K1520" s="64"/>
      <c r="L1520" s="64"/>
      <c r="M1520" s="64"/>
      <c r="N1520" s="64"/>
      <c r="O1520" s="64"/>
      <c r="P1520" s="64"/>
      <c r="Q1520" s="64"/>
      <c r="R1520" s="64"/>
      <c r="S1520" s="64"/>
    </row>
    <row r="1521" spans="1:19" x14ac:dyDescent="0.25">
      <c r="A1521" s="63"/>
      <c r="B1521" s="64"/>
      <c r="C1521" s="64"/>
      <c r="D1521" s="64"/>
      <c r="E1521" s="64"/>
      <c r="F1521" s="64"/>
      <c r="G1521" s="64"/>
      <c r="H1521" s="64"/>
      <c r="I1521" s="64"/>
      <c r="J1521" s="64"/>
      <c r="K1521" s="64"/>
      <c r="L1521" s="64"/>
      <c r="M1521" s="64"/>
      <c r="N1521" s="64"/>
      <c r="O1521" s="64"/>
      <c r="P1521" s="64"/>
      <c r="Q1521" s="64"/>
      <c r="R1521" s="64"/>
      <c r="S1521" s="64"/>
    </row>
    <row r="1522" spans="1:19" x14ac:dyDescent="0.25">
      <c r="A1522" s="63"/>
      <c r="B1522" s="64"/>
      <c r="C1522" s="64"/>
      <c r="D1522" s="64"/>
      <c r="E1522" s="64"/>
      <c r="F1522" s="64"/>
      <c r="G1522" s="64"/>
      <c r="H1522" s="64"/>
      <c r="I1522" s="64"/>
      <c r="J1522" s="64"/>
      <c r="K1522" s="64"/>
      <c r="L1522" s="64"/>
      <c r="M1522" s="64"/>
      <c r="N1522" s="64"/>
      <c r="O1522" s="64"/>
      <c r="P1522" s="64"/>
      <c r="Q1522" s="64"/>
      <c r="R1522" s="64"/>
      <c r="S1522" s="64"/>
    </row>
    <row r="1523" spans="1:19" x14ac:dyDescent="0.25">
      <c r="A1523" s="63"/>
      <c r="B1523" s="64"/>
      <c r="C1523" s="64"/>
      <c r="D1523" s="64"/>
      <c r="E1523" s="64"/>
      <c r="F1523" s="64"/>
      <c r="G1523" s="64"/>
      <c r="H1523" s="64"/>
      <c r="I1523" s="64"/>
      <c r="J1523" s="64"/>
      <c r="K1523" s="64"/>
      <c r="L1523" s="64"/>
      <c r="M1523" s="64"/>
      <c r="N1523" s="64"/>
      <c r="O1523" s="64"/>
      <c r="P1523" s="64"/>
      <c r="Q1523" s="64"/>
      <c r="R1523" s="64"/>
      <c r="S1523" s="64"/>
    </row>
    <row r="1524" spans="1:19" x14ac:dyDescent="0.25">
      <c r="A1524" s="63"/>
      <c r="B1524" s="64"/>
      <c r="C1524" s="64"/>
      <c r="D1524" s="64"/>
      <c r="E1524" s="64"/>
      <c r="F1524" s="64"/>
      <c r="G1524" s="64"/>
      <c r="H1524" s="64"/>
      <c r="I1524" s="64"/>
      <c r="J1524" s="64"/>
      <c r="K1524" s="64"/>
      <c r="L1524" s="64"/>
      <c r="M1524" s="64"/>
      <c r="N1524" s="64"/>
      <c r="O1524" s="64"/>
      <c r="P1524" s="64"/>
      <c r="Q1524" s="64"/>
      <c r="R1524" s="64"/>
      <c r="S1524" s="64"/>
    </row>
    <row r="1525" spans="1:19" x14ac:dyDescent="0.25">
      <c r="A1525" s="63"/>
      <c r="B1525" s="64"/>
      <c r="C1525" s="64"/>
      <c r="D1525" s="64"/>
      <c r="E1525" s="64"/>
      <c r="F1525" s="64"/>
      <c r="G1525" s="64"/>
      <c r="H1525" s="64"/>
      <c r="I1525" s="64"/>
      <c r="J1525" s="64"/>
      <c r="K1525" s="64"/>
      <c r="L1525" s="64"/>
      <c r="M1525" s="64"/>
      <c r="N1525" s="64"/>
      <c r="O1525" s="64"/>
      <c r="P1525" s="64"/>
      <c r="Q1525" s="64"/>
      <c r="R1525" s="64"/>
      <c r="S1525" s="64"/>
    </row>
    <row r="1526" spans="1:19" x14ac:dyDescent="0.25">
      <c r="A1526" s="63"/>
      <c r="B1526" s="64"/>
      <c r="C1526" s="64"/>
      <c r="D1526" s="64"/>
      <c r="E1526" s="64"/>
      <c r="F1526" s="64"/>
      <c r="G1526" s="64"/>
      <c r="H1526" s="64"/>
      <c r="I1526" s="64"/>
      <c r="J1526" s="64"/>
      <c r="K1526" s="64"/>
      <c r="L1526" s="64"/>
      <c r="M1526" s="64"/>
      <c r="N1526" s="64"/>
      <c r="O1526" s="64"/>
      <c r="P1526" s="64"/>
      <c r="Q1526" s="64"/>
      <c r="R1526" s="64"/>
      <c r="S1526" s="64"/>
    </row>
    <row r="1527" spans="1:19" x14ac:dyDescent="0.25">
      <c r="A1527" s="63"/>
      <c r="B1527" s="64"/>
      <c r="C1527" s="64"/>
      <c r="D1527" s="64"/>
      <c r="E1527" s="64"/>
      <c r="F1527" s="64"/>
      <c r="G1527" s="64"/>
      <c r="H1527" s="64"/>
      <c r="I1527" s="64"/>
      <c r="J1527" s="64"/>
      <c r="K1527" s="64"/>
      <c r="L1527" s="64"/>
      <c r="M1527" s="64"/>
      <c r="N1527" s="64"/>
      <c r="O1527" s="64"/>
      <c r="P1527" s="64"/>
      <c r="Q1527" s="64"/>
      <c r="R1527" s="64"/>
      <c r="S1527" s="64"/>
    </row>
    <row r="1528" spans="1:19" x14ac:dyDescent="0.25">
      <c r="A1528" s="63"/>
      <c r="B1528" s="64"/>
      <c r="C1528" s="64"/>
      <c r="D1528" s="64"/>
      <c r="E1528" s="64"/>
      <c r="F1528" s="64"/>
      <c r="G1528" s="64"/>
      <c r="H1528" s="64"/>
      <c r="I1528" s="64"/>
      <c r="J1528" s="64"/>
      <c r="K1528" s="64"/>
      <c r="L1528" s="64"/>
      <c r="M1528" s="64"/>
      <c r="N1528" s="64"/>
      <c r="O1528" s="64"/>
      <c r="P1528" s="64"/>
      <c r="Q1528" s="64"/>
      <c r="R1528" s="64"/>
      <c r="S1528" s="64"/>
    </row>
    <row r="1529" spans="1:19" x14ac:dyDescent="0.25">
      <c r="A1529" s="63"/>
      <c r="B1529" s="64"/>
      <c r="C1529" s="64"/>
      <c r="D1529" s="64"/>
      <c r="E1529" s="64"/>
      <c r="F1529" s="64"/>
      <c r="G1529" s="64"/>
      <c r="H1529" s="64"/>
      <c r="I1529" s="64"/>
      <c r="J1529" s="64"/>
      <c r="K1529" s="64"/>
      <c r="L1529" s="64"/>
      <c r="M1529" s="64"/>
      <c r="N1529" s="64"/>
      <c r="O1529" s="64"/>
      <c r="P1529" s="64"/>
      <c r="Q1529" s="64"/>
      <c r="R1529" s="64"/>
      <c r="S1529" s="64"/>
    </row>
    <row r="1530" spans="1:19" x14ac:dyDescent="0.25">
      <c r="A1530" s="63"/>
      <c r="B1530" s="64"/>
      <c r="C1530" s="64"/>
      <c r="D1530" s="64"/>
      <c r="E1530" s="64"/>
      <c r="F1530" s="64"/>
      <c r="G1530" s="64"/>
      <c r="H1530" s="64"/>
      <c r="I1530" s="64"/>
      <c r="J1530" s="64"/>
      <c r="K1530" s="64"/>
      <c r="L1530" s="64"/>
      <c r="M1530" s="64"/>
      <c r="N1530" s="64"/>
      <c r="O1530" s="64"/>
      <c r="P1530" s="64"/>
      <c r="Q1530" s="64"/>
      <c r="R1530" s="64"/>
      <c r="S1530" s="64"/>
    </row>
    <row r="1531" spans="1:19" x14ac:dyDescent="0.25">
      <c r="A1531" s="63"/>
      <c r="B1531" s="64"/>
      <c r="C1531" s="64"/>
      <c r="D1531" s="64"/>
      <c r="E1531" s="64"/>
      <c r="F1531" s="64"/>
      <c r="G1531" s="64"/>
      <c r="H1531" s="64"/>
      <c r="I1531" s="64"/>
      <c r="J1531" s="64"/>
      <c r="K1531" s="64"/>
      <c r="L1531" s="64"/>
      <c r="M1531" s="64"/>
      <c r="N1531" s="64"/>
      <c r="O1531" s="64"/>
      <c r="P1531" s="64"/>
      <c r="Q1531" s="64"/>
      <c r="R1531" s="64"/>
      <c r="S1531" s="64"/>
    </row>
    <row r="1532" spans="1:19" x14ac:dyDescent="0.25">
      <c r="A1532" s="63"/>
      <c r="B1532" s="64"/>
      <c r="C1532" s="64"/>
      <c r="D1532" s="64"/>
      <c r="E1532" s="64"/>
      <c r="F1532" s="64"/>
      <c r="G1532" s="64"/>
      <c r="H1532" s="64"/>
      <c r="I1532" s="64"/>
      <c r="J1532" s="64"/>
      <c r="K1532" s="64"/>
      <c r="L1532" s="64"/>
      <c r="M1532" s="64"/>
      <c r="N1532" s="64"/>
      <c r="O1532" s="64"/>
      <c r="P1532" s="64"/>
      <c r="Q1532" s="64"/>
      <c r="R1532" s="64"/>
      <c r="S1532" s="64"/>
    </row>
    <row r="1533" spans="1:19" x14ac:dyDescent="0.25">
      <c r="A1533" s="63"/>
      <c r="B1533" s="64"/>
      <c r="C1533" s="64"/>
      <c r="D1533" s="64"/>
      <c r="E1533" s="64"/>
      <c r="F1533" s="64"/>
      <c r="G1533" s="64"/>
      <c r="H1533" s="64"/>
      <c r="I1533" s="64"/>
      <c r="J1533" s="64"/>
      <c r="K1533" s="64"/>
      <c r="L1533" s="64"/>
      <c r="M1533" s="64"/>
      <c r="N1533" s="64"/>
      <c r="O1533" s="64"/>
      <c r="P1533" s="64"/>
      <c r="Q1533" s="64"/>
      <c r="R1533" s="64"/>
      <c r="S1533" s="64"/>
    </row>
    <row r="1534" spans="1:19" x14ac:dyDescent="0.25">
      <c r="A1534" s="63"/>
      <c r="B1534" s="64"/>
      <c r="C1534" s="64"/>
      <c r="D1534" s="64"/>
      <c r="E1534" s="64"/>
      <c r="F1534" s="64"/>
      <c r="G1534" s="64"/>
      <c r="H1534" s="64"/>
      <c r="I1534" s="64"/>
      <c r="J1534" s="64"/>
      <c r="K1534" s="64"/>
      <c r="L1534" s="64"/>
      <c r="M1534" s="64"/>
      <c r="N1534" s="64"/>
      <c r="O1534" s="64"/>
      <c r="P1534" s="64"/>
      <c r="Q1534" s="64"/>
      <c r="R1534" s="64"/>
      <c r="S1534" s="64"/>
    </row>
    <row r="1535" spans="1:19" x14ac:dyDescent="0.25">
      <c r="A1535" s="63"/>
      <c r="B1535" s="64"/>
      <c r="C1535" s="64"/>
      <c r="D1535" s="64"/>
      <c r="E1535" s="64"/>
      <c r="F1535" s="64"/>
      <c r="G1535" s="64"/>
      <c r="H1535" s="64"/>
      <c r="I1535" s="64"/>
      <c r="J1535" s="64"/>
      <c r="K1535" s="64"/>
      <c r="L1535" s="64"/>
      <c r="M1535" s="64"/>
      <c r="N1535" s="64"/>
      <c r="O1535" s="64"/>
      <c r="P1535" s="64"/>
      <c r="Q1535" s="64"/>
      <c r="R1535" s="64"/>
      <c r="S1535" s="64"/>
    </row>
    <row r="1536" spans="1:19" x14ac:dyDescent="0.25">
      <c r="A1536" s="63"/>
      <c r="B1536" s="64"/>
      <c r="C1536" s="64"/>
      <c r="D1536" s="64"/>
      <c r="E1536" s="64"/>
      <c r="F1536" s="64"/>
      <c r="G1536" s="64"/>
      <c r="H1536" s="64"/>
      <c r="I1536" s="64"/>
      <c r="J1536" s="64"/>
      <c r="K1536" s="64"/>
      <c r="L1536" s="64"/>
      <c r="M1536" s="64"/>
      <c r="N1536" s="64"/>
      <c r="O1536" s="64"/>
      <c r="P1536" s="64"/>
      <c r="Q1536" s="64"/>
      <c r="R1536" s="64"/>
      <c r="S1536" s="64"/>
    </row>
    <row r="1537" spans="1:19" x14ac:dyDescent="0.25">
      <c r="A1537" s="63"/>
      <c r="B1537" s="64"/>
      <c r="C1537" s="64"/>
      <c r="D1537" s="64"/>
      <c r="E1537" s="64"/>
      <c r="F1537" s="64"/>
      <c r="G1537" s="64"/>
      <c r="H1537" s="64"/>
      <c r="I1537" s="64"/>
      <c r="J1537" s="64"/>
      <c r="K1537" s="64"/>
      <c r="L1537" s="64"/>
      <c r="M1537" s="64"/>
      <c r="N1537" s="64"/>
      <c r="O1537" s="64"/>
      <c r="P1537" s="64"/>
      <c r="Q1537" s="64"/>
      <c r="R1537" s="64"/>
      <c r="S1537" s="64"/>
    </row>
    <row r="1538" spans="1:19" x14ac:dyDescent="0.25">
      <c r="A1538" s="63"/>
      <c r="B1538" s="64"/>
      <c r="C1538" s="64"/>
      <c r="D1538" s="64"/>
      <c r="E1538" s="64"/>
      <c r="F1538" s="64"/>
      <c r="G1538" s="64"/>
      <c r="H1538" s="64"/>
      <c r="I1538" s="64"/>
      <c r="J1538" s="64"/>
      <c r="K1538" s="64"/>
      <c r="L1538" s="64"/>
      <c r="M1538" s="64"/>
      <c r="N1538" s="64"/>
      <c r="O1538" s="64"/>
      <c r="P1538" s="64"/>
      <c r="Q1538" s="64"/>
      <c r="R1538" s="64"/>
      <c r="S1538" s="64"/>
    </row>
    <row r="1539" spans="1:19" x14ac:dyDescent="0.25">
      <c r="A1539" s="63"/>
      <c r="B1539" s="64"/>
      <c r="C1539" s="64"/>
      <c r="D1539" s="64"/>
      <c r="E1539" s="64"/>
      <c r="F1539" s="64"/>
      <c r="G1539" s="64"/>
      <c r="H1539" s="64"/>
      <c r="I1539" s="64"/>
      <c r="J1539" s="64"/>
      <c r="K1539" s="64"/>
      <c r="L1539" s="64"/>
      <c r="M1539" s="64"/>
      <c r="N1539" s="64"/>
      <c r="O1539" s="64"/>
      <c r="P1539" s="64"/>
      <c r="Q1539" s="64"/>
      <c r="R1539" s="64"/>
      <c r="S1539" s="64"/>
    </row>
    <row r="1540" spans="1:19" x14ac:dyDescent="0.25">
      <c r="A1540" s="63"/>
      <c r="B1540" s="64"/>
      <c r="C1540" s="64"/>
      <c r="D1540" s="64"/>
      <c r="E1540" s="64"/>
      <c r="F1540" s="64"/>
      <c r="G1540" s="64"/>
      <c r="H1540" s="64"/>
      <c r="I1540" s="64"/>
      <c r="J1540" s="64"/>
      <c r="K1540" s="64"/>
      <c r="L1540" s="64"/>
      <c r="M1540" s="64"/>
      <c r="N1540" s="64"/>
      <c r="O1540" s="64"/>
      <c r="P1540" s="64"/>
      <c r="Q1540" s="64"/>
      <c r="R1540" s="64"/>
      <c r="S1540" s="64"/>
    </row>
    <row r="1541" spans="1:19" x14ac:dyDescent="0.25">
      <c r="A1541" s="63"/>
      <c r="B1541" s="64"/>
      <c r="C1541" s="64"/>
      <c r="D1541" s="64"/>
      <c r="E1541" s="64"/>
      <c r="F1541" s="64"/>
      <c r="G1541" s="64"/>
      <c r="H1541" s="64"/>
      <c r="I1541" s="64"/>
      <c r="J1541" s="64"/>
      <c r="K1541" s="64"/>
      <c r="L1541" s="64"/>
      <c r="M1541" s="64"/>
      <c r="N1541" s="64"/>
      <c r="O1541" s="64"/>
      <c r="P1541" s="64"/>
      <c r="Q1541" s="64"/>
      <c r="R1541" s="64"/>
      <c r="S1541" s="64"/>
    </row>
    <row r="1542" spans="1:19" x14ac:dyDescent="0.25">
      <c r="A1542" s="63"/>
      <c r="B1542" s="64"/>
      <c r="C1542" s="64"/>
      <c r="D1542" s="64"/>
      <c r="E1542" s="64"/>
      <c r="F1542" s="64"/>
      <c r="G1542" s="64"/>
      <c r="H1542" s="64"/>
      <c r="I1542" s="64"/>
      <c r="J1542" s="64"/>
      <c r="K1542" s="64"/>
      <c r="L1542" s="64"/>
      <c r="M1542" s="64"/>
      <c r="N1542" s="64"/>
      <c r="O1542" s="64"/>
      <c r="P1542" s="64"/>
      <c r="Q1542" s="64"/>
      <c r="R1542" s="64"/>
      <c r="S1542" s="64"/>
    </row>
    <row r="1543" spans="1:19" x14ac:dyDescent="0.25">
      <c r="A1543" s="63"/>
      <c r="B1543" s="64"/>
      <c r="C1543" s="64"/>
      <c r="D1543" s="64"/>
      <c r="E1543" s="64"/>
      <c r="F1543" s="64"/>
      <c r="G1543" s="64"/>
      <c r="H1543" s="64"/>
      <c r="I1543" s="64"/>
      <c r="J1543" s="64"/>
      <c r="K1543" s="64"/>
      <c r="L1543" s="64"/>
      <c r="M1543" s="64"/>
      <c r="N1543" s="64"/>
      <c r="O1543" s="64"/>
      <c r="P1543" s="64"/>
      <c r="Q1543" s="64"/>
      <c r="R1543" s="64"/>
      <c r="S1543" s="64"/>
    </row>
    <row r="1544" spans="1:19" x14ac:dyDescent="0.25">
      <c r="A1544" s="63"/>
      <c r="B1544" s="64"/>
      <c r="C1544" s="64"/>
      <c r="D1544" s="64"/>
      <c r="E1544" s="64"/>
      <c r="F1544" s="64"/>
      <c r="G1544" s="64"/>
      <c r="H1544" s="64"/>
      <c r="I1544" s="64"/>
      <c r="J1544" s="64"/>
      <c r="K1544" s="64"/>
      <c r="L1544" s="64"/>
      <c r="M1544" s="64"/>
      <c r="N1544" s="64"/>
      <c r="O1544" s="64"/>
      <c r="P1544" s="64"/>
      <c r="Q1544" s="64"/>
      <c r="R1544" s="64"/>
      <c r="S1544" s="64"/>
    </row>
    <row r="1545" spans="1:19" x14ac:dyDescent="0.25">
      <c r="A1545" s="63"/>
      <c r="B1545" s="64"/>
      <c r="C1545" s="64"/>
      <c r="D1545" s="64"/>
      <c r="E1545" s="64"/>
      <c r="F1545" s="64"/>
      <c r="G1545" s="64"/>
      <c r="H1545" s="64"/>
      <c r="I1545" s="64"/>
      <c r="J1545" s="64"/>
      <c r="K1545" s="64"/>
      <c r="L1545" s="64"/>
      <c r="M1545" s="64"/>
      <c r="N1545" s="64"/>
      <c r="O1545" s="64"/>
      <c r="P1545" s="64"/>
      <c r="Q1545" s="64"/>
      <c r="R1545" s="64"/>
      <c r="S1545" s="64"/>
    </row>
    <row r="1546" spans="1:19" x14ac:dyDescent="0.25">
      <c r="A1546" s="63"/>
      <c r="B1546" s="64"/>
      <c r="C1546" s="64"/>
      <c r="D1546" s="64"/>
      <c r="E1546" s="64"/>
      <c r="F1546" s="64"/>
      <c r="G1546" s="64"/>
      <c r="H1546" s="64"/>
      <c r="I1546" s="64"/>
      <c r="J1546" s="64"/>
      <c r="K1546" s="64"/>
      <c r="L1546" s="64"/>
      <c r="M1546" s="64"/>
      <c r="N1546" s="64"/>
      <c r="O1546" s="64"/>
      <c r="P1546" s="64"/>
      <c r="Q1546" s="64"/>
      <c r="R1546" s="64"/>
      <c r="S1546" s="64"/>
    </row>
    <row r="1547" spans="1:19" x14ac:dyDescent="0.25">
      <c r="A1547" s="63"/>
      <c r="B1547" s="64"/>
      <c r="C1547" s="64"/>
      <c r="D1547" s="64"/>
      <c r="E1547" s="64"/>
      <c r="F1547" s="64"/>
      <c r="G1547" s="64"/>
      <c r="H1547" s="64"/>
      <c r="I1547" s="64"/>
      <c r="J1547" s="64"/>
      <c r="K1547" s="64"/>
      <c r="L1547" s="64"/>
      <c r="M1547" s="64"/>
      <c r="N1547" s="64"/>
      <c r="O1547" s="64"/>
      <c r="P1547" s="64"/>
      <c r="Q1547" s="64"/>
      <c r="R1547" s="64"/>
      <c r="S1547" s="64"/>
    </row>
    <row r="1548" spans="1:19" x14ac:dyDescent="0.25">
      <c r="A1548" s="63"/>
      <c r="B1548" s="64"/>
      <c r="C1548" s="64"/>
      <c r="D1548" s="64"/>
      <c r="E1548" s="64"/>
      <c r="F1548" s="64"/>
      <c r="G1548" s="64"/>
      <c r="H1548" s="64"/>
      <c r="I1548" s="64"/>
      <c r="J1548" s="64"/>
      <c r="K1548" s="64"/>
      <c r="L1548" s="64"/>
      <c r="M1548" s="64"/>
      <c r="N1548" s="64"/>
      <c r="O1548" s="64"/>
      <c r="P1548" s="64"/>
      <c r="Q1548" s="64"/>
      <c r="R1548" s="64"/>
      <c r="S1548" s="64"/>
    </row>
    <row r="1549" spans="1:19" x14ac:dyDescent="0.25">
      <c r="A1549" s="63"/>
      <c r="B1549" s="64"/>
      <c r="C1549" s="64"/>
      <c r="D1549" s="64"/>
      <c r="E1549" s="64"/>
      <c r="F1549" s="64"/>
      <c r="G1549" s="64"/>
      <c r="H1549" s="64"/>
      <c r="I1549" s="64"/>
      <c r="J1549" s="64"/>
      <c r="K1549" s="64"/>
      <c r="L1549" s="64"/>
      <c r="M1549" s="64"/>
      <c r="N1549" s="64"/>
      <c r="O1549" s="64"/>
      <c r="P1549" s="64"/>
      <c r="Q1549" s="64"/>
      <c r="R1549" s="64"/>
      <c r="S1549" s="64"/>
    </row>
    <row r="1550" spans="1:19" x14ac:dyDescent="0.25">
      <c r="A1550" s="63"/>
      <c r="B1550" s="64"/>
      <c r="C1550" s="64"/>
      <c r="D1550" s="64"/>
      <c r="E1550" s="64"/>
      <c r="F1550" s="64"/>
      <c r="G1550" s="64"/>
      <c r="H1550" s="64"/>
      <c r="I1550" s="64"/>
      <c r="J1550" s="64"/>
      <c r="K1550" s="64"/>
      <c r="L1550" s="64"/>
      <c r="M1550" s="64"/>
      <c r="N1550" s="64"/>
      <c r="O1550" s="64"/>
      <c r="P1550" s="64"/>
      <c r="Q1550" s="64"/>
      <c r="R1550" s="64"/>
      <c r="S1550" s="64"/>
    </row>
    <row r="1551" spans="1:19" x14ac:dyDescent="0.25">
      <c r="A1551" s="63"/>
      <c r="B1551" s="64"/>
      <c r="C1551" s="64"/>
      <c r="D1551" s="64"/>
      <c r="E1551" s="64"/>
      <c r="F1551" s="64"/>
      <c r="G1551" s="64"/>
      <c r="H1551" s="64"/>
      <c r="I1551" s="64"/>
      <c r="J1551" s="64"/>
      <c r="K1551" s="64"/>
      <c r="L1551" s="64"/>
      <c r="M1551" s="64"/>
      <c r="N1551" s="64"/>
      <c r="O1551" s="64"/>
      <c r="P1551" s="64"/>
      <c r="Q1551" s="64"/>
      <c r="R1551" s="64"/>
      <c r="S1551" s="64"/>
    </row>
    <row r="1552" spans="1:19" x14ac:dyDescent="0.25">
      <c r="A1552" s="63"/>
      <c r="B1552" s="64"/>
      <c r="C1552" s="64"/>
      <c r="D1552" s="64"/>
      <c r="E1552" s="64"/>
      <c r="F1552" s="64"/>
      <c r="G1552" s="64"/>
      <c r="H1552" s="64"/>
      <c r="I1552" s="64"/>
      <c r="J1552" s="64"/>
      <c r="K1552" s="64"/>
      <c r="L1552" s="64"/>
      <c r="M1552" s="64"/>
      <c r="N1552" s="64"/>
      <c r="O1552" s="64"/>
      <c r="P1552" s="64"/>
      <c r="Q1552" s="64"/>
      <c r="R1552" s="64"/>
      <c r="S1552" s="64"/>
    </row>
    <row r="1553" spans="1:19" x14ac:dyDescent="0.25">
      <c r="A1553" s="63"/>
      <c r="B1553" s="64"/>
      <c r="C1553" s="64"/>
      <c r="D1553" s="64"/>
      <c r="E1553" s="64"/>
      <c r="F1553" s="64"/>
      <c r="G1553" s="64"/>
      <c r="H1553" s="64"/>
      <c r="I1553" s="64"/>
      <c r="J1553" s="64"/>
      <c r="K1553" s="64"/>
      <c r="L1553" s="64"/>
      <c r="M1553" s="64"/>
      <c r="N1553" s="64"/>
      <c r="O1553" s="64"/>
      <c r="P1553" s="64"/>
      <c r="Q1553" s="64"/>
      <c r="R1553" s="64"/>
      <c r="S1553" s="64"/>
    </row>
    <row r="1554" spans="1:19" x14ac:dyDescent="0.25">
      <c r="A1554" s="63"/>
      <c r="B1554" s="64"/>
      <c r="C1554" s="64"/>
      <c r="D1554" s="64"/>
      <c r="E1554" s="64"/>
      <c r="F1554" s="64"/>
      <c r="G1554" s="64"/>
      <c r="H1554" s="64"/>
      <c r="I1554" s="64"/>
      <c r="J1554" s="64"/>
      <c r="K1554" s="64"/>
      <c r="L1554" s="64"/>
      <c r="M1554" s="64"/>
      <c r="N1554" s="64"/>
      <c r="O1554" s="64"/>
      <c r="P1554" s="64"/>
      <c r="Q1554" s="64"/>
      <c r="R1554" s="64"/>
      <c r="S1554" s="64"/>
    </row>
    <row r="1555" spans="1:19" x14ac:dyDescent="0.25">
      <c r="A1555" s="63"/>
      <c r="B1555" s="64"/>
      <c r="C1555" s="64"/>
      <c r="D1555" s="64"/>
      <c r="E1555" s="64"/>
      <c r="F1555" s="64"/>
      <c r="G1555" s="64"/>
      <c r="H1555" s="64"/>
      <c r="I1555" s="64"/>
      <c r="J1555" s="64"/>
      <c r="K1555" s="64"/>
      <c r="L1555" s="64"/>
      <c r="M1555" s="64"/>
      <c r="N1555" s="64"/>
      <c r="O1555" s="64"/>
      <c r="P1555" s="64"/>
      <c r="Q1555" s="64"/>
      <c r="R1555" s="64"/>
      <c r="S1555" s="64"/>
    </row>
    <row r="1556" spans="1:19" x14ac:dyDescent="0.25">
      <c r="A1556" s="63"/>
      <c r="B1556" s="64"/>
      <c r="C1556" s="64"/>
      <c r="D1556" s="64"/>
      <c r="E1556" s="64"/>
      <c r="F1556" s="64"/>
      <c r="G1556" s="64"/>
      <c r="H1556" s="64"/>
      <c r="I1556" s="64"/>
      <c r="J1556" s="64"/>
      <c r="K1556" s="64"/>
      <c r="L1556" s="64"/>
      <c r="M1556" s="64"/>
      <c r="N1556" s="64"/>
      <c r="O1556" s="64"/>
      <c r="P1556" s="64"/>
      <c r="Q1556" s="64"/>
      <c r="R1556" s="64"/>
      <c r="S1556" s="64"/>
    </row>
    <row r="1557" spans="1:19" x14ac:dyDescent="0.25">
      <c r="A1557" s="63"/>
      <c r="B1557" s="64"/>
      <c r="C1557" s="64"/>
      <c r="D1557" s="64"/>
      <c r="E1557" s="64"/>
      <c r="F1557" s="64"/>
      <c r="G1557" s="64"/>
      <c r="H1557" s="64"/>
      <c r="I1557" s="64"/>
      <c r="J1557" s="64"/>
      <c r="K1557" s="64"/>
      <c r="L1557" s="64"/>
      <c r="M1557" s="64"/>
      <c r="N1557" s="64"/>
      <c r="O1557" s="64"/>
      <c r="P1557" s="64"/>
      <c r="Q1557" s="64"/>
      <c r="R1557" s="64"/>
      <c r="S1557" s="64"/>
    </row>
    <row r="1558" spans="1:19" x14ac:dyDescent="0.25">
      <c r="A1558" s="63"/>
      <c r="B1558" s="64"/>
      <c r="C1558" s="64"/>
      <c r="D1558" s="64"/>
      <c r="E1558" s="64"/>
      <c r="F1558" s="64"/>
      <c r="G1558" s="64"/>
      <c r="H1558" s="64"/>
      <c r="I1558" s="64"/>
      <c r="J1558" s="64"/>
      <c r="K1558" s="64"/>
      <c r="L1558" s="64"/>
      <c r="M1558" s="64"/>
      <c r="N1558" s="64"/>
      <c r="O1558" s="64"/>
      <c r="P1558" s="64"/>
      <c r="Q1558" s="64"/>
      <c r="R1558" s="64"/>
      <c r="S1558" s="64"/>
    </row>
    <row r="1559" spans="1:19" x14ac:dyDescent="0.25">
      <c r="A1559" s="63"/>
      <c r="B1559" s="64"/>
      <c r="C1559" s="64"/>
      <c r="D1559" s="64"/>
      <c r="E1559" s="64"/>
      <c r="F1559" s="64"/>
      <c r="G1559" s="64"/>
      <c r="H1559" s="64"/>
      <c r="I1559" s="64"/>
      <c r="J1559" s="64"/>
      <c r="K1559" s="64"/>
      <c r="L1559" s="64"/>
      <c r="M1559" s="64"/>
      <c r="N1559" s="64"/>
      <c r="O1559" s="64"/>
      <c r="P1559" s="64"/>
      <c r="Q1559" s="64"/>
      <c r="R1559" s="64"/>
      <c r="S1559" s="64"/>
    </row>
    <row r="1560" spans="1:19" x14ac:dyDescent="0.25">
      <c r="A1560" s="63"/>
      <c r="B1560" s="64"/>
      <c r="C1560" s="64"/>
      <c r="D1560" s="64"/>
      <c r="E1560" s="64"/>
      <c r="F1560" s="64"/>
      <c r="G1560" s="64"/>
      <c r="H1560" s="64"/>
      <c r="I1560" s="64"/>
      <c r="J1560" s="64"/>
      <c r="K1560" s="64"/>
      <c r="L1560" s="64"/>
      <c r="M1560" s="64"/>
      <c r="N1560" s="64"/>
      <c r="O1560" s="64"/>
      <c r="P1560" s="64"/>
      <c r="Q1560" s="64"/>
      <c r="R1560" s="64"/>
      <c r="S1560" s="64"/>
    </row>
    <row r="1561" spans="1:19" x14ac:dyDescent="0.25">
      <c r="A1561" s="63"/>
      <c r="B1561" s="64"/>
      <c r="C1561" s="64"/>
      <c r="D1561" s="64"/>
      <c r="E1561" s="64"/>
      <c r="F1561" s="64"/>
      <c r="G1561" s="64"/>
      <c r="H1561" s="64"/>
      <c r="I1561" s="64"/>
      <c r="J1561" s="64"/>
      <c r="K1561" s="64"/>
      <c r="L1561" s="64"/>
      <c r="M1561" s="64"/>
      <c r="N1561" s="64"/>
      <c r="O1561" s="64"/>
      <c r="P1561" s="64"/>
      <c r="Q1561" s="64"/>
      <c r="R1561" s="64"/>
      <c r="S1561" s="64"/>
    </row>
    <row r="1562" spans="1:19" x14ac:dyDescent="0.25">
      <c r="A1562" s="63"/>
      <c r="B1562" s="64"/>
      <c r="C1562" s="64"/>
      <c r="D1562" s="64"/>
      <c r="E1562" s="64"/>
      <c r="F1562" s="64"/>
      <c r="G1562" s="64"/>
      <c r="H1562" s="64"/>
      <c r="I1562" s="64"/>
      <c r="J1562" s="64"/>
      <c r="K1562" s="64"/>
      <c r="L1562" s="64"/>
      <c r="M1562" s="64"/>
      <c r="N1562" s="64"/>
      <c r="O1562" s="64"/>
      <c r="P1562" s="64"/>
      <c r="Q1562" s="64"/>
      <c r="R1562" s="64"/>
      <c r="S1562" s="64"/>
    </row>
    <row r="1563" spans="1:19" x14ac:dyDescent="0.25">
      <c r="A1563" s="63"/>
      <c r="B1563" s="64"/>
      <c r="C1563" s="64"/>
      <c r="D1563" s="64"/>
      <c r="E1563" s="64"/>
      <c r="F1563" s="64"/>
      <c r="G1563" s="64"/>
      <c r="H1563" s="64"/>
      <c r="I1563" s="64"/>
      <c r="J1563" s="64"/>
      <c r="K1563" s="64"/>
      <c r="L1563" s="64"/>
      <c r="M1563" s="64"/>
      <c r="N1563" s="64"/>
      <c r="O1563" s="64"/>
      <c r="P1563" s="64"/>
      <c r="Q1563" s="64"/>
      <c r="R1563" s="64"/>
      <c r="S1563" s="64"/>
    </row>
    <row r="1564" spans="1:19" x14ac:dyDescent="0.25">
      <c r="A1564" s="63"/>
      <c r="B1564" s="64"/>
      <c r="C1564" s="64"/>
      <c r="D1564" s="64"/>
      <c r="E1564" s="64"/>
      <c r="F1564" s="64"/>
      <c r="G1564" s="64"/>
      <c r="H1564" s="64"/>
      <c r="I1564" s="64"/>
      <c r="J1564" s="64"/>
      <c r="K1564" s="64"/>
      <c r="L1564" s="64"/>
      <c r="M1564" s="64"/>
      <c r="N1564" s="64"/>
      <c r="O1564" s="64"/>
      <c r="P1564" s="64"/>
      <c r="Q1564" s="64"/>
      <c r="R1564" s="64"/>
      <c r="S1564" s="64"/>
    </row>
    <row r="1565" spans="1:19" x14ac:dyDescent="0.25">
      <c r="A1565" s="63"/>
      <c r="B1565" s="64"/>
      <c r="C1565" s="64"/>
      <c r="D1565" s="64"/>
      <c r="E1565" s="64"/>
      <c r="F1565" s="64"/>
      <c r="G1565" s="64"/>
      <c r="H1565" s="64"/>
      <c r="I1565" s="64"/>
      <c r="J1565" s="64"/>
      <c r="K1565" s="64"/>
      <c r="L1565" s="64"/>
      <c r="M1565" s="64"/>
      <c r="N1565" s="64"/>
      <c r="O1565" s="64"/>
      <c r="P1565" s="64"/>
      <c r="Q1565" s="64"/>
      <c r="R1565" s="64"/>
      <c r="S1565" s="64"/>
    </row>
    <row r="1566" spans="1:19" x14ac:dyDescent="0.25">
      <c r="A1566" s="63"/>
      <c r="B1566" s="64"/>
      <c r="C1566" s="64"/>
      <c r="D1566" s="64"/>
      <c r="E1566" s="64"/>
      <c r="F1566" s="64"/>
      <c r="G1566" s="64"/>
      <c r="H1566" s="64"/>
      <c r="I1566" s="64"/>
      <c r="J1566" s="64"/>
      <c r="K1566" s="64"/>
      <c r="L1566" s="64"/>
      <c r="M1566" s="64"/>
      <c r="N1566" s="64"/>
      <c r="O1566" s="64"/>
      <c r="P1566" s="64"/>
      <c r="Q1566" s="64"/>
      <c r="R1566" s="64"/>
      <c r="S1566" s="64"/>
    </row>
    <row r="1567" spans="1:19" x14ac:dyDescent="0.25">
      <c r="A1567" s="63"/>
      <c r="B1567" s="64"/>
      <c r="C1567" s="64"/>
      <c r="D1567" s="64"/>
      <c r="E1567" s="64"/>
      <c r="F1567" s="64"/>
      <c r="G1567" s="64"/>
      <c r="H1567" s="64"/>
      <c r="I1567" s="64"/>
      <c r="J1567" s="64"/>
      <c r="K1567" s="64"/>
      <c r="L1567" s="64"/>
      <c r="M1567" s="64"/>
      <c r="N1567" s="64"/>
      <c r="O1567" s="64"/>
      <c r="P1567" s="64"/>
      <c r="Q1567" s="64"/>
      <c r="R1567" s="64"/>
      <c r="S1567" s="64"/>
    </row>
    <row r="1568" spans="1:19" x14ac:dyDescent="0.25">
      <c r="A1568" s="63"/>
      <c r="B1568" s="64"/>
      <c r="C1568" s="64"/>
      <c r="D1568" s="64"/>
      <c r="E1568" s="64"/>
      <c r="F1568" s="64"/>
      <c r="G1568" s="64"/>
      <c r="H1568" s="64"/>
      <c r="I1568" s="64"/>
      <c r="J1568" s="64"/>
      <c r="K1568" s="64"/>
      <c r="L1568" s="64"/>
      <c r="M1568" s="64"/>
      <c r="N1568" s="64"/>
      <c r="O1568" s="64"/>
      <c r="P1568" s="64"/>
      <c r="Q1568" s="64"/>
      <c r="R1568" s="64"/>
      <c r="S1568" s="64"/>
    </row>
    <row r="1569" spans="1:19" x14ac:dyDescent="0.25">
      <c r="A1569" s="63"/>
      <c r="B1569" s="64"/>
      <c r="C1569" s="64"/>
      <c r="D1569" s="64"/>
      <c r="E1569" s="64"/>
      <c r="F1569" s="64"/>
      <c r="G1569" s="64"/>
      <c r="H1569" s="64"/>
      <c r="I1569" s="64"/>
      <c r="J1569" s="64"/>
      <c r="K1569" s="64"/>
      <c r="L1569" s="64"/>
      <c r="M1569" s="64"/>
      <c r="N1569" s="64"/>
      <c r="O1569" s="64"/>
      <c r="P1569" s="64"/>
      <c r="Q1569" s="64"/>
      <c r="R1569" s="64"/>
      <c r="S1569" s="64"/>
    </row>
    <row r="1570" spans="1:19" x14ac:dyDescent="0.25">
      <c r="A1570" s="63"/>
      <c r="B1570" s="64"/>
      <c r="C1570" s="64"/>
      <c r="D1570" s="64"/>
      <c r="E1570" s="64"/>
      <c r="F1570" s="64"/>
      <c r="G1570" s="64"/>
      <c r="H1570" s="64"/>
      <c r="I1570" s="64"/>
      <c r="J1570" s="64"/>
      <c r="K1570" s="64"/>
      <c r="L1570" s="64"/>
      <c r="M1570" s="64"/>
      <c r="N1570" s="64"/>
      <c r="O1570" s="64"/>
      <c r="P1570" s="64"/>
      <c r="Q1570" s="64"/>
      <c r="R1570" s="64"/>
      <c r="S1570" s="64"/>
    </row>
    <row r="1571" spans="1:19" x14ac:dyDescent="0.25">
      <c r="A1571" s="63"/>
      <c r="B1571" s="64"/>
      <c r="C1571" s="64"/>
      <c r="D1571" s="64"/>
      <c r="E1571" s="64"/>
      <c r="F1571" s="64"/>
      <c r="G1571" s="64"/>
      <c r="H1571" s="64"/>
      <c r="I1571" s="64"/>
      <c r="J1571" s="64"/>
      <c r="K1571" s="64"/>
      <c r="L1571" s="64"/>
      <c r="M1571" s="64"/>
      <c r="N1571" s="64"/>
      <c r="O1571" s="64"/>
      <c r="P1571" s="64"/>
      <c r="Q1571" s="64"/>
      <c r="R1571" s="64"/>
      <c r="S1571" s="64"/>
    </row>
    <row r="1572" spans="1:19" x14ac:dyDescent="0.25">
      <c r="A1572" s="63"/>
      <c r="B1572" s="64"/>
      <c r="C1572" s="64"/>
      <c r="D1572" s="64"/>
      <c r="E1572" s="64"/>
      <c r="F1572" s="64"/>
      <c r="G1572" s="64"/>
      <c r="H1572" s="64"/>
      <c r="I1572" s="64"/>
      <c r="J1572" s="64"/>
      <c r="K1572" s="64"/>
      <c r="L1572" s="64"/>
      <c r="M1572" s="64"/>
      <c r="N1572" s="64"/>
      <c r="O1572" s="64"/>
      <c r="P1572" s="64"/>
      <c r="Q1572" s="64"/>
      <c r="R1572" s="64"/>
      <c r="S1572" s="64"/>
    </row>
    <row r="1573" spans="1:19" x14ac:dyDescent="0.25">
      <c r="A1573" s="63"/>
      <c r="B1573" s="64"/>
      <c r="C1573" s="64"/>
      <c r="D1573" s="64"/>
      <c r="E1573" s="64"/>
      <c r="F1573" s="64"/>
      <c r="G1573" s="64"/>
      <c r="H1573" s="64"/>
      <c r="I1573" s="64"/>
      <c r="J1573" s="64"/>
      <c r="K1573" s="64"/>
      <c r="L1573" s="64"/>
      <c r="M1573" s="64"/>
      <c r="N1573" s="64"/>
      <c r="O1573" s="64"/>
      <c r="P1573" s="64"/>
      <c r="Q1573" s="64"/>
      <c r="R1573" s="64"/>
      <c r="S1573" s="64"/>
    </row>
    <row r="1574" spans="1:19" x14ac:dyDescent="0.25">
      <c r="A1574" s="63"/>
      <c r="B1574" s="64"/>
      <c r="C1574" s="64"/>
      <c r="D1574" s="64"/>
      <c r="E1574" s="64"/>
      <c r="F1574" s="64"/>
      <c r="G1574" s="64"/>
      <c r="H1574" s="64"/>
      <c r="I1574" s="64"/>
      <c r="J1574" s="64"/>
      <c r="K1574" s="64"/>
      <c r="L1574" s="64"/>
      <c r="M1574" s="64"/>
      <c r="N1574" s="64"/>
      <c r="O1574" s="64"/>
      <c r="P1574" s="64"/>
      <c r="Q1574" s="64"/>
      <c r="R1574" s="64"/>
      <c r="S1574" s="64"/>
    </row>
    <row r="1575" spans="1:19" x14ac:dyDescent="0.25">
      <c r="A1575" s="63"/>
      <c r="B1575" s="64"/>
      <c r="C1575" s="64"/>
      <c r="D1575" s="64"/>
      <c r="E1575" s="64"/>
      <c r="F1575" s="64"/>
      <c r="G1575" s="64"/>
      <c r="H1575" s="64"/>
      <c r="I1575" s="64"/>
      <c r="J1575" s="64"/>
      <c r="K1575" s="64"/>
      <c r="L1575" s="64"/>
      <c r="M1575" s="64"/>
      <c r="N1575" s="64"/>
      <c r="O1575" s="64"/>
      <c r="P1575" s="64"/>
      <c r="Q1575" s="64"/>
      <c r="R1575" s="64"/>
      <c r="S1575" s="64"/>
    </row>
    <row r="1576" spans="1:19" x14ac:dyDescent="0.25">
      <c r="A1576" s="63"/>
      <c r="B1576" s="64"/>
      <c r="C1576" s="64"/>
      <c r="D1576" s="64"/>
      <c r="E1576" s="64"/>
      <c r="F1576" s="64"/>
      <c r="G1576" s="64"/>
      <c r="H1576" s="64"/>
      <c r="I1576" s="64"/>
      <c r="J1576" s="64"/>
      <c r="K1576" s="64"/>
      <c r="L1576" s="64"/>
      <c r="M1576" s="64"/>
      <c r="N1576" s="64"/>
      <c r="O1576" s="64"/>
      <c r="P1576" s="64"/>
      <c r="Q1576" s="64"/>
      <c r="R1576" s="64"/>
      <c r="S1576" s="64"/>
    </row>
    <row r="1577" spans="1:19" x14ac:dyDescent="0.25">
      <c r="A1577" s="63"/>
      <c r="B1577" s="64"/>
      <c r="C1577" s="64"/>
      <c r="D1577" s="64"/>
      <c r="E1577" s="64"/>
      <c r="F1577" s="64"/>
      <c r="G1577" s="64"/>
      <c r="H1577" s="64"/>
      <c r="I1577" s="64"/>
      <c r="J1577" s="64"/>
      <c r="K1577" s="64"/>
      <c r="L1577" s="64"/>
      <c r="M1577" s="64"/>
      <c r="N1577" s="64"/>
      <c r="O1577" s="64"/>
      <c r="P1577" s="64"/>
      <c r="Q1577" s="64"/>
      <c r="R1577" s="64"/>
      <c r="S1577" s="64"/>
    </row>
    <row r="1578" spans="1:19" x14ac:dyDescent="0.25">
      <c r="A1578" s="63"/>
      <c r="B1578" s="64"/>
      <c r="C1578" s="64"/>
      <c r="D1578" s="64"/>
      <c r="E1578" s="64"/>
      <c r="F1578" s="64"/>
      <c r="G1578" s="64"/>
      <c r="H1578" s="64"/>
      <c r="I1578" s="64"/>
      <c r="J1578" s="64"/>
      <c r="K1578" s="64"/>
      <c r="L1578" s="64"/>
      <c r="M1578" s="64"/>
      <c r="N1578" s="64"/>
      <c r="O1578" s="64"/>
      <c r="P1578" s="64"/>
      <c r="Q1578" s="64"/>
      <c r="R1578" s="64"/>
      <c r="S1578" s="64"/>
    </row>
    <row r="1579" spans="1:19" x14ac:dyDescent="0.25">
      <c r="A1579" s="63"/>
      <c r="B1579" s="64"/>
      <c r="C1579" s="64"/>
      <c r="D1579" s="64"/>
      <c r="E1579" s="64"/>
      <c r="F1579" s="64"/>
      <c r="G1579" s="64"/>
      <c r="H1579" s="64"/>
      <c r="I1579" s="64"/>
      <c r="J1579" s="64"/>
      <c r="K1579" s="64"/>
      <c r="L1579" s="64"/>
      <c r="M1579" s="64"/>
      <c r="N1579" s="64"/>
      <c r="O1579" s="64"/>
      <c r="P1579" s="64"/>
      <c r="Q1579" s="64"/>
      <c r="R1579" s="64"/>
      <c r="S1579" s="64"/>
    </row>
    <row r="1580" spans="1:19" x14ac:dyDescent="0.25">
      <c r="A1580" s="63"/>
      <c r="B1580" s="64"/>
      <c r="C1580" s="64"/>
      <c r="D1580" s="64"/>
      <c r="E1580" s="64"/>
      <c r="F1580" s="64"/>
      <c r="G1580" s="64"/>
      <c r="H1580" s="64"/>
      <c r="I1580" s="64"/>
      <c r="J1580" s="64"/>
      <c r="K1580" s="64"/>
      <c r="L1580" s="64"/>
      <c r="M1580" s="64"/>
      <c r="N1580" s="64"/>
      <c r="O1580" s="64"/>
      <c r="P1580" s="64"/>
      <c r="Q1580" s="64"/>
      <c r="R1580" s="64"/>
      <c r="S1580" s="64"/>
    </row>
    <row r="1581" spans="1:19" x14ac:dyDescent="0.25">
      <c r="A1581" s="63"/>
      <c r="B1581" s="64"/>
      <c r="C1581" s="64"/>
      <c r="D1581" s="64"/>
      <c r="E1581" s="64"/>
      <c r="F1581" s="64"/>
      <c r="G1581" s="64"/>
      <c r="H1581" s="64"/>
      <c r="I1581" s="64"/>
      <c r="J1581" s="64"/>
      <c r="K1581" s="64"/>
      <c r="L1581" s="64"/>
      <c r="M1581" s="64"/>
      <c r="N1581" s="64"/>
      <c r="O1581" s="64"/>
      <c r="P1581" s="64"/>
      <c r="Q1581" s="64"/>
      <c r="R1581" s="64"/>
      <c r="S1581" s="64"/>
    </row>
    <row r="1582" spans="1:19" x14ac:dyDescent="0.25">
      <c r="A1582" s="63"/>
      <c r="B1582" s="64"/>
      <c r="C1582" s="64"/>
      <c r="D1582" s="64"/>
      <c r="E1582" s="64"/>
      <c r="F1582" s="64"/>
      <c r="G1582" s="64"/>
      <c r="H1582" s="64"/>
      <c r="I1582" s="64"/>
      <c r="J1582" s="64"/>
      <c r="K1582" s="64"/>
      <c r="L1582" s="64"/>
      <c r="M1582" s="64"/>
      <c r="N1582" s="64"/>
      <c r="O1582" s="64"/>
      <c r="P1582" s="64"/>
      <c r="Q1582" s="64"/>
      <c r="R1582" s="64"/>
      <c r="S1582" s="64"/>
    </row>
    <row r="1583" spans="1:19" x14ac:dyDescent="0.25">
      <c r="A1583" s="63"/>
      <c r="B1583" s="64"/>
      <c r="C1583" s="64"/>
      <c r="D1583" s="64"/>
      <c r="E1583" s="64"/>
      <c r="F1583" s="64"/>
      <c r="G1583" s="64"/>
      <c r="H1583" s="64"/>
      <c r="I1583" s="64"/>
      <c r="J1583" s="64"/>
      <c r="K1583" s="64"/>
      <c r="L1583" s="64"/>
      <c r="M1583" s="64"/>
      <c r="N1583" s="64"/>
      <c r="O1583" s="64"/>
      <c r="P1583" s="64"/>
      <c r="Q1583" s="64"/>
      <c r="R1583" s="64"/>
      <c r="S1583" s="64"/>
    </row>
    <row r="1584" spans="1:19" x14ac:dyDescent="0.25">
      <c r="A1584" s="63"/>
      <c r="B1584" s="64"/>
      <c r="C1584" s="64"/>
      <c r="D1584" s="64"/>
      <c r="E1584" s="64"/>
      <c r="F1584" s="64"/>
      <c r="G1584" s="64"/>
      <c r="H1584" s="64"/>
      <c r="I1584" s="64"/>
      <c r="J1584" s="64"/>
      <c r="K1584" s="64"/>
      <c r="L1584" s="64"/>
      <c r="M1584" s="64"/>
      <c r="N1584" s="64"/>
      <c r="O1584" s="64"/>
      <c r="P1584" s="64"/>
      <c r="Q1584" s="64"/>
      <c r="R1584" s="64"/>
      <c r="S1584" s="64"/>
    </row>
    <row r="1585" spans="1:19" x14ac:dyDescent="0.25">
      <c r="A1585" s="63"/>
      <c r="B1585" s="64"/>
      <c r="C1585" s="64"/>
      <c r="D1585" s="64"/>
      <c r="E1585" s="64"/>
      <c r="F1585" s="64"/>
      <c r="G1585" s="64"/>
      <c r="H1585" s="64"/>
      <c r="I1585" s="64"/>
      <c r="J1585" s="64"/>
      <c r="K1585" s="64"/>
      <c r="L1585" s="64"/>
      <c r="M1585" s="64"/>
      <c r="N1585" s="64"/>
      <c r="O1585" s="64"/>
      <c r="P1585" s="64"/>
      <c r="Q1585" s="64"/>
      <c r="R1585" s="64"/>
      <c r="S1585" s="64"/>
    </row>
    <row r="1586" spans="1:19" x14ac:dyDescent="0.25">
      <c r="A1586" s="63"/>
      <c r="B1586" s="64"/>
      <c r="C1586" s="64"/>
      <c r="D1586" s="64"/>
      <c r="E1586" s="64"/>
      <c r="F1586" s="64"/>
      <c r="G1586" s="64"/>
      <c r="H1586" s="64"/>
      <c r="I1586" s="64"/>
      <c r="J1586" s="64"/>
      <c r="K1586" s="64"/>
      <c r="L1586" s="64"/>
      <c r="M1586" s="64"/>
      <c r="N1586" s="64"/>
      <c r="O1586" s="64"/>
      <c r="P1586" s="64"/>
      <c r="Q1586" s="64"/>
      <c r="R1586" s="64"/>
      <c r="S1586" s="64"/>
    </row>
    <row r="1587" spans="1:19" x14ac:dyDescent="0.25">
      <c r="A1587" s="63"/>
      <c r="B1587" s="64"/>
      <c r="C1587" s="64"/>
      <c r="D1587" s="64"/>
      <c r="E1587" s="64"/>
      <c r="F1587" s="64"/>
      <c r="G1587" s="64"/>
      <c r="H1587" s="64"/>
      <c r="I1587" s="64"/>
      <c r="J1587" s="64"/>
      <c r="K1587" s="64"/>
      <c r="L1587" s="64"/>
      <c r="M1587" s="64"/>
      <c r="N1587" s="64"/>
      <c r="O1587" s="64"/>
      <c r="P1587" s="64"/>
      <c r="Q1587" s="64"/>
      <c r="R1587" s="64"/>
      <c r="S1587" s="64"/>
    </row>
    <row r="1588" spans="1:19" x14ac:dyDescent="0.25">
      <c r="A1588" s="63"/>
      <c r="B1588" s="64"/>
      <c r="C1588" s="64"/>
      <c r="D1588" s="64"/>
      <c r="E1588" s="64"/>
      <c r="F1588" s="64"/>
      <c r="G1588" s="64"/>
      <c r="H1588" s="64"/>
      <c r="I1588" s="64"/>
      <c r="J1588" s="64"/>
      <c r="K1588" s="64"/>
      <c r="L1588" s="64"/>
      <c r="M1588" s="64"/>
      <c r="N1588" s="64"/>
      <c r="O1588" s="64"/>
      <c r="P1588" s="64"/>
      <c r="Q1588" s="64"/>
      <c r="R1588" s="64"/>
      <c r="S1588" s="64"/>
    </row>
    <row r="1589" spans="1:19" x14ac:dyDescent="0.25">
      <c r="A1589" s="63"/>
      <c r="B1589" s="64"/>
      <c r="C1589" s="64"/>
      <c r="D1589" s="64"/>
      <c r="E1589" s="64"/>
      <c r="F1589" s="64"/>
      <c r="G1589" s="64"/>
      <c r="H1589" s="64"/>
      <c r="I1589" s="64"/>
      <c r="J1589" s="64"/>
      <c r="K1589" s="64"/>
      <c r="L1589" s="64"/>
      <c r="M1589" s="64"/>
      <c r="N1589" s="64"/>
      <c r="O1589" s="64"/>
      <c r="P1589" s="64"/>
      <c r="Q1589" s="64"/>
      <c r="R1589" s="64"/>
      <c r="S1589" s="64"/>
    </row>
    <row r="1590" spans="1:19" x14ac:dyDescent="0.25">
      <c r="A1590" s="63"/>
      <c r="B1590" s="64"/>
      <c r="C1590" s="64"/>
      <c r="D1590" s="64"/>
      <c r="E1590" s="64"/>
      <c r="F1590" s="64"/>
      <c r="G1590" s="64"/>
      <c r="H1590" s="64"/>
      <c r="I1590" s="64"/>
      <c r="J1590" s="64"/>
      <c r="K1590" s="64"/>
      <c r="L1590" s="64"/>
      <c r="M1590" s="64"/>
      <c r="N1590" s="64"/>
      <c r="O1590" s="64"/>
      <c r="P1590" s="64"/>
      <c r="Q1590" s="64"/>
      <c r="R1590" s="64"/>
      <c r="S1590" s="64"/>
    </row>
    <row r="1591" spans="1:19" x14ac:dyDescent="0.25">
      <c r="A1591" s="63"/>
      <c r="B1591" s="64"/>
      <c r="C1591" s="64"/>
      <c r="D1591" s="64"/>
      <c r="E1591" s="64"/>
      <c r="F1591" s="64"/>
      <c r="G1591" s="64"/>
      <c r="H1591" s="64"/>
      <c r="I1591" s="64"/>
      <c r="J1591" s="64"/>
      <c r="K1591" s="64"/>
      <c r="L1591" s="64"/>
      <c r="M1591" s="64"/>
      <c r="N1591" s="64"/>
      <c r="O1591" s="64"/>
      <c r="P1591" s="64"/>
      <c r="Q1591" s="64"/>
      <c r="R1591" s="64"/>
      <c r="S1591" s="64"/>
    </row>
    <row r="1592" spans="1:19" x14ac:dyDescent="0.25">
      <c r="A1592" s="63"/>
      <c r="B1592" s="64"/>
      <c r="C1592" s="64"/>
      <c r="D1592" s="64"/>
      <c r="E1592" s="64"/>
      <c r="F1592" s="64"/>
      <c r="G1592" s="64"/>
      <c r="H1592" s="64"/>
      <c r="I1592" s="64"/>
      <c r="J1592" s="64"/>
      <c r="K1592" s="64"/>
      <c r="L1592" s="64"/>
      <c r="M1592" s="64"/>
      <c r="N1592" s="64"/>
      <c r="O1592" s="64"/>
      <c r="P1592" s="64"/>
      <c r="Q1592" s="64"/>
      <c r="R1592" s="64"/>
      <c r="S1592" s="64"/>
    </row>
    <row r="1593" spans="1:19" x14ac:dyDescent="0.25">
      <c r="A1593" s="63"/>
      <c r="B1593" s="64"/>
      <c r="C1593" s="64"/>
      <c r="D1593" s="64"/>
      <c r="E1593" s="64"/>
      <c r="F1593" s="64"/>
      <c r="G1593" s="64"/>
      <c r="H1593" s="64"/>
      <c r="I1593" s="64"/>
      <c r="J1593" s="64"/>
      <c r="K1593" s="64"/>
      <c r="L1593" s="64"/>
      <c r="M1593" s="64"/>
      <c r="N1593" s="64"/>
      <c r="O1593" s="64"/>
      <c r="P1593" s="64"/>
      <c r="Q1593" s="64"/>
      <c r="R1593" s="64"/>
      <c r="S1593" s="64"/>
    </row>
    <row r="1594" spans="1:19" x14ac:dyDescent="0.25">
      <c r="A1594" s="63"/>
      <c r="B1594" s="64"/>
      <c r="C1594" s="64"/>
      <c r="D1594" s="64"/>
      <c r="E1594" s="64"/>
      <c r="F1594" s="64"/>
      <c r="G1594" s="64"/>
      <c r="H1594" s="64"/>
      <c r="I1594" s="64"/>
      <c r="J1594" s="64"/>
      <c r="K1594" s="64"/>
      <c r="L1594" s="64"/>
      <c r="M1594" s="64"/>
      <c r="N1594" s="64"/>
      <c r="O1594" s="64"/>
      <c r="P1594" s="64"/>
      <c r="Q1594" s="64"/>
      <c r="R1594" s="64"/>
      <c r="S1594" s="64"/>
    </row>
    <row r="1595" spans="1:19" x14ac:dyDescent="0.25">
      <c r="A1595" s="63"/>
      <c r="B1595" s="64"/>
      <c r="C1595" s="64"/>
      <c r="D1595" s="64"/>
      <c r="E1595" s="64"/>
      <c r="F1595" s="64"/>
      <c r="G1595" s="64"/>
      <c r="H1595" s="64"/>
      <c r="I1595" s="64"/>
      <c r="J1595" s="64"/>
      <c r="K1595" s="64"/>
      <c r="L1595" s="64"/>
      <c r="M1595" s="64"/>
      <c r="N1595" s="64"/>
      <c r="O1595" s="64"/>
      <c r="P1595" s="64"/>
      <c r="Q1595" s="64"/>
      <c r="R1595" s="64"/>
      <c r="S1595" s="64"/>
    </row>
    <row r="1596" spans="1:19" x14ac:dyDescent="0.25">
      <c r="A1596" s="63"/>
      <c r="B1596" s="64"/>
      <c r="C1596" s="64"/>
      <c r="D1596" s="64"/>
      <c r="E1596" s="64"/>
      <c r="F1596" s="64"/>
      <c r="G1596" s="64"/>
      <c r="H1596" s="64"/>
      <c r="I1596" s="64"/>
      <c r="J1596" s="64"/>
      <c r="K1596" s="64"/>
      <c r="L1596" s="64"/>
      <c r="M1596" s="64"/>
      <c r="N1596" s="64"/>
      <c r="O1596" s="64"/>
      <c r="P1596" s="64"/>
      <c r="Q1596" s="64"/>
      <c r="R1596" s="64"/>
      <c r="S1596" s="64"/>
    </row>
    <row r="1597" spans="1:19" x14ac:dyDescent="0.25">
      <c r="A1597" s="63"/>
      <c r="B1597" s="64"/>
      <c r="C1597" s="64"/>
      <c r="D1597" s="64"/>
      <c r="E1597" s="64"/>
      <c r="F1597" s="64"/>
      <c r="G1597" s="64"/>
      <c r="H1597" s="64"/>
      <c r="I1597" s="64"/>
      <c r="J1597" s="64"/>
      <c r="K1597" s="64"/>
      <c r="L1597" s="64"/>
      <c r="M1597" s="64"/>
      <c r="N1597" s="64"/>
      <c r="O1597" s="64"/>
      <c r="P1597" s="64"/>
      <c r="Q1597" s="64"/>
      <c r="R1597" s="64"/>
      <c r="S1597" s="64"/>
    </row>
    <row r="1598" spans="1:19" x14ac:dyDescent="0.25">
      <c r="A1598" s="63"/>
      <c r="B1598" s="64"/>
      <c r="C1598" s="64"/>
      <c r="D1598" s="64"/>
      <c r="E1598" s="64"/>
      <c r="F1598" s="64"/>
      <c r="G1598" s="64"/>
      <c r="H1598" s="64"/>
      <c r="I1598" s="64"/>
      <c r="J1598" s="64"/>
      <c r="K1598" s="64"/>
      <c r="L1598" s="64"/>
      <c r="M1598" s="64"/>
      <c r="N1598" s="64"/>
      <c r="O1598" s="64"/>
      <c r="P1598" s="64"/>
      <c r="Q1598" s="64"/>
      <c r="R1598" s="64"/>
      <c r="S1598" s="64"/>
    </row>
    <row r="1599" spans="1:19" x14ac:dyDescent="0.25">
      <c r="A1599" s="63"/>
      <c r="B1599" s="64"/>
      <c r="C1599" s="64"/>
      <c r="D1599" s="64"/>
      <c r="E1599" s="64"/>
      <c r="F1599" s="64"/>
      <c r="G1599" s="64"/>
      <c r="H1599" s="64"/>
      <c r="I1599" s="64"/>
      <c r="J1599" s="64"/>
      <c r="K1599" s="64"/>
      <c r="L1599" s="64"/>
      <c r="M1599" s="64"/>
      <c r="N1599" s="64"/>
      <c r="O1599" s="64"/>
      <c r="P1599" s="64"/>
      <c r="Q1599" s="64"/>
      <c r="R1599" s="64"/>
      <c r="S1599" s="64"/>
    </row>
    <row r="1600" spans="1:19" x14ac:dyDescent="0.25">
      <c r="A1600" s="63"/>
      <c r="B1600" s="64"/>
      <c r="C1600" s="64"/>
      <c r="D1600" s="64"/>
      <c r="E1600" s="64"/>
      <c r="F1600" s="64"/>
      <c r="G1600" s="64"/>
      <c r="H1600" s="64"/>
      <c r="I1600" s="64"/>
      <c r="J1600" s="64"/>
      <c r="K1600" s="64"/>
      <c r="L1600" s="64"/>
      <c r="M1600" s="64"/>
      <c r="N1600" s="64"/>
      <c r="O1600" s="64"/>
      <c r="P1600" s="64"/>
      <c r="Q1600" s="64"/>
      <c r="R1600" s="64"/>
      <c r="S1600" s="64"/>
    </row>
    <row r="1601" spans="1:19" x14ac:dyDescent="0.25">
      <c r="A1601" s="63"/>
      <c r="B1601" s="64"/>
      <c r="C1601" s="64"/>
      <c r="D1601" s="64"/>
      <c r="E1601" s="64"/>
      <c r="F1601" s="64"/>
      <c r="G1601" s="64"/>
      <c r="H1601" s="64"/>
      <c r="I1601" s="64"/>
      <c r="J1601" s="64"/>
      <c r="K1601" s="64"/>
      <c r="L1601" s="64"/>
      <c r="M1601" s="64"/>
      <c r="N1601" s="64"/>
      <c r="O1601" s="64"/>
      <c r="P1601" s="64"/>
      <c r="Q1601" s="64"/>
      <c r="R1601" s="64"/>
      <c r="S1601" s="64"/>
    </row>
    <row r="1602" spans="1:19" x14ac:dyDescent="0.25">
      <c r="A1602" s="63"/>
      <c r="B1602" s="64"/>
      <c r="C1602" s="64"/>
      <c r="D1602" s="64"/>
      <c r="E1602" s="64"/>
      <c r="F1602" s="64"/>
      <c r="G1602" s="64"/>
      <c r="H1602" s="64"/>
      <c r="I1602" s="64"/>
      <c r="J1602" s="64"/>
      <c r="K1602" s="64"/>
      <c r="L1602" s="64"/>
      <c r="M1602" s="64"/>
      <c r="N1602" s="64"/>
      <c r="O1602" s="64"/>
      <c r="P1602" s="64"/>
      <c r="Q1602" s="64"/>
      <c r="R1602" s="64"/>
      <c r="S1602" s="64"/>
    </row>
    <row r="1603" spans="1:19" x14ac:dyDescent="0.25">
      <c r="A1603" s="63"/>
      <c r="B1603" s="64"/>
      <c r="C1603" s="64"/>
      <c r="D1603" s="64"/>
      <c r="E1603" s="64"/>
      <c r="F1603" s="64"/>
      <c r="G1603" s="64"/>
      <c r="H1603" s="64"/>
      <c r="I1603" s="64"/>
      <c r="J1603" s="64"/>
      <c r="K1603" s="64"/>
      <c r="L1603" s="64"/>
      <c r="M1603" s="64"/>
      <c r="N1603" s="64"/>
      <c r="O1603" s="64"/>
      <c r="P1603" s="64"/>
      <c r="Q1603" s="64"/>
      <c r="R1603" s="64"/>
      <c r="S1603" s="64"/>
    </row>
    <row r="1604" spans="1:19" x14ac:dyDescent="0.25">
      <c r="A1604" s="63"/>
      <c r="B1604" s="64"/>
      <c r="C1604" s="64"/>
      <c r="D1604" s="64"/>
      <c r="E1604" s="64"/>
      <c r="F1604" s="64"/>
      <c r="G1604" s="64"/>
      <c r="H1604" s="64"/>
      <c r="I1604" s="64"/>
      <c r="J1604" s="64"/>
      <c r="K1604" s="64"/>
      <c r="L1604" s="64"/>
      <c r="M1604" s="64"/>
      <c r="N1604" s="64"/>
      <c r="O1604" s="64"/>
      <c r="P1604" s="64"/>
      <c r="Q1604" s="64"/>
      <c r="R1604" s="64"/>
      <c r="S1604" s="64"/>
    </row>
    <row r="1605" spans="1:19" x14ac:dyDescent="0.25">
      <c r="A1605" s="63"/>
      <c r="B1605" s="64"/>
      <c r="C1605" s="64"/>
      <c r="D1605" s="64"/>
      <c r="E1605" s="64"/>
      <c r="F1605" s="64"/>
      <c r="G1605" s="64"/>
      <c r="H1605" s="64"/>
      <c r="I1605" s="64"/>
      <c r="J1605" s="64"/>
      <c r="K1605" s="64"/>
      <c r="L1605" s="64"/>
      <c r="M1605" s="64"/>
      <c r="N1605" s="64"/>
      <c r="O1605" s="64"/>
      <c r="P1605" s="64"/>
      <c r="Q1605" s="64"/>
      <c r="R1605" s="64"/>
      <c r="S1605" s="64"/>
    </row>
    <row r="1606" spans="1:19" x14ac:dyDescent="0.25">
      <c r="A1606" s="63"/>
      <c r="B1606" s="64"/>
      <c r="C1606" s="64"/>
      <c r="D1606" s="64"/>
      <c r="E1606" s="64"/>
      <c r="F1606" s="64"/>
      <c r="G1606" s="64"/>
      <c r="H1606" s="64"/>
      <c r="I1606" s="64"/>
      <c r="J1606" s="64"/>
      <c r="K1606" s="64"/>
      <c r="L1606" s="64"/>
      <c r="M1606" s="64"/>
      <c r="N1606" s="64"/>
      <c r="O1606" s="64"/>
      <c r="P1606" s="64"/>
      <c r="Q1606" s="64"/>
      <c r="R1606" s="64"/>
      <c r="S1606" s="64"/>
    </row>
    <row r="1607" spans="1:19" x14ac:dyDescent="0.25">
      <c r="A1607" s="63"/>
      <c r="B1607" s="64"/>
      <c r="C1607" s="64"/>
      <c r="D1607" s="64"/>
      <c r="E1607" s="64"/>
      <c r="F1607" s="64"/>
      <c r="G1607" s="64"/>
      <c r="H1607" s="64"/>
      <c r="I1607" s="64"/>
      <c r="J1607" s="64"/>
      <c r="K1607" s="64"/>
      <c r="L1607" s="64"/>
      <c r="M1607" s="64"/>
      <c r="N1607" s="64"/>
      <c r="O1607" s="64"/>
      <c r="P1607" s="64"/>
      <c r="Q1607" s="64"/>
      <c r="R1607" s="64"/>
      <c r="S1607" s="64"/>
    </row>
    <row r="1608" spans="1:19" x14ac:dyDescent="0.25">
      <c r="A1608" s="63"/>
      <c r="B1608" s="64"/>
      <c r="C1608" s="64"/>
      <c r="D1608" s="64"/>
      <c r="E1608" s="64"/>
      <c r="F1608" s="64"/>
      <c r="G1608" s="64"/>
      <c r="H1608" s="64"/>
      <c r="I1608" s="64"/>
      <c r="J1608" s="64"/>
      <c r="K1608" s="64"/>
      <c r="L1608" s="64"/>
      <c r="M1608" s="64"/>
      <c r="N1608" s="64"/>
      <c r="O1608" s="64"/>
      <c r="P1608" s="64"/>
      <c r="Q1608" s="64"/>
      <c r="R1608" s="64"/>
      <c r="S1608" s="64"/>
    </row>
    <row r="1609" spans="1:19" x14ac:dyDescent="0.25">
      <c r="A1609" s="63"/>
      <c r="B1609" s="64"/>
      <c r="C1609" s="64"/>
      <c r="D1609" s="64"/>
      <c r="E1609" s="64"/>
      <c r="F1609" s="64"/>
      <c r="G1609" s="64"/>
      <c r="H1609" s="64"/>
      <c r="I1609" s="64"/>
      <c r="J1609" s="64"/>
      <c r="K1609" s="64"/>
      <c r="L1609" s="64"/>
      <c r="M1609" s="64"/>
      <c r="N1609" s="64"/>
      <c r="O1609" s="64"/>
      <c r="P1609" s="64"/>
      <c r="Q1609" s="64"/>
      <c r="R1609" s="64"/>
      <c r="S1609" s="64"/>
    </row>
    <row r="1610" spans="1:19" x14ac:dyDescent="0.25">
      <c r="A1610" s="63"/>
      <c r="B1610" s="64"/>
      <c r="C1610" s="64"/>
      <c r="D1610" s="64"/>
      <c r="E1610" s="64"/>
      <c r="F1610" s="64"/>
      <c r="G1610" s="64"/>
      <c r="H1610" s="64"/>
      <c r="I1610" s="64"/>
      <c r="J1610" s="64"/>
      <c r="K1610" s="64"/>
      <c r="L1610" s="64"/>
      <c r="M1610" s="64"/>
      <c r="N1610" s="64"/>
      <c r="O1610" s="64"/>
      <c r="P1610" s="64"/>
      <c r="Q1610" s="64"/>
      <c r="R1610" s="64"/>
      <c r="S1610" s="64"/>
    </row>
    <row r="1611" spans="1:19" x14ac:dyDescent="0.25">
      <c r="A1611" s="63"/>
      <c r="B1611" s="64"/>
      <c r="C1611" s="64"/>
      <c r="D1611" s="64"/>
      <c r="E1611" s="64"/>
      <c r="F1611" s="64"/>
      <c r="G1611" s="64"/>
      <c r="H1611" s="64"/>
      <c r="I1611" s="64"/>
      <c r="J1611" s="64"/>
      <c r="K1611" s="64"/>
      <c r="L1611" s="64"/>
      <c r="M1611" s="64"/>
      <c r="N1611" s="64"/>
      <c r="O1611" s="64"/>
      <c r="P1611" s="64"/>
      <c r="Q1611" s="64"/>
      <c r="R1611" s="64"/>
      <c r="S1611" s="64"/>
    </row>
    <row r="1612" spans="1:19" x14ac:dyDescent="0.25">
      <c r="A1612" s="63"/>
      <c r="B1612" s="64"/>
      <c r="C1612" s="64"/>
      <c r="D1612" s="64"/>
      <c r="E1612" s="64"/>
      <c r="F1612" s="64"/>
      <c r="G1612" s="64"/>
      <c r="H1612" s="64"/>
      <c r="I1612" s="64"/>
      <c r="J1612" s="64"/>
      <c r="K1612" s="64"/>
      <c r="L1612" s="64"/>
      <c r="M1612" s="64"/>
      <c r="N1612" s="64"/>
      <c r="O1612" s="64"/>
      <c r="P1612" s="64"/>
      <c r="Q1612" s="64"/>
      <c r="R1612" s="64"/>
      <c r="S1612" s="64"/>
    </row>
    <row r="1613" spans="1:19" x14ac:dyDescent="0.25">
      <c r="A1613" s="63"/>
      <c r="B1613" s="64"/>
      <c r="C1613" s="64"/>
      <c r="D1613" s="64"/>
      <c r="E1613" s="64"/>
      <c r="F1613" s="64"/>
      <c r="G1613" s="64"/>
      <c r="H1613" s="64"/>
      <c r="I1613" s="64"/>
      <c r="J1613" s="64"/>
      <c r="K1613" s="64"/>
      <c r="L1613" s="64"/>
      <c r="M1613" s="64"/>
      <c r="N1613" s="64"/>
      <c r="O1613" s="64"/>
      <c r="P1613" s="64"/>
      <c r="Q1613" s="64"/>
      <c r="R1613" s="64"/>
      <c r="S1613" s="64"/>
    </row>
    <row r="1614" spans="1:19" x14ac:dyDescent="0.25">
      <c r="A1614" s="63"/>
      <c r="B1614" s="64"/>
      <c r="C1614" s="64"/>
      <c r="D1614" s="64"/>
      <c r="E1614" s="64"/>
      <c r="F1614" s="64"/>
      <c r="G1614" s="64"/>
      <c r="H1614" s="64"/>
      <c r="I1614" s="64"/>
      <c r="J1614" s="64"/>
      <c r="K1614" s="64"/>
      <c r="L1614" s="64"/>
      <c r="M1614" s="64"/>
      <c r="N1614" s="64"/>
      <c r="O1614" s="64"/>
      <c r="P1614" s="64"/>
      <c r="Q1614" s="64"/>
      <c r="R1614" s="64"/>
      <c r="S1614" s="64"/>
    </row>
    <row r="1615" spans="1:19" x14ac:dyDescent="0.25">
      <c r="A1615" s="63"/>
      <c r="B1615" s="64"/>
      <c r="C1615" s="64"/>
      <c r="D1615" s="64"/>
      <c r="E1615" s="64"/>
      <c r="F1615" s="64"/>
      <c r="G1615" s="64"/>
      <c r="H1615" s="64"/>
      <c r="I1615" s="64"/>
      <c r="J1615" s="64"/>
      <c r="K1615" s="64"/>
      <c r="L1615" s="64"/>
      <c r="M1615" s="64"/>
      <c r="N1615" s="64"/>
      <c r="O1615" s="64"/>
      <c r="P1615" s="64"/>
      <c r="Q1615" s="64"/>
      <c r="R1615" s="64"/>
      <c r="S1615" s="64"/>
    </row>
    <row r="1616" spans="1:19" x14ac:dyDescent="0.25">
      <c r="A1616" s="63"/>
      <c r="B1616" s="64"/>
      <c r="C1616" s="64"/>
      <c r="D1616" s="64"/>
      <c r="E1616" s="64"/>
      <c r="F1616" s="64"/>
      <c r="G1616" s="64"/>
      <c r="H1616" s="64"/>
      <c r="I1616" s="64"/>
      <c r="J1616" s="64"/>
      <c r="K1616" s="64"/>
      <c r="L1616" s="64"/>
      <c r="M1616" s="64"/>
      <c r="N1616" s="64"/>
      <c r="O1616" s="64"/>
      <c r="P1616" s="64"/>
      <c r="Q1616" s="64"/>
      <c r="R1616" s="64"/>
      <c r="S1616" s="64"/>
    </row>
    <row r="1617" spans="1:19" x14ac:dyDescent="0.25">
      <c r="A1617" s="63"/>
      <c r="B1617" s="64"/>
      <c r="C1617" s="64"/>
      <c r="D1617" s="64"/>
      <c r="E1617" s="64"/>
      <c r="F1617" s="64"/>
      <c r="G1617" s="64"/>
      <c r="H1617" s="64"/>
      <c r="I1617" s="64"/>
      <c r="J1617" s="64"/>
      <c r="K1617" s="64"/>
      <c r="L1617" s="64"/>
      <c r="M1617" s="64"/>
      <c r="N1617" s="64"/>
      <c r="O1617" s="64"/>
      <c r="P1617" s="64"/>
      <c r="Q1617" s="64"/>
      <c r="R1617" s="64"/>
      <c r="S1617" s="64"/>
    </row>
    <row r="1618" spans="1:19" x14ac:dyDescent="0.25">
      <c r="A1618" s="63"/>
      <c r="B1618" s="64"/>
      <c r="C1618" s="64"/>
      <c r="D1618" s="64"/>
      <c r="E1618" s="64"/>
      <c r="F1618" s="64"/>
      <c r="G1618" s="64"/>
      <c r="H1618" s="64"/>
      <c r="I1618" s="64"/>
      <c r="J1618" s="64"/>
      <c r="K1618" s="64"/>
      <c r="L1618" s="64"/>
      <c r="M1618" s="64"/>
      <c r="N1618" s="64"/>
      <c r="O1618" s="64"/>
      <c r="P1618" s="64"/>
      <c r="Q1618" s="64"/>
      <c r="R1618" s="64"/>
      <c r="S1618" s="64"/>
    </row>
    <row r="1619" spans="1:19" x14ac:dyDescent="0.25">
      <c r="A1619" s="63"/>
      <c r="B1619" s="64"/>
      <c r="C1619" s="64"/>
      <c r="D1619" s="64"/>
      <c r="E1619" s="64"/>
      <c r="F1619" s="64"/>
      <c r="G1619" s="64"/>
      <c r="H1619" s="64"/>
      <c r="I1619" s="64"/>
      <c r="J1619" s="64"/>
      <c r="K1619" s="64"/>
      <c r="L1619" s="64"/>
      <c r="M1619" s="64"/>
      <c r="N1619" s="64"/>
      <c r="O1619" s="64"/>
      <c r="P1619" s="64"/>
      <c r="Q1619" s="64"/>
      <c r="R1619" s="64"/>
      <c r="S1619" s="64"/>
    </row>
    <row r="1620" spans="1:19" x14ac:dyDescent="0.25">
      <c r="A1620" s="63"/>
      <c r="B1620" s="64"/>
      <c r="C1620" s="64"/>
      <c r="D1620" s="64"/>
      <c r="E1620" s="64"/>
      <c r="F1620" s="64"/>
      <c r="G1620" s="64"/>
      <c r="H1620" s="64"/>
      <c r="I1620" s="64"/>
      <c r="J1620" s="64"/>
      <c r="K1620" s="64"/>
      <c r="L1620" s="64"/>
      <c r="M1620" s="64"/>
      <c r="N1620" s="64"/>
      <c r="O1620" s="64"/>
      <c r="P1620" s="64"/>
      <c r="Q1620" s="64"/>
      <c r="R1620" s="64"/>
      <c r="S1620" s="64"/>
    </row>
    <row r="1621" spans="1:19" x14ac:dyDescent="0.25">
      <c r="A1621" s="63"/>
      <c r="B1621" s="64"/>
      <c r="C1621" s="64"/>
      <c r="D1621" s="64"/>
      <c r="E1621" s="64"/>
      <c r="F1621" s="64"/>
      <c r="G1621" s="64"/>
      <c r="H1621" s="64"/>
      <c r="I1621" s="64"/>
      <c r="J1621" s="64"/>
      <c r="K1621" s="64"/>
      <c r="L1621" s="64"/>
      <c r="M1621" s="64"/>
      <c r="N1621" s="64"/>
      <c r="O1621" s="64"/>
      <c r="P1621" s="64"/>
      <c r="Q1621" s="64"/>
      <c r="R1621" s="64"/>
      <c r="S1621" s="64"/>
    </row>
    <row r="1622" spans="1:19" x14ac:dyDescent="0.25">
      <c r="A1622" s="63"/>
      <c r="B1622" s="64"/>
      <c r="C1622" s="64"/>
      <c r="D1622" s="64"/>
      <c r="E1622" s="64"/>
      <c r="F1622" s="64"/>
      <c r="G1622" s="64"/>
      <c r="H1622" s="64"/>
      <c r="I1622" s="64"/>
      <c r="J1622" s="64"/>
      <c r="K1622" s="64"/>
      <c r="L1622" s="64"/>
      <c r="M1622" s="64"/>
      <c r="N1622" s="64"/>
      <c r="O1622" s="64"/>
      <c r="P1622" s="64"/>
      <c r="Q1622" s="64"/>
      <c r="R1622" s="64"/>
      <c r="S1622" s="64"/>
    </row>
    <row r="1623" spans="1:19" x14ac:dyDescent="0.25">
      <c r="A1623" s="63"/>
      <c r="B1623" s="64"/>
      <c r="C1623" s="64"/>
      <c r="D1623" s="64"/>
      <c r="E1623" s="64"/>
      <c r="F1623" s="64"/>
      <c r="G1623" s="64"/>
      <c r="H1623" s="64"/>
      <c r="I1623" s="64"/>
      <c r="J1623" s="64"/>
      <c r="K1623" s="64"/>
      <c r="L1623" s="64"/>
      <c r="M1623" s="64"/>
      <c r="N1623" s="64"/>
      <c r="O1623" s="64"/>
      <c r="P1623" s="64"/>
      <c r="Q1623" s="64"/>
      <c r="R1623" s="64"/>
      <c r="S1623" s="64"/>
    </row>
    <row r="1624" spans="1:19" x14ac:dyDescent="0.25">
      <c r="A1624" s="63"/>
      <c r="B1624" s="64"/>
      <c r="C1624" s="64"/>
      <c r="D1624" s="64"/>
      <c r="E1624" s="64"/>
      <c r="F1624" s="64"/>
      <c r="G1624" s="64"/>
      <c r="H1624" s="64"/>
      <c r="I1624" s="64"/>
      <c r="J1624" s="64"/>
      <c r="K1624" s="64"/>
      <c r="L1624" s="64"/>
      <c r="M1624" s="64"/>
      <c r="N1624" s="64"/>
      <c r="O1624" s="64"/>
      <c r="P1624" s="64"/>
      <c r="Q1624" s="64"/>
      <c r="R1624" s="64"/>
      <c r="S1624" s="64"/>
    </row>
    <row r="1625" spans="1:19" x14ac:dyDescent="0.25">
      <c r="A1625" s="63"/>
      <c r="B1625" s="64"/>
      <c r="C1625" s="64"/>
      <c r="D1625" s="64"/>
      <c r="E1625" s="64"/>
      <c r="F1625" s="64"/>
      <c r="G1625" s="64"/>
      <c r="H1625" s="64"/>
      <c r="I1625" s="64"/>
      <c r="J1625" s="64"/>
      <c r="K1625" s="64"/>
      <c r="L1625" s="64"/>
      <c r="M1625" s="64"/>
      <c r="N1625" s="64"/>
      <c r="O1625" s="64"/>
      <c r="P1625" s="64"/>
      <c r="Q1625" s="64"/>
      <c r="R1625" s="64"/>
      <c r="S1625" s="64"/>
    </row>
    <row r="1626" spans="1:19" x14ac:dyDescent="0.25">
      <c r="A1626" s="63"/>
      <c r="B1626" s="64"/>
      <c r="C1626" s="64"/>
      <c r="D1626" s="64"/>
      <c r="E1626" s="64"/>
      <c r="F1626" s="64"/>
      <c r="G1626" s="64"/>
      <c r="H1626" s="64"/>
      <c r="I1626" s="64"/>
      <c r="J1626" s="64"/>
      <c r="K1626" s="64"/>
      <c r="L1626" s="64"/>
      <c r="M1626" s="64"/>
      <c r="N1626" s="64"/>
      <c r="O1626" s="64"/>
      <c r="P1626" s="64"/>
      <c r="Q1626" s="64"/>
      <c r="R1626" s="64"/>
      <c r="S1626" s="64"/>
    </row>
    <row r="1627" spans="1:19" x14ac:dyDescent="0.25">
      <c r="A1627" s="63"/>
      <c r="B1627" s="64"/>
      <c r="C1627" s="64"/>
      <c r="D1627" s="64"/>
      <c r="E1627" s="64"/>
      <c r="F1627" s="64"/>
      <c r="G1627" s="64"/>
      <c r="H1627" s="64"/>
      <c r="I1627" s="64"/>
      <c r="J1627" s="64"/>
      <c r="K1627" s="64"/>
      <c r="L1627" s="64"/>
      <c r="M1627" s="64"/>
      <c r="N1627" s="64"/>
      <c r="O1627" s="64"/>
      <c r="P1627" s="64"/>
      <c r="Q1627" s="64"/>
      <c r="R1627" s="64"/>
      <c r="S1627" s="64"/>
    </row>
    <row r="1628" spans="1:19" x14ac:dyDescent="0.25">
      <c r="A1628" s="63"/>
      <c r="B1628" s="64"/>
      <c r="C1628" s="64"/>
      <c r="D1628" s="64"/>
      <c r="E1628" s="64"/>
      <c r="F1628" s="64"/>
      <c r="G1628" s="64"/>
      <c r="H1628" s="64"/>
      <c r="I1628" s="64"/>
      <c r="J1628" s="64"/>
      <c r="K1628" s="64"/>
      <c r="L1628" s="64"/>
      <c r="M1628" s="64"/>
      <c r="N1628" s="64"/>
      <c r="O1628" s="64"/>
      <c r="P1628" s="64"/>
      <c r="Q1628" s="64"/>
      <c r="R1628" s="64"/>
      <c r="S1628" s="64"/>
    </row>
    <row r="1629" spans="1:19" x14ac:dyDescent="0.25">
      <c r="A1629" s="63"/>
      <c r="B1629" s="64"/>
      <c r="C1629" s="64"/>
      <c r="D1629" s="64"/>
      <c r="E1629" s="64"/>
      <c r="F1629" s="64"/>
      <c r="G1629" s="64"/>
      <c r="H1629" s="64"/>
      <c r="I1629" s="64"/>
      <c r="J1629" s="64"/>
      <c r="K1629" s="64"/>
      <c r="L1629" s="64"/>
      <c r="M1629" s="64"/>
      <c r="N1629" s="64"/>
      <c r="O1629" s="64"/>
      <c r="P1629" s="64"/>
      <c r="Q1629" s="64"/>
      <c r="R1629" s="64"/>
      <c r="S1629" s="64"/>
    </row>
    <row r="1630" spans="1:19" x14ac:dyDescent="0.25">
      <c r="A1630" s="63"/>
      <c r="B1630" s="64"/>
      <c r="C1630" s="64"/>
      <c r="D1630" s="64"/>
      <c r="E1630" s="64"/>
      <c r="F1630" s="64"/>
      <c r="G1630" s="64"/>
      <c r="H1630" s="64"/>
      <c r="I1630" s="64"/>
      <c r="J1630" s="64"/>
      <c r="K1630" s="64"/>
      <c r="L1630" s="64"/>
      <c r="M1630" s="64"/>
      <c r="N1630" s="64"/>
      <c r="O1630" s="64"/>
      <c r="P1630" s="64"/>
      <c r="Q1630" s="64"/>
      <c r="R1630" s="64"/>
      <c r="S1630" s="64"/>
    </row>
    <row r="1631" spans="1:19" x14ac:dyDescent="0.25">
      <c r="A1631" s="63"/>
      <c r="B1631" s="64"/>
      <c r="C1631" s="64"/>
      <c r="D1631" s="64"/>
      <c r="E1631" s="64"/>
      <c r="F1631" s="64"/>
      <c r="G1631" s="64"/>
      <c r="H1631" s="64"/>
      <c r="I1631" s="64"/>
      <c r="J1631" s="64"/>
      <c r="K1631" s="64"/>
      <c r="L1631" s="64"/>
      <c r="M1631" s="64"/>
      <c r="N1631" s="64"/>
      <c r="O1631" s="64"/>
      <c r="P1631" s="64"/>
      <c r="Q1631" s="64"/>
      <c r="R1631" s="64"/>
      <c r="S1631" s="64"/>
    </row>
    <row r="1632" spans="1:19" x14ac:dyDescent="0.25">
      <c r="A1632" s="63"/>
      <c r="B1632" s="64"/>
      <c r="C1632" s="64"/>
      <c r="D1632" s="64"/>
      <c r="E1632" s="64"/>
      <c r="F1632" s="64"/>
      <c r="G1632" s="64"/>
      <c r="H1632" s="64"/>
      <c r="I1632" s="64"/>
      <c r="J1632" s="64"/>
      <c r="K1632" s="64"/>
      <c r="L1632" s="64"/>
      <c r="M1632" s="64"/>
      <c r="N1632" s="64"/>
      <c r="O1632" s="64"/>
      <c r="P1632" s="64"/>
      <c r="Q1632" s="64"/>
      <c r="R1632" s="64"/>
      <c r="S1632" s="64"/>
    </row>
    <row r="1633" spans="1:19" x14ac:dyDescent="0.25">
      <c r="A1633" s="63"/>
      <c r="B1633" s="64"/>
      <c r="C1633" s="64"/>
      <c r="D1633" s="64"/>
      <c r="E1633" s="64"/>
      <c r="F1633" s="64"/>
      <c r="G1633" s="64"/>
      <c r="H1633" s="64"/>
      <c r="I1633" s="64"/>
      <c r="J1633" s="64"/>
      <c r="K1633" s="64"/>
      <c r="L1633" s="64"/>
      <c r="M1633" s="64"/>
      <c r="N1633" s="64"/>
      <c r="O1633" s="64"/>
      <c r="P1633" s="64"/>
      <c r="Q1633" s="64"/>
      <c r="R1633" s="64"/>
      <c r="S1633" s="64"/>
    </row>
    <row r="1634" spans="1:19" x14ac:dyDescent="0.25">
      <c r="A1634" s="63"/>
      <c r="B1634" s="64"/>
      <c r="C1634" s="64"/>
      <c r="D1634" s="64"/>
      <c r="E1634" s="64"/>
      <c r="F1634" s="64"/>
      <c r="G1634" s="64"/>
      <c r="H1634" s="64"/>
      <c r="I1634" s="64"/>
      <c r="J1634" s="64"/>
      <c r="K1634" s="64"/>
      <c r="L1634" s="64"/>
      <c r="M1634" s="64"/>
      <c r="N1634" s="64"/>
      <c r="O1634" s="64"/>
      <c r="P1634" s="64"/>
      <c r="Q1634" s="64"/>
      <c r="R1634" s="64"/>
      <c r="S1634" s="64"/>
    </row>
    <row r="1635" spans="1:19" x14ac:dyDescent="0.25">
      <c r="A1635" s="63"/>
      <c r="B1635" s="64"/>
      <c r="C1635" s="64"/>
      <c r="D1635" s="64"/>
      <c r="E1635" s="64"/>
      <c r="F1635" s="64"/>
      <c r="G1635" s="64"/>
      <c r="H1635" s="64"/>
      <c r="I1635" s="64"/>
      <c r="J1635" s="64"/>
      <c r="K1635" s="64"/>
      <c r="L1635" s="64"/>
      <c r="M1635" s="64"/>
      <c r="N1635" s="64"/>
      <c r="O1635" s="64"/>
      <c r="P1635" s="64"/>
      <c r="Q1635" s="64"/>
      <c r="R1635" s="64"/>
      <c r="S1635" s="64"/>
    </row>
    <row r="1636" spans="1:19" x14ac:dyDescent="0.25">
      <c r="S1636" s="64"/>
    </row>
  </sheetData>
  <conditionalFormatting sqref="A91:S98 T100:U619 S99:T99 A99:R1627 S100:S1628 AR574:XFD618 Z320:AQ619 A13:S89 AW13:XFD573 V13:X618 T13:T98 Y13:Y43 U13:U99 AV13:AV72 AR13:AU573 Z59:AQ89">
    <cfRule type="expression" dxfId="144" priority="30">
      <formula>MOD(ROW(),2)=0</formula>
    </cfRule>
  </conditionalFormatting>
  <conditionalFormatting sqref="Y45:Y73 Y75:Y618">
    <cfRule type="expression" dxfId="143" priority="29">
      <formula>MOD(ROW(),2)=0</formula>
    </cfRule>
  </conditionalFormatting>
  <conditionalFormatting sqref="Y12 AS13:AS72 U13:U573 AU13:AU573">
    <cfRule type="containsText" dxfId="142" priority="28" operator="containsText" text="Exclude">
      <formula>NOT(ISERROR(SEARCH("Exclude",U12)))</formula>
    </cfRule>
  </conditionalFormatting>
  <conditionalFormatting sqref="AV73:AV573">
    <cfRule type="expression" dxfId="141" priority="27">
      <formula>MOD(ROW(),2)=0</formula>
    </cfRule>
  </conditionalFormatting>
  <conditionalFormatting sqref="AV73:AV573">
    <cfRule type="containsText" dxfId="140" priority="26" operator="containsText" text="Exclude">
      <formula>NOT(ISERROR(SEARCH("Exclude",AV73)))</formula>
    </cfRule>
  </conditionalFormatting>
  <conditionalFormatting sqref="AV12">
    <cfRule type="containsText" dxfId="139" priority="25" operator="containsText" text="Exclude">
      <formula>NOT(ISERROR(SEARCH("Exclude",AV12)))</formula>
    </cfRule>
  </conditionalFormatting>
  <conditionalFormatting sqref="AT10:AT12 AT73:AT1048576 AT1:AT2">
    <cfRule type="containsText" dxfId="138" priority="24" operator="containsText" text="Pant">
      <formula>NOT(ISERROR(SEARCH("Pant",AT1)))</formula>
    </cfRule>
  </conditionalFormatting>
  <conditionalFormatting sqref="U12">
    <cfRule type="containsText" dxfId="137" priority="23" operator="containsText" text="Exclude">
      <formula>NOT(ISERROR(SEARCH("Exclude",U12)))</formula>
    </cfRule>
  </conditionalFormatting>
  <conditionalFormatting sqref="Y44">
    <cfRule type="expression" dxfId="136" priority="22">
      <formula>MOD(ROW(),2)=0</formula>
    </cfRule>
  </conditionalFormatting>
  <conditionalFormatting sqref="Y44">
    <cfRule type="containsText" dxfId="135" priority="21" operator="containsText" text="Exclude">
      <formula>NOT(ISERROR(SEARCH("Exclude",Y44)))</formula>
    </cfRule>
  </conditionalFormatting>
  <conditionalFormatting sqref="Y74">
    <cfRule type="expression" dxfId="134" priority="20">
      <formula>MOD(ROW(),2)=0</formula>
    </cfRule>
  </conditionalFormatting>
  <conditionalFormatting sqref="Y74">
    <cfRule type="containsText" dxfId="133" priority="19" operator="containsText" text="Exclude">
      <formula>NOT(ISERROR(SEARCH("Exclude",Y74)))</formula>
    </cfRule>
  </conditionalFormatting>
  <conditionalFormatting sqref="V1:V2 V7:V9 AS13:AS72 U10:U1048576 AU13:AU573">
    <cfRule type="containsText" dxfId="132" priority="18" operator="containsText" text="False">
      <formula>NOT(ISERROR(SEARCH("False",U1)))</formula>
    </cfRule>
  </conditionalFormatting>
  <conditionalFormatting sqref="W1:X2 X3:X6 W7:X9 AT13:AT72 AV13:AV72 AU13:AU573 V10:X1048576">
    <cfRule type="containsText" dxfId="131" priority="17" operator="containsText" text="FALSE">
      <formula>NOT(ISERROR(SEARCH("FALSE",V1)))</formula>
    </cfRule>
  </conditionalFormatting>
  <conditionalFormatting sqref="AU7:AU9">
    <cfRule type="containsText" dxfId="130" priority="11" operator="containsText" text="False">
      <formula>NOT(ISERROR(SEARCH("False",AU7)))</formula>
    </cfRule>
  </conditionalFormatting>
  <conditionalFormatting sqref="AV7:AV9">
    <cfRule type="containsText" dxfId="129" priority="10" operator="containsText" text="FALSE">
      <formula>NOT(ISERROR(SEARCH("FALSE",AV7)))</formula>
    </cfRule>
  </conditionalFormatting>
  <conditionalFormatting sqref="Z91:AQ319">
    <cfRule type="expression" dxfId="128" priority="8">
      <formula>MOD(ROW(),2)=0</formula>
    </cfRule>
  </conditionalFormatting>
  <conditionalFormatting sqref="D7:D8">
    <cfRule type="containsText" dxfId="127" priority="5" operator="containsText" text="False">
      <formula>NOT(ISERROR(SEARCH("False",D7)))</formula>
    </cfRule>
  </conditionalFormatting>
  <conditionalFormatting sqref="I5:I6">
    <cfRule type="containsText" dxfId="126" priority="3" operator="containsText" text="False">
      <formula>NOT(ISERROR(SEARCH("False",I5)))</formula>
    </cfRule>
  </conditionalFormatting>
  <conditionalFormatting sqref="AH5:AH6">
    <cfRule type="containsText" dxfId="125" priority="2" operator="containsText" text="False">
      <formula>NOT(ISERROR(SEARCH("False",AH5)))</formula>
    </cfRule>
  </conditionalFormatting>
  <conditionalFormatting sqref="Z13:AQ58">
    <cfRule type="expression" dxfId="124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TextToColumnsChase">
                <anchor moveWithCells="1" sizeWithCells="1">
                  <from>
                    <xdr:col>9</xdr:col>
                    <xdr:colOff>857250</xdr:colOff>
                    <xdr:row>0</xdr:row>
                    <xdr:rowOff>19050</xdr:rowOff>
                  </from>
                  <to>
                    <xdr:col>14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AV1663"/>
  <sheetViews>
    <sheetView zoomScale="90" zoomScaleNormal="90" workbookViewId="0">
      <pane ySplit="17" topLeftCell="A18" activePane="bottomLeft" state="frozen"/>
      <selection pane="bottomLeft" activeCell="J36" sqref="J36"/>
    </sheetView>
  </sheetViews>
  <sheetFormatPr defaultColWidth="9.140625" defaultRowHeight="15" x14ac:dyDescent="0.25"/>
  <cols>
    <col min="1" max="1" width="20" style="65" customWidth="1"/>
    <col min="2" max="2" width="19.140625" style="65" customWidth="1"/>
    <col min="3" max="3" width="17.140625" style="65" customWidth="1"/>
    <col min="4" max="4" width="16.85546875" style="65" customWidth="1"/>
    <col min="5" max="6" width="17" style="65" customWidth="1"/>
    <col min="7" max="7" width="20.7109375" style="65" customWidth="1"/>
    <col min="8" max="8" width="19.28515625" style="65" bestFit="1" customWidth="1"/>
    <col min="9" max="9" width="16.7109375" style="65" customWidth="1"/>
    <col min="10" max="11" width="14.85546875" style="65" bestFit="1" customWidth="1"/>
    <col min="12" max="12" width="15" style="65" bestFit="1" customWidth="1"/>
    <col min="13" max="13" width="15.28515625" style="65" bestFit="1" customWidth="1"/>
    <col min="14" max="14" width="13.85546875" style="65" bestFit="1" customWidth="1"/>
    <col min="15" max="15" width="18.7109375" style="65" bestFit="1" customWidth="1"/>
    <col min="16" max="16" width="15.42578125" style="65" customWidth="1"/>
    <col min="17" max="17" width="12" style="65" customWidth="1"/>
    <col min="18" max="18" width="18.7109375" style="65" customWidth="1"/>
    <col min="19" max="19" width="20.28515625" style="65" customWidth="1"/>
    <col min="20" max="20" width="14.5703125" style="65" customWidth="1"/>
    <col min="21" max="21" width="15.28515625" style="65" bestFit="1" customWidth="1"/>
    <col min="22" max="22" width="13.85546875" style="65" bestFit="1" customWidth="1"/>
    <col min="23" max="23" width="18.7109375" style="65" bestFit="1" customWidth="1"/>
    <col min="24" max="24" width="11.140625" style="65" bestFit="1" customWidth="1"/>
    <col min="25" max="25" width="9.42578125" style="65" customWidth="1"/>
    <col min="26" max="26" width="14.85546875" style="63" bestFit="1" customWidth="1"/>
    <col min="27" max="27" width="14.85546875" style="65" bestFit="1" customWidth="1"/>
    <col min="28" max="28" width="16.5703125" style="65" bestFit="1" customWidth="1"/>
    <col min="29" max="29" width="10.7109375" style="65" bestFit="1" customWidth="1"/>
    <col min="30" max="30" width="15" style="65" bestFit="1" customWidth="1"/>
    <col min="31" max="31" width="17" style="65" customWidth="1"/>
    <col min="32" max="32" width="19.28515625" style="65" bestFit="1" customWidth="1"/>
    <col min="33" max="34" width="14.85546875" style="65" bestFit="1" customWidth="1"/>
    <col min="35" max="35" width="18.42578125" style="65" bestFit="1" customWidth="1"/>
    <col min="36" max="36" width="16.5703125" style="65" bestFit="1" customWidth="1"/>
    <col min="37" max="37" width="10.7109375" style="65" bestFit="1" customWidth="1"/>
    <col min="38" max="38" width="15.28515625" style="65" bestFit="1" customWidth="1"/>
    <col min="39" max="39" width="13.85546875" style="65" bestFit="1" customWidth="1"/>
    <col min="40" max="40" width="18.7109375" style="65" bestFit="1" customWidth="1"/>
    <col min="41" max="41" width="10.5703125" style="65" customWidth="1"/>
    <col min="42" max="42" width="13.5703125" style="65" bestFit="1" customWidth="1"/>
    <col min="43" max="43" width="20.140625" style="65" bestFit="1" customWidth="1"/>
    <col min="44" max="44" width="19.28515625" style="65" bestFit="1" customWidth="1"/>
    <col min="45" max="45" width="20.28515625" style="65" bestFit="1" customWidth="1"/>
    <col min="46" max="46" width="15.28515625" style="65" bestFit="1" customWidth="1"/>
    <col min="47" max="47" width="14.85546875" style="65" bestFit="1" customWidth="1"/>
    <col min="48" max="48" width="18.7109375" style="65" bestFit="1" customWidth="1"/>
    <col min="49" max="16384" width="9.140625" style="65"/>
  </cols>
  <sheetData>
    <row r="1" spans="1:48" s="28" customFormat="1" ht="22.5" x14ac:dyDescent="0.3">
      <c r="C1" s="1" t="s">
        <v>146</v>
      </c>
      <c r="K1" s="30"/>
      <c r="L1" s="30"/>
      <c r="M1" s="30"/>
      <c r="N1" s="30"/>
      <c r="O1" s="33"/>
      <c r="P1" s="33"/>
      <c r="Q1" s="33"/>
      <c r="R1" s="33"/>
      <c r="S1" s="33"/>
      <c r="T1" s="33"/>
      <c r="U1" s="33"/>
      <c r="Z1" s="95"/>
      <c r="AA1" s="23"/>
    </row>
    <row r="2" spans="1:48" s="28" customFormat="1" x14ac:dyDescent="0.25">
      <c r="D2" s="29"/>
      <c r="K2" s="30"/>
      <c r="L2" s="30"/>
      <c r="M2" s="30"/>
      <c r="N2" s="30"/>
      <c r="O2" s="33"/>
      <c r="P2" s="33"/>
      <c r="Q2" s="33"/>
      <c r="R2" s="33"/>
      <c r="S2" s="33"/>
      <c r="T2" s="33"/>
      <c r="U2" s="33"/>
      <c r="Z2" s="24"/>
      <c r="AA2" s="23"/>
    </row>
    <row r="3" spans="1:48" s="28" customFormat="1" ht="18.75" x14ac:dyDescent="0.3">
      <c r="A3" s="69" t="s">
        <v>88</v>
      </c>
      <c r="D3" s="29"/>
      <c r="I3" s="69"/>
      <c r="L3" s="29"/>
      <c r="N3" s="33"/>
      <c r="O3" s="33"/>
      <c r="P3" s="33"/>
      <c r="Q3" s="69"/>
      <c r="T3" s="29"/>
      <c r="Z3" s="79" t="s">
        <v>88</v>
      </c>
      <c r="AC3" s="29"/>
      <c r="AH3" s="69"/>
      <c r="AK3" s="29"/>
      <c r="AM3" s="33"/>
      <c r="AN3" s="33"/>
      <c r="AO3" s="33"/>
      <c r="AP3" s="69"/>
      <c r="AS3" s="29"/>
    </row>
    <row r="4" spans="1:48" s="28" customFormat="1" x14ac:dyDescent="0.25">
      <c r="D4" s="29"/>
      <c r="L4" s="29"/>
      <c r="N4" s="33"/>
      <c r="O4" s="33"/>
      <c r="P4" s="33"/>
      <c r="T4" s="29"/>
      <c r="Z4" s="24"/>
      <c r="AC4" s="29"/>
      <c r="AK4" s="29"/>
      <c r="AM4" s="33"/>
      <c r="AN4" s="33"/>
      <c r="AO4" s="33"/>
      <c r="AS4" s="29"/>
    </row>
    <row r="5" spans="1:48" s="28" customFormat="1" x14ac:dyDescent="0.25">
      <c r="A5" s="40" t="s">
        <v>3</v>
      </c>
      <c r="B5" s="40" t="s">
        <v>84</v>
      </c>
      <c r="C5" s="40" t="s">
        <v>140</v>
      </c>
      <c r="D5" s="40" t="s">
        <v>141</v>
      </c>
      <c r="E5" s="40" t="s">
        <v>52</v>
      </c>
      <c r="F5" s="40" t="s">
        <v>139</v>
      </c>
      <c r="G5" s="40" t="s">
        <v>142</v>
      </c>
      <c r="H5" s="33"/>
      <c r="I5" s="40"/>
      <c r="J5" s="40"/>
      <c r="K5" s="40"/>
      <c r="L5" s="40"/>
      <c r="M5" s="40"/>
      <c r="N5" s="40"/>
      <c r="O5" s="40"/>
      <c r="P5" s="33"/>
      <c r="Q5" s="40"/>
      <c r="R5" s="40"/>
      <c r="S5" s="40"/>
      <c r="T5" s="40"/>
      <c r="U5" s="40"/>
      <c r="V5" s="40"/>
      <c r="W5" s="40"/>
      <c r="Z5" s="41" t="s">
        <v>3</v>
      </c>
      <c r="AA5" s="40" t="s">
        <v>84</v>
      </c>
      <c r="AB5" s="40" t="s">
        <v>140</v>
      </c>
      <c r="AC5" s="40" t="s">
        <v>141</v>
      </c>
      <c r="AD5" s="40" t="s">
        <v>52</v>
      </c>
      <c r="AE5" s="40" t="s">
        <v>139</v>
      </c>
      <c r="AF5" s="40" t="s">
        <v>142</v>
      </c>
      <c r="AG5" s="33"/>
      <c r="AH5" s="40"/>
      <c r="AI5" s="40"/>
      <c r="AJ5" s="40"/>
      <c r="AK5" s="40"/>
      <c r="AL5" s="40"/>
      <c r="AM5" s="40"/>
      <c r="AN5" s="40"/>
      <c r="AO5" s="33"/>
      <c r="AP5" s="40"/>
      <c r="AQ5" s="40"/>
      <c r="AR5" s="40"/>
      <c r="AS5" s="40"/>
      <c r="AT5" s="40"/>
      <c r="AU5" s="40"/>
      <c r="AV5" s="40"/>
    </row>
    <row r="6" spans="1:48" s="28" customFormat="1" x14ac:dyDescent="0.25">
      <c r="A6" s="33">
        <f>COUNTIFS($B$21:$B$600,1,$R$21:$R$600,"TruePositive")-1</f>
        <v>-1</v>
      </c>
      <c r="B6" s="33">
        <f>SUMIF($B$21:$B$600,1,$U$21:$U$600)</f>
        <v>0</v>
      </c>
      <c r="C6" s="33" t="e">
        <f>SUM(A6/B6)*1000</f>
        <v>#DIV/0!</v>
      </c>
      <c r="D6" s="33">
        <f>COUNTIFS($B$21:$B$600,1,$R$21:$R$600,"Exploratory")</f>
        <v>0</v>
      </c>
      <c r="E6" s="33">
        <f>COUNTIFS($B$21:$B$600,1,$R$21:$R$600,"Diagonal")+COUNTIFS($B$21:$B$600,1,$R$21:$R$600,"FailureReturnToHead")+COUNTIFS($B$21:$B$600,1,$R$21:$R$600,"Jump")+COUNTIFS($B$21:$B$600,1,$R$21:$R$600,"Backwards")+COUNTIFS($B$21:$B$600,1,$R$21:$R$600,"OutsideGrid")+COUNTIFS($B$21:$B$600,1,$R$21:$R$600,"BetweenBox")</f>
        <v>0</v>
      </c>
      <c r="F6" s="28">
        <f>COUNTIFS($B$21:$B$600,1,$R$21:$R$600,"ReturnToHead")</f>
        <v>0</v>
      </c>
      <c r="G6" s="33">
        <f>COUNTIFS($B$21:$B$600,1,$R$21:$R$600,"Perseverative")</f>
        <v>0</v>
      </c>
      <c r="H6" s="33"/>
      <c r="I6" s="33"/>
      <c r="J6" s="33"/>
      <c r="K6" s="33"/>
      <c r="L6" s="33"/>
      <c r="M6" s="33"/>
      <c r="O6" s="33"/>
      <c r="P6" s="33"/>
      <c r="Q6" s="33"/>
      <c r="R6" s="33"/>
      <c r="S6" s="33"/>
      <c r="T6" s="33"/>
      <c r="U6" s="33"/>
      <c r="W6" s="33"/>
      <c r="Z6" s="44">
        <f>COUNTIFS($AA$21:AA$600,1,$AQ$21:$AQ$600,"TruePositive")-1</f>
        <v>-1</v>
      </c>
      <c r="AA6" s="33">
        <f>SUMIF($AA$21:$AA$600,1,$AU$21:$AU$600)</f>
        <v>0</v>
      </c>
      <c r="AB6" s="33" t="e">
        <f>SUM(Z6/AA6)*1000</f>
        <v>#DIV/0!</v>
      </c>
      <c r="AC6" s="33">
        <f>COUNTIFS($AA$21:$AA$600,1,$AQ$21:$AQ$600,"Exploratory")</f>
        <v>0</v>
      </c>
      <c r="AD6" s="33">
        <f>COUNTIFS($AA$21:$AA$600,1,$AQ$21:$AQ$600,"Diagonal")+COUNTIFS($AA$21:$AA$600,1,$AQ$21:$AQ$600,"FailureReturnToHead")+COUNTIFS($AA$21:$AA$600,1,$AQ$21:$AQ$600,"Jump")+COUNTIFS($AA$21:$AA$600,1,$AQ$21:$AQ$600,"Backwards")+COUNTIFS($AA$21:$AA$600,1,$AQ$21:$AQ$600,"OutsideGrid")+COUNTIFS($AA$21:$AA$600,1,$AQ$21:$AQ$600,"BetweenBox")</f>
        <v>0</v>
      </c>
      <c r="AE6" s="28">
        <f>COUNTIFS($AA$21:$AA$600,1,$AQ$21:$AQ$600,"ReturnToHead")</f>
        <v>0</v>
      </c>
      <c r="AF6" s="33">
        <f>COUNTIFS($AA$21:$AA$600,1,$AQ$21:$AQ$600,"Perseverative")</f>
        <v>0</v>
      </c>
      <c r="AG6" s="33"/>
      <c r="AH6" s="33"/>
      <c r="AI6" s="33"/>
      <c r="AJ6" s="33"/>
      <c r="AK6" s="33"/>
      <c r="AL6" s="33"/>
      <c r="AN6" s="33"/>
      <c r="AO6" s="33"/>
      <c r="AP6" s="33"/>
      <c r="AQ6" s="33"/>
      <c r="AR6" s="33"/>
      <c r="AS6" s="33"/>
      <c r="AT6" s="33"/>
      <c r="AV6" s="33"/>
    </row>
    <row r="7" spans="1:48" s="28" customFormat="1" x14ac:dyDescent="0.25">
      <c r="A7" s="40" t="s">
        <v>4</v>
      </c>
      <c r="B7" s="40" t="s">
        <v>63</v>
      </c>
      <c r="C7" s="40" t="s">
        <v>144</v>
      </c>
      <c r="D7" s="33"/>
      <c r="E7" s="33"/>
      <c r="F7" s="33"/>
      <c r="G7" s="33"/>
      <c r="H7" s="33"/>
      <c r="I7" s="40"/>
      <c r="J7" s="40"/>
      <c r="K7" s="33"/>
      <c r="L7" s="33"/>
      <c r="M7" s="33"/>
      <c r="N7" s="33"/>
      <c r="O7" s="33"/>
      <c r="P7" s="33"/>
      <c r="Q7" s="40"/>
      <c r="R7" s="40"/>
      <c r="S7" s="33"/>
      <c r="T7" s="33"/>
      <c r="U7" s="33"/>
      <c r="Z7" s="41" t="s">
        <v>4</v>
      </c>
      <c r="AA7" s="40" t="s">
        <v>63</v>
      </c>
      <c r="AB7" s="40" t="s">
        <v>144</v>
      </c>
      <c r="AC7" s="33"/>
      <c r="AD7" s="33"/>
      <c r="AE7" s="33"/>
      <c r="AF7" s="33"/>
      <c r="AG7" s="33"/>
      <c r="AH7" s="40"/>
      <c r="AI7" s="40"/>
      <c r="AJ7" s="33"/>
      <c r="AK7" s="33"/>
      <c r="AL7" s="33"/>
      <c r="AM7" s="33"/>
      <c r="AN7" s="33"/>
      <c r="AO7" s="33"/>
      <c r="AP7" s="40"/>
      <c r="AQ7" s="40"/>
      <c r="AR7" s="33"/>
      <c r="AS7" s="33"/>
      <c r="AT7" s="33"/>
    </row>
    <row r="8" spans="1:48" s="28" customFormat="1" x14ac:dyDescent="0.25">
      <c r="A8" s="101">
        <f>SUM(C8+D6+E6+G6)</f>
        <v>0</v>
      </c>
      <c r="B8" s="33" t="str">
        <f>IF(GMLT!S16="Yes",IF((A6/28)*100=100,"Yes","No"),"No")</f>
        <v>No</v>
      </c>
      <c r="C8" s="101">
        <f>COUNTIFS($B$21:$B$600,1,$R$21:$R$600,"WithinSearch")</f>
        <v>0</v>
      </c>
      <c r="D8" s="33"/>
      <c r="E8" s="40"/>
      <c r="F8" s="40"/>
      <c r="G8" s="40"/>
      <c r="H8" s="40"/>
      <c r="I8" s="101"/>
      <c r="J8" s="101"/>
      <c r="K8" s="33"/>
      <c r="L8" s="33"/>
      <c r="M8" s="40"/>
      <c r="N8" s="33"/>
      <c r="O8" s="33"/>
      <c r="P8" s="33"/>
      <c r="Q8" s="101"/>
      <c r="R8" s="101"/>
      <c r="S8" s="33"/>
      <c r="T8" s="33"/>
      <c r="U8" s="33"/>
      <c r="Z8" s="45">
        <f>SUM(AB8+AC6+AD6+AF6)</f>
        <v>0</v>
      </c>
      <c r="AA8" s="33" t="str">
        <f>IF(GMLT!AR21="Yes",IF((Z11/28)*100=100,"Yes","No"),"No")</f>
        <v>No</v>
      </c>
      <c r="AB8" s="101">
        <f>COUNTIFS($AA$21:$AA$600,1,$AQ$21:$AQ$600,"WithinSearch")</f>
        <v>0</v>
      </c>
      <c r="AC8" s="33"/>
      <c r="AD8" s="40"/>
      <c r="AE8" s="40"/>
      <c r="AF8" s="40"/>
      <c r="AG8" s="40"/>
      <c r="AH8" s="101"/>
      <c r="AI8" s="101"/>
      <c r="AJ8" s="33"/>
      <c r="AK8" s="33"/>
      <c r="AL8" s="40"/>
      <c r="AM8" s="33"/>
      <c r="AN8" s="33"/>
      <c r="AO8" s="33"/>
      <c r="AP8" s="101"/>
      <c r="AQ8" s="101"/>
      <c r="AR8" s="33"/>
      <c r="AS8" s="33"/>
      <c r="AT8" s="33"/>
    </row>
    <row r="9" spans="1:48" s="28" customForma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Z9" s="44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</row>
    <row r="10" spans="1:48" s="28" customFormat="1" ht="18.75" x14ac:dyDescent="0.3">
      <c r="A10" s="81"/>
      <c r="B10" s="33"/>
      <c r="C10" s="33"/>
      <c r="D10" s="40"/>
      <c r="E10" s="33"/>
      <c r="F10" s="33"/>
      <c r="G10" s="33"/>
      <c r="H10" s="33"/>
      <c r="I10" s="69"/>
      <c r="L10" s="29"/>
      <c r="P10" s="33"/>
      <c r="Q10" s="81"/>
      <c r="R10" s="33"/>
      <c r="S10" s="33"/>
      <c r="T10" s="40"/>
      <c r="U10" s="33"/>
      <c r="V10" s="33"/>
      <c r="W10" s="33"/>
      <c r="Z10" s="82"/>
      <c r="AA10" s="33"/>
      <c r="AB10" s="33"/>
      <c r="AC10" s="40"/>
      <c r="AD10" s="33"/>
      <c r="AE10" s="33"/>
      <c r="AF10" s="33"/>
      <c r="AG10" s="33"/>
      <c r="AH10" s="69"/>
      <c r="AK10" s="29"/>
      <c r="AO10" s="33"/>
      <c r="AP10" s="81"/>
      <c r="AQ10" s="33"/>
      <c r="AR10" s="33"/>
      <c r="AS10" s="40"/>
      <c r="AT10" s="33"/>
      <c r="AU10" s="33"/>
      <c r="AV10" s="33"/>
    </row>
    <row r="11" spans="1:48" s="28" customFormat="1" x14ac:dyDescent="0.25">
      <c r="A11" s="33"/>
      <c r="B11" s="33"/>
      <c r="C11" s="33"/>
      <c r="D11" s="40"/>
      <c r="E11" s="33"/>
      <c r="F11" s="33"/>
      <c r="G11" s="33"/>
      <c r="H11" s="33"/>
      <c r="L11" s="29"/>
      <c r="P11" s="33"/>
      <c r="Q11" s="33"/>
      <c r="R11" s="33"/>
      <c r="S11" s="33"/>
      <c r="T11" s="40"/>
      <c r="U11" s="33"/>
      <c r="V11" s="33"/>
      <c r="W11" s="33"/>
      <c r="Z11" s="44"/>
      <c r="AA11" s="33"/>
      <c r="AB11" s="33"/>
      <c r="AC11" s="40"/>
      <c r="AD11" s="33"/>
      <c r="AE11" s="33"/>
      <c r="AF11" s="33"/>
      <c r="AG11" s="33"/>
      <c r="AK11" s="29"/>
      <c r="AO11" s="33"/>
      <c r="AP11" s="33"/>
      <c r="AQ11" s="33"/>
      <c r="AR11" s="33"/>
      <c r="AS11" s="40"/>
      <c r="AT11" s="33"/>
      <c r="AU11" s="33"/>
      <c r="AV11" s="33"/>
    </row>
    <row r="12" spans="1:48" s="28" customFormat="1" x14ac:dyDescent="0.25">
      <c r="A12" s="40"/>
      <c r="B12" s="40"/>
      <c r="C12" s="40"/>
      <c r="D12" s="40"/>
      <c r="E12" s="40"/>
      <c r="F12" s="40"/>
      <c r="G12" s="40"/>
      <c r="H12" s="33"/>
      <c r="I12" s="40"/>
      <c r="J12" s="40"/>
      <c r="K12" s="40"/>
      <c r="L12" s="40"/>
      <c r="M12" s="40"/>
      <c r="N12" s="40"/>
      <c r="O12" s="40"/>
      <c r="P12" s="33"/>
      <c r="Q12" s="40"/>
      <c r="R12" s="40"/>
      <c r="S12" s="40"/>
      <c r="T12" s="40"/>
      <c r="U12" s="40"/>
      <c r="V12" s="40"/>
      <c r="W12" s="40"/>
      <c r="Z12" s="41"/>
      <c r="AB12" s="40"/>
      <c r="AC12" s="40"/>
      <c r="AD12" s="40"/>
      <c r="AE12" s="40"/>
      <c r="AF12" s="40"/>
      <c r="AG12" s="33"/>
      <c r="AH12" s="40"/>
      <c r="AI12" s="40"/>
      <c r="AJ12" s="40"/>
      <c r="AK12" s="40"/>
      <c r="AL12" s="40"/>
      <c r="AM12" s="40"/>
      <c r="AN12" s="40"/>
      <c r="AO12" s="33"/>
      <c r="AP12" s="40"/>
      <c r="AQ12" s="40"/>
      <c r="AR12" s="40"/>
      <c r="AS12" s="40"/>
      <c r="AT12" s="40"/>
      <c r="AU12" s="40"/>
      <c r="AV12" s="40"/>
    </row>
    <row r="13" spans="1:48" s="28" customFormat="1" x14ac:dyDescent="0.25">
      <c r="A13" s="33"/>
      <c r="B13" s="33"/>
      <c r="C13" s="33"/>
      <c r="D13" s="33"/>
      <c r="E13" s="33"/>
      <c r="G13" s="33"/>
      <c r="H13" s="33"/>
      <c r="I13" s="33"/>
      <c r="J13" s="33"/>
      <c r="K13" s="33"/>
      <c r="L13" s="33"/>
      <c r="M13" s="33"/>
      <c r="O13" s="33"/>
      <c r="P13" s="33"/>
      <c r="Q13" s="33"/>
      <c r="R13" s="33"/>
      <c r="S13" s="33"/>
      <c r="T13" s="33"/>
      <c r="U13" s="33"/>
      <c r="W13" s="33"/>
      <c r="Z13" s="44"/>
      <c r="AB13" s="33"/>
      <c r="AC13" s="33"/>
      <c r="AD13" s="33"/>
      <c r="AF13" s="33"/>
      <c r="AG13" s="33"/>
      <c r="AH13" s="33"/>
      <c r="AI13" s="33"/>
      <c r="AJ13" s="33"/>
      <c r="AK13" s="33"/>
      <c r="AL13" s="33"/>
      <c r="AN13" s="33"/>
      <c r="AO13" s="33"/>
      <c r="AP13" s="33"/>
      <c r="AQ13" s="33"/>
      <c r="AR13" s="33"/>
      <c r="AS13" s="33"/>
      <c r="AT13" s="33"/>
      <c r="AV13" s="33"/>
    </row>
    <row r="14" spans="1:48" s="28" customFormat="1" x14ac:dyDescent="0.25">
      <c r="A14" s="40"/>
      <c r="B14" s="40"/>
      <c r="C14" s="33"/>
      <c r="D14" s="33"/>
      <c r="E14" s="33"/>
      <c r="F14" s="33"/>
      <c r="G14" s="68"/>
      <c r="H14" s="68"/>
      <c r="I14" s="40"/>
      <c r="J14" s="40"/>
      <c r="P14" s="33"/>
      <c r="Q14" s="33"/>
      <c r="R14" s="33"/>
      <c r="S14" s="33"/>
      <c r="T14" s="33"/>
      <c r="U14" s="33"/>
      <c r="V14" s="33"/>
      <c r="W14" s="33"/>
      <c r="Z14" s="41"/>
      <c r="AA14" s="40"/>
      <c r="AB14" s="33"/>
      <c r="AC14" s="33"/>
      <c r="AD14" s="33"/>
      <c r="AE14" s="33"/>
      <c r="AF14" s="68"/>
      <c r="AG14" s="68"/>
      <c r="AH14" s="40"/>
      <c r="AI14" s="40"/>
      <c r="AO14" s="33"/>
      <c r="AP14" s="33"/>
      <c r="AQ14" s="33"/>
      <c r="AR14" s="33"/>
      <c r="AS14" s="33"/>
      <c r="AT14" s="33"/>
      <c r="AU14" s="33"/>
      <c r="AV14" s="33"/>
    </row>
    <row r="15" spans="1:48" s="28" customFormat="1" x14ac:dyDescent="0.25">
      <c r="A15" s="101"/>
      <c r="B15" s="101"/>
      <c r="C15" s="40"/>
      <c r="D15" s="40"/>
      <c r="E15" s="40"/>
      <c r="F15" s="40"/>
      <c r="G15" s="33"/>
      <c r="H15" s="33"/>
      <c r="I15" s="101"/>
      <c r="J15" s="101"/>
      <c r="P15" s="33"/>
      <c r="Q15" s="40"/>
      <c r="R15" s="40"/>
      <c r="S15" s="40"/>
      <c r="T15" s="29"/>
      <c r="U15" s="40"/>
      <c r="V15" s="40"/>
      <c r="W15" s="33"/>
      <c r="Z15" s="45"/>
      <c r="AA15" s="101"/>
      <c r="AB15" s="40"/>
      <c r="AC15" s="40"/>
      <c r="AD15" s="40"/>
      <c r="AE15" s="40"/>
      <c r="AF15" s="33"/>
      <c r="AG15" s="33"/>
      <c r="AH15" s="101"/>
      <c r="AI15" s="101"/>
      <c r="AO15" s="33"/>
      <c r="AP15" s="40"/>
      <c r="AQ15" s="40"/>
      <c r="AR15" s="40"/>
      <c r="AS15" s="29"/>
      <c r="AT15" s="40"/>
      <c r="AU15" s="40"/>
      <c r="AV15" s="33"/>
    </row>
    <row r="16" spans="1:48" s="28" customFormat="1" x14ac:dyDescent="0.25">
      <c r="A16" s="33"/>
      <c r="B16" s="33"/>
      <c r="C16" s="33"/>
      <c r="D16" s="33"/>
      <c r="E16" s="33"/>
      <c r="F16" s="33"/>
      <c r="G16" s="33"/>
      <c r="H16" s="33"/>
      <c r="P16" s="33"/>
      <c r="Q16" s="101"/>
      <c r="R16" s="101"/>
      <c r="S16" s="33"/>
      <c r="U16" s="33"/>
      <c r="V16" s="33"/>
      <c r="W16" s="33"/>
      <c r="Z16" s="44"/>
      <c r="AA16" s="33"/>
      <c r="AB16" s="33"/>
      <c r="AC16" s="33"/>
      <c r="AD16" s="33"/>
      <c r="AE16" s="33"/>
      <c r="AF16" s="33"/>
      <c r="AG16" s="33"/>
      <c r="AO16" s="33"/>
      <c r="AP16" s="101"/>
      <c r="AQ16" s="101"/>
      <c r="AR16" s="33"/>
      <c r="AT16" s="33"/>
      <c r="AU16" s="33"/>
      <c r="AV16" s="33"/>
    </row>
    <row r="17" spans="1:48" s="28" customFormat="1" x14ac:dyDescent="0.25">
      <c r="M17" s="33"/>
      <c r="N17" s="33"/>
      <c r="O17" s="33"/>
      <c r="P17" s="33"/>
      <c r="Q17" s="33"/>
      <c r="R17" s="33"/>
      <c r="S17" s="33"/>
      <c r="T17" s="33"/>
      <c r="U17" s="78"/>
      <c r="V17" s="29"/>
      <c r="W17" s="29"/>
      <c r="X17" s="29"/>
      <c r="Y17" s="29"/>
      <c r="Z17" s="80"/>
      <c r="AA17" s="2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S17" s="78"/>
      <c r="AT17" s="29"/>
      <c r="AU17" s="29"/>
      <c r="AV17" s="29"/>
    </row>
    <row r="18" spans="1:48" s="76" customFormat="1" x14ac:dyDescent="0.25">
      <c r="Z18" s="77"/>
      <c r="AA18" s="75"/>
    </row>
    <row r="19" spans="1:48" s="75" customFormat="1" x14ac:dyDescent="0.25">
      <c r="Z19" s="36"/>
    </row>
    <row r="20" spans="1:48" s="74" customFormat="1" ht="18.75" x14ac:dyDescent="0.3">
      <c r="A20" s="73" t="s">
        <v>60</v>
      </c>
      <c r="U20" s="19"/>
      <c r="V20" s="19"/>
      <c r="W20" s="19"/>
      <c r="X20" s="19"/>
      <c r="Y20" s="19"/>
      <c r="Z20" s="73" t="s">
        <v>61</v>
      </c>
      <c r="AU20" s="19"/>
    </row>
    <row r="21" spans="1:48" s="28" customFormat="1" x14ac:dyDescent="0.25">
      <c r="U21" s="102">
        <f>IF(R21="TruePositive",IF(D21&lt;&gt;1,N21,0),0)</f>
        <v>0</v>
      </c>
      <c r="V21" s="87"/>
      <c r="W21" s="87"/>
      <c r="X21" s="87"/>
      <c r="Y21" s="97"/>
      <c r="AU21" s="102">
        <f>IF(AQ21="TruePositive",IF(AC21&lt;&gt;1,AM21,0),0)</f>
        <v>0</v>
      </c>
    </row>
    <row r="22" spans="1:48" s="28" customFormat="1" x14ac:dyDescent="0.25">
      <c r="U22" s="103">
        <f t="shared" ref="U22:U85" si="0">IF(R22="TruePositive",IF(D22&lt;&gt;1,N22,0),0)</f>
        <v>0</v>
      </c>
      <c r="Y22" s="98"/>
      <c r="AU22" s="103">
        <f t="shared" ref="AU22:AU85" si="1">IF(AQ22="TruePositive",IF(AC22&lt;&gt;1,AM22,0),0)</f>
        <v>0</v>
      </c>
    </row>
    <row r="23" spans="1:48" s="28" customFormat="1" x14ac:dyDescent="0.25">
      <c r="U23" s="103">
        <f t="shared" si="0"/>
        <v>0</v>
      </c>
      <c r="Y23" s="98"/>
      <c r="AU23" s="103">
        <f t="shared" si="1"/>
        <v>0</v>
      </c>
    </row>
    <row r="24" spans="1:48" s="28" customFormat="1" x14ac:dyDescent="0.25">
      <c r="U24" s="103">
        <f t="shared" si="0"/>
        <v>0</v>
      </c>
      <c r="Y24" s="98"/>
      <c r="AU24" s="103">
        <f t="shared" si="1"/>
        <v>0</v>
      </c>
    </row>
    <row r="25" spans="1:48" s="28" customFormat="1" x14ac:dyDescent="0.25">
      <c r="U25" s="103">
        <f t="shared" si="0"/>
        <v>0</v>
      </c>
      <c r="Y25" s="98"/>
      <c r="AU25" s="103">
        <f t="shared" si="1"/>
        <v>0</v>
      </c>
    </row>
    <row r="26" spans="1:48" s="28" customFormat="1" x14ac:dyDescent="0.25">
      <c r="U26" s="103">
        <f t="shared" si="0"/>
        <v>0</v>
      </c>
      <c r="Y26" s="98"/>
      <c r="AU26" s="103">
        <f t="shared" si="1"/>
        <v>0</v>
      </c>
    </row>
    <row r="27" spans="1:48" s="28" customFormat="1" x14ac:dyDescent="0.25">
      <c r="U27" s="103">
        <f t="shared" si="0"/>
        <v>0</v>
      </c>
      <c r="Y27" s="98"/>
      <c r="AU27" s="103">
        <f t="shared" si="1"/>
        <v>0</v>
      </c>
    </row>
    <row r="28" spans="1:48" s="28" customFormat="1" x14ac:dyDescent="0.25">
      <c r="U28" s="103">
        <f t="shared" si="0"/>
        <v>0</v>
      </c>
      <c r="Y28" s="98"/>
      <c r="AU28" s="103">
        <f t="shared" si="1"/>
        <v>0</v>
      </c>
    </row>
    <row r="29" spans="1:48" s="28" customFormat="1" x14ac:dyDescent="0.25">
      <c r="U29" s="103">
        <f t="shared" si="0"/>
        <v>0</v>
      </c>
      <c r="Y29" s="98"/>
      <c r="AU29" s="103">
        <f t="shared" si="1"/>
        <v>0</v>
      </c>
    </row>
    <row r="30" spans="1:48" s="28" customFormat="1" x14ac:dyDescent="0.25">
      <c r="U30" s="103">
        <f t="shared" si="0"/>
        <v>0</v>
      </c>
      <c r="Y30" s="98"/>
      <c r="AU30" s="103">
        <f t="shared" si="1"/>
        <v>0</v>
      </c>
    </row>
    <row r="31" spans="1:48" s="28" customFormat="1" x14ac:dyDescent="0.25">
      <c r="U31" s="103">
        <f t="shared" si="0"/>
        <v>0</v>
      </c>
      <c r="Y31" s="98"/>
      <c r="AU31" s="103">
        <f t="shared" si="1"/>
        <v>0</v>
      </c>
    </row>
    <row r="32" spans="1:48" s="28" customFormat="1" ht="15.75" customHeight="1" x14ac:dyDescent="0.25">
      <c r="U32" s="103">
        <f t="shared" si="0"/>
        <v>0</v>
      </c>
      <c r="Y32" s="98"/>
      <c r="AU32" s="103">
        <f t="shared" si="1"/>
        <v>0</v>
      </c>
    </row>
    <row r="33" spans="21:47" s="28" customFormat="1" x14ac:dyDescent="0.25">
      <c r="U33" s="103">
        <f t="shared" si="0"/>
        <v>0</v>
      </c>
      <c r="Y33" s="98"/>
      <c r="AU33" s="103">
        <f t="shared" si="1"/>
        <v>0</v>
      </c>
    </row>
    <row r="34" spans="21:47" s="28" customFormat="1" x14ac:dyDescent="0.25">
      <c r="U34" s="103">
        <f t="shared" si="0"/>
        <v>0</v>
      </c>
      <c r="Y34" s="98"/>
      <c r="AU34" s="103">
        <f t="shared" si="1"/>
        <v>0</v>
      </c>
    </row>
    <row r="35" spans="21:47" s="28" customFormat="1" x14ac:dyDescent="0.25">
      <c r="U35" s="103">
        <f t="shared" si="0"/>
        <v>0</v>
      </c>
      <c r="Y35" s="98"/>
      <c r="AU35" s="103">
        <f t="shared" si="1"/>
        <v>0</v>
      </c>
    </row>
    <row r="36" spans="21:47" s="28" customFormat="1" x14ac:dyDescent="0.25">
      <c r="U36" s="103">
        <f t="shared" si="0"/>
        <v>0</v>
      </c>
      <c r="Y36" s="98"/>
      <c r="AU36" s="103">
        <f t="shared" si="1"/>
        <v>0</v>
      </c>
    </row>
    <row r="37" spans="21:47" s="28" customFormat="1" x14ac:dyDescent="0.25">
      <c r="U37" s="103">
        <f t="shared" si="0"/>
        <v>0</v>
      </c>
      <c r="Y37" s="98"/>
      <c r="AU37" s="103">
        <f t="shared" si="1"/>
        <v>0</v>
      </c>
    </row>
    <row r="38" spans="21:47" s="28" customFormat="1" x14ac:dyDescent="0.25">
      <c r="U38" s="103">
        <f t="shared" si="0"/>
        <v>0</v>
      </c>
      <c r="Y38" s="98"/>
      <c r="AU38" s="103">
        <f t="shared" si="1"/>
        <v>0</v>
      </c>
    </row>
    <row r="39" spans="21:47" s="28" customFormat="1" x14ac:dyDescent="0.25">
      <c r="U39" s="103">
        <f t="shared" si="0"/>
        <v>0</v>
      </c>
      <c r="Y39" s="98"/>
      <c r="AU39" s="103">
        <f t="shared" si="1"/>
        <v>0</v>
      </c>
    </row>
    <row r="40" spans="21:47" s="28" customFormat="1" x14ac:dyDescent="0.25">
      <c r="U40" s="103">
        <f t="shared" si="0"/>
        <v>0</v>
      </c>
      <c r="Y40" s="98"/>
      <c r="AU40" s="103">
        <f t="shared" si="1"/>
        <v>0</v>
      </c>
    </row>
    <row r="41" spans="21:47" s="28" customFormat="1" x14ac:dyDescent="0.25">
      <c r="U41" s="103">
        <f t="shared" si="0"/>
        <v>0</v>
      </c>
      <c r="Y41" s="98"/>
      <c r="AU41" s="103">
        <f t="shared" si="1"/>
        <v>0</v>
      </c>
    </row>
    <row r="42" spans="21:47" s="28" customFormat="1" x14ac:dyDescent="0.25">
      <c r="U42" s="103">
        <f t="shared" si="0"/>
        <v>0</v>
      </c>
      <c r="Y42" s="98"/>
      <c r="AU42" s="103">
        <f t="shared" si="1"/>
        <v>0</v>
      </c>
    </row>
    <row r="43" spans="21:47" s="28" customFormat="1" x14ac:dyDescent="0.25">
      <c r="U43" s="103">
        <f t="shared" si="0"/>
        <v>0</v>
      </c>
      <c r="Y43" s="98"/>
      <c r="AU43" s="103">
        <f t="shared" si="1"/>
        <v>0</v>
      </c>
    </row>
    <row r="44" spans="21:47" s="28" customFormat="1" x14ac:dyDescent="0.25">
      <c r="U44" s="103">
        <f t="shared" si="0"/>
        <v>0</v>
      </c>
      <c r="Y44" s="98"/>
      <c r="AU44" s="103">
        <f t="shared" si="1"/>
        <v>0</v>
      </c>
    </row>
    <row r="45" spans="21:47" s="28" customFormat="1" x14ac:dyDescent="0.25">
      <c r="U45" s="103">
        <f t="shared" si="0"/>
        <v>0</v>
      </c>
      <c r="Y45" s="98"/>
      <c r="AU45" s="103">
        <f t="shared" si="1"/>
        <v>0</v>
      </c>
    </row>
    <row r="46" spans="21:47" s="28" customFormat="1" x14ac:dyDescent="0.25">
      <c r="U46" s="103">
        <f t="shared" si="0"/>
        <v>0</v>
      </c>
      <c r="Y46" s="98"/>
      <c r="AU46" s="103">
        <f t="shared" si="1"/>
        <v>0</v>
      </c>
    </row>
    <row r="47" spans="21:47" s="28" customFormat="1" x14ac:dyDescent="0.25">
      <c r="U47" s="103">
        <f t="shared" si="0"/>
        <v>0</v>
      </c>
      <c r="Y47" s="98"/>
      <c r="AU47" s="103">
        <f t="shared" si="1"/>
        <v>0</v>
      </c>
    </row>
    <row r="48" spans="21:47" s="28" customFormat="1" x14ac:dyDescent="0.25">
      <c r="U48" s="103">
        <f t="shared" si="0"/>
        <v>0</v>
      </c>
      <c r="Y48" s="98"/>
      <c r="AU48" s="103">
        <f t="shared" si="1"/>
        <v>0</v>
      </c>
    </row>
    <row r="49" spans="21:47" s="28" customFormat="1" x14ac:dyDescent="0.25">
      <c r="U49" s="103">
        <f t="shared" si="0"/>
        <v>0</v>
      </c>
      <c r="Y49" s="98"/>
      <c r="AU49" s="103">
        <f t="shared" si="1"/>
        <v>0</v>
      </c>
    </row>
    <row r="50" spans="21:47" s="28" customFormat="1" x14ac:dyDescent="0.25">
      <c r="U50" s="103">
        <f t="shared" si="0"/>
        <v>0</v>
      </c>
      <c r="Y50" s="98"/>
      <c r="AU50" s="103">
        <f t="shared" si="1"/>
        <v>0</v>
      </c>
    </row>
    <row r="51" spans="21:47" s="28" customFormat="1" x14ac:dyDescent="0.25">
      <c r="U51" s="103">
        <f t="shared" si="0"/>
        <v>0</v>
      </c>
      <c r="Y51" s="98"/>
      <c r="AU51" s="103">
        <f t="shared" si="1"/>
        <v>0</v>
      </c>
    </row>
    <row r="52" spans="21:47" s="28" customFormat="1" x14ac:dyDescent="0.25">
      <c r="U52" s="103">
        <f t="shared" si="0"/>
        <v>0</v>
      </c>
      <c r="Y52" s="98"/>
      <c r="AU52" s="103">
        <f t="shared" si="1"/>
        <v>0</v>
      </c>
    </row>
    <row r="53" spans="21:47" s="28" customFormat="1" x14ac:dyDescent="0.25">
      <c r="U53" s="103">
        <f t="shared" si="0"/>
        <v>0</v>
      </c>
      <c r="Y53" s="98"/>
      <c r="AU53" s="103">
        <f t="shared" si="1"/>
        <v>0</v>
      </c>
    </row>
    <row r="54" spans="21:47" s="28" customFormat="1" x14ac:dyDescent="0.25">
      <c r="U54" s="103">
        <f t="shared" si="0"/>
        <v>0</v>
      </c>
      <c r="Y54" s="98"/>
      <c r="AU54" s="103">
        <f t="shared" si="1"/>
        <v>0</v>
      </c>
    </row>
    <row r="55" spans="21:47" s="28" customFormat="1" x14ac:dyDescent="0.25">
      <c r="U55" s="103">
        <f t="shared" si="0"/>
        <v>0</v>
      </c>
      <c r="Y55" s="98"/>
      <c r="AU55" s="103">
        <f t="shared" si="1"/>
        <v>0</v>
      </c>
    </row>
    <row r="56" spans="21:47" s="28" customFormat="1" x14ac:dyDescent="0.25">
      <c r="U56" s="103">
        <f t="shared" si="0"/>
        <v>0</v>
      </c>
      <c r="Y56" s="98"/>
      <c r="AU56" s="103">
        <f t="shared" si="1"/>
        <v>0</v>
      </c>
    </row>
    <row r="57" spans="21:47" s="28" customFormat="1" x14ac:dyDescent="0.25">
      <c r="U57" s="103">
        <f t="shared" si="0"/>
        <v>0</v>
      </c>
      <c r="Y57" s="98"/>
      <c r="AU57" s="103">
        <f t="shared" si="1"/>
        <v>0</v>
      </c>
    </row>
    <row r="58" spans="21:47" s="28" customFormat="1" x14ac:dyDescent="0.25">
      <c r="U58" s="103">
        <f t="shared" si="0"/>
        <v>0</v>
      </c>
      <c r="Y58" s="98"/>
      <c r="AU58" s="103">
        <f t="shared" si="1"/>
        <v>0</v>
      </c>
    </row>
    <row r="59" spans="21:47" s="28" customFormat="1" x14ac:dyDescent="0.25">
      <c r="U59" s="103">
        <f t="shared" si="0"/>
        <v>0</v>
      </c>
      <c r="Y59" s="98"/>
      <c r="AU59" s="103">
        <f t="shared" si="1"/>
        <v>0</v>
      </c>
    </row>
    <row r="60" spans="21:47" s="28" customFormat="1" x14ac:dyDescent="0.25">
      <c r="U60" s="103">
        <f t="shared" si="0"/>
        <v>0</v>
      </c>
      <c r="Y60" s="98"/>
      <c r="AU60" s="103">
        <f t="shared" si="1"/>
        <v>0</v>
      </c>
    </row>
    <row r="61" spans="21:47" s="28" customFormat="1" x14ac:dyDescent="0.25">
      <c r="U61" s="103">
        <f t="shared" si="0"/>
        <v>0</v>
      </c>
      <c r="Y61" s="98"/>
      <c r="AU61" s="103">
        <f t="shared" si="1"/>
        <v>0</v>
      </c>
    </row>
    <row r="62" spans="21:47" s="28" customFormat="1" x14ac:dyDescent="0.25">
      <c r="U62" s="103">
        <f t="shared" si="0"/>
        <v>0</v>
      </c>
      <c r="Y62" s="98"/>
      <c r="AU62" s="103">
        <f t="shared" si="1"/>
        <v>0</v>
      </c>
    </row>
    <row r="63" spans="21:47" s="28" customFormat="1" x14ac:dyDescent="0.25">
      <c r="U63" s="103">
        <f t="shared" si="0"/>
        <v>0</v>
      </c>
      <c r="Y63" s="98"/>
      <c r="AU63" s="103">
        <f t="shared" si="1"/>
        <v>0</v>
      </c>
    </row>
    <row r="64" spans="21:47" s="28" customFormat="1" x14ac:dyDescent="0.25">
      <c r="U64" s="103">
        <f t="shared" si="0"/>
        <v>0</v>
      </c>
      <c r="Y64" s="98"/>
      <c r="AU64" s="103">
        <f t="shared" si="1"/>
        <v>0</v>
      </c>
    </row>
    <row r="65" spans="21:47" s="28" customFormat="1" x14ac:dyDescent="0.25">
      <c r="U65" s="103">
        <f t="shared" si="0"/>
        <v>0</v>
      </c>
      <c r="Y65" s="98"/>
      <c r="AU65" s="103">
        <f t="shared" si="1"/>
        <v>0</v>
      </c>
    </row>
    <row r="66" spans="21:47" s="28" customFormat="1" x14ac:dyDescent="0.25">
      <c r="U66" s="103">
        <f t="shared" si="0"/>
        <v>0</v>
      </c>
      <c r="Y66" s="98"/>
      <c r="AU66" s="103">
        <f t="shared" si="1"/>
        <v>0</v>
      </c>
    </row>
    <row r="67" spans="21:47" s="28" customFormat="1" x14ac:dyDescent="0.25">
      <c r="U67" s="103">
        <f t="shared" si="0"/>
        <v>0</v>
      </c>
      <c r="Y67" s="98"/>
      <c r="AU67" s="103">
        <f t="shared" si="1"/>
        <v>0</v>
      </c>
    </row>
    <row r="68" spans="21:47" s="28" customFormat="1" x14ac:dyDescent="0.25">
      <c r="U68" s="103">
        <f t="shared" si="0"/>
        <v>0</v>
      </c>
      <c r="Y68" s="98"/>
      <c r="AU68" s="103">
        <f t="shared" si="1"/>
        <v>0</v>
      </c>
    </row>
    <row r="69" spans="21:47" s="28" customFormat="1" x14ac:dyDescent="0.25">
      <c r="U69" s="103">
        <f t="shared" si="0"/>
        <v>0</v>
      </c>
      <c r="Y69" s="98"/>
      <c r="AU69" s="103">
        <f t="shared" si="1"/>
        <v>0</v>
      </c>
    </row>
    <row r="70" spans="21:47" s="28" customFormat="1" x14ac:dyDescent="0.25">
      <c r="U70" s="103">
        <f t="shared" si="0"/>
        <v>0</v>
      </c>
      <c r="Y70" s="98"/>
      <c r="AU70" s="103">
        <f t="shared" si="1"/>
        <v>0</v>
      </c>
    </row>
    <row r="71" spans="21:47" s="28" customFormat="1" x14ac:dyDescent="0.25">
      <c r="U71" s="103">
        <f t="shared" si="0"/>
        <v>0</v>
      </c>
      <c r="Y71" s="98"/>
      <c r="AU71" s="103">
        <f t="shared" si="1"/>
        <v>0</v>
      </c>
    </row>
    <row r="72" spans="21:47" s="28" customFormat="1" x14ac:dyDescent="0.25">
      <c r="U72" s="103">
        <f t="shared" si="0"/>
        <v>0</v>
      </c>
      <c r="Y72" s="98"/>
      <c r="AU72" s="103">
        <f t="shared" si="1"/>
        <v>0</v>
      </c>
    </row>
    <row r="73" spans="21:47" s="28" customFormat="1" x14ac:dyDescent="0.25">
      <c r="U73" s="103">
        <f t="shared" si="0"/>
        <v>0</v>
      </c>
      <c r="Y73" s="98"/>
      <c r="AU73" s="103">
        <f t="shared" si="1"/>
        <v>0</v>
      </c>
    </row>
    <row r="74" spans="21:47" s="28" customFormat="1" x14ac:dyDescent="0.25">
      <c r="U74" s="103">
        <f t="shared" si="0"/>
        <v>0</v>
      </c>
      <c r="Y74" s="98"/>
      <c r="AU74" s="103">
        <f t="shared" si="1"/>
        <v>0</v>
      </c>
    </row>
    <row r="75" spans="21:47" s="28" customFormat="1" x14ac:dyDescent="0.25">
      <c r="U75" s="103">
        <f t="shared" si="0"/>
        <v>0</v>
      </c>
      <c r="Y75" s="98"/>
      <c r="AU75" s="103">
        <f t="shared" si="1"/>
        <v>0</v>
      </c>
    </row>
    <row r="76" spans="21:47" s="28" customFormat="1" x14ac:dyDescent="0.25">
      <c r="U76" s="103">
        <f t="shared" si="0"/>
        <v>0</v>
      </c>
      <c r="Y76" s="98"/>
      <c r="AU76" s="103">
        <f t="shared" si="1"/>
        <v>0</v>
      </c>
    </row>
    <row r="77" spans="21:47" s="28" customFormat="1" x14ac:dyDescent="0.25">
      <c r="U77" s="103">
        <f t="shared" si="0"/>
        <v>0</v>
      </c>
      <c r="Y77" s="98"/>
      <c r="AU77" s="103">
        <f t="shared" si="1"/>
        <v>0</v>
      </c>
    </row>
    <row r="78" spans="21:47" s="28" customFormat="1" x14ac:dyDescent="0.25">
      <c r="U78" s="103">
        <f t="shared" si="0"/>
        <v>0</v>
      </c>
      <c r="Y78" s="98"/>
      <c r="AU78" s="103">
        <f t="shared" si="1"/>
        <v>0</v>
      </c>
    </row>
    <row r="79" spans="21:47" s="28" customFormat="1" x14ac:dyDescent="0.25">
      <c r="U79" s="103">
        <f t="shared" si="0"/>
        <v>0</v>
      </c>
      <c r="Y79" s="98"/>
      <c r="AU79" s="103">
        <f t="shared" si="1"/>
        <v>0</v>
      </c>
    </row>
    <row r="80" spans="21:47" s="28" customFormat="1" x14ac:dyDescent="0.25">
      <c r="U80" s="103">
        <f t="shared" si="0"/>
        <v>0</v>
      </c>
      <c r="Y80" s="98"/>
      <c r="AU80" s="103">
        <f t="shared" si="1"/>
        <v>0</v>
      </c>
    </row>
    <row r="81" spans="21:47" s="28" customFormat="1" x14ac:dyDescent="0.25">
      <c r="U81" s="103">
        <f t="shared" si="0"/>
        <v>0</v>
      </c>
      <c r="Y81" s="98"/>
      <c r="AU81" s="103">
        <f t="shared" si="1"/>
        <v>0</v>
      </c>
    </row>
    <row r="82" spans="21:47" s="28" customFormat="1" x14ac:dyDescent="0.25">
      <c r="U82" s="103">
        <f t="shared" si="0"/>
        <v>0</v>
      </c>
      <c r="Y82" s="98"/>
      <c r="AU82" s="103">
        <f t="shared" si="1"/>
        <v>0</v>
      </c>
    </row>
    <row r="83" spans="21:47" s="28" customFormat="1" x14ac:dyDescent="0.25">
      <c r="U83" s="103">
        <f t="shared" si="0"/>
        <v>0</v>
      </c>
      <c r="Y83" s="98"/>
      <c r="AU83" s="103">
        <f t="shared" si="1"/>
        <v>0</v>
      </c>
    </row>
    <row r="84" spans="21:47" s="28" customFormat="1" x14ac:dyDescent="0.25">
      <c r="U84" s="103">
        <f t="shared" si="0"/>
        <v>0</v>
      </c>
      <c r="Y84" s="98"/>
      <c r="AU84" s="103">
        <f t="shared" si="1"/>
        <v>0</v>
      </c>
    </row>
    <row r="85" spans="21:47" s="28" customFormat="1" x14ac:dyDescent="0.25">
      <c r="U85" s="103">
        <f t="shared" si="0"/>
        <v>0</v>
      </c>
      <c r="Y85" s="98"/>
      <c r="AU85" s="103">
        <f t="shared" si="1"/>
        <v>0</v>
      </c>
    </row>
    <row r="86" spans="21:47" s="28" customFormat="1" x14ac:dyDescent="0.25">
      <c r="U86" s="103">
        <f t="shared" ref="U86:U149" si="2">IF(R86="TruePositive",IF(D86&lt;&gt;1,N86,0),0)</f>
        <v>0</v>
      </c>
      <c r="Y86" s="98"/>
      <c r="AU86" s="103">
        <f t="shared" ref="AU86:AU149" si="3">IF(AQ86="TruePositive",IF(AC86&lt;&gt;1,AM86,0),0)</f>
        <v>0</v>
      </c>
    </row>
    <row r="87" spans="21:47" s="28" customFormat="1" x14ac:dyDescent="0.25">
      <c r="U87" s="103">
        <f t="shared" si="2"/>
        <v>0</v>
      </c>
      <c r="Y87" s="98"/>
      <c r="AU87" s="103">
        <f t="shared" si="3"/>
        <v>0</v>
      </c>
    </row>
    <row r="88" spans="21:47" s="28" customFormat="1" x14ac:dyDescent="0.25">
      <c r="U88" s="103">
        <f t="shared" si="2"/>
        <v>0</v>
      </c>
      <c r="Y88" s="98"/>
      <c r="AU88" s="103">
        <f t="shared" si="3"/>
        <v>0</v>
      </c>
    </row>
    <row r="89" spans="21:47" s="28" customFormat="1" x14ac:dyDescent="0.25">
      <c r="U89" s="103">
        <f t="shared" si="2"/>
        <v>0</v>
      </c>
      <c r="Y89" s="98"/>
      <c r="AU89" s="103">
        <f t="shared" si="3"/>
        <v>0</v>
      </c>
    </row>
    <row r="90" spans="21:47" s="28" customFormat="1" x14ac:dyDescent="0.25">
      <c r="U90" s="103">
        <f t="shared" si="2"/>
        <v>0</v>
      </c>
      <c r="Y90" s="98"/>
      <c r="AU90" s="103">
        <f t="shared" si="3"/>
        <v>0</v>
      </c>
    </row>
    <row r="91" spans="21:47" s="28" customFormat="1" x14ac:dyDescent="0.25">
      <c r="U91" s="103">
        <f t="shared" si="2"/>
        <v>0</v>
      </c>
      <c r="Y91" s="98"/>
      <c r="AU91" s="103">
        <f t="shared" si="3"/>
        <v>0</v>
      </c>
    </row>
    <row r="92" spans="21:47" s="28" customFormat="1" x14ac:dyDescent="0.25">
      <c r="U92" s="103">
        <f t="shared" si="2"/>
        <v>0</v>
      </c>
      <c r="Y92" s="98"/>
      <c r="AU92" s="103">
        <f t="shared" si="3"/>
        <v>0</v>
      </c>
    </row>
    <row r="93" spans="21:47" s="28" customFormat="1" x14ac:dyDescent="0.25">
      <c r="U93" s="103">
        <f t="shared" si="2"/>
        <v>0</v>
      </c>
      <c r="Y93" s="98"/>
      <c r="AU93" s="103">
        <f t="shared" si="3"/>
        <v>0</v>
      </c>
    </row>
    <row r="94" spans="21:47" s="28" customFormat="1" x14ac:dyDescent="0.25">
      <c r="U94" s="103">
        <f t="shared" si="2"/>
        <v>0</v>
      </c>
      <c r="Y94" s="98"/>
      <c r="AU94" s="103">
        <f t="shared" si="3"/>
        <v>0</v>
      </c>
    </row>
    <row r="95" spans="21:47" s="28" customFormat="1" x14ac:dyDescent="0.25">
      <c r="U95" s="103">
        <f t="shared" si="2"/>
        <v>0</v>
      </c>
      <c r="Y95" s="98"/>
      <c r="AU95" s="103">
        <f t="shared" si="3"/>
        <v>0</v>
      </c>
    </row>
    <row r="96" spans="21:47" s="28" customFormat="1" x14ac:dyDescent="0.25">
      <c r="U96" s="103">
        <f t="shared" si="2"/>
        <v>0</v>
      </c>
      <c r="Y96" s="98"/>
      <c r="AU96" s="103">
        <f t="shared" si="3"/>
        <v>0</v>
      </c>
    </row>
    <row r="97" spans="21:47" s="28" customFormat="1" x14ac:dyDescent="0.25">
      <c r="U97" s="103">
        <f t="shared" si="2"/>
        <v>0</v>
      </c>
      <c r="Y97" s="98"/>
      <c r="AU97" s="103">
        <f t="shared" si="3"/>
        <v>0</v>
      </c>
    </row>
    <row r="98" spans="21:47" s="28" customFormat="1" x14ac:dyDescent="0.25">
      <c r="U98" s="103">
        <f t="shared" si="2"/>
        <v>0</v>
      </c>
      <c r="Y98" s="98"/>
      <c r="AU98" s="103">
        <f t="shared" si="3"/>
        <v>0</v>
      </c>
    </row>
    <row r="99" spans="21:47" s="28" customFormat="1" x14ac:dyDescent="0.25">
      <c r="U99" s="103">
        <f t="shared" si="2"/>
        <v>0</v>
      </c>
      <c r="Y99" s="98"/>
      <c r="AU99" s="103">
        <f t="shared" si="3"/>
        <v>0</v>
      </c>
    </row>
    <row r="100" spans="21:47" s="28" customFormat="1" x14ac:dyDescent="0.25">
      <c r="U100" s="103">
        <f t="shared" si="2"/>
        <v>0</v>
      </c>
      <c r="Y100" s="98"/>
      <c r="AU100" s="103">
        <f t="shared" si="3"/>
        <v>0</v>
      </c>
    </row>
    <row r="101" spans="21:47" s="28" customFormat="1" x14ac:dyDescent="0.25">
      <c r="U101" s="103">
        <f t="shared" si="2"/>
        <v>0</v>
      </c>
      <c r="Y101" s="98"/>
      <c r="AU101" s="103">
        <f t="shared" si="3"/>
        <v>0</v>
      </c>
    </row>
    <row r="102" spans="21:47" s="28" customFormat="1" x14ac:dyDescent="0.25">
      <c r="U102" s="103">
        <f t="shared" si="2"/>
        <v>0</v>
      </c>
      <c r="Y102" s="98"/>
      <c r="AU102" s="103">
        <f t="shared" si="3"/>
        <v>0</v>
      </c>
    </row>
    <row r="103" spans="21:47" s="28" customFormat="1" x14ac:dyDescent="0.25">
      <c r="U103" s="103">
        <f t="shared" si="2"/>
        <v>0</v>
      </c>
      <c r="Y103" s="98"/>
      <c r="AU103" s="103">
        <f t="shared" si="3"/>
        <v>0</v>
      </c>
    </row>
    <row r="104" spans="21:47" s="28" customFormat="1" x14ac:dyDescent="0.25">
      <c r="U104" s="103">
        <f t="shared" si="2"/>
        <v>0</v>
      </c>
      <c r="Y104" s="98"/>
      <c r="AU104" s="103">
        <f t="shared" si="3"/>
        <v>0</v>
      </c>
    </row>
    <row r="105" spans="21:47" s="28" customFormat="1" x14ac:dyDescent="0.25">
      <c r="U105" s="103">
        <f t="shared" si="2"/>
        <v>0</v>
      </c>
      <c r="Y105" s="98"/>
      <c r="AU105" s="103">
        <f t="shared" si="3"/>
        <v>0</v>
      </c>
    </row>
    <row r="106" spans="21:47" s="28" customFormat="1" x14ac:dyDescent="0.25">
      <c r="U106" s="103">
        <f t="shared" si="2"/>
        <v>0</v>
      </c>
      <c r="Y106" s="98"/>
      <c r="AU106" s="103">
        <f t="shared" si="3"/>
        <v>0</v>
      </c>
    </row>
    <row r="107" spans="21:47" s="28" customFormat="1" x14ac:dyDescent="0.25">
      <c r="U107" s="103">
        <f t="shared" si="2"/>
        <v>0</v>
      </c>
      <c r="Y107" s="98"/>
      <c r="AU107" s="103">
        <f t="shared" si="3"/>
        <v>0</v>
      </c>
    </row>
    <row r="108" spans="21:47" s="28" customFormat="1" x14ac:dyDescent="0.25">
      <c r="U108" s="103">
        <f t="shared" si="2"/>
        <v>0</v>
      </c>
      <c r="Y108" s="98"/>
      <c r="AU108" s="103">
        <f t="shared" si="3"/>
        <v>0</v>
      </c>
    </row>
    <row r="109" spans="21:47" s="28" customFormat="1" x14ac:dyDescent="0.25">
      <c r="U109" s="103">
        <f t="shared" si="2"/>
        <v>0</v>
      </c>
      <c r="Y109" s="98"/>
      <c r="AU109" s="103">
        <f t="shared" si="3"/>
        <v>0</v>
      </c>
    </row>
    <row r="110" spans="21:47" s="28" customFormat="1" x14ac:dyDescent="0.25">
      <c r="U110" s="103">
        <f t="shared" si="2"/>
        <v>0</v>
      </c>
      <c r="Y110" s="98"/>
      <c r="AU110" s="103">
        <f t="shared" si="3"/>
        <v>0</v>
      </c>
    </row>
    <row r="111" spans="21:47" s="28" customFormat="1" x14ac:dyDescent="0.25">
      <c r="U111" s="103">
        <f t="shared" si="2"/>
        <v>0</v>
      </c>
      <c r="Y111" s="98"/>
      <c r="AU111" s="103">
        <f t="shared" si="3"/>
        <v>0</v>
      </c>
    </row>
    <row r="112" spans="21:47" s="28" customFormat="1" x14ac:dyDescent="0.25">
      <c r="U112" s="103">
        <f t="shared" si="2"/>
        <v>0</v>
      </c>
      <c r="Y112" s="98"/>
      <c r="AU112" s="103">
        <f t="shared" si="3"/>
        <v>0</v>
      </c>
    </row>
    <row r="113" spans="21:47" s="28" customFormat="1" x14ac:dyDescent="0.25">
      <c r="U113" s="103">
        <f t="shared" si="2"/>
        <v>0</v>
      </c>
      <c r="Y113" s="98"/>
      <c r="AU113" s="103">
        <f t="shared" si="3"/>
        <v>0</v>
      </c>
    </row>
    <row r="114" spans="21:47" s="28" customFormat="1" x14ac:dyDescent="0.25">
      <c r="U114" s="103">
        <f t="shared" si="2"/>
        <v>0</v>
      </c>
      <c r="Y114" s="98"/>
      <c r="AU114" s="103">
        <f t="shared" si="3"/>
        <v>0</v>
      </c>
    </row>
    <row r="115" spans="21:47" s="28" customFormat="1" x14ac:dyDescent="0.25">
      <c r="U115" s="103">
        <f t="shared" si="2"/>
        <v>0</v>
      </c>
      <c r="Y115" s="98"/>
      <c r="AU115" s="103">
        <f t="shared" si="3"/>
        <v>0</v>
      </c>
    </row>
    <row r="116" spans="21:47" s="28" customFormat="1" x14ac:dyDescent="0.25">
      <c r="U116" s="103">
        <f t="shared" si="2"/>
        <v>0</v>
      </c>
      <c r="Y116" s="98"/>
      <c r="AU116" s="103">
        <f t="shared" si="3"/>
        <v>0</v>
      </c>
    </row>
    <row r="117" spans="21:47" s="28" customFormat="1" x14ac:dyDescent="0.25">
      <c r="U117" s="103">
        <f t="shared" si="2"/>
        <v>0</v>
      </c>
      <c r="Y117" s="98"/>
      <c r="AU117" s="103">
        <f t="shared" si="3"/>
        <v>0</v>
      </c>
    </row>
    <row r="118" spans="21:47" s="28" customFormat="1" x14ac:dyDescent="0.25">
      <c r="U118" s="103">
        <f t="shared" si="2"/>
        <v>0</v>
      </c>
      <c r="Y118" s="98"/>
      <c r="AU118" s="103">
        <f t="shared" si="3"/>
        <v>0</v>
      </c>
    </row>
    <row r="119" spans="21:47" s="28" customFormat="1" x14ac:dyDescent="0.25">
      <c r="U119" s="103">
        <f t="shared" si="2"/>
        <v>0</v>
      </c>
      <c r="Y119" s="98"/>
      <c r="AU119" s="103">
        <f t="shared" si="3"/>
        <v>0</v>
      </c>
    </row>
    <row r="120" spans="21:47" s="28" customFormat="1" x14ac:dyDescent="0.25">
      <c r="U120" s="103">
        <f t="shared" si="2"/>
        <v>0</v>
      </c>
      <c r="Y120" s="98"/>
      <c r="AU120" s="103">
        <f t="shared" si="3"/>
        <v>0</v>
      </c>
    </row>
    <row r="121" spans="21:47" s="28" customFormat="1" x14ac:dyDescent="0.25">
      <c r="U121" s="103">
        <f t="shared" si="2"/>
        <v>0</v>
      </c>
      <c r="Y121" s="98"/>
      <c r="AU121" s="103">
        <f t="shared" si="3"/>
        <v>0</v>
      </c>
    </row>
    <row r="122" spans="21:47" s="28" customFormat="1" x14ac:dyDescent="0.25">
      <c r="U122" s="103">
        <f t="shared" si="2"/>
        <v>0</v>
      </c>
      <c r="Y122" s="98"/>
      <c r="AU122" s="103">
        <f t="shared" si="3"/>
        <v>0</v>
      </c>
    </row>
    <row r="123" spans="21:47" s="28" customFormat="1" x14ac:dyDescent="0.25">
      <c r="U123" s="103">
        <f t="shared" si="2"/>
        <v>0</v>
      </c>
      <c r="Y123" s="98"/>
      <c r="AU123" s="103">
        <f t="shared" si="3"/>
        <v>0</v>
      </c>
    </row>
    <row r="124" spans="21:47" s="28" customFormat="1" x14ac:dyDescent="0.25">
      <c r="U124" s="103">
        <f t="shared" si="2"/>
        <v>0</v>
      </c>
      <c r="Y124" s="98"/>
      <c r="AU124" s="103">
        <f t="shared" si="3"/>
        <v>0</v>
      </c>
    </row>
    <row r="125" spans="21:47" s="28" customFormat="1" x14ac:dyDescent="0.25">
      <c r="U125" s="103">
        <f t="shared" si="2"/>
        <v>0</v>
      </c>
      <c r="Y125" s="98"/>
      <c r="AU125" s="103">
        <f t="shared" si="3"/>
        <v>0</v>
      </c>
    </row>
    <row r="126" spans="21:47" s="28" customFormat="1" x14ac:dyDescent="0.25">
      <c r="U126" s="103">
        <f t="shared" si="2"/>
        <v>0</v>
      </c>
      <c r="Y126" s="98"/>
      <c r="AU126" s="103">
        <f t="shared" si="3"/>
        <v>0</v>
      </c>
    </row>
    <row r="127" spans="21:47" s="28" customFormat="1" x14ac:dyDescent="0.25">
      <c r="U127" s="103">
        <f t="shared" si="2"/>
        <v>0</v>
      </c>
      <c r="Y127" s="98"/>
      <c r="AU127" s="103">
        <f t="shared" si="3"/>
        <v>0</v>
      </c>
    </row>
    <row r="128" spans="21:47" s="28" customFormat="1" x14ac:dyDescent="0.25">
      <c r="U128" s="103">
        <f t="shared" si="2"/>
        <v>0</v>
      </c>
      <c r="Y128" s="98"/>
      <c r="AU128" s="103">
        <f t="shared" si="3"/>
        <v>0</v>
      </c>
    </row>
    <row r="129" spans="21:47" s="28" customFormat="1" x14ac:dyDescent="0.25">
      <c r="U129" s="103">
        <f t="shared" si="2"/>
        <v>0</v>
      </c>
      <c r="Y129" s="98"/>
      <c r="AU129" s="103">
        <f t="shared" si="3"/>
        <v>0</v>
      </c>
    </row>
    <row r="130" spans="21:47" s="28" customFormat="1" x14ac:dyDescent="0.25">
      <c r="U130" s="103">
        <f t="shared" si="2"/>
        <v>0</v>
      </c>
      <c r="Y130" s="98"/>
      <c r="AU130" s="103">
        <f t="shared" si="3"/>
        <v>0</v>
      </c>
    </row>
    <row r="131" spans="21:47" s="28" customFormat="1" x14ac:dyDescent="0.25">
      <c r="U131" s="103">
        <f t="shared" si="2"/>
        <v>0</v>
      </c>
      <c r="Y131" s="98"/>
      <c r="AU131" s="103">
        <f t="shared" si="3"/>
        <v>0</v>
      </c>
    </row>
    <row r="132" spans="21:47" s="28" customFormat="1" x14ac:dyDescent="0.25">
      <c r="U132" s="103">
        <f t="shared" si="2"/>
        <v>0</v>
      </c>
      <c r="Y132" s="98"/>
      <c r="AU132" s="103">
        <f t="shared" si="3"/>
        <v>0</v>
      </c>
    </row>
    <row r="133" spans="21:47" s="28" customFormat="1" x14ac:dyDescent="0.25">
      <c r="U133" s="103">
        <f t="shared" si="2"/>
        <v>0</v>
      </c>
      <c r="Y133" s="98"/>
      <c r="AU133" s="103">
        <f t="shared" si="3"/>
        <v>0</v>
      </c>
    </row>
    <row r="134" spans="21:47" s="28" customFormat="1" x14ac:dyDescent="0.25">
      <c r="U134" s="103">
        <f t="shared" si="2"/>
        <v>0</v>
      </c>
      <c r="Y134" s="98"/>
      <c r="AU134" s="103">
        <f t="shared" si="3"/>
        <v>0</v>
      </c>
    </row>
    <row r="135" spans="21:47" s="28" customFormat="1" x14ac:dyDescent="0.25">
      <c r="U135" s="103">
        <f t="shared" si="2"/>
        <v>0</v>
      </c>
      <c r="Y135" s="98"/>
      <c r="AU135" s="103">
        <f t="shared" si="3"/>
        <v>0</v>
      </c>
    </row>
    <row r="136" spans="21:47" s="28" customFormat="1" x14ac:dyDescent="0.25">
      <c r="U136" s="103">
        <f t="shared" si="2"/>
        <v>0</v>
      </c>
      <c r="Y136" s="98"/>
      <c r="AU136" s="103">
        <f t="shared" si="3"/>
        <v>0</v>
      </c>
    </row>
    <row r="137" spans="21:47" s="28" customFormat="1" x14ac:dyDescent="0.25">
      <c r="U137" s="103">
        <f t="shared" si="2"/>
        <v>0</v>
      </c>
      <c r="Y137" s="98"/>
      <c r="AU137" s="103">
        <f t="shared" si="3"/>
        <v>0</v>
      </c>
    </row>
    <row r="138" spans="21:47" s="28" customFormat="1" x14ac:dyDescent="0.25">
      <c r="U138" s="103">
        <f t="shared" si="2"/>
        <v>0</v>
      </c>
      <c r="Y138" s="98"/>
      <c r="AU138" s="103">
        <f t="shared" si="3"/>
        <v>0</v>
      </c>
    </row>
    <row r="139" spans="21:47" s="28" customFormat="1" x14ac:dyDescent="0.25">
      <c r="U139" s="103">
        <f t="shared" si="2"/>
        <v>0</v>
      </c>
      <c r="Y139" s="98"/>
      <c r="AU139" s="103">
        <f t="shared" si="3"/>
        <v>0</v>
      </c>
    </row>
    <row r="140" spans="21:47" s="28" customFormat="1" x14ac:dyDescent="0.25">
      <c r="U140" s="103">
        <f t="shared" si="2"/>
        <v>0</v>
      </c>
      <c r="Y140" s="98"/>
      <c r="AU140" s="103">
        <f t="shared" si="3"/>
        <v>0</v>
      </c>
    </row>
    <row r="141" spans="21:47" s="28" customFormat="1" x14ac:dyDescent="0.25">
      <c r="U141" s="103">
        <f t="shared" si="2"/>
        <v>0</v>
      </c>
      <c r="Y141" s="98"/>
      <c r="AU141" s="103">
        <f t="shared" si="3"/>
        <v>0</v>
      </c>
    </row>
    <row r="142" spans="21:47" s="28" customFormat="1" x14ac:dyDescent="0.25">
      <c r="U142" s="103">
        <f t="shared" si="2"/>
        <v>0</v>
      </c>
      <c r="Y142" s="98"/>
      <c r="AU142" s="103">
        <f t="shared" si="3"/>
        <v>0</v>
      </c>
    </row>
    <row r="143" spans="21:47" s="28" customFormat="1" x14ac:dyDescent="0.25">
      <c r="U143" s="103">
        <f t="shared" si="2"/>
        <v>0</v>
      </c>
      <c r="Y143" s="98"/>
      <c r="AU143" s="103">
        <f t="shared" si="3"/>
        <v>0</v>
      </c>
    </row>
    <row r="144" spans="21:47" s="28" customFormat="1" x14ac:dyDescent="0.25">
      <c r="U144" s="103">
        <f t="shared" si="2"/>
        <v>0</v>
      </c>
      <c r="Y144" s="98"/>
      <c r="AU144" s="103">
        <f t="shared" si="3"/>
        <v>0</v>
      </c>
    </row>
    <row r="145" spans="21:47" s="28" customFormat="1" x14ac:dyDescent="0.25">
      <c r="U145" s="103">
        <f t="shared" si="2"/>
        <v>0</v>
      </c>
      <c r="Y145" s="98"/>
      <c r="AU145" s="103">
        <f t="shared" si="3"/>
        <v>0</v>
      </c>
    </row>
    <row r="146" spans="21:47" s="28" customFormat="1" x14ac:dyDescent="0.25">
      <c r="U146" s="103">
        <f t="shared" si="2"/>
        <v>0</v>
      </c>
      <c r="Y146" s="98"/>
      <c r="AU146" s="103">
        <f t="shared" si="3"/>
        <v>0</v>
      </c>
    </row>
    <row r="147" spans="21:47" s="28" customFormat="1" x14ac:dyDescent="0.25">
      <c r="U147" s="103">
        <f t="shared" si="2"/>
        <v>0</v>
      </c>
      <c r="Y147" s="98"/>
      <c r="AU147" s="103">
        <f t="shared" si="3"/>
        <v>0</v>
      </c>
    </row>
    <row r="148" spans="21:47" s="28" customFormat="1" x14ac:dyDescent="0.25">
      <c r="U148" s="103">
        <f t="shared" si="2"/>
        <v>0</v>
      </c>
      <c r="Y148" s="98"/>
      <c r="AU148" s="103">
        <f t="shared" si="3"/>
        <v>0</v>
      </c>
    </row>
    <row r="149" spans="21:47" s="28" customFormat="1" x14ac:dyDescent="0.25">
      <c r="U149" s="103">
        <f t="shared" si="2"/>
        <v>0</v>
      </c>
      <c r="Y149" s="98"/>
      <c r="AU149" s="103">
        <f t="shared" si="3"/>
        <v>0</v>
      </c>
    </row>
    <row r="150" spans="21:47" s="28" customFormat="1" x14ac:dyDescent="0.25">
      <c r="U150" s="103">
        <f t="shared" ref="U150:U213" si="4">IF(R150="TruePositive",IF(D150&lt;&gt;1,N150,0),0)</f>
        <v>0</v>
      </c>
      <c r="Y150" s="98"/>
      <c r="AU150" s="103">
        <f t="shared" ref="AU150:AU213" si="5">IF(AQ150="TruePositive",IF(AC150&lt;&gt;1,AM150,0),0)</f>
        <v>0</v>
      </c>
    </row>
    <row r="151" spans="21:47" s="28" customFormat="1" x14ac:dyDescent="0.25">
      <c r="U151" s="103">
        <f t="shared" si="4"/>
        <v>0</v>
      </c>
      <c r="Y151" s="98"/>
      <c r="AU151" s="103">
        <f t="shared" si="5"/>
        <v>0</v>
      </c>
    </row>
    <row r="152" spans="21:47" s="28" customFormat="1" x14ac:dyDescent="0.25">
      <c r="U152" s="103">
        <f t="shared" si="4"/>
        <v>0</v>
      </c>
      <c r="Y152" s="98"/>
      <c r="AU152" s="103">
        <f t="shared" si="5"/>
        <v>0</v>
      </c>
    </row>
    <row r="153" spans="21:47" s="28" customFormat="1" x14ac:dyDescent="0.25">
      <c r="U153" s="103">
        <f t="shared" si="4"/>
        <v>0</v>
      </c>
      <c r="Y153" s="98"/>
      <c r="AU153" s="103">
        <f t="shared" si="5"/>
        <v>0</v>
      </c>
    </row>
    <row r="154" spans="21:47" s="28" customFormat="1" x14ac:dyDescent="0.25">
      <c r="U154" s="103">
        <f t="shared" si="4"/>
        <v>0</v>
      </c>
      <c r="Y154" s="98"/>
      <c r="AU154" s="103">
        <f t="shared" si="5"/>
        <v>0</v>
      </c>
    </row>
    <row r="155" spans="21:47" s="28" customFormat="1" x14ac:dyDescent="0.25">
      <c r="U155" s="103">
        <f t="shared" si="4"/>
        <v>0</v>
      </c>
      <c r="Y155" s="98"/>
      <c r="AU155" s="103">
        <f t="shared" si="5"/>
        <v>0</v>
      </c>
    </row>
    <row r="156" spans="21:47" s="28" customFormat="1" x14ac:dyDescent="0.25">
      <c r="U156" s="103">
        <f t="shared" si="4"/>
        <v>0</v>
      </c>
      <c r="Y156" s="98"/>
      <c r="AU156" s="103">
        <f t="shared" si="5"/>
        <v>0</v>
      </c>
    </row>
    <row r="157" spans="21:47" s="28" customFormat="1" x14ac:dyDescent="0.25">
      <c r="U157" s="103">
        <f t="shared" si="4"/>
        <v>0</v>
      </c>
      <c r="Y157" s="98"/>
      <c r="AU157" s="103">
        <f t="shared" si="5"/>
        <v>0</v>
      </c>
    </row>
    <row r="158" spans="21:47" s="28" customFormat="1" x14ac:dyDescent="0.25">
      <c r="U158" s="103">
        <f t="shared" si="4"/>
        <v>0</v>
      </c>
      <c r="Y158" s="98"/>
      <c r="AU158" s="103">
        <f t="shared" si="5"/>
        <v>0</v>
      </c>
    </row>
    <row r="159" spans="21:47" s="28" customFormat="1" x14ac:dyDescent="0.25">
      <c r="U159" s="103">
        <f t="shared" si="4"/>
        <v>0</v>
      </c>
      <c r="Y159" s="98"/>
      <c r="AU159" s="103">
        <f t="shared" si="5"/>
        <v>0</v>
      </c>
    </row>
    <row r="160" spans="21:47" s="28" customFormat="1" x14ac:dyDescent="0.25">
      <c r="U160" s="103">
        <f t="shared" si="4"/>
        <v>0</v>
      </c>
      <c r="Y160" s="98"/>
      <c r="AU160" s="103">
        <f t="shared" si="5"/>
        <v>0</v>
      </c>
    </row>
    <row r="161" spans="21:47" s="28" customFormat="1" x14ac:dyDescent="0.25">
      <c r="U161" s="103">
        <f t="shared" si="4"/>
        <v>0</v>
      </c>
      <c r="Y161" s="98"/>
      <c r="AU161" s="103">
        <f t="shared" si="5"/>
        <v>0</v>
      </c>
    </row>
    <row r="162" spans="21:47" s="28" customFormat="1" x14ac:dyDescent="0.25">
      <c r="U162" s="103">
        <f t="shared" si="4"/>
        <v>0</v>
      </c>
      <c r="Y162" s="98"/>
      <c r="AU162" s="103">
        <f t="shared" si="5"/>
        <v>0</v>
      </c>
    </row>
    <row r="163" spans="21:47" s="28" customFormat="1" x14ac:dyDescent="0.25">
      <c r="U163" s="103">
        <f t="shared" si="4"/>
        <v>0</v>
      </c>
      <c r="Y163" s="98"/>
      <c r="AU163" s="103">
        <f t="shared" si="5"/>
        <v>0</v>
      </c>
    </row>
    <row r="164" spans="21:47" s="28" customFormat="1" x14ac:dyDescent="0.25">
      <c r="U164" s="103">
        <f t="shared" si="4"/>
        <v>0</v>
      </c>
      <c r="Y164" s="98"/>
      <c r="AU164" s="103">
        <f t="shared" si="5"/>
        <v>0</v>
      </c>
    </row>
    <row r="165" spans="21:47" s="28" customFormat="1" x14ac:dyDescent="0.25">
      <c r="U165" s="103">
        <f t="shared" si="4"/>
        <v>0</v>
      </c>
      <c r="Y165" s="98"/>
      <c r="AU165" s="103">
        <f t="shared" si="5"/>
        <v>0</v>
      </c>
    </row>
    <row r="166" spans="21:47" s="28" customFormat="1" x14ac:dyDescent="0.25">
      <c r="U166" s="103">
        <f t="shared" si="4"/>
        <v>0</v>
      </c>
      <c r="Y166" s="98"/>
      <c r="AU166" s="103">
        <f t="shared" si="5"/>
        <v>0</v>
      </c>
    </row>
    <row r="167" spans="21:47" s="28" customFormat="1" x14ac:dyDescent="0.25">
      <c r="U167" s="103">
        <f t="shared" si="4"/>
        <v>0</v>
      </c>
      <c r="Y167" s="98"/>
      <c r="AU167" s="103">
        <f t="shared" si="5"/>
        <v>0</v>
      </c>
    </row>
    <row r="168" spans="21:47" s="28" customFormat="1" x14ac:dyDescent="0.25">
      <c r="U168" s="103">
        <f t="shared" si="4"/>
        <v>0</v>
      </c>
      <c r="Y168" s="98"/>
      <c r="AU168" s="103">
        <f t="shared" si="5"/>
        <v>0</v>
      </c>
    </row>
    <row r="169" spans="21:47" s="28" customFormat="1" x14ac:dyDescent="0.25">
      <c r="U169" s="103">
        <f t="shared" si="4"/>
        <v>0</v>
      </c>
      <c r="Y169" s="98"/>
      <c r="AU169" s="103">
        <f t="shared" si="5"/>
        <v>0</v>
      </c>
    </row>
    <row r="170" spans="21:47" s="28" customFormat="1" x14ac:dyDescent="0.25">
      <c r="U170" s="103">
        <f t="shared" si="4"/>
        <v>0</v>
      </c>
      <c r="Y170" s="98"/>
      <c r="AU170" s="103">
        <f t="shared" si="5"/>
        <v>0</v>
      </c>
    </row>
    <row r="171" spans="21:47" s="28" customFormat="1" x14ac:dyDescent="0.25">
      <c r="U171" s="103">
        <f t="shared" si="4"/>
        <v>0</v>
      </c>
      <c r="Y171" s="98"/>
      <c r="AU171" s="103">
        <f t="shared" si="5"/>
        <v>0</v>
      </c>
    </row>
    <row r="172" spans="21:47" s="28" customFormat="1" x14ac:dyDescent="0.25">
      <c r="U172" s="103">
        <f t="shared" si="4"/>
        <v>0</v>
      </c>
      <c r="Y172" s="98"/>
      <c r="AU172" s="103">
        <f t="shared" si="5"/>
        <v>0</v>
      </c>
    </row>
    <row r="173" spans="21:47" s="28" customFormat="1" x14ac:dyDescent="0.25">
      <c r="U173" s="103">
        <f t="shared" si="4"/>
        <v>0</v>
      </c>
      <c r="Y173" s="98"/>
      <c r="AU173" s="103">
        <f t="shared" si="5"/>
        <v>0</v>
      </c>
    </row>
    <row r="174" spans="21:47" s="28" customFormat="1" x14ac:dyDescent="0.25">
      <c r="U174" s="103">
        <f t="shared" si="4"/>
        <v>0</v>
      </c>
      <c r="Y174" s="98"/>
      <c r="AU174" s="103">
        <f t="shared" si="5"/>
        <v>0</v>
      </c>
    </row>
    <row r="175" spans="21:47" s="28" customFormat="1" x14ac:dyDescent="0.25">
      <c r="U175" s="103">
        <f t="shared" si="4"/>
        <v>0</v>
      </c>
      <c r="Y175" s="98"/>
      <c r="AU175" s="103">
        <f t="shared" si="5"/>
        <v>0</v>
      </c>
    </row>
    <row r="176" spans="21:47" s="28" customFormat="1" x14ac:dyDescent="0.25">
      <c r="U176" s="103">
        <f t="shared" si="4"/>
        <v>0</v>
      </c>
      <c r="Y176" s="98"/>
      <c r="AU176" s="103">
        <f t="shared" si="5"/>
        <v>0</v>
      </c>
    </row>
    <row r="177" spans="21:47" s="28" customFormat="1" x14ac:dyDescent="0.25">
      <c r="U177" s="103">
        <f t="shared" si="4"/>
        <v>0</v>
      </c>
      <c r="Y177" s="98"/>
      <c r="AU177" s="103">
        <f t="shared" si="5"/>
        <v>0</v>
      </c>
    </row>
    <row r="178" spans="21:47" s="28" customFormat="1" x14ac:dyDescent="0.25">
      <c r="U178" s="103">
        <f t="shared" si="4"/>
        <v>0</v>
      </c>
      <c r="Y178" s="98"/>
      <c r="AU178" s="103">
        <f t="shared" si="5"/>
        <v>0</v>
      </c>
    </row>
    <row r="179" spans="21:47" s="28" customFormat="1" x14ac:dyDescent="0.25">
      <c r="U179" s="103">
        <f t="shared" si="4"/>
        <v>0</v>
      </c>
      <c r="Y179" s="98"/>
      <c r="AU179" s="103">
        <f t="shared" si="5"/>
        <v>0</v>
      </c>
    </row>
    <row r="180" spans="21:47" s="28" customFormat="1" x14ac:dyDescent="0.25">
      <c r="U180" s="103">
        <f t="shared" si="4"/>
        <v>0</v>
      </c>
      <c r="Y180" s="98"/>
      <c r="AU180" s="103">
        <f t="shared" si="5"/>
        <v>0</v>
      </c>
    </row>
    <row r="181" spans="21:47" s="28" customFormat="1" x14ac:dyDescent="0.25">
      <c r="U181" s="103">
        <f t="shared" si="4"/>
        <v>0</v>
      </c>
      <c r="Y181" s="98"/>
      <c r="AU181" s="103">
        <f t="shared" si="5"/>
        <v>0</v>
      </c>
    </row>
    <row r="182" spans="21:47" s="28" customFormat="1" x14ac:dyDescent="0.25">
      <c r="U182" s="103">
        <f t="shared" si="4"/>
        <v>0</v>
      </c>
      <c r="Y182" s="98"/>
      <c r="AU182" s="103">
        <f t="shared" si="5"/>
        <v>0</v>
      </c>
    </row>
    <row r="183" spans="21:47" s="28" customFormat="1" x14ac:dyDescent="0.25">
      <c r="U183" s="103">
        <f t="shared" si="4"/>
        <v>0</v>
      </c>
      <c r="Y183" s="98"/>
      <c r="AU183" s="103">
        <f t="shared" si="5"/>
        <v>0</v>
      </c>
    </row>
    <row r="184" spans="21:47" s="28" customFormat="1" x14ac:dyDescent="0.25">
      <c r="U184" s="103">
        <f t="shared" si="4"/>
        <v>0</v>
      </c>
      <c r="Y184" s="98"/>
      <c r="AU184" s="103">
        <f t="shared" si="5"/>
        <v>0</v>
      </c>
    </row>
    <row r="185" spans="21:47" s="28" customFormat="1" x14ac:dyDescent="0.25">
      <c r="U185" s="103">
        <f t="shared" si="4"/>
        <v>0</v>
      </c>
      <c r="Y185" s="98"/>
      <c r="AU185" s="103">
        <f t="shared" si="5"/>
        <v>0</v>
      </c>
    </row>
    <row r="186" spans="21:47" s="28" customFormat="1" x14ac:dyDescent="0.25">
      <c r="U186" s="103">
        <f t="shared" si="4"/>
        <v>0</v>
      </c>
      <c r="Y186" s="98"/>
      <c r="AU186" s="103">
        <f t="shared" si="5"/>
        <v>0</v>
      </c>
    </row>
    <row r="187" spans="21:47" s="28" customFormat="1" x14ac:dyDescent="0.25">
      <c r="U187" s="103">
        <f t="shared" si="4"/>
        <v>0</v>
      </c>
      <c r="Y187" s="98"/>
      <c r="AU187" s="103">
        <f t="shared" si="5"/>
        <v>0</v>
      </c>
    </row>
    <row r="188" spans="21:47" s="28" customFormat="1" x14ac:dyDescent="0.25">
      <c r="U188" s="103">
        <f t="shared" si="4"/>
        <v>0</v>
      </c>
      <c r="Y188" s="98"/>
      <c r="AU188" s="103">
        <f t="shared" si="5"/>
        <v>0</v>
      </c>
    </row>
    <row r="189" spans="21:47" s="28" customFormat="1" x14ac:dyDescent="0.25">
      <c r="U189" s="103">
        <f t="shared" si="4"/>
        <v>0</v>
      </c>
      <c r="Y189" s="98"/>
      <c r="AU189" s="103">
        <f t="shared" si="5"/>
        <v>0</v>
      </c>
    </row>
    <row r="190" spans="21:47" s="28" customFormat="1" x14ac:dyDescent="0.25">
      <c r="U190" s="103">
        <f t="shared" si="4"/>
        <v>0</v>
      </c>
      <c r="Y190" s="98"/>
      <c r="AU190" s="103">
        <f t="shared" si="5"/>
        <v>0</v>
      </c>
    </row>
    <row r="191" spans="21:47" s="28" customFormat="1" x14ac:dyDescent="0.25">
      <c r="U191" s="103">
        <f t="shared" si="4"/>
        <v>0</v>
      </c>
      <c r="Y191" s="98"/>
      <c r="AU191" s="103">
        <f t="shared" si="5"/>
        <v>0</v>
      </c>
    </row>
    <row r="192" spans="21:47" s="28" customFormat="1" x14ac:dyDescent="0.25">
      <c r="U192" s="103">
        <f t="shared" si="4"/>
        <v>0</v>
      </c>
      <c r="Y192" s="98"/>
      <c r="AU192" s="103">
        <f t="shared" si="5"/>
        <v>0</v>
      </c>
    </row>
    <row r="193" spans="21:47" s="28" customFormat="1" x14ac:dyDescent="0.25">
      <c r="U193" s="103">
        <f t="shared" si="4"/>
        <v>0</v>
      </c>
      <c r="Y193" s="98"/>
      <c r="AU193" s="103">
        <f t="shared" si="5"/>
        <v>0</v>
      </c>
    </row>
    <row r="194" spans="21:47" s="28" customFormat="1" x14ac:dyDescent="0.25">
      <c r="U194" s="103">
        <f t="shared" si="4"/>
        <v>0</v>
      </c>
      <c r="Y194" s="98"/>
      <c r="AU194" s="103">
        <f t="shared" si="5"/>
        <v>0</v>
      </c>
    </row>
    <row r="195" spans="21:47" s="28" customFormat="1" x14ac:dyDescent="0.25">
      <c r="U195" s="103">
        <f t="shared" si="4"/>
        <v>0</v>
      </c>
      <c r="Y195" s="98"/>
      <c r="AU195" s="103">
        <f t="shared" si="5"/>
        <v>0</v>
      </c>
    </row>
    <row r="196" spans="21:47" s="28" customFormat="1" x14ac:dyDescent="0.25">
      <c r="U196" s="103">
        <f t="shared" si="4"/>
        <v>0</v>
      </c>
      <c r="Y196" s="98"/>
      <c r="AU196" s="103">
        <f t="shared" si="5"/>
        <v>0</v>
      </c>
    </row>
    <row r="197" spans="21:47" s="28" customFormat="1" x14ac:dyDescent="0.25">
      <c r="U197" s="103">
        <f t="shared" si="4"/>
        <v>0</v>
      </c>
      <c r="Y197" s="98"/>
      <c r="AU197" s="103">
        <f t="shared" si="5"/>
        <v>0</v>
      </c>
    </row>
    <row r="198" spans="21:47" s="28" customFormat="1" x14ac:dyDescent="0.25">
      <c r="U198" s="103">
        <f t="shared" si="4"/>
        <v>0</v>
      </c>
      <c r="Y198" s="98"/>
      <c r="AU198" s="103">
        <f t="shared" si="5"/>
        <v>0</v>
      </c>
    </row>
    <row r="199" spans="21:47" s="28" customFormat="1" x14ac:dyDescent="0.25">
      <c r="U199" s="103">
        <f t="shared" si="4"/>
        <v>0</v>
      </c>
      <c r="Y199" s="98"/>
      <c r="AU199" s="103">
        <f t="shared" si="5"/>
        <v>0</v>
      </c>
    </row>
    <row r="200" spans="21:47" s="28" customFormat="1" x14ac:dyDescent="0.25">
      <c r="U200" s="103">
        <f t="shared" si="4"/>
        <v>0</v>
      </c>
      <c r="Y200" s="98"/>
      <c r="AU200" s="103">
        <f t="shared" si="5"/>
        <v>0</v>
      </c>
    </row>
    <row r="201" spans="21:47" s="28" customFormat="1" x14ac:dyDescent="0.25">
      <c r="U201" s="103">
        <f t="shared" si="4"/>
        <v>0</v>
      </c>
      <c r="Y201" s="98"/>
      <c r="AU201" s="103">
        <f t="shared" si="5"/>
        <v>0</v>
      </c>
    </row>
    <row r="202" spans="21:47" s="28" customFormat="1" x14ac:dyDescent="0.25">
      <c r="U202" s="103">
        <f t="shared" si="4"/>
        <v>0</v>
      </c>
      <c r="Y202" s="98"/>
      <c r="AU202" s="103">
        <f t="shared" si="5"/>
        <v>0</v>
      </c>
    </row>
    <row r="203" spans="21:47" s="28" customFormat="1" x14ac:dyDescent="0.25">
      <c r="U203" s="103">
        <f t="shared" si="4"/>
        <v>0</v>
      </c>
      <c r="Y203" s="98"/>
      <c r="AU203" s="103">
        <f t="shared" si="5"/>
        <v>0</v>
      </c>
    </row>
    <row r="204" spans="21:47" s="28" customFormat="1" x14ac:dyDescent="0.25">
      <c r="U204" s="103">
        <f t="shared" si="4"/>
        <v>0</v>
      </c>
      <c r="Y204" s="98"/>
      <c r="AU204" s="103">
        <f t="shared" si="5"/>
        <v>0</v>
      </c>
    </row>
    <row r="205" spans="21:47" s="28" customFormat="1" x14ac:dyDescent="0.25">
      <c r="U205" s="103">
        <f t="shared" si="4"/>
        <v>0</v>
      </c>
      <c r="Y205" s="98"/>
      <c r="AU205" s="103">
        <f t="shared" si="5"/>
        <v>0</v>
      </c>
    </row>
    <row r="206" spans="21:47" s="28" customFormat="1" x14ac:dyDescent="0.25">
      <c r="U206" s="103">
        <f t="shared" si="4"/>
        <v>0</v>
      </c>
      <c r="Y206" s="98"/>
      <c r="AU206" s="103">
        <f t="shared" si="5"/>
        <v>0</v>
      </c>
    </row>
    <row r="207" spans="21:47" s="28" customFormat="1" x14ac:dyDescent="0.25">
      <c r="U207" s="103">
        <f t="shared" si="4"/>
        <v>0</v>
      </c>
      <c r="Y207" s="98"/>
      <c r="AU207" s="103">
        <f t="shared" si="5"/>
        <v>0</v>
      </c>
    </row>
    <row r="208" spans="21:47" s="28" customFormat="1" x14ac:dyDescent="0.25">
      <c r="U208" s="103">
        <f t="shared" si="4"/>
        <v>0</v>
      </c>
      <c r="Y208" s="98"/>
      <c r="AU208" s="103">
        <f t="shared" si="5"/>
        <v>0</v>
      </c>
    </row>
    <row r="209" spans="21:47" s="28" customFormat="1" x14ac:dyDescent="0.25">
      <c r="U209" s="103">
        <f t="shared" si="4"/>
        <v>0</v>
      </c>
      <c r="Y209" s="98"/>
      <c r="AU209" s="103">
        <f t="shared" si="5"/>
        <v>0</v>
      </c>
    </row>
    <row r="210" spans="21:47" s="28" customFormat="1" x14ac:dyDescent="0.25">
      <c r="U210" s="103">
        <f t="shared" si="4"/>
        <v>0</v>
      </c>
      <c r="Y210" s="98"/>
      <c r="AU210" s="103">
        <f t="shared" si="5"/>
        <v>0</v>
      </c>
    </row>
    <row r="211" spans="21:47" s="28" customFormat="1" x14ac:dyDescent="0.25">
      <c r="U211" s="103">
        <f t="shared" si="4"/>
        <v>0</v>
      </c>
      <c r="Y211" s="98"/>
      <c r="AU211" s="103">
        <f t="shared" si="5"/>
        <v>0</v>
      </c>
    </row>
    <row r="212" spans="21:47" s="28" customFormat="1" x14ac:dyDescent="0.25">
      <c r="U212" s="103">
        <f t="shared" si="4"/>
        <v>0</v>
      </c>
      <c r="Y212" s="98"/>
      <c r="AU212" s="103">
        <f t="shared" si="5"/>
        <v>0</v>
      </c>
    </row>
    <row r="213" spans="21:47" s="28" customFormat="1" x14ac:dyDescent="0.25">
      <c r="U213" s="103">
        <f t="shared" si="4"/>
        <v>0</v>
      </c>
      <c r="Y213" s="98"/>
      <c r="AU213" s="103">
        <f t="shared" si="5"/>
        <v>0</v>
      </c>
    </row>
    <row r="214" spans="21:47" s="28" customFormat="1" x14ac:dyDescent="0.25">
      <c r="U214" s="103">
        <f t="shared" ref="U214:U277" si="6">IF(R214="TruePositive",IF(D214&lt;&gt;1,N214,0),0)</f>
        <v>0</v>
      </c>
      <c r="Y214" s="98"/>
      <c r="AU214" s="103">
        <f t="shared" ref="AU214:AU277" si="7">IF(AQ214="TruePositive",IF(AC214&lt;&gt;1,AM214,0),0)</f>
        <v>0</v>
      </c>
    </row>
    <row r="215" spans="21:47" s="28" customFormat="1" x14ac:dyDescent="0.25">
      <c r="U215" s="103">
        <f t="shared" si="6"/>
        <v>0</v>
      </c>
      <c r="Y215" s="98"/>
      <c r="AU215" s="103">
        <f t="shared" si="7"/>
        <v>0</v>
      </c>
    </row>
    <row r="216" spans="21:47" s="28" customFormat="1" x14ac:dyDescent="0.25">
      <c r="U216" s="103">
        <f t="shared" si="6"/>
        <v>0</v>
      </c>
      <c r="Y216" s="98"/>
      <c r="AU216" s="103">
        <f t="shared" si="7"/>
        <v>0</v>
      </c>
    </row>
    <row r="217" spans="21:47" s="28" customFormat="1" x14ac:dyDescent="0.25">
      <c r="U217" s="103">
        <f t="shared" si="6"/>
        <v>0</v>
      </c>
      <c r="Y217" s="98"/>
      <c r="AU217" s="103">
        <f t="shared" si="7"/>
        <v>0</v>
      </c>
    </row>
    <row r="218" spans="21:47" s="28" customFormat="1" x14ac:dyDescent="0.25">
      <c r="U218" s="103">
        <f t="shared" si="6"/>
        <v>0</v>
      </c>
      <c r="Y218" s="98"/>
      <c r="AU218" s="103">
        <f t="shared" si="7"/>
        <v>0</v>
      </c>
    </row>
    <row r="219" spans="21:47" s="28" customFormat="1" x14ac:dyDescent="0.25">
      <c r="U219" s="103">
        <f t="shared" si="6"/>
        <v>0</v>
      </c>
      <c r="Y219" s="98"/>
      <c r="AU219" s="103">
        <f t="shared" si="7"/>
        <v>0</v>
      </c>
    </row>
    <row r="220" spans="21:47" s="28" customFormat="1" x14ac:dyDescent="0.25">
      <c r="U220" s="103">
        <f t="shared" si="6"/>
        <v>0</v>
      </c>
      <c r="Y220" s="98"/>
      <c r="AU220" s="103">
        <f t="shared" si="7"/>
        <v>0</v>
      </c>
    </row>
    <row r="221" spans="21:47" s="28" customFormat="1" x14ac:dyDescent="0.25">
      <c r="U221" s="103">
        <f t="shared" si="6"/>
        <v>0</v>
      </c>
      <c r="Y221" s="98"/>
      <c r="AU221" s="103">
        <f t="shared" si="7"/>
        <v>0</v>
      </c>
    </row>
    <row r="222" spans="21:47" s="28" customFormat="1" x14ac:dyDescent="0.25">
      <c r="U222" s="103">
        <f t="shared" si="6"/>
        <v>0</v>
      </c>
      <c r="Y222" s="98"/>
      <c r="AU222" s="103">
        <f t="shared" si="7"/>
        <v>0</v>
      </c>
    </row>
    <row r="223" spans="21:47" s="28" customFormat="1" x14ac:dyDescent="0.25">
      <c r="U223" s="103">
        <f t="shared" si="6"/>
        <v>0</v>
      </c>
      <c r="Y223" s="98"/>
      <c r="AU223" s="103">
        <f t="shared" si="7"/>
        <v>0</v>
      </c>
    </row>
    <row r="224" spans="21:47" s="28" customFormat="1" x14ac:dyDescent="0.25">
      <c r="U224" s="103">
        <f t="shared" si="6"/>
        <v>0</v>
      </c>
      <c r="Y224" s="98"/>
      <c r="AU224" s="103">
        <f t="shared" si="7"/>
        <v>0</v>
      </c>
    </row>
    <row r="225" spans="21:47" s="28" customFormat="1" x14ac:dyDescent="0.25">
      <c r="U225" s="103">
        <f t="shared" si="6"/>
        <v>0</v>
      </c>
      <c r="Y225" s="98"/>
      <c r="AU225" s="103">
        <f t="shared" si="7"/>
        <v>0</v>
      </c>
    </row>
    <row r="226" spans="21:47" s="28" customFormat="1" x14ac:dyDescent="0.25">
      <c r="U226" s="103">
        <f t="shared" si="6"/>
        <v>0</v>
      </c>
      <c r="Y226" s="98"/>
      <c r="AU226" s="103">
        <f t="shared" si="7"/>
        <v>0</v>
      </c>
    </row>
    <row r="227" spans="21:47" s="28" customFormat="1" x14ac:dyDescent="0.25">
      <c r="U227" s="103">
        <f t="shared" si="6"/>
        <v>0</v>
      </c>
      <c r="Y227" s="98"/>
      <c r="AU227" s="103">
        <f t="shared" si="7"/>
        <v>0</v>
      </c>
    </row>
    <row r="228" spans="21:47" s="28" customFormat="1" x14ac:dyDescent="0.25">
      <c r="U228" s="103">
        <f t="shared" si="6"/>
        <v>0</v>
      </c>
      <c r="Y228" s="98"/>
      <c r="AU228" s="103">
        <f t="shared" si="7"/>
        <v>0</v>
      </c>
    </row>
    <row r="229" spans="21:47" s="28" customFormat="1" x14ac:dyDescent="0.25">
      <c r="U229" s="103">
        <f t="shared" si="6"/>
        <v>0</v>
      </c>
      <c r="Y229" s="98"/>
      <c r="AU229" s="103">
        <f t="shared" si="7"/>
        <v>0</v>
      </c>
    </row>
    <row r="230" spans="21:47" s="28" customFormat="1" x14ac:dyDescent="0.25">
      <c r="U230" s="103">
        <f t="shared" si="6"/>
        <v>0</v>
      </c>
      <c r="Y230" s="98"/>
      <c r="AU230" s="103">
        <f t="shared" si="7"/>
        <v>0</v>
      </c>
    </row>
    <row r="231" spans="21:47" s="28" customFormat="1" x14ac:dyDescent="0.25">
      <c r="U231" s="103">
        <f t="shared" si="6"/>
        <v>0</v>
      </c>
      <c r="Y231" s="98"/>
      <c r="AU231" s="103">
        <f t="shared" si="7"/>
        <v>0</v>
      </c>
    </row>
    <row r="232" spans="21:47" s="28" customFormat="1" x14ac:dyDescent="0.25">
      <c r="U232" s="103">
        <f t="shared" si="6"/>
        <v>0</v>
      </c>
      <c r="Y232" s="98"/>
      <c r="AU232" s="103">
        <f t="shared" si="7"/>
        <v>0</v>
      </c>
    </row>
    <row r="233" spans="21:47" s="28" customFormat="1" x14ac:dyDescent="0.25">
      <c r="U233" s="103">
        <f t="shared" si="6"/>
        <v>0</v>
      </c>
      <c r="Y233" s="98"/>
      <c r="AU233" s="103">
        <f t="shared" si="7"/>
        <v>0</v>
      </c>
    </row>
    <row r="234" spans="21:47" s="28" customFormat="1" x14ac:dyDescent="0.25">
      <c r="U234" s="103">
        <f t="shared" si="6"/>
        <v>0</v>
      </c>
      <c r="Y234" s="98"/>
      <c r="AU234" s="103">
        <f t="shared" si="7"/>
        <v>0</v>
      </c>
    </row>
    <row r="235" spans="21:47" s="28" customFormat="1" x14ac:dyDescent="0.25">
      <c r="U235" s="103">
        <f t="shared" si="6"/>
        <v>0</v>
      </c>
      <c r="Y235" s="98"/>
      <c r="AU235" s="103">
        <f t="shared" si="7"/>
        <v>0</v>
      </c>
    </row>
    <row r="236" spans="21:47" s="28" customFormat="1" x14ac:dyDescent="0.25">
      <c r="U236" s="103">
        <f t="shared" si="6"/>
        <v>0</v>
      </c>
      <c r="Y236" s="98"/>
      <c r="AU236" s="103">
        <f t="shared" si="7"/>
        <v>0</v>
      </c>
    </row>
    <row r="237" spans="21:47" s="28" customFormat="1" x14ac:dyDescent="0.25">
      <c r="U237" s="103">
        <f t="shared" si="6"/>
        <v>0</v>
      </c>
      <c r="Y237" s="98"/>
      <c r="AU237" s="103">
        <f t="shared" si="7"/>
        <v>0</v>
      </c>
    </row>
    <row r="238" spans="21:47" s="28" customFormat="1" x14ac:dyDescent="0.25">
      <c r="U238" s="103">
        <f t="shared" si="6"/>
        <v>0</v>
      </c>
      <c r="Y238" s="98"/>
      <c r="AU238" s="103">
        <f t="shared" si="7"/>
        <v>0</v>
      </c>
    </row>
    <row r="239" spans="21:47" s="28" customFormat="1" x14ac:dyDescent="0.25">
      <c r="U239" s="103">
        <f t="shared" si="6"/>
        <v>0</v>
      </c>
      <c r="Y239" s="98"/>
      <c r="AU239" s="103">
        <f t="shared" si="7"/>
        <v>0</v>
      </c>
    </row>
    <row r="240" spans="21:47" s="28" customFormat="1" x14ac:dyDescent="0.25">
      <c r="U240" s="103">
        <f t="shared" si="6"/>
        <v>0</v>
      </c>
      <c r="Y240" s="98"/>
      <c r="AU240" s="103">
        <f t="shared" si="7"/>
        <v>0</v>
      </c>
    </row>
    <row r="241" spans="21:47" s="28" customFormat="1" x14ac:dyDescent="0.25">
      <c r="U241" s="103">
        <f t="shared" si="6"/>
        <v>0</v>
      </c>
      <c r="Y241" s="98"/>
      <c r="AU241" s="103">
        <f t="shared" si="7"/>
        <v>0</v>
      </c>
    </row>
    <row r="242" spans="21:47" s="28" customFormat="1" x14ac:dyDescent="0.25">
      <c r="U242" s="103">
        <f t="shared" si="6"/>
        <v>0</v>
      </c>
      <c r="Y242" s="98"/>
      <c r="AU242" s="103">
        <f t="shared" si="7"/>
        <v>0</v>
      </c>
    </row>
    <row r="243" spans="21:47" s="28" customFormat="1" x14ac:dyDescent="0.25">
      <c r="U243" s="103">
        <f t="shared" si="6"/>
        <v>0</v>
      </c>
      <c r="Y243" s="98"/>
      <c r="AU243" s="103">
        <f t="shared" si="7"/>
        <v>0</v>
      </c>
    </row>
    <row r="244" spans="21:47" s="28" customFormat="1" x14ac:dyDescent="0.25">
      <c r="U244" s="103">
        <f t="shared" si="6"/>
        <v>0</v>
      </c>
      <c r="Y244" s="98"/>
      <c r="AU244" s="103">
        <f t="shared" si="7"/>
        <v>0</v>
      </c>
    </row>
    <row r="245" spans="21:47" s="28" customFormat="1" x14ac:dyDescent="0.25">
      <c r="U245" s="103">
        <f t="shared" si="6"/>
        <v>0</v>
      </c>
      <c r="Y245" s="98"/>
      <c r="AU245" s="103">
        <f t="shared" si="7"/>
        <v>0</v>
      </c>
    </row>
    <row r="246" spans="21:47" s="28" customFormat="1" x14ac:dyDescent="0.25">
      <c r="U246" s="103">
        <f t="shared" si="6"/>
        <v>0</v>
      </c>
      <c r="Y246" s="98"/>
      <c r="AU246" s="103">
        <f t="shared" si="7"/>
        <v>0</v>
      </c>
    </row>
    <row r="247" spans="21:47" s="28" customFormat="1" x14ac:dyDescent="0.25">
      <c r="U247" s="103">
        <f t="shared" si="6"/>
        <v>0</v>
      </c>
      <c r="Y247" s="98"/>
      <c r="AU247" s="103">
        <f t="shared" si="7"/>
        <v>0</v>
      </c>
    </row>
    <row r="248" spans="21:47" s="28" customFormat="1" x14ac:dyDescent="0.25">
      <c r="U248" s="103">
        <f t="shared" si="6"/>
        <v>0</v>
      </c>
      <c r="Y248" s="98"/>
      <c r="AU248" s="103">
        <f t="shared" si="7"/>
        <v>0</v>
      </c>
    </row>
    <row r="249" spans="21:47" s="28" customFormat="1" x14ac:dyDescent="0.25">
      <c r="U249" s="103">
        <f t="shared" si="6"/>
        <v>0</v>
      </c>
      <c r="Y249" s="98"/>
      <c r="AU249" s="103">
        <f t="shared" si="7"/>
        <v>0</v>
      </c>
    </row>
    <row r="250" spans="21:47" s="28" customFormat="1" x14ac:dyDescent="0.25">
      <c r="U250" s="103">
        <f t="shared" si="6"/>
        <v>0</v>
      </c>
      <c r="Y250" s="98"/>
      <c r="AU250" s="103">
        <f t="shared" si="7"/>
        <v>0</v>
      </c>
    </row>
    <row r="251" spans="21:47" s="28" customFormat="1" x14ac:dyDescent="0.25">
      <c r="U251" s="103">
        <f t="shared" si="6"/>
        <v>0</v>
      </c>
      <c r="Y251" s="98"/>
      <c r="AU251" s="103">
        <f t="shared" si="7"/>
        <v>0</v>
      </c>
    </row>
    <row r="252" spans="21:47" s="28" customFormat="1" x14ac:dyDescent="0.25">
      <c r="U252" s="103">
        <f t="shared" si="6"/>
        <v>0</v>
      </c>
      <c r="Y252" s="98"/>
      <c r="AU252" s="103">
        <f t="shared" si="7"/>
        <v>0</v>
      </c>
    </row>
    <row r="253" spans="21:47" s="28" customFormat="1" x14ac:dyDescent="0.25">
      <c r="U253" s="103">
        <f t="shared" si="6"/>
        <v>0</v>
      </c>
      <c r="Y253" s="98"/>
      <c r="AU253" s="103">
        <f t="shared" si="7"/>
        <v>0</v>
      </c>
    </row>
    <row r="254" spans="21:47" s="28" customFormat="1" x14ac:dyDescent="0.25">
      <c r="U254" s="103">
        <f t="shared" si="6"/>
        <v>0</v>
      </c>
      <c r="Y254" s="98"/>
      <c r="AU254" s="103">
        <f t="shared" si="7"/>
        <v>0</v>
      </c>
    </row>
    <row r="255" spans="21:47" s="28" customFormat="1" x14ac:dyDescent="0.25">
      <c r="U255" s="103">
        <f t="shared" si="6"/>
        <v>0</v>
      </c>
      <c r="Y255" s="98"/>
      <c r="AU255" s="103">
        <f t="shared" si="7"/>
        <v>0</v>
      </c>
    </row>
    <row r="256" spans="21:47" s="28" customFormat="1" x14ac:dyDescent="0.25">
      <c r="U256" s="103">
        <f t="shared" si="6"/>
        <v>0</v>
      </c>
      <c r="Y256" s="98"/>
      <c r="AU256" s="103">
        <f t="shared" si="7"/>
        <v>0</v>
      </c>
    </row>
    <row r="257" spans="21:47" s="28" customFormat="1" x14ac:dyDescent="0.25">
      <c r="U257" s="103">
        <f t="shared" si="6"/>
        <v>0</v>
      </c>
      <c r="Y257" s="98"/>
      <c r="AU257" s="103">
        <f t="shared" si="7"/>
        <v>0</v>
      </c>
    </row>
    <row r="258" spans="21:47" s="28" customFormat="1" x14ac:dyDescent="0.25">
      <c r="U258" s="103">
        <f t="shared" si="6"/>
        <v>0</v>
      </c>
      <c r="Y258" s="98"/>
      <c r="AU258" s="103">
        <f t="shared" si="7"/>
        <v>0</v>
      </c>
    </row>
    <row r="259" spans="21:47" s="28" customFormat="1" x14ac:dyDescent="0.25">
      <c r="U259" s="103">
        <f t="shared" si="6"/>
        <v>0</v>
      </c>
      <c r="Y259" s="98"/>
      <c r="AU259" s="103">
        <f t="shared" si="7"/>
        <v>0</v>
      </c>
    </row>
    <row r="260" spans="21:47" s="28" customFormat="1" x14ac:dyDescent="0.25">
      <c r="U260" s="103">
        <f t="shared" si="6"/>
        <v>0</v>
      </c>
      <c r="Y260" s="98"/>
      <c r="AU260" s="103">
        <f t="shared" si="7"/>
        <v>0</v>
      </c>
    </row>
    <row r="261" spans="21:47" s="28" customFormat="1" x14ac:dyDescent="0.25">
      <c r="U261" s="103">
        <f t="shared" si="6"/>
        <v>0</v>
      </c>
      <c r="Y261" s="98"/>
      <c r="AU261" s="103">
        <f t="shared" si="7"/>
        <v>0</v>
      </c>
    </row>
    <row r="262" spans="21:47" s="28" customFormat="1" x14ac:dyDescent="0.25">
      <c r="U262" s="103">
        <f t="shared" si="6"/>
        <v>0</v>
      </c>
      <c r="Y262" s="98"/>
      <c r="AU262" s="103">
        <f t="shared" si="7"/>
        <v>0</v>
      </c>
    </row>
    <row r="263" spans="21:47" s="28" customFormat="1" x14ac:dyDescent="0.25">
      <c r="U263" s="103">
        <f t="shared" si="6"/>
        <v>0</v>
      </c>
      <c r="Y263" s="98"/>
      <c r="AU263" s="103">
        <f t="shared" si="7"/>
        <v>0</v>
      </c>
    </row>
    <row r="264" spans="21:47" s="28" customFormat="1" x14ac:dyDescent="0.25">
      <c r="U264" s="103">
        <f t="shared" si="6"/>
        <v>0</v>
      </c>
      <c r="Y264" s="98"/>
      <c r="AU264" s="103">
        <f t="shared" si="7"/>
        <v>0</v>
      </c>
    </row>
    <row r="265" spans="21:47" s="28" customFormat="1" x14ac:dyDescent="0.25">
      <c r="U265" s="103">
        <f t="shared" si="6"/>
        <v>0</v>
      </c>
      <c r="Y265" s="98"/>
      <c r="AU265" s="103">
        <f t="shared" si="7"/>
        <v>0</v>
      </c>
    </row>
    <row r="266" spans="21:47" s="28" customFormat="1" x14ac:dyDescent="0.25">
      <c r="U266" s="103">
        <f t="shared" si="6"/>
        <v>0</v>
      </c>
      <c r="Y266" s="98"/>
      <c r="AU266" s="103">
        <f t="shared" si="7"/>
        <v>0</v>
      </c>
    </row>
    <row r="267" spans="21:47" s="28" customFormat="1" x14ac:dyDescent="0.25">
      <c r="U267" s="103">
        <f t="shared" si="6"/>
        <v>0</v>
      </c>
      <c r="Y267" s="98"/>
      <c r="AU267" s="103">
        <f t="shared" si="7"/>
        <v>0</v>
      </c>
    </row>
    <row r="268" spans="21:47" s="28" customFormat="1" x14ac:dyDescent="0.25">
      <c r="U268" s="103">
        <f t="shared" si="6"/>
        <v>0</v>
      </c>
      <c r="Y268" s="98"/>
      <c r="AU268" s="103">
        <f t="shared" si="7"/>
        <v>0</v>
      </c>
    </row>
    <row r="269" spans="21:47" s="28" customFormat="1" x14ac:dyDescent="0.25">
      <c r="U269" s="103">
        <f t="shared" si="6"/>
        <v>0</v>
      </c>
      <c r="Y269" s="98"/>
      <c r="AU269" s="103">
        <f t="shared" si="7"/>
        <v>0</v>
      </c>
    </row>
    <row r="270" spans="21:47" s="28" customFormat="1" x14ac:dyDescent="0.25">
      <c r="U270" s="103">
        <f t="shared" si="6"/>
        <v>0</v>
      </c>
      <c r="Y270" s="98"/>
      <c r="AU270" s="103">
        <f t="shared" si="7"/>
        <v>0</v>
      </c>
    </row>
    <row r="271" spans="21:47" s="28" customFormat="1" x14ac:dyDescent="0.25">
      <c r="U271" s="103">
        <f t="shared" si="6"/>
        <v>0</v>
      </c>
      <c r="Y271" s="98"/>
      <c r="AU271" s="103">
        <f t="shared" si="7"/>
        <v>0</v>
      </c>
    </row>
    <row r="272" spans="21:47" s="28" customFormat="1" x14ac:dyDescent="0.25">
      <c r="U272" s="103">
        <f t="shared" si="6"/>
        <v>0</v>
      </c>
      <c r="Y272" s="98"/>
      <c r="AU272" s="103">
        <f t="shared" si="7"/>
        <v>0</v>
      </c>
    </row>
    <row r="273" spans="21:47" s="28" customFormat="1" x14ac:dyDescent="0.25">
      <c r="U273" s="103">
        <f t="shared" si="6"/>
        <v>0</v>
      </c>
      <c r="Y273" s="98"/>
      <c r="AU273" s="103">
        <f t="shared" si="7"/>
        <v>0</v>
      </c>
    </row>
    <row r="274" spans="21:47" s="28" customFormat="1" x14ac:dyDescent="0.25">
      <c r="U274" s="103">
        <f t="shared" si="6"/>
        <v>0</v>
      </c>
      <c r="Y274" s="98"/>
      <c r="AU274" s="103">
        <f t="shared" si="7"/>
        <v>0</v>
      </c>
    </row>
    <row r="275" spans="21:47" s="28" customFormat="1" x14ac:dyDescent="0.25">
      <c r="U275" s="103">
        <f t="shared" si="6"/>
        <v>0</v>
      </c>
      <c r="Y275" s="98"/>
      <c r="AU275" s="103">
        <f t="shared" si="7"/>
        <v>0</v>
      </c>
    </row>
    <row r="276" spans="21:47" s="28" customFormat="1" x14ac:dyDescent="0.25">
      <c r="U276" s="103">
        <f t="shared" si="6"/>
        <v>0</v>
      </c>
      <c r="Y276" s="98"/>
      <c r="AU276" s="103">
        <f t="shared" si="7"/>
        <v>0</v>
      </c>
    </row>
    <row r="277" spans="21:47" s="28" customFormat="1" x14ac:dyDescent="0.25">
      <c r="U277" s="103">
        <f t="shared" si="6"/>
        <v>0</v>
      </c>
      <c r="Y277" s="98"/>
      <c r="AU277" s="103">
        <f t="shared" si="7"/>
        <v>0</v>
      </c>
    </row>
    <row r="278" spans="21:47" s="28" customFormat="1" x14ac:dyDescent="0.25">
      <c r="U278" s="103">
        <f t="shared" ref="U278:U341" si="8">IF(R278="TruePositive",IF(D278&lt;&gt;1,N278,0),0)</f>
        <v>0</v>
      </c>
      <c r="Y278" s="98"/>
      <c r="AU278" s="103">
        <f t="shared" ref="AU278:AU341" si="9">IF(AQ278="TruePositive",IF(AC278&lt;&gt;1,AM278,0),0)</f>
        <v>0</v>
      </c>
    </row>
    <row r="279" spans="21:47" s="28" customFormat="1" x14ac:dyDescent="0.25">
      <c r="U279" s="103">
        <f t="shared" si="8"/>
        <v>0</v>
      </c>
      <c r="Y279" s="98"/>
      <c r="AU279" s="103">
        <f t="shared" si="9"/>
        <v>0</v>
      </c>
    </row>
    <row r="280" spans="21:47" s="28" customFormat="1" x14ac:dyDescent="0.25">
      <c r="U280" s="103">
        <f t="shared" si="8"/>
        <v>0</v>
      </c>
      <c r="Y280" s="98"/>
      <c r="AU280" s="103">
        <f t="shared" si="9"/>
        <v>0</v>
      </c>
    </row>
    <row r="281" spans="21:47" s="28" customFormat="1" x14ac:dyDescent="0.25">
      <c r="U281" s="103">
        <f t="shared" si="8"/>
        <v>0</v>
      </c>
      <c r="Y281" s="98"/>
      <c r="AU281" s="103">
        <f t="shared" si="9"/>
        <v>0</v>
      </c>
    </row>
    <row r="282" spans="21:47" s="28" customFormat="1" x14ac:dyDescent="0.25">
      <c r="U282" s="103">
        <f t="shared" si="8"/>
        <v>0</v>
      </c>
      <c r="Y282" s="98"/>
      <c r="AU282" s="103">
        <f t="shared" si="9"/>
        <v>0</v>
      </c>
    </row>
    <row r="283" spans="21:47" s="28" customFormat="1" x14ac:dyDescent="0.25">
      <c r="U283" s="103">
        <f t="shared" si="8"/>
        <v>0</v>
      </c>
      <c r="Y283" s="98"/>
      <c r="AU283" s="103">
        <f t="shared" si="9"/>
        <v>0</v>
      </c>
    </row>
    <row r="284" spans="21:47" s="28" customFormat="1" x14ac:dyDescent="0.25">
      <c r="U284" s="103">
        <f t="shared" si="8"/>
        <v>0</v>
      </c>
      <c r="Y284" s="98"/>
      <c r="AU284" s="103">
        <f t="shared" si="9"/>
        <v>0</v>
      </c>
    </row>
    <row r="285" spans="21:47" s="28" customFormat="1" x14ac:dyDescent="0.25">
      <c r="U285" s="103">
        <f t="shared" si="8"/>
        <v>0</v>
      </c>
      <c r="Y285" s="98"/>
      <c r="AU285" s="103">
        <f t="shared" si="9"/>
        <v>0</v>
      </c>
    </row>
    <row r="286" spans="21:47" s="28" customFormat="1" x14ac:dyDescent="0.25">
      <c r="U286" s="103">
        <f t="shared" si="8"/>
        <v>0</v>
      </c>
      <c r="Y286" s="98"/>
      <c r="AU286" s="103">
        <f t="shared" si="9"/>
        <v>0</v>
      </c>
    </row>
    <row r="287" spans="21:47" s="28" customFormat="1" x14ac:dyDescent="0.25">
      <c r="U287" s="103">
        <f t="shared" si="8"/>
        <v>0</v>
      </c>
      <c r="Y287" s="98"/>
      <c r="AU287" s="103">
        <f t="shared" si="9"/>
        <v>0</v>
      </c>
    </row>
    <row r="288" spans="21:47" s="28" customFormat="1" x14ac:dyDescent="0.25">
      <c r="U288" s="103">
        <f t="shared" si="8"/>
        <v>0</v>
      </c>
      <c r="Y288" s="98"/>
      <c r="AU288" s="103">
        <f t="shared" si="9"/>
        <v>0</v>
      </c>
    </row>
    <row r="289" spans="21:47" s="28" customFormat="1" x14ac:dyDescent="0.25">
      <c r="U289" s="103">
        <f t="shared" si="8"/>
        <v>0</v>
      </c>
      <c r="Y289" s="98"/>
      <c r="AU289" s="103">
        <f t="shared" si="9"/>
        <v>0</v>
      </c>
    </row>
    <row r="290" spans="21:47" s="28" customFormat="1" x14ac:dyDescent="0.25">
      <c r="U290" s="103">
        <f t="shared" si="8"/>
        <v>0</v>
      </c>
      <c r="Y290" s="98"/>
      <c r="AU290" s="103">
        <f t="shared" si="9"/>
        <v>0</v>
      </c>
    </row>
    <row r="291" spans="21:47" s="28" customFormat="1" x14ac:dyDescent="0.25">
      <c r="U291" s="103">
        <f t="shared" si="8"/>
        <v>0</v>
      </c>
      <c r="Y291" s="98"/>
      <c r="AU291" s="103">
        <f t="shared" si="9"/>
        <v>0</v>
      </c>
    </row>
    <row r="292" spans="21:47" s="28" customFormat="1" x14ac:dyDescent="0.25">
      <c r="U292" s="103">
        <f t="shared" si="8"/>
        <v>0</v>
      </c>
      <c r="Y292" s="98"/>
      <c r="AU292" s="103">
        <f t="shared" si="9"/>
        <v>0</v>
      </c>
    </row>
    <row r="293" spans="21:47" s="28" customFormat="1" x14ac:dyDescent="0.25">
      <c r="U293" s="103">
        <f t="shared" si="8"/>
        <v>0</v>
      </c>
      <c r="Y293" s="98"/>
      <c r="AU293" s="103">
        <f t="shared" si="9"/>
        <v>0</v>
      </c>
    </row>
    <row r="294" spans="21:47" s="28" customFormat="1" x14ac:dyDescent="0.25">
      <c r="U294" s="103">
        <f t="shared" si="8"/>
        <v>0</v>
      </c>
      <c r="Y294" s="98"/>
      <c r="AU294" s="103">
        <f t="shared" si="9"/>
        <v>0</v>
      </c>
    </row>
    <row r="295" spans="21:47" s="28" customFormat="1" x14ac:dyDescent="0.25">
      <c r="U295" s="103">
        <f t="shared" si="8"/>
        <v>0</v>
      </c>
      <c r="Y295" s="98"/>
      <c r="AU295" s="103">
        <f t="shared" si="9"/>
        <v>0</v>
      </c>
    </row>
    <row r="296" spans="21:47" s="28" customFormat="1" x14ac:dyDescent="0.25">
      <c r="U296" s="103">
        <f t="shared" si="8"/>
        <v>0</v>
      </c>
      <c r="Y296" s="98"/>
      <c r="AU296" s="103">
        <f t="shared" si="9"/>
        <v>0</v>
      </c>
    </row>
    <row r="297" spans="21:47" s="28" customFormat="1" x14ac:dyDescent="0.25">
      <c r="U297" s="103">
        <f t="shared" si="8"/>
        <v>0</v>
      </c>
      <c r="Y297" s="98"/>
      <c r="AU297" s="103">
        <f t="shared" si="9"/>
        <v>0</v>
      </c>
    </row>
    <row r="298" spans="21:47" s="28" customFormat="1" x14ac:dyDescent="0.25">
      <c r="U298" s="103">
        <f t="shared" si="8"/>
        <v>0</v>
      </c>
      <c r="Y298" s="98"/>
      <c r="AU298" s="103">
        <f t="shared" si="9"/>
        <v>0</v>
      </c>
    </row>
    <row r="299" spans="21:47" s="28" customFormat="1" x14ac:dyDescent="0.25">
      <c r="U299" s="103">
        <f t="shared" si="8"/>
        <v>0</v>
      </c>
      <c r="Y299" s="98"/>
      <c r="AU299" s="103">
        <f t="shared" si="9"/>
        <v>0</v>
      </c>
    </row>
    <row r="300" spans="21:47" s="28" customFormat="1" x14ac:dyDescent="0.25">
      <c r="U300" s="103">
        <f t="shared" si="8"/>
        <v>0</v>
      </c>
      <c r="Y300" s="98"/>
      <c r="AU300" s="103">
        <f t="shared" si="9"/>
        <v>0</v>
      </c>
    </row>
    <row r="301" spans="21:47" s="28" customFormat="1" x14ac:dyDescent="0.25">
      <c r="U301" s="103">
        <f t="shared" si="8"/>
        <v>0</v>
      </c>
      <c r="Y301" s="98"/>
      <c r="AU301" s="103">
        <f t="shared" si="9"/>
        <v>0</v>
      </c>
    </row>
    <row r="302" spans="21:47" s="28" customFormat="1" x14ac:dyDescent="0.25">
      <c r="U302" s="103">
        <f t="shared" si="8"/>
        <v>0</v>
      </c>
      <c r="Y302" s="98"/>
      <c r="AU302" s="103">
        <f t="shared" si="9"/>
        <v>0</v>
      </c>
    </row>
    <row r="303" spans="21:47" s="28" customFormat="1" x14ac:dyDescent="0.25">
      <c r="U303" s="103">
        <f t="shared" si="8"/>
        <v>0</v>
      </c>
      <c r="Y303" s="98"/>
      <c r="AU303" s="103">
        <f t="shared" si="9"/>
        <v>0</v>
      </c>
    </row>
    <row r="304" spans="21:47" s="28" customFormat="1" x14ac:dyDescent="0.25">
      <c r="U304" s="103">
        <f t="shared" si="8"/>
        <v>0</v>
      </c>
      <c r="Y304" s="98"/>
      <c r="AU304" s="103">
        <f t="shared" si="9"/>
        <v>0</v>
      </c>
    </row>
    <row r="305" spans="21:47" s="28" customFormat="1" x14ac:dyDescent="0.25">
      <c r="U305" s="103">
        <f t="shared" si="8"/>
        <v>0</v>
      </c>
      <c r="Y305" s="98"/>
      <c r="AU305" s="103">
        <f t="shared" si="9"/>
        <v>0</v>
      </c>
    </row>
    <row r="306" spans="21:47" s="28" customFormat="1" x14ac:dyDescent="0.25">
      <c r="U306" s="103">
        <f t="shared" si="8"/>
        <v>0</v>
      </c>
      <c r="Y306" s="98"/>
      <c r="AU306" s="103">
        <f t="shared" si="9"/>
        <v>0</v>
      </c>
    </row>
    <row r="307" spans="21:47" s="28" customFormat="1" x14ac:dyDescent="0.25">
      <c r="U307" s="103">
        <f t="shared" si="8"/>
        <v>0</v>
      </c>
      <c r="Y307" s="98"/>
      <c r="AU307" s="103">
        <f t="shared" si="9"/>
        <v>0</v>
      </c>
    </row>
    <row r="308" spans="21:47" s="28" customFormat="1" x14ac:dyDescent="0.25">
      <c r="U308" s="103">
        <f t="shared" si="8"/>
        <v>0</v>
      </c>
      <c r="Y308" s="98"/>
      <c r="AU308" s="103">
        <f t="shared" si="9"/>
        <v>0</v>
      </c>
    </row>
    <row r="309" spans="21:47" s="28" customFormat="1" x14ac:dyDescent="0.25">
      <c r="U309" s="103">
        <f t="shared" si="8"/>
        <v>0</v>
      </c>
      <c r="Y309" s="98"/>
      <c r="AU309" s="103">
        <f t="shared" si="9"/>
        <v>0</v>
      </c>
    </row>
    <row r="310" spans="21:47" s="28" customFormat="1" x14ac:dyDescent="0.25">
      <c r="U310" s="103">
        <f t="shared" si="8"/>
        <v>0</v>
      </c>
      <c r="Y310" s="98"/>
      <c r="AU310" s="103">
        <f t="shared" si="9"/>
        <v>0</v>
      </c>
    </row>
    <row r="311" spans="21:47" s="28" customFormat="1" x14ac:dyDescent="0.25">
      <c r="U311" s="103">
        <f t="shared" si="8"/>
        <v>0</v>
      </c>
      <c r="Y311" s="98"/>
      <c r="AU311" s="103">
        <f t="shared" si="9"/>
        <v>0</v>
      </c>
    </row>
    <row r="312" spans="21:47" s="28" customFormat="1" x14ac:dyDescent="0.25">
      <c r="U312" s="103">
        <f t="shared" si="8"/>
        <v>0</v>
      </c>
      <c r="Y312" s="98"/>
      <c r="AU312" s="103">
        <f t="shared" si="9"/>
        <v>0</v>
      </c>
    </row>
    <row r="313" spans="21:47" s="28" customFormat="1" x14ac:dyDescent="0.25">
      <c r="U313" s="103">
        <f t="shared" si="8"/>
        <v>0</v>
      </c>
      <c r="Y313" s="98"/>
      <c r="AU313" s="103">
        <f t="shared" si="9"/>
        <v>0</v>
      </c>
    </row>
    <row r="314" spans="21:47" s="28" customFormat="1" x14ac:dyDescent="0.25">
      <c r="U314" s="103">
        <f t="shared" si="8"/>
        <v>0</v>
      </c>
      <c r="Y314" s="98"/>
      <c r="AU314" s="103">
        <f t="shared" si="9"/>
        <v>0</v>
      </c>
    </row>
    <row r="315" spans="21:47" s="28" customFormat="1" x14ac:dyDescent="0.25">
      <c r="U315" s="103">
        <f t="shared" si="8"/>
        <v>0</v>
      </c>
      <c r="Y315" s="98"/>
      <c r="AU315" s="103">
        <f t="shared" si="9"/>
        <v>0</v>
      </c>
    </row>
    <row r="316" spans="21:47" s="28" customFormat="1" x14ac:dyDescent="0.25">
      <c r="U316" s="103">
        <f t="shared" si="8"/>
        <v>0</v>
      </c>
      <c r="Y316" s="98"/>
      <c r="AU316" s="103">
        <f t="shared" si="9"/>
        <v>0</v>
      </c>
    </row>
    <row r="317" spans="21:47" s="28" customFormat="1" x14ac:dyDescent="0.25">
      <c r="U317" s="103">
        <f t="shared" si="8"/>
        <v>0</v>
      </c>
      <c r="Y317" s="98"/>
      <c r="AU317" s="103">
        <f t="shared" si="9"/>
        <v>0</v>
      </c>
    </row>
    <row r="318" spans="21:47" s="28" customFormat="1" x14ac:dyDescent="0.25">
      <c r="U318" s="103">
        <f t="shared" si="8"/>
        <v>0</v>
      </c>
      <c r="Y318" s="98"/>
      <c r="AU318" s="103">
        <f t="shared" si="9"/>
        <v>0</v>
      </c>
    </row>
    <row r="319" spans="21:47" s="28" customFormat="1" x14ac:dyDescent="0.25">
      <c r="U319" s="103">
        <f t="shared" si="8"/>
        <v>0</v>
      </c>
      <c r="Y319" s="98"/>
      <c r="AU319" s="103">
        <f t="shared" si="9"/>
        <v>0</v>
      </c>
    </row>
    <row r="320" spans="21:47" s="28" customFormat="1" x14ac:dyDescent="0.25">
      <c r="U320" s="103">
        <f t="shared" si="8"/>
        <v>0</v>
      </c>
      <c r="Y320" s="98"/>
      <c r="AU320" s="103">
        <f t="shared" si="9"/>
        <v>0</v>
      </c>
    </row>
    <row r="321" spans="21:47" s="28" customFormat="1" x14ac:dyDescent="0.25">
      <c r="U321" s="103">
        <f t="shared" si="8"/>
        <v>0</v>
      </c>
      <c r="Y321" s="98"/>
      <c r="AU321" s="103">
        <f t="shared" si="9"/>
        <v>0</v>
      </c>
    </row>
    <row r="322" spans="21:47" s="28" customFormat="1" x14ac:dyDescent="0.25">
      <c r="U322" s="103">
        <f t="shared" si="8"/>
        <v>0</v>
      </c>
      <c r="Y322" s="98"/>
      <c r="AU322" s="103">
        <f t="shared" si="9"/>
        <v>0</v>
      </c>
    </row>
    <row r="323" spans="21:47" s="28" customFormat="1" x14ac:dyDescent="0.25">
      <c r="U323" s="103">
        <f t="shared" si="8"/>
        <v>0</v>
      </c>
      <c r="Y323" s="98"/>
      <c r="AU323" s="103">
        <f t="shared" si="9"/>
        <v>0</v>
      </c>
    </row>
    <row r="324" spans="21:47" s="28" customFormat="1" x14ac:dyDescent="0.25">
      <c r="U324" s="103">
        <f t="shared" si="8"/>
        <v>0</v>
      </c>
      <c r="Y324" s="98"/>
      <c r="AU324" s="103">
        <f t="shared" si="9"/>
        <v>0</v>
      </c>
    </row>
    <row r="325" spans="21:47" s="28" customFormat="1" x14ac:dyDescent="0.25">
      <c r="U325" s="103">
        <f t="shared" si="8"/>
        <v>0</v>
      </c>
      <c r="Y325" s="98"/>
      <c r="AU325" s="103">
        <f t="shared" si="9"/>
        <v>0</v>
      </c>
    </row>
    <row r="326" spans="21:47" s="28" customFormat="1" x14ac:dyDescent="0.25">
      <c r="U326" s="103">
        <f t="shared" si="8"/>
        <v>0</v>
      </c>
      <c r="Y326" s="98"/>
      <c r="AU326" s="103">
        <f t="shared" si="9"/>
        <v>0</v>
      </c>
    </row>
    <row r="327" spans="21:47" s="28" customFormat="1" x14ac:dyDescent="0.25">
      <c r="U327" s="103">
        <f t="shared" si="8"/>
        <v>0</v>
      </c>
      <c r="Y327" s="98"/>
      <c r="AU327" s="103">
        <f t="shared" si="9"/>
        <v>0</v>
      </c>
    </row>
    <row r="328" spans="21:47" s="28" customFormat="1" x14ac:dyDescent="0.25">
      <c r="U328" s="103">
        <f t="shared" si="8"/>
        <v>0</v>
      </c>
      <c r="Y328" s="98"/>
      <c r="AU328" s="103">
        <f t="shared" si="9"/>
        <v>0</v>
      </c>
    </row>
    <row r="329" spans="21:47" s="28" customFormat="1" x14ac:dyDescent="0.25">
      <c r="U329" s="103">
        <f t="shared" si="8"/>
        <v>0</v>
      </c>
      <c r="Y329" s="98"/>
      <c r="AU329" s="103">
        <f t="shared" si="9"/>
        <v>0</v>
      </c>
    </row>
    <row r="330" spans="21:47" s="28" customFormat="1" x14ac:dyDescent="0.25">
      <c r="U330" s="103">
        <f t="shared" si="8"/>
        <v>0</v>
      </c>
      <c r="Y330" s="98"/>
      <c r="AU330" s="103">
        <f t="shared" si="9"/>
        <v>0</v>
      </c>
    </row>
    <row r="331" spans="21:47" s="28" customFormat="1" x14ac:dyDescent="0.25">
      <c r="U331" s="103">
        <f t="shared" si="8"/>
        <v>0</v>
      </c>
      <c r="Y331" s="98"/>
      <c r="AU331" s="103">
        <f t="shared" si="9"/>
        <v>0</v>
      </c>
    </row>
    <row r="332" spans="21:47" s="28" customFormat="1" x14ac:dyDescent="0.25">
      <c r="U332" s="103">
        <f t="shared" si="8"/>
        <v>0</v>
      </c>
      <c r="Y332" s="98"/>
      <c r="AU332" s="103">
        <f t="shared" si="9"/>
        <v>0</v>
      </c>
    </row>
    <row r="333" spans="21:47" s="28" customFormat="1" x14ac:dyDescent="0.25">
      <c r="U333" s="103">
        <f t="shared" si="8"/>
        <v>0</v>
      </c>
      <c r="Y333" s="98"/>
      <c r="AU333" s="103">
        <f t="shared" si="9"/>
        <v>0</v>
      </c>
    </row>
    <row r="334" spans="21:47" s="28" customFormat="1" x14ac:dyDescent="0.25">
      <c r="U334" s="103">
        <f t="shared" si="8"/>
        <v>0</v>
      </c>
      <c r="Y334" s="98"/>
      <c r="AU334" s="103">
        <f t="shared" si="9"/>
        <v>0</v>
      </c>
    </row>
    <row r="335" spans="21:47" s="28" customFormat="1" x14ac:dyDescent="0.25">
      <c r="U335" s="103">
        <f t="shared" si="8"/>
        <v>0</v>
      </c>
      <c r="Y335" s="98"/>
      <c r="AU335" s="103">
        <f t="shared" si="9"/>
        <v>0</v>
      </c>
    </row>
    <row r="336" spans="21:47" s="28" customFormat="1" x14ac:dyDescent="0.25">
      <c r="U336" s="103">
        <f t="shared" si="8"/>
        <v>0</v>
      </c>
      <c r="Y336" s="98"/>
      <c r="AU336" s="103">
        <f t="shared" si="9"/>
        <v>0</v>
      </c>
    </row>
    <row r="337" spans="21:47" s="28" customFormat="1" x14ac:dyDescent="0.25">
      <c r="U337" s="103">
        <f t="shared" si="8"/>
        <v>0</v>
      </c>
      <c r="Y337" s="98"/>
      <c r="AU337" s="103">
        <f t="shared" si="9"/>
        <v>0</v>
      </c>
    </row>
    <row r="338" spans="21:47" s="28" customFormat="1" x14ac:dyDescent="0.25">
      <c r="U338" s="103">
        <f t="shared" si="8"/>
        <v>0</v>
      </c>
      <c r="Y338" s="98"/>
      <c r="AU338" s="103">
        <f t="shared" si="9"/>
        <v>0</v>
      </c>
    </row>
    <row r="339" spans="21:47" s="28" customFormat="1" x14ac:dyDescent="0.25">
      <c r="U339" s="103">
        <f t="shared" si="8"/>
        <v>0</v>
      </c>
      <c r="Y339" s="98"/>
      <c r="AU339" s="103">
        <f t="shared" si="9"/>
        <v>0</v>
      </c>
    </row>
    <row r="340" spans="21:47" s="28" customFormat="1" x14ac:dyDescent="0.25">
      <c r="U340" s="103">
        <f t="shared" si="8"/>
        <v>0</v>
      </c>
      <c r="Y340" s="98"/>
      <c r="AU340" s="103">
        <f t="shared" si="9"/>
        <v>0</v>
      </c>
    </row>
    <row r="341" spans="21:47" s="28" customFormat="1" x14ac:dyDescent="0.25">
      <c r="U341" s="103">
        <f t="shared" si="8"/>
        <v>0</v>
      </c>
      <c r="Y341" s="98"/>
      <c r="AU341" s="103">
        <f t="shared" si="9"/>
        <v>0</v>
      </c>
    </row>
    <row r="342" spans="21:47" s="28" customFormat="1" x14ac:dyDescent="0.25">
      <c r="U342" s="103">
        <f t="shared" ref="U342:U405" si="10">IF(R342="TruePositive",IF(D342&lt;&gt;1,N342,0),0)</f>
        <v>0</v>
      </c>
      <c r="Y342" s="98"/>
      <c r="AU342" s="103">
        <f t="shared" ref="AU342:AU405" si="11">IF(AQ342="TruePositive",IF(AC342&lt;&gt;1,AM342,0),0)</f>
        <v>0</v>
      </c>
    </row>
    <row r="343" spans="21:47" s="28" customFormat="1" x14ac:dyDescent="0.25">
      <c r="U343" s="103">
        <f t="shared" si="10"/>
        <v>0</v>
      </c>
      <c r="Y343" s="98"/>
      <c r="AU343" s="103">
        <f t="shared" si="11"/>
        <v>0</v>
      </c>
    </row>
    <row r="344" spans="21:47" s="28" customFormat="1" x14ac:dyDescent="0.25">
      <c r="U344" s="103">
        <f t="shared" si="10"/>
        <v>0</v>
      </c>
      <c r="Y344" s="98"/>
      <c r="AU344" s="103">
        <f t="shared" si="11"/>
        <v>0</v>
      </c>
    </row>
    <row r="345" spans="21:47" s="28" customFormat="1" x14ac:dyDescent="0.25">
      <c r="U345" s="103">
        <f t="shared" si="10"/>
        <v>0</v>
      </c>
      <c r="Y345" s="98"/>
      <c r="AU345" s="103">
        <f t="shared" si="11"/>
        <v>0</v>
      </c>
    </row>
    <row r="346" spans="21:47" s="28" customFormat="1" x14ac:dyDescent="0.25">
      <c r="U346" s="103">
        <f t="shared" si="10"/>
        <v>0</v>
      </c>
      <c r="Y346" s="98"/>
      <c r="AU346" s="103">
        <f t="shared" si="11"/>
        <v>0</v>
      </c>
    </row>
    <row r="347" spans="21:47" s="28" customFormat="1" x14ac:dyDescent="0.25">
      <c r="U347" s="103">
        <f t="shared" si="10"/>
        <v>0</v>
      </c>
      <c r="Y347" s="98"/>
      <c r="AU347" s="103">
        <f t="shared" si="11"/>
        <v>0</v>
      </c>
    </row>
    <row r="348" spans="21:47" s="28" customFormat="1" x14ac:dyDescent="0.25">
      <c r="U348" s="103">
        <f t="shared" si="10"/>
        <v>0</v>
      </c>
      <c r="Y348" s="98"/>
      <c r="AU348" s="103">
        <f t="shared" si="11"/>
        <v>0</v>
      </c>
    </row>
    <row r="349" spans="21:47" s="28" customFormat="1" x14ac:dyDescent="0.25">
      <c r="U349" s="103">
        <f t="shared" si="10"/>
        <v>0</v>
      </c>
      <c r="Y349" s="98"/>
      <c r="AU349" s="103">
        <f t="shared" si="11"/>
        <v>0</v>
      </c>
    </row>
    <row r="350" spans="21:47" s="28" customFormat="1" x14ac:dyDescent="0.25">
      <c r="U350" s="103">
        <f t="shared" si="10"/>
        <v>0</v>
      </c>
      <c r="Y350" s="98"/>
      <c r="AU350" s="103">
        <f t="shared" si="11"/>
        <v>0</v>
      </c>
    </row>
    <row r="351" spans="21:47" s="28" customFormat="1" x14ac:dyDescent="0.25">
      <c r="U351" s="103">
        <f t="shared" si="10"/>
        <v>0</v>
      </c>
      <c r="Y351" s="98"/>
      <c r="AU351" s="103">
        <f t="shared" si="11"/>
        <v>0</v>
      </c>
    </row>
    <row r="352" spans="21:47" s="28" customFormat="1" x14ac:dyDescent="0.25">
      <c r="U352" s="103">
        <f t="shared" si="10"/>
        <v>0</v>
      </c>
      <c r="Y352" s="98"/>
      <c r="AU352" s="103">
        <f t="shared" si="11"/>
        <v>0</v>
      </c>
    </row>
    <row r="353" spans="21:47" s="28" customFormat="1" x14ac:dyDescent="0.25">
      <c r="U353" s="103">
        <f t="shared" si="10"/>
        <v>0</v>
      </c>
      <c r="Y353" s="98"/>
      <c r="AU353" s="103">
        <f t="shared" si="11"/>
        <v>0</v>
      </c>
    </row>
    <row r="354" spans="21:47" s="28" customFormat="1" x14ac:dyDescent="0.25">
      <c r="U354" s="103">
        <f t="shared" si="10"/>
        <v>0</v>
      </c>
      <c r="Y354" s="98"/>
      <c r="AU354" s="103">
        <f t="shared" si="11"/>
        <v>0</v>
      </c>
    </row>
    <row r="355" spans="21:47" s="28" customFormat="1" x14ac:dyDescent="0.25">
      <c r="U355" s="103">
        <f t="shared" si="10"/>
        <v>0</v>
      </c>
      <c r="Y355" s="98"/>
      <c r="AU355" s="103">
        <f t="shared" si="11"/>
        <v>0</v>
      </c>
    </row>
    <row r="356" spans="21:47" s="28" customFormat="1" x14ac:dyDescent="0.25">
      <c r="U356" s="103">
        <f t="shared" si="10"/>
        <v>0</v>
      </c>
      <c r="Y356" s="98"/>
      <c r="AU356" s="103">
        <f t="shared" si="11"/>
        <v>0</v>
      </c>
    </row>
    <row r="357" spans="21:47" s="28" customFormat="1" x14ac:dyDescent="0.25">
      <c r="U357" s="103">
        <f t="shared" si="10"/>
        <v>0</v>
      </c>
      <c r="Y357" s="98"/>
      <c r="AU357" s="103">
        <f t="shared" si="11"/>
        <v>0</v>
      </c>
    </row>
    <row r="358" spans="21:47" s="28" customFormat="1" x14ac:dyDescent="0.25">
      <c r="U358" s="103">
        <f t="shared" si="10"/>
        <v>0</v>
      </c>
      <c r="Y358" s="98"/>
      <c r="AU358" s="103">
        <f t="shared" si="11"/>
        <v>0</v>
      </c>
    </row>
    <row r="359" spans="21:47" s="28" customFormat="1" x14ac:dyDescent="0.25">
      <c r="U359" s="103">
        <f t="shared" si="10"/>
        <v>0</v>
      </c>
      <c r="Y359" s="98"/>
      <c r="AU359" s="103">
        <f t="shared" si="11"/>
        <v>0</v>
      </c>
    </row>
    <row r="360" spans="21:47" s="28" customFormat="1" x14ac:dyDescent="0.25">
      <c r="U360" s="103">
        <f t="shared" si="10"/>
        <v>0</v>
      </c>
      <c r="Y360" s="98"/>
      <c r="AU360" s="103">
        <f t="shared" si="11"/>
        <v>0</v>
      </c>
    </row>
    <row r="361" spans="21:47" s="28" customFormat="1" x14ac:dyDescent="0.25">
      <c r="U361" s="103">
        <f t="shared" si="10"/>
        <v>0</v>
      </c>
      <c r="Y361" s="98"/>
      <c r="AU361" s="103">
        <f t="shared" si="11"/>
        <v>0</v>
      </c>
    </row>
    <row r="362" spans="21:47" s="28" customFormat="1" x14ac:dyDescent="0.25">
      <c r="U362" s="103">
        <f t="shared" si="10"/>
        <v>0</v>
      </c>
      <c r="Y362" s="98"/>
      <c r="AU362" s="103">
        <f t="shared" si="11"/>
        <v>0</v>
      </c>
    </row>
    <row r="363" spans="21:47" s="28" customFormat="1" x14ac:dyDescent="0.25">
      <c r="U363" s="103">
        <f t="shared" si="10"/>
        <v>0</v>
      </c>
      <c r="Y363" s="98"/>
      <c r="AU363" s="103">
        <f t="shared" si="11"/>
        <v>0</v>
      </c>
    </row>
    <row r="364" spans="21:47" s="28" customFormat="1" x14ac:dyDescent="0.25">
      <c r="U364" s="103">
        <f t="shared" si="10"/>
        <v>0</v>
      </c>
      <c r="Y364" s="98"/>
      <c r="AU364" s="103">
        <f t="shared" si="11"/>
        <v>0</v>
      </c>
    </row>
    <row r="365" spans="21:47" s="28" customFormat="1" x14ac:dyDescent="0.25">
      <c r="U365" s="103">
        <f t="shared" si="10"/>
        <v>0</v>
      </c>
      <c r="Y365" s="98"/>
      <c r="AU365" s="103">
        <f t="shared" si="11"/>
        <v>0</v>
      </c>
    </row>
    <row r="366" spans="21:47" s="28" customFormat="1" x14ac:dyDescent="0.25">
      <c r="U366" s="103">
        <f t="shared" si="10"/>
        <v>0</v>
      </c>
      <c r="Y366" s="98"/>
      <c r="AU366" s="103">
        <f t="shared" si="11"/>
        <v>0</v>
      </c>
    </row>
    <row r="367" spans="21:47" s="28" customFormat="1" x14ac:dyDescent="0.25">
      <c r="U367" s="103">
        <f t="shared" si="10"/>
        <v>0</v>
      </c>
      <c r="Y367" s="98"/>
      <c r="AU367" s="103">
        <f t="shared" si="11"/>
        <v>0</v>
      </c>
    </row>
    <row r="368" spans="21:47" s="28" customFormat="1" x14ac:dyDescent="0.25">
      <c r="U368" s="103">
        <f t="shared" si="10"/>
        <v>0</v>
      </c>
      <c r="Y368" s="98"/>
      <c r="AU368" s="103">
        <f t="shared" si="11"/>
        <v>0</v>
      </c>
    </row>
    <row r="369" spans="21:47" s="28" customFormat="1" x14ac:dyDescent="0.25">
      <c r="U369" s="103">
        <f t="shared" si="10"/>
        <v>0</v>
      </c>
      <c r="Y369" s="98"/>
      <c r="AU369" s="103">
        <f t="shared" si="11"/>
        <v>0</v>
      </c>
    </row>
    <row r="370" spans="21:47" s="28" customFormat="1" x14ac:dyDescent="0.25">
      <c r="U370" s="103">
        <f t="shared" si="10"/>
        <v>0</v>
      </c>
      <c r="Y370" s="98"/>
      <c r="AU370" s="103">
        <f t="shared" si="11"/>
        <v>0</v>
      </c>
    </row>
    <row r="371" spans="21:47" s="28" customFormat="1" x14ac:dyDescent="0.25">
      <c r="U371" s="103">
        <f t="shared" si="10"/>
        <v>0</v>
      </c>
      <c r="Y371" s="98"/>
      <c r="AU371" s="103">
        <f t="shared" si="11"/>
        <v>0</v>
      </c>
    </row>
    <row r="372" spans="21:47" s="28" customFormat="1" x14ac:dyDescent="0.25">
      <c r="U372" s="103">
        <f t="shared" si="10"/>
        <v>0</v>
      </c>
      <c r="Y372" s="98"/>
      <c r="AU372" s="103">
        <f t="shared" si="11"/>
        <v>0</v>
      </c>
    </row>
    <row r="373" spans="21:47" s="28" customFormat="1" x14ac:dyDescent="0.25">
      <c r="U373" s="103">
        <f t="shared" si="10"/>
        <v>0</v>
      </c>
      <c r="Y373" s="98"/>
      <c r="AU373" s="103">
        <f t="shared" si="11"/>
        <v>0</v>
      </c>
    </row>
    <row r="374" spans="21:47" s="28" customFormat="1" x14ac:dyDescent="0.25">
      <c r="U374" s="103">
        <f t="shared" si="10"/>
        <v>0</v>
      </c>
      <c r="Y374" s="98"/>
      <c r="AU374" s="103">
        <f t="shared" si="11"/>
        <v>0</v>
      </c>
    </row>
    <row r="375" spans="21:47" s="28" customFormat="1" x14ac:dyDescent="0.25">
      <c r="U375" s="103">
        <f t="shared" si="10"/>
        <v>0</v>
      </c>
      <c r="Y375" s="98"/>
      <c r="AU375" s="103">
        <f t="shared" si="11"/>
        <v>0</v>
      </c>
    </row>
    <row r="376" spans="21:47" s="28" customFormat="1" x14ac:dyDescent="0.25">
      <c r="U376" s="103">
        <f t="shared" si="10"/>
        <v>0</v>
      </c>
      <c r="Y376" s="98"/>
      <c r="AU376" s="103">
        <f t="shared" si="11"/>
        <v>0</v>
      </c>
    </row>
    <row r="377" spans="21:47" s="28" customFormat="1" x14ac:dyDescent="0.25">
      <c r="U377" s="103">
        <f t="shared" si="10"/>
        <v>0</v>
      </c>
      <c r="Y377" s="98"/>
      <c r="AU377" s="103">
        <f t="shared" si="11"/>
        <v>0</v>
      </c>
    </row>
    <row r="378" spans="21:47" s="28" customFormat="1" x14ac:dyDescent="0.25">
      <c r="U378" s="103">
        <f t="shared" si="10"/>
        <v>0</v>
      </c>
      <c r="Y378" s="98"/>
      <c r="AU378" s="103">
        <f t="shared" si="11"/>
        <v>0</v>
      </c>
    </row>
    <row r="379" spans="21:47" s="28" customFormat="1" x14ac:dyDescent="0.25">
      <c r="U379" s="103">
        <f t="shared" si="10"/>
        <v>0</v>
      </c>
      <c r="Y379" s="98"/>
      <c r="AU379" s="103">
        <f t="shared" si="11"/>
        <v>0</v>
      </c>
    </row>
    <row r="380" spans="21:47" s="28" customFormat="1" x14ac:dyDescent="0.25">
      <c r="U380" s="103">
        <f t="shared" si="10"/>
        <v>0</v>
      </c>
      <c r="Y380" s="98"/>
      <c r="AU380" s="103">
        <f t="shared" si="11"/>
        <v>0</v>
      </c>
    </row>
    <row r="381" spans="21:47" s="28" customFormat="1" x14ac:dyDescent="0.25">
      <c r="U381" s="103">
        <f t="shared" si="10"/>
        <v>0</v>
      </c>
      <c r="Y381" s="98"/>
      <c r="AU381" s="103">
        <f t="shared" si="11"/>
        <v>0</v>
      </c>
    </row>
    <row r="382" spans="21:47" s="28" customFormat="1" x14ac:dyDescent="0.25">
      <c r="U382" s="103">
        <f t="shared" si="10"/>
        <v>0</v>
      </c>
      <c r="Y382" s="98"/>
      <c r="AU382" s="103">
        <f t="shared" si="11"/>
        <v>0</v>
      </c>
    </row>
    <row r="383" spans="21:47" s="28" customFormat="1" x14ac:dyDescent="0.25">
      <c r="U383" s="103">
        <f t="shared" si="10"/>
        <v>0</v>
      </c>
      <c r="Y383" s="98"/>
      <c r="AU383" s="103">
        <f t="shared" si="11"/>
        <v>0</v>
      </c>
    </row>
    <row r="384" spans="21:47" s="28" customFormat="1" x14ac:dyDescent="0.25">
      <c r="U384" s="103">
        <f t="shared" si="10"/>
        <v>0</v>
      </c>
      <c r="Y384" s="98"/>
      <c r="AU384" s="103">
        <f t="shared" si="11"/>
        <v>0</v>
      </c>
    </row>
    <row r="385" spans="21:47" s="28" customFormat="1" x14ac:dyDescent="0.25">
      <c r="U385" s="103">
        <f t="shared" si="10"/>
        <v>0</v>
      </c>
      <c r="Y385" s="98"/>
      <c r="AU385" s="103">
        <f t="shared" si="11"/>
        <v>0</v>
      </c>
    </row>
    <row r="386" spans="21:47" s="28" customFormat="1" x14ac:dyDescent="0.25">
      <c r="U386" s="103">
        <f t="shared" si="10"/>
        <v>0</v>
      </c>
      <c r="Y386" s="98"/>
      <c r="AU386" s="103">
        <f t="shared" si="11"/>
        <v>0</v>
      </c>
    </row>
    <row r="387" spans="21:47" s="28" customFormat="1" x14ac:dyDescent="0.25">
      <c r="U387" s="103">
        <f t="shared" si="10"/>
        <v>0</v>
      </c>
      <c r="Y387" s="98"/>
      <c r="AU387" s="103">
        <f t="shared" si="11"/>
        <v>0</v>
      </c>
    </row>
    <row r="388" spans="21:47" s="28" customFormat="1" x14ac:dyDescent="0.25">
      <c r="U388" s="103">
        <f t="shared" si="10"/>
        <v>0</v>
      </c>
      <c r="Y388" s="98"/>
      <c r="AU388" s="103">
        <f t="shared" si="11"/>
        <v>0</v>
      </c>
    </row>
    <row r="389" spans="21:47" s="28" customFormat="1" x14ac:dyDescent="0.25">
      <c r="U389" s="103">
        <f t="shared" si="10"/>
        <v>0</v>
      </c>
      <c r="Y389" s="98"/>
      <c r="AU389" s="103">
        <f t="shared" si="11"/>
        <v>0</v>
      </c>
    </row>
    <row r="390" spans="21:47" s="28" customFormat="1" x14ac:dyDescent="0.25">
      <c r="U390" s="103">
        <f t="shared" si="10"/>
        <v>0</v>
      </c>
      <c r="Y390" s="98"/>
      <c r="AU390" s="103">
        <f t="shared" si="11"/>
        <v>0</v>
      </c>
    </row>
    <row r="391" spans="21:47" s="28" customFormat="1" x14ac:dyDescent="0.25">
      <c r="U391" s="103">
        <f t="shared" si="10"/>
        <v>0</v>
      </c>
      <c r="Y391" s="98"/>
      <c r="AU391" s="103">
        <f t="shared" si="11"/>
        <v>0</v>
      </c>
    </row>
    <row r="392" spans="21:47" s="28" customFormat="1" x14ac:dyDescent="0.25">
      <c r="U392" s="103">
        <f t="shared" si="10"/>
        <v>0</v>
      </c>
      <c r="Y392" s="98"/>
      <c r="AU392" s="103">
        <f t="shared" si="11"/>
        <v>0</v>
      </c>
    </row>
    <row r="393" spans="21:47" s="28" customFormat="1" x14ac:dyDescent="0.25">
      <c r="U393" s="103">
        <f t="shared" si="10"/>
        <v>0</v>
      </c>
      <c r="Y393" s="98"/>
      <c r="AU393" s="103">
        <f t="shared" si="11"/>
        <v>0</v>
      </c>
    </row>
    <row r="394" spans="21:47" s="28" customFormat="1" x14ac:dyDescent="0.25">
      <c r="U394" s="103">
        <f t="shared" si="10"/>
        <v>0</v>
      </c>
      <c r="Y394" s="98"/>
      <c r="AU394" s="103">
        <f t="shared" si="11"/>
        <v>0</v>
      </c>
    </row>
    <row r="395" spans="21:47" s="28" customFormat="1" x14ac:dyDescent="0.25">
      <c r="U395" s="103">
        <f t="shared" si="10"/>
        <v>0</v>
      </c>
      <c r="Y395" s="98"/>
      <c r="AU395" s="103">
        <f t="shared" si="11"/>
        <v>0</v>
      </c>
    </row>
    <row r="396" spans="21:47" s="28" customFormat="1" x14ac:dyDescent="0.25">
      <c r="U396" s="103">
        <f t="shared" si="10"/>
        <v>0</v>
      </c>
      <c r="Y396" s="98"/>
      <c r="AU396" s="103">
        <f t="shared" si="11"/>
        <v>0</v>
      </c>
    </row>
    <row r="397" spans="21:47" s="28" customFormat="1" x14ac:dyDescent="0.25">
      <c r="U397" s="103">
        <f t="shared" si="10"/>
        <v>0</v>
      </c>
      <c r="Y397" s="98"/>
      <c r="AU397" s="103">
        <f t="shared" si="11"/>
        <v>0</v>
      </c>
    </row>
    <row r="398" spans="21:47" s="28" customFormat="1" x14ac:dyDescent="0.25">
      <c r="U398" s="103">
        <f t="shared" si="10"/>
        <v>0</v>
      </c>
      <c r="Y398" s="98"/>
      <c r="AU398" s="103">
        <f t="shared" si="11"/>
        <v>0</v>
      </c>
    </row>
    <row r="399" spans="21:47" s="28" customFormat="1" x14ac:dyDescent="0.25">
      <c r="U399" s="103">
        <f t="shared" si="10"/>
        <v>0</v>
      </c>
      <c r="Y399" s="98"/>
      <c r="AU399" s="103">
        <f t="shared" si="11"/>
        <v>0</v>
      </c>
    </row>
    <row r="400" spans="21:47" s="28" customFormat="1" x14ac:dyDescent="0.25">
      <c r="U400" s="103">
        <f t="shared" si="10"/>
        <v>0</v>
      </c>
      <c r="Y400" s="98"/>
      <c r="AU400" s="103">
        <f t="shared" si="11"/>
        <v>0</v>
      </c>
    </row>
    <row r="401" spans="21:47" s="28" customFormat="1" x14ac:dyDescent="0.25">
      <c r="U401" s="103">
        <f t="shared" si="10"/>
        <v>0</v>
      </c>
      <c r="Y401" s="98"/>
      <c r="AU401" s="103">
        <f t="shared" si="11"/>
        <v>0</v>
      </c>
    </row>
    <row r="402" spans="21:47" s="28" customFormat="1" x14ac:dyDescent="0.25">
      <c r="U402" s="103">
        <f t="shared" si="10"/>
        <v>0</v>
      </c>
      <c r="Y402" s="98"/>
      <c r="AU402" s="103">
        <f t="shared" si="11"/>
        <v>0</v>
      </c>
    </row>
    <row r="403" spans="21:47" s="28" customFormat="1" x14ac:dyDescent="0.25">
      <c r="U403" s="103">
        <f t="shared" si="10"/>
        <v>0</v>
      </c>
      <c r="Y403" s="98"/>
      <c r="AU403" s="103">
        <f t="shared" si="11"/>
        <v>0</v>
      </c>
    </row>
    <row r="404" spans="21:47" s="28" customFormat="1" x14ac:dyDescent="0.25">
      <c r="U404" s="103">
        <f t="shared" si="10"/>
        <v>0</v>
      </c>
      <c r="Y404" s="98"/>
      <c r="AU404" s="103">
        <f t="shared" si="11"/>
        <v>0</v>
      </c>
    </row>
    <row r="405" spans="21:47" s="28" customFormat="1" x14ac:dyDescent="0.25">
      <c r="U405" s="103">
        <f t="shared" si="10"/>
        <v>0</v>
      </c>
      <c r="Y405" s="98"/>
      <c r="AU405" s="103">
        <f t="shared" si="11"/>
        <v>0</v>
      </c>
    </row>
    <row r="406" spans="21:47" s="28" customFormat="1" x14ac:dyDescent="0.25">
      <c r="U406" s="103">
        <f t="shared" ref="U406:U469" si="12">IF(R406="TruePositive",IF(D406&lt;&gt;1,N406,0),0)</f>
        <v>0</v>
      </c>
      <c r="Y406" s="98"/>
      <c r="AU406" s="103">
        <f t="shared" ref="AU406:AU469" si="13">IF(AQ406="TruePositive",IF(AC406&lt;&gt;1,AM406,0),0)</f>
        <v>0</v>
      </c>
    </row>
    <row r="407" spans="21:47" s="28" customFormat="1" x14ac:dyDescent="0.25">
      <c r="U407" s="103">
        <f t="shared" si="12"/>
        <v>0</v>
      </c>
      <c r="Y407" s="98"/>
      <c r="AU407" s="103">
        <f t="shared" si="13"/>
        <v>0</v>
      </c>
    </row>
    <row r="408" spans="21:47" s="28" customFormat="1" x14ac:dyDescent="0.25">
      <c r="U408" s="103">
        <f t="shared" si="12"/>
        <v>0</v>
      </c>
      <c r="Y408" s="98"/>
      <c r="AU408" s="103">
        <f t="shared" si="13"/>
        <v>0</v>
      </c>
    </row>
    <row r="409" spans="21:47" s="28" customFormat="1" x14ac:dyDescent="0.25">
      <c r="U409" s="103">
        <f t="shared" si="12"/>
        <v>0</v>
      </c>
      <c r="Y409" s="98"/>
      <c r="AU409" s="103">
        <f t="shared" si="13"/>
        <v>0</v>
      </c>
    </row>
    <row r="410" spans="21:47" s="28" customFormat="1" x14ac:dyDescent="0.25">
      <c r="U410" s="103">
        <f t="shared" si="12"/>
        <v>0</v>
      </c>
      <c r="Y410" s="98"/>
      <c r="AU410" s="103">
        <f t="shared" si="13"/>
        <v>0</v>
      </c>
    </row>
    <row r="411" spans="21:47" s="28" customFormat="1" x14ac:dyDescent="0.25">
      <c r="U411" s="103">
        <f t="shared" si="12"/>
        <v>0</v>
      </c>
      <c r="Y411" s="98"/>
      <c r="AU411" s="103">
        <f t="shared" si="13"/>
        <v>0</v>
      </c>
    </row>
    <row r="412" spans="21:47" s="28" customFormat="1" x14ac:dyDescent="0.25">
      <c r="U412" s="103">
        <f t="shared" si="12"/>
        <v>0</v>
      </c>
      <c r="Y412" s="98"/>
      <c r="AU412" s="103">
        <f t="shared" si="13"/>
        <v>0</v>
      </c>
    </row>
    <row r="413" spans="21:47" s="28" customFormat="1" x14ac:dyDescent="0.25">
      <c r="U413" s="103">
        <f t="shared" si="12"/>
        <v>0</v>
      </c>
      <c r="Y413" s="98"/>
      <c r="AU413" s="103">
        <f t="shared" si="13"/>
        <v>0</v>
      </c>
    </row>
    <row r="414" spans="21:47" s="28" customFormat="1" x14ac:dyDescent="0.25">
      <c r="U414" s="103">
        <f t="shared" si="12"/>
        <v>0</v>
      </c>
      <c r="Y414" s="98"/>
      <c r="AU414" s="103">
        <f t="shared" si="13"/>
        <v>0</v>
      </c>
    </row>
    <row r="415" spans="21:47" s="28" customFormat="1" x14ac:dyDescent="0.25">
      <c r="U415" s="103">
        <f t="shared" si="12"/>
        <v>0</v>
      </c>
      <c r="Y415" s="98"/>
      <c r="AU415" s="103">
        <f t="shared" si="13"/>
        <v>0</v>
      </c>
    </row>
    <row r="416" spans="21:47" s="28" customFormat="1" x14ac:dyDescent="0.25">
      <c r="U416" s="103">
        <f t="shared" si="12"/>
        <v>0</v>
      </c>
      <c r="Y416" s="98"/>
      <c r="AU416" s="103">
        <f t="shared" si="13"/>
        <v>0</v>
      </c>
    </row>
    <row r="417" spans="21:47" s="28" customFormat="1" x14ac:dyDescent="0.25">
      <c r="U417" s="103">
        <f t="shared" si="12"/>
        <v>0</v>
      </c>
      <c r="Y417" s="98"/>
      <c r="AU417" s="103">
        <f t="shared" si="13"/>
        <v>0</v>
      </c>
    </row>
    <row r="418" spans="21:47" s="28" customFormat="1" x14ac:dyDescent="0.25">
      <c r="U418" s="103">
        <f t="shared" si="12"/>
        <v>0</v>
      </c>
      <c r="Y418" s="98"/>
      <c r="AU418" s="103">
        <f t="shared" si="13"/>
        <v>0</v>
      </c>
    </row>
    <row r="419" spans="21:47" s="28" customFormat="1" x14ac:dyDescent="0.25">
      <c r="U419" s="103">
        <f t="shared" si="12"/>
        <v>0</v>
      </c>
      <c r="Y419" s="98"/>
      <c r="AU419" s="103">
        <f t="shared" si="13"/>
        <v>0</v>
      </c>
    </row>
    <row r="420" spans="21:47" s="28" customFormat="1" x14ac:dyDescent="0.25">
      <c r="U420" s="103">
        <f t="shared" si="12"/>
        <v>0</v>
      </c>
      <c r="Y420" s="98"/>
      <c r="AU420" s="103">
        <f t="shared" si="13"/>
        <v>0</v>
      </c>
    </row>
    <row r="421" spans="21:47" s="28" customFormat="1" x14ac:dyDescent="0.25">
      <c r="U421" s="103">
        <f t="shared" si="12"/>
        <v>0</v>
      </c>
      <c r="Y421" s="98"/>
      <c r="AU421" s="103">
        <f t="shared" si="13"/>
        <v>0</v>
      </c>
    </row>
    <row r="422" spans="21:47" s="28" customFormat="1" x14ac:dyDescent="0.25">
      <c r="U422" s="103">
        <f t="shared" si="12"/>
        <v>0</v>
      </c>
      <c r="Y422" s="98"/>
      <c r="AU422" s="103">
        <f t="shared" si="13"/>
        <v>0</v>
      </c>
    </row>
    <row r="423" spans="21:47" s="28" customFormat="1" x14ac:dyDescent="0.25">
      <c r="U423" s="103">
        <f t="shared" si="12"/>
        <v>0</v>
      </c>
      <c r="Y423" s="98"/>
      <c r="AU423" s="103">
        <f t="shared" si="13"/>
        <v>0</v>
      </c>
    </row>
    <row r="424" spans="21:47" s="28" customFormat="1" x14ac:dyDescent="0.25">
      <c r="U424" s="103">
        <f t="shared" si="12"/>
        <v>0</v>
      </c>
      <c r="Y424" s="98"/>
      <c r="AU424" s="103">
        <f t="shared" si="13"/>
        <v>0</v>
      </c>
    </row>
    <row r="425" spans="21:47" s="28" customFormat="1" x14ac:dyDescent="0.25">
      <c r="U425" s="103">
        <f t="shared" si="12"/>
        <v>0</v>
      </c>
      <c r="Y425" s="98"/>
      <c r="AU425" s="103">
        <f t="shared" si="13"/>
        <v>0</v>
      </c>
    </row>
    <row r="426" spans="21:47" s="28" customFormat="1" x14ac:dyDescent="0.25">
      <c r="U426" s="103">
        <f t="shared" si="12"/>
        <v>0</v>
      </c>
      <c r="Y426" s="98"/>
      <c r="AU426" s="103">
        <f t="shared" si="13"/>
        <v>0</v>
      </c>
    </row>
    <row r="427" spans="21:47" s="28" customFormat="1" x14ac:dyDescent="0.25">
      <c r="U427" s="103">
        <f t="shared" si="12"/>
        <v>0</v>
      </c>
      <c r="Y427" s="98"/>
      <c r="AU427" s="103">
        <f t="shared" si="13"/>
        <v>0</v>
      </c>
    </row>
    <row r="428" spans="21:47" s="28" customFormat="1" x14ac:dyDescent="0.25">
      <c r="U428" s="103">
        <f t="shared" si="12"/>
        <v>0</v>
      </c>
      <c r="Y428" s="98"/>
      <c r="AU428" s="103">
        <f t="shared" si="13"/>
        <v>0</v>
      </c>
    </row>
    <row r="429" spans="21:47" s="28" customFormat="1" x14ac:dyDescent="0.25">
      <c r="U429" s="103">
        <f t="shared" si="12"/>
        <v>0</v>
      </c>
      <c r="Y429" s="98"/>
      <c r="AU429" s="103">
        <f t="shared" si="13"/>
        <v>0</v>
      </c>
    </row>
    <row r="430" spans="21:47" s="28" customFormat="1" x14ac:dyDescent="0.25">
      <c r="U430" s="103">
        <f t="shared" si="12"/>
        <v>0</v>
      </c>
      <c r="Y430" s="98"/>
      <c r="AU430" s="103">
        <f t="shared" si="13"/>
        <v>0</v>
      </c>
    </row>
    <row r="431" spans="21:47" s="28" customFormat="1" x14ac:dyDescent="0.25">
      <c r="U431" s="103">
        <f t="shared" si="12"/>
        <v>0</v>
      </c>
      <c r="Y431" s="98"/>
      <c r="AU431" s="103">
        <f t="shared" si="13"/>
        <v>0</v>
      </c>
    </row>
    <row r="432" spans="21:47" s="28" customFormat="1" x14ac:dyDescent="0.25">
      <c r="U432" s="103">
        <f t="shared" si="12"/>
        <v>0</v>
      </c>
      <c r="Y432" s="98"/>
      <c r="AU432" s="103">
        <f t="shared" si="13"/>
        <v>0</v>
      </c>
    </row>
    <row r="433" spans="21:47" s="28" customFormat="1" x14ac:dyDescent="0.25">
      <c r="U433" s="103">
        <f t="shared" si="12"/>
        <v>0</v>
      </c>
      <c r="Y433" s="98"/>
      <c r="AU433" s="103">
        <f t="shared" si="13"/>
        <v>0</v>
      </c>
    </row>
    <row r="434" spans="21:47" s="28" customFormat="1" x14ac:dyDescent="0.25">
      <c r="U434" s="103">
        <f t="shared" si="12"/>
        <v>0</v>
      </c>
      <c r="Y434" s="98"/>
      <c r="AU434" s="103">
        <f t="shared" si="13"/>
        <v>0</v>
      </c>
    </row>
    <row r="435" spans="21:47" s="28" customFormat="1" x14ac:dyDescent="0.25">
      <c r="U435" s="103">
        <f t="shared" si="12"/>
        <v>0</v>
      </c>
      <c r="Y435" s="98"/>
      <c r="AU435" s="103">
        <f t="shared" si="13"/>
        <v>0</v>
      </c>
    </row>
    <row r="436" spans="21:47" s="28" customFormat="1" x14ac:dyDescent="0.25">
      <c r="U436" s="103">
        <f t="shared" si="12"/>
        <v>0</v>
      </c>
      <c r="Y436" s="98"/>
      <c r="AU436" s="103">
        <f t="shared" si="13"/>
        <v>0</v>
      </c>
    </row>
    <row r="437" spans="21:47" s="28" customFormat="1" x14ac:dyDescent="0.25">
      <c r="U437" s="103">
        <f t="shared" si="12"/>
        <v>0</v>
      </c>
      <c r="Y437" s="98"/>
      <c r="AU437" s="103">
        <f t="shared" si="13"/>
        <v>0</v>
      </c>
    </row>
    <row r="438" spans="21:47" s="28" customFormat="1" x14ac:dyDescent="0.25">
      <c r="U438" s="103">
        <f t="shared" si="12"/>
        <v>0</v>
      </c>
      <c r="Y438" s="98"/>
      <c r="AU438" s="103">
        <f t="shared" si="13"/>
        <v>0</v>
      </c>
    </row>
    <row r="439" spans="21:47" s="28" customFormat="1" x14ac:dyDescent="0.25">
      <c r="U439" s="103">
        <f t="shared" si="12"/>
        <v>0</v>
      </c>
      <c r="Y439" s="98"/>
      <c r="AU439" s="103">
        <f t="shared" si="13"/>
        <v>0</v>
      </c>
    </row>
    <row r="440" spans="21:47" s="28" customFormat="1" x14ac:dyDescent="0.25">
      <c r="U440" s="103">
        <f t="shared" si="12"/>
        <v>0</v>
      </c>
      <c r="Y440" s="98"/>
      <c r="AU440" s="103">
        <f t="shared" si="13"/>
        <v>0</v>
      </c>
    </row>
    <row r="441" spans="21:47" s="28" customFormat="1" x14ac:dyDescent="0.25">
      <c r="U441" s="103">
        <f t="shared" si="12"/>
        <v>0</v>
      </c>
      <c r="Y441" s="98"/>
      <c r="AU441" s="103">
        <f t="shared" si="13"/>
        <v>0</v>
      </c>
    </row>
    <row r="442" spans="21:47" s="28" customFormat="1" x14ac:dyDescent="0.25">
      <c r="U442" s="103">
        <f t="shared" si="12"/>
        <v>0</v>
      </c>
      <c r="Y442" s="98"/>
      <c r="AU442" s="103">
        <f t="shared" si="13"/>
        <v>0</v>
      </c>
    </row>
    <row r="443" spans="21:47" s="28" customFormat="1" x14ac:dyDescent="0.25">
      <c r="U443" s="103">
        <f t="shared" si="12"/>
        <v>0</v>
      </c>
      <c r="Y443" s="98"/>
      <c r="AU443" s="103">
        <f t="shared" si="13"/>
        <v>0</v>
      </c>
    </row>
    <row r="444" spans="21:47" s="28" customFormat="1" x14ac:dyDescent="0.25">
      <c r="U444" s="103">
        <f t="shared" si="12"/>
        <v>0</v>
      </c>
      <c r="Y444" s="98"/>
      <c r="AU444" s="103">
        <f t="shared" si="13"/>
        <v>0</v>
      </c>
    </row>
    <row r="445" spans="21:47" s="28" customFormat="1" x14ac:dyDescent="0.25">
      <c r="U445" s="103">
        <f t="shared" si="12"/>
        <v>0</v>
      </c>
      <c r="Y445" s="98"/>
      <c r="AU445" s="103">
        <f t="shared" si="13"/>
        <v>0</v>
      </c>
    </row>
    <row r="446" spans="21:47" s="28" customFormat="1" x14ac:dyDescent="0.25">
      <c r="U446" s="103">
        <f t="shared" si="12"/>
        <v>0</v>
      </c>
      <c r="Y446" s="98"/>
      <c r="AU446" s="103">
        <f t="shared" si="13"/>
        <v>0</v>
      </c>
    </row>
    <row r="447" spans="21:47" s="28" customFormat="1" x14ac:dyDescent="0.25">
      <c r="U447" s="103">
        <f t="shared" si="12"/>
        <v>0</v>
      </c>
      <c r="Y447" s="98"/>
      <c r="AU447" s="103">
        <f t="shared" si="13"/>
        <v>0</v>
      </c>
    </row>
    <row r="448" spans="21:47" s="28" customFormat="1" x14ac:dyDescent="0.25">
      <c r="U448" s="103">
        <f t="shared" si="12"/>
        <v>0</v>
      </c>
      <c r="Y448" s="98"/>
      <c r="AU448" s="103">
        <f t="shared" si="13"/>
        <v>0</v>
      </c>
    </row>
    <row r="449" spans="21:47" s="28" customFormat="1" x14ac:dyDescent="0.25">
      <c r="U449" s="103">
        <f t="shared" si="12"/>
        <v>0</v>
      </c>
      <c r="Y449" s="98"/>
      <c r="AU449" s="103">
        <f t="shared" si="13"/>
        <v>0</v>
      </c>
    </row>
    <row r="450" spans="21:47" s="28" customFormat="1" x14ac:dyDescent="0.25">
      <c r="U450" s="103">
        <f t="shared" si="12"/>
        <v>0</v>
      </c>
      <c r="Y450" s="98"/>
      <c r="AU450" s="103">
        <f t="shared" si="13"/>
        <v>0</v>
      </c>
    </row>
    <row r="451" spans="21:47" s="28" customFormat="1" x14ac:dyDescent="0.25">
      <c r="U451" s="103">
        <f t="shared" si="12"/>
        <v>0</v>
      </c>
      <c r="Y451" s="98"/>
      <c r="AU451" s="103">
        <f t="shared" si="13"/>
        <v>0</v>
      </c>
    </row>
    <row r="452" spans="21:47" s="28" customFormat="1" x14ac:dyDescent="0.25">
      <c r="U452" s="103">
        <f t="shared" si="12"/>
        <v>0</v>
      </c>
      <c r="Y452" s="98"/>
      <c r="AU452" s="103">
        <f t="shared" si="13"/>
        <v>0</v>
      </c>
    </row>
    <row r="453" spans="21:47" s="28" customFormat="1" x14ac:dyDescent="0.25">
      <c r="U453" s="103">
        <f t="shared" si="12"/>
        <v>0</v>
      </c>
      <c r="Y453" s="98"/>
      <c r="AU453" s="103">
        <f t="shared" si="13"/>
        <v>0</v>
      </c>
    </row>
    <row r="454" spans="21:47" s="28" customFormat="1" x14ac:dyDescent="0.25">
      <c r="U454" s="103">
        <f t="shared" si="12"/>
        <v>0</v>
      </c>
      <c r="Y454" s="98"/>
      <c r="AU454" s="103">
        <f t="shared" si="13"/>
        <v>0</v>
      </c>
    </row>
    <row r="455" spans="21:47" s="28" customFormat="1" x14ac:dyDescent="0.25">
      <c r="U455" s="103">
        <f t="shared" si="12"/>
        <v>0</v>
      </c>
      <c r="Y455" s="98"/>
      <c r="AU455" s="103">
        <f t="shared" si="13"/>
        <v>0</v>
      </c>
    </row>
    <row r="456" spans="21:47" s="28" customFormat="1" x14ac:dyDescent="0.25">
      <c r="U456" s="103">
        <f t="shared" si="12"/>
        <v>0</v>
      </c>
      <c r="Y456" s="98"/>
      <c r="AU456" s="103">
        <f t="shared" si="13"/>
        <v>0</v>
      </c>
    </row>
    <row r="457" spans="21:47" s="28" customFormat="1" x14ac:dyDescent="0.25">
      <c r="U457" s="103">
        <f t="shared" si="12"/>
        <v>0</v>
      </c>
      <c r="Y457" s="98"/>
      <c r="AU457" s="103">
        <f t="shared" si="13"/>
        <v>0</v>
      </c>
    </row>
    <row r="458" spans="21:47" s="28" customFormat="1" x14ac:dyDescent="0.25">
      <c r="U458" s="103">
        <f t="shared" si="12"/>
        <v>0</v>
      </c>
      <c r="Y458" s="98"/>
      <c r="AU458" s="103">
        <f t="shared" si="13"/>
        <v>0</v>
      </c>
    </row>
    <row r="459" spans="21:47" s="28" customFormat="1" x14ac:dyDescent="0.25">
      <c r="U459" s="103">
        <f t="shared" si="12"/>
        <v>0</v>
      </c>
      <c r="Y459" s="98"/>
      <c r="AU459" s="103">
        <f t="shared" si="13"/>
        <v>0</v>
      </c>
    </row>
    <row r="460" spans="21:47" s="28" customFormat="1" x14ac:dyDescent="0.25">
      <c r="U460" s="103">
        <f t="shared" si="12"/>
        <v>0</v>
      </c>
      <c r="Y460" s="98"/>
      <c r="AU460" s="103">
        <f t="shared" si="13"/>
        <v>0</v>
      </c>
    </row>
    <row r="461" spans="21:47" s="28" customFormat="1" x14ac:dyDescent="0.25">
      <c r="U461" s="103">
        <f t="shared" si="12"/>
        <v>0</v>
      </c>
      <c r="Y461" s="98"/>
      <c r="AU461" s="103">
        <f t="shared" si="13"/>
        <v>0</v>
      </c>
    </row>
    <row r="462" spans="21:47" s="28" customFormat="1" x14ac:dyDescent="0.25">
      <c r="U462" s="103">
        <f t="shared" si="12"/>
        <v>0</v>
      </c>
      <c r="Y462" s="98"/>
      <c r="AU462" s="103">
        <f t="shared" si="13"/>
        <v>0</v>
      </c>
    </row>
    <row r="463" spans="21:47" s="28" customFormat="1" x14ac:dyDescent="0.25">
      <c r="U463" s="103">
        <f t="shared" si="12"/>
        <v>0</v>
      </c>
      <c r="Y463" s="98"/>
      <c r="AU463" s="103">
        <f t="shared" si="13"/>
        <v>0</v>
      </c>
    </row>
    <row r="464" spans="21:47" s="28" customFormat="1" x14ac:dyDescent="0.25">
      <c r="U464" s="103">
        <f t="shared" si="12"/>
        <v>0</v>
      </c>
      <c r="Y464" s="98"/>
      <c r="AU464" s="103">
        <f t="shared" si="13"/>
        <v>0</v>
      </c>
    </row>
    <row r="465" spans="21:47" s="28" customFormat="1" x14ac:dyDescent="0.25">
      <c r="U465" s="103">
        <f t="shared" si="12"/>
        <v>0</v>
      </c>
      <c r="Y465" s="98"/>
      <c r="AU465" s="103">
        <f t="shared" si="13"/>
        <v>0</v>
      </c>
    </row>
    <row r="466" spans="21:47" s="28" customFormat="1" x14ac:dyDescent="0.25">
      <c r="U466" s="103">
        <f t="shared" si="12"/>
        <v>0</v>
      </c>
      <c r="Y466" s="98"/>
      <c r="AU466" s="103">
        <f t="shared" si="13"/>
        <v>0</v>
      </c>
    </row>
    <row r="467" spans="21:47" s="28" customFormat="1" x14ac:dyDescent="0.25">
      <c r="U467" s="103">
        <f t="shared" si="12"/>
        <v>0</v>
      </c>
      <c r="Y467" s="98"/>
      <c r="AU467" s="103">
        <f t="shared" si="13"/>
        <v>0</v>
      </c>
    </row>
    <row r="468" spans="21:47" s="28" customFormat="1" x14ac:dyDescent="0.25">
      <c r="U468" s="103">
        <f t="shared" si="12"/>
        <v>0</v>
      </c>
      <c r="Y468" s="98"/>
      <c r="AU468" s="103">
        <f t="shared" si="13"/>
        <v>0</v>
      </c>
    </row>
    <row r="469" spans="21:47" s="28" customFormat="1" x14ac:dyDescent="0.25">
      <c r="U469" s="103">
        <f t="shared" si="12"/>
        <v>0</v>
      </c>
      <c r="Y469" s="98"/>
      <c r="AU469" s="103">
        <f t="shared" si="13"/>
        <v>0</v>
      </c>
    </row>
    <row r="470" spans="21:47" s="28" customFormat="1" x14ac:dyDescent="0.25">
      <c r="U470" s="103">
        <f t="shared" ref="U470:U533" si="14">IF(R470="TruePositive",IF(D470&lt;&gt;1,N470,0),0)</f>
        <v>0</v>
      </c>
      <c r="Y470" s="98"/>
      <c r="AU470" s="103">
        <f t="shared" ref="AU470:AU533" si="15">IF(AQ470="TruePositive",IF(AC470&lt;&gt;1,AM470,0),0)</f>
        <v>0</v>
      </c>
    </row>
    <row r="471" spans="21:47" s="28" customFormat="1" x14ac:dyDescent="0.25">
      <c r="U471" s="103">
        <f t="shared" si="14"/>
        <v>0</v>
      </c>
      <c r="Y471" s="98"/>
      <c r="AU471" s="103">
        <f t="shared" si="15"/>
        <v>0</v>
      </c>
    </row>
    <row r="472" spans="21:47" s="28" customFormat="1" x14ac:dyDescent="0.25">
      <c r="U472" s="103">
        <f t="shared" si="14"/>
        <v>0</v>
      </c>
      <c r="Y472" s="98"/>
      <c r="AU472" s="103">
        <f t="shared" si="15"/>
        <v>0</v>
      </c>
    </row>
    <row r="473" spans="21:47" s="28" customFormat="1" x14ac:dyDescent="0.25">
      <c r="U473" s="103">
        <f t="shared" si="14"/>
        <v>0</v>
      </c>
      <c r="Y473" s="98"/>
      <c r="AU473" s="103">
        <f t="shared" si="15"/>
        <v>0</v>
      </c>
    </row>
    <row r="474" spans="21:47" s="28" customFormat="1" x14ac:dyDescent="0.25">
      <c r="U474" s="103">
        <f t="shared" si="14"/>
        <v>0</v>
      </c>
      <c r="Y474" s="98"/>
      <c r="AU474" s="103">
        <f t="shared" si="15"/>
        <v>0</v>
      </c>
    </row>
    <row r="475" spans="21:47" s="28" customFormat="1" x14ac:dyDescent="0.25">
      <c r="U475" s="103">
        <f t="shared" si="14"/>
        <v>0</v>
      </c>
      <c r="Y475" s="98"/>
      <c r="AU475" s="103">
        <f t="shared" si="15"/>
        <v>0</v>
      </c>
    </row>
    <row r="476" spans="21:47" s="28" customFormat="1" x14ac:dyDescent="0.25">
      <c r="U476" s="103">
        <f t="shared" si="14"/>
        <v>0</v>
      </c>
      <c r="Y476" s="98"/>
      <c r="AU476" s="103">
        <f t="shared" si="15"/>
        <v>0</v>
      </c>
    </row>
    <row r="477" spans="21:47" s="28" customFormat="1" x14ac:dyDescent="0.25">
      <c r="U477" s="103">
        <f t="shared" si="14"/>
        <v>0</v>
      </c>
      <c r="Y477" s="98"/>
      <c r="AU477" s="103">
        <f t="shared" si="15"/>
        <v>0</v>
      </c>
    </row>
    <row r="478" spans="21:47" s="28" customFormat="1" x14ac:dyDescent="0.25">
      <c r="U478" s="103">
        <f t="shared" si="14"/>
        <v>0</v>
      </c>
      <c r="Y478" s="98"/>
      <c r="AU478" s="103">
        <f t="shared" si="15"/>
        <v>0</v>
      </c>
    </row>
    <row r="479" spans="21:47" s="28" customFormat="1" x14ac:dyDescent="0.25">
      <c r="U479" s="103">
        <f t="shared" si="14"/>
        <v>0</v>
      </c>
      <c r="Y479" s="98"/>
      <c r="AU479" s="103">
        <f t="shared" si="15"/>
        <v>0</v>
      </c>
    </row>
    <row r="480" spans="21:47" s="28" customFormat="1" x14ac:dyDescent="0.25">
      <c r="U480" s="103">
        <f t="shared" si="14"/>
        <v>0</v>
      </c>
      <c r="Y480" s="98"/>
      <c r="AU480" s="103">
        <f t="shared" si="15"/>
        <v>0</v>
      </c>
    </row>
    <row r="481" spans="21:47" s="28" customFormat="1" x14ac:dyDescent="0.25">
      <c r="U481" s="103">
        <f t="shared" si="14"/>
        <v>0</v>
      </c>
      <c r="Y481" s="98"/>
      <c r="AU481" s="103">
        <f t="shared" si="15"/>
        <v>0</v>
      </c>
    </row>
    <row r="482" spans="21:47" s="28" customFormat="1" x14ac:dyDescent="0.25">
      <c r="U482" s="103">
        <f t="shared" si="14"/>
        <v>0</v>
      </c>
      <c r="Y482" s="98"/>
      <c r="AU482" s="103">
        <f t="shared" si="15"/>
        <v>0</v>
      </c>
    </row>
    <row r="483" spans="21:47" s="28" customFormat="1" x14ac:dyDescent="0.25">
      <c r="U483" s="103">
        <f t="shared" si="14"/>
        <v>0</v>
      </c>
      <c r="Y483" s="98"/>
      <c r="AU483" s="103">
        <f t="shared" si="15"/>
        <v>0</v>
      </c>
    </row>
    <row r="484" spans="21:47" s="28" customFormat="1" x14ac:dyDescent="0.25">
      <c r="U484" s="103">
        <f t="shared" si="14"/>
        <v>0</v>
      </c>
      <c r="Y484" s="98"/>
      <c r="AU484" s="103">
        <f t="shared" si="15"/>
        <v>0</v>
      </c>
    </row>
    <row r="485" spans="21:47" s="28" customFormat="1" x14ac:dyDescent="0.25">
      <c r="U485" s="103">
        <f t="shared" si="14"/>
        <v>0</v>
      </c>
      <c r="Y485" s="98"/>
      <c r="AU485" s="103">
        <f t="shared" si="15"/>
        <v>0</v>
      </c>
    </row>
    <row r="486" spans="21:47" s="28" customFormat="1" x14ac:dyDescent="0.25">
      <c r="U486" s="103">
        <f t="shared" si="14"/>
        <v>0</v>
      </c>
      <c r="Y486" s="98"/>
      <c r="AU486" s="103">
        <f t="shared" si="15"/>
        <v>0</v>
      </c>
    </row>
    <row r="487" spans="21:47" s="28" customFormat="1" x14ac:dyDescent="0.25">
      <c r="U487" s="103">
        <f t="shared" si="14"/>
        <v>0</v>
      </c>
      <c r="Y487" s="98"/>
      <c r="AU487" s="103">
        <f t="shared" si="15"/>
        <v>0</v>
      </c>
    </row>
    <row r="488" spans="21:47" s="28" customFormat="1" x14ac:dyDescent="0.25">
      <c r="U488" s="103">
        <f t="shared" si="14"/>
        <v>0</v>
      </c>
      <c r="Y488" s="98"/>
      <c r="AU488" s="103">
        <f t="shared" si="15"/>
        <v>0</v>
      </c>
    </row>
    <row r="489" spans="21:47" s="28" customFormat="1" x14ac:dyDescent="0.25">
      <c r="U489" s="103">
        <f t="shared" si="14"/>
        <v>0</v>
      </c>
      <c r="Y489" s="98"/>
      <c r="AU489" s="103">
        <f t="shared" si="15"/>
        <v>0</v>
      </c>
    </row>
    <row r="490" spans="21:47" s="28" customFormat="1" x14ac:dyDescent="0.25">
      <c r="U490" s="103">
        <f t="shared" si="14"/>
        <v>0</v>
      </c>
      <c r="Y490" s="98"/>
      <c r="AU490" s="103">
        <f t="shared" si="15"/>
        <v>0</v>
      </c>
    </row>
    <row r="491" spans="21:47" s="28" customFormat="1" x14ac:dyDescent="0.25">
      <c r="U491" s="103">
        <f t="shared" si="14"/>
        <v>0</v>
      </c>
      <c r="Y491" s="98"/>
      <c r="AU491" s="103">
        <f t="shared" si="15"/>
        <v>0</v>
      </c>
    </row>
    <row r="492" spans="21:47" s="28" customFormat="1" x14ac:dyDescent="0.25">
      <c r="U492" s="103">
        <f t="shared" si="14"/>
        <v>0</v>
      </c>
      <c r="Y492" s="98"/>
      <c r="AU492" s="103">
        <f t="shared" si="15"/>
        <v>0</v>
      </c>
    </row>
    <row r="493" spans="21:47" s="28" customFormat="1" x14ac:dyDescent="0.25">
      <c r="U493" s="103">
        <f t="shared" si="14"/>
        <v>0</v>
      </c>
      <c r="Y493" s="98"/>
      <c r="AU493" s="103">
        <f t="shared" si="15"/>
        <v>0</v>
      </c>
    </row>
    <row r="494" spans="21:47" s="28" customFormat="1" x14ac:dyDescent="0.25">
      <c r="U494" s="103">
        <f t="shared" si="14"/>
        <v>0</v>
      </c>
      <c r="Y494" s="98"/>
      <c r="AU494" s="103">
        <f t="shared" si="15"/>
        <v>0</v>
      </c>
    </row>
    <row r="495" spans="21:47" s="28" customFormat="1" x14ac:dyDescent="0.25">
      <c r="U495" s="103">
        <f t="shared" si="14"/>
        <v>0</v>
      </c>
      <c r="Y495" s="98"/>
      <c r="AU495" s="103">
        <f t="shared" si="15"/>
        <v>0</v>
      </c>
    </row>
    <row r="496" spans="21:47" s="28" customFormat="1" x14ac:dyDescent="0.25">
      <c r="U496" s="103">
        <f t="shared" si="14"/>
        <v>0</v>
      </c>
      <c r="Y496" s="98"/>
      <c r="AU496" s="103">
        <f t="shared" si="15"/>
        <v>0</v>
      </c>
    </row>
    <row r="497" spans="21:47" s="28" customFormat="1" x14ac:dyDescent="0.25">
      <c r="U497" s="103">
        <f t="shared" si="14"/>
        <v>0</v>
      </c>
      <c r="Y497" s="98"/>
      <c r="AU497" s="103">
        <f t="shared" si="15"/>
        <v>0</v>
      </c>
    </row>
    <row r="498" spans="21:47" s="28" customFormat="1" x14ac:dyDescent="0.25">
      <c r="U498" s="103">
        <f t="shared" si="14"/>
        <v>0</v>
      </c>
      <c r="Y498" s="98"/>
      <c r="AU498" s="103">
        <f t="shared" si="15"/>
        <v>0</v>
      </c>
    </row>
    <row r="499" spans="21:47" s="28" customFormat="1" x14ac:dyDescent="0.25">
      <c r="U499" s="103">
        <f t="shared" si="14"/>
        <v>0</v>
      </c>
      <c r="Y499" s="98"/>
      <c r="AU499" s="103">
        <f t="shared" si="15"/>
        <v>0</v>
      </c>
    </row>
    <row r="500" spans="21:47" s="28" customFormat="1" x14ac:dyDescent="0.25">
      <c r="U500" s="103">
        <f t="shared" si="14"/>
        <v>0</v>
      </c>
      <c r="Y500" s="98"/>
      <c r="AU500" s="103">
        <f t="shared" si="15"/>
        <v>0</v>
      </c>
    </row>
    <row r="501" spans="21:47" s="28" customFormat="1" x14ac:dyDescent="0.25">
      <c r="U501" s="103">
        <f t="shared" si="14"/>
        <v>0</v>
      </c>
      <c r="Y501" s="98"/>
      <c r="AU501" s="103">
        <f t="shared" si="15"/>
        <v>0</v>
      </c>
    </row>
    <row r="502" spans="21:47" s="28" customFormat="1" x14ac:dyDescent="0.25">
      <c r="U502" s="103">
        <f t="shared" si="14"/>
        <v>0</v>
      </c>
      <c r="Y502" s="98"/>
      <c r="AU502" s="103">
        <f t="shared" si="15"/>
        <v>0</v>
      </c>
    </row>
    <row r="503" spans="21:47" s="28" customFormat="1" x14ac:dyDescent="0.25">
      <c r="U503" s="103">
        <f t="shared" si="14"/>
        <v>0</v>
      </c>
      <c r="Y503" s="98"/>
      <c r="AU503" s="103">
        <f t="shared" si="15"/>
        <v>0</v>
      </c>
    </row>
    <row r="504" spans="21:47" s="28" customFormat="1" x14ac:dyDescent="0.25">
      <c r="U504" s="103">
        <f t="shared" si="14"/>
        <v>0</v>
      </c>
      <c r="Y504" s="98"/>
      <c r="AU504" s="103">
        <f t="shared" si="15"/>
        <v>0</v>
      </c>
    </row>
    <row r="505" spans="21:47" s="28" customFormat="1" x14ac:dyDescent="0.25">
      <c r="U505" s="103">
        <f t="shared" si="14"/>
        <v>0</v>
      </c>
      <c r="Y505" s="98"/>
      <c r="AU505" s="103">
        <f t="shared" si="15"/>
        <v>0</v>
      </c>
    </row>
    <row r="506" spans="21:47" s="28" customFormat="1" x14ac:dyDescent="0.25">
      <c r="U506" s="103">
        <f t="shared" si="14"/>
        <v>0</v>
      </c>
      <c r="Y506" s="98"/>
      <c r="AU506" s="103">
        <f t="shared" si="15"/>
        <v>0</v>
      </c>
    </row>
    <row r="507" spans="21:47" s="28" customFormat="1" x14ac:dyDescent="0.25">
      <c r="U507" s="103">
        <f t="shared" si="14"/>
        <v>0</v>
      </c>
      <c r="Y507" s="98"/>
      <c r="AU507" s="103">
        <f t="shared" si="15"/>
        <v>0</v>
      </c>
    </row>
    <row r="508" spans="21:47" s="28" customFormat="1" x14ac:dyDescent="0.25">
      <c r="U508" s="103">
        <f t="shared" si="14"/>
        <v>0</v>
      </c>
      <c r="Y508" s="98"/>
      <c r="AU508" s="103">
        <f t="shared" si="15"/>
        <v>0</v>
      </c>
    </row>
    <row r="509" spans="21:47" s="28" customFormat="1" x14ac:dyDescent="0.25">
      <c r="U509" s="103">
        <f t="shared" si="14"/>
        <v>0</v>
      </c>
      <c r="Y509" s="98"/>
      <c r="AU509" s="103">
        <f t="shared" si="15"/>
        <v>0</v>
      </c>
    </row>
    <row r="510" spans="21:47" s="28" customFormat="1" x14ac:dyDescent="0.25">
      <c r="U510" s="103">
        <f t="shared" si="14"/>
        <v>0</v>
      </c>
      <c r="Y510" s="98"/>
      <c r="AU510" s="103">
        <f t="shared" si="15"/>
        <v>0</v>
      </c>
    </row>
    <row r="511" spans="21:47" s="28" customFormat="1" x14ac:dyDescent="0.25">
      <c r="U511" s="103">
        <f t="shared" si="14"/>
        <v>0</v>
      </c>
      <c r="Y511" s="98"/>
      <c r="AU511" s="103">
        <f t="shared" si="15"/>
        <v>0</v>
      </c>
    </row>
    <row r="512" spans="21:47" s="28" customFormat="1" x14ac:dyDescent="0.25">
      <c r="U512" s="103">
        <f t="shared" si="14"/>
        <v>0</v>
      </c>
      <c r="Y512" s="98"/>
      <c r="AU512" s="103">
        <f t="shared" si="15"/>
        <v>0</v>
      </c>
    </row>
    <row r="513" spans="21:47" s="28" customFormat="1" x14ac:dyDescent="0.25">
      <c r="U513" s="103">
        <f t="shared" si="14"/>
        <v>0</v>
      </c>
      <c r="Y513" s="98"/>
      <c r="AU513" s="103">
        <f t="shared" si="15"/>
        <v>0</v>
      </c>
    </row>
    <row r="514" spans="21:47" s="28" customFormat="1" x14ac:dyDescent="0.25">
      <c r="U514" s="103">
        <f t="shared" si="14"/>
        <v>0</v>
      </c>
      <c r="Y514" s="98"/>
      <c r="AU514" s="103">
        <f t="shared" si="15"/>
        <v>0</v>
      </c>
    </row>
    <row r="515" spans="21:47" s="28" customFormat="1" x14ac:dyDescent="0.25">
      <c r="U515" s="103">
        <f t="shared" si="14"/>
        <v>0</v>
      </c>
      <c r="Y515" s="98"/>
      <c r="AU515" s="103">
        <f t="shared" si="15"/>
        <v>0</v>
      </c>
    </row>
    <row r="516" spans="21:47" s="28" customFormat="1" x14ac:dyDescent="0.25">
      <c r="U516" s="103">
        <f t="shared" si="14"/>
        <v>0</v>
      </c>
      <c r="Y516" s="98"/>
      <c r="AU516" s="103">
        <f t="shared" si="15"/>
        <v>0</v>
      </c>
    </row>
    <row r="517" spans="21:47" s="28" customFormat="1" x14ac:dyDescent="0.25">
      <c r="U517" s="103">
        <f t="shared" si="14"/>
        <v>0</v>
      </c>
      <c r="Y517" s="98"/>
      <c r="AU517" s="103">
        <f t="shared" si="15"/>
        <v>0</v>
      </c>
    </row>
    <row r="518" spans="21:47" s="28" customFormat="1" x14ac:dyDescent="0.25">
      <c r="U518" s="103">
        <f t="shared" si="14"/>
        <v>0</v>
      </c>
      <c r="Y518" s="98"/>
      <c r="AU518" s="103">
        <f t="shared" si="15"/>
        <v>0</v>
      </c>
    </row>
    <row r="519" spans="21:47" s="28" customFormat="1" x14ac:dyDescent="0.25">
      <c r="U519" s="103">
        <f t="shared" si="14"/>
        <v>0</v>
      </c>
      <c r="Y519" s="98"/>
      <c r="AU519" s="103">
        <f t="shared" si="15"/>
        <v>0</v>
      </c>
    </row>
    <row r="520" spans="21:47" s="28" customFormat="1" x14ac:dyDescent="0.25">
      <c r="U520" s="103">
        <f t="shared" si="14"/>
        <v>0</v>
      </c>
      <c r="Y520" s="98"/>
      <c r="AU520" s="103">
        <f t="shared" si="15"/>
        <v>0</v>
      </c>
    </row>
    <row r="521" spans="21:47" s="28" customFormat="1" x14ac:dyDescent="0.25">
      <c r="U521" s="103">
        <f t="shared" si="14"/>
        <v>0</v>
      </c>
      <c r="Y521" s="98"/>
      <c r="AU521" s="103">
        <f t="shared" si="15"/>
        <v>0</v>
      </c>
    </row>
    <row r="522" spans="21:47" s="28" customFormat="1" x14ac:dyDescent="0.25">
      <c r="U522" s="103">
        <f t="shared" si="14"/>
        <v>0</v>
      </c>
      <c r="Y522" s="98"/>
      <c r="AU522" s="103">
        <f t="shared" si="15"/>
        <v>0</v>
      </c>
    </row>
    <row r="523" spans="21:47" s="28" customFormat="1" x14ac:dyDescent="0.25">
      <c r="U523" s="103">
        <f t="shared" si="14"/>
        <v>0</v>
      </c>
      <c r="Y523" s="98"/>
      <c r="AU523" s="103">
        <f t="shared" si="15"/>
        <v>0</v>
      </c>
    </row>
    <row r="524" spans="21:47" s="28" customFormat="1" x14ac:dyDescent="0.25">
      <c r="U524" s="103">
        <f t="shared" si="14"/>
        <v>0</v>
      </c>
      <c r="Y524" s="98"/>
      <c r="AU524" s="103">
        <f t="shared" si="15"/>
        <v>0</v>
      </c>
    </row>
    <row r="525" spans="21:47" s="28" customFormat="1" x14ac:dyDescent="0.25">
      <c r="U525" s="103">
        <f t="shared" si="14"/>
        <v>0</v>
      </c>
      <c r="Y525" s="98"/>
      <c r="AU525" s="103">
        <f t="shared" si="15"/>
        <v>0</v>
      </c>
    </row>
    <row r="526" spans="21:47" s="28" customFormat="1" x14ac:dyDescent="0.25">
      <c r="U526" s="103">
        <f t="shared" si="14"/>
        <v>0</v>
      </c>
      <c r="Y526" s="98"/>
      <c r="AU526" s="103">
        <f t="shared" si="15"/>
        <v>0</v>
      </c>
    </row>
    <row r="527" spans="21:47" s="28" customFormat="1" x14ac:dyDescent="0.25">
      <c r="U527" s="103">
        <f t="shared" si="14"/>
        <v>0</v>
      </c>
      <c r="Y527" s="98"/>
      <c r="AU527" s="103">
        <f t="shared" si="15"/>
        <v>0</v>
      </c>
    </row>
    <row r="528" spans="21:47" s="28" customFormat="1" x14ac:dyDescent="0.25">
      <c r="U528" s="103">
        <f t="shared" si="14"/>
        <v>0</v>
      </c>
      <c r="Y528" s="98"/>
      <c r="AU528" s="103">
        <f t="shared" si="15"/>
        <v>0</v>
      </c>
    </row>
    <row r="529" spans="21:47" s="28" customFormat="1" x14ac:dyDescent="0.25">
      <c r="U529" s="103">
        <f t="shared" si="14"/>
        <v>0</v>
      </c>
      <c r="Y529" s="98"/>
      <c r="AU529" s="103">
        <f t="shared" si="15"/>
        <v>0</v>
      </c>
    </row>
    <row r="530" spans="21:47" s="28" customFormat="1" x14ac:dyDescent="0.25">
      <c r="U530" s="103">
        <f t="shared" si="14"/>
        <v>0</v>
      </c>
      <c r="Y530" s="98"/>
      <c r="AU530" s="103">
        <f t="shared" si="15"/>
        <v>0</v>
      </c>
    </row>
    <row r="531" spans="21:47" s="28" customFormat="1" x14ac:dyDescent="0.25">
      <c r="U531" s="103">
        <f t="shared" si="14"/>
        <v>0</v>
      </c>
      <c r="Y531" s="98"/>
      <c r="AU531" s="103">
        <f t="shared" si="15"/>
        <v>0</v>
      </c>
    </row>
    <row r="532" spans="21:47" s="28" customFormat="1" x14ac:dyDescent="0.25">
      <c r="U532" s="103">
        <f t="shared" si="14"/>
        <v>0</v>
      </c>
      <c r="Y532" s="98"/>
      <c r="AU532" s="103">
        <f t="shared" si="15"/>
        <v>0</v>
      </c>
    </row>
    <row r="533" spans="21:47" s="28" customFormat="1" x14ac:dyDescent="0.25">
      <c r="U533" s="103">
        <f t="shared" si="14"/>
        <v>0</v>
      </c>
      <c r="Y533" s="98"/>
      <c r="AU533" s="103">
        <f t="shared" si="15"/>
        <v>0</v>
      </c>
    </row>
    <row r="534" spans="21:47" s="28" customFormat="1" x14ac:dyDescent="0.25">
      <c r="U534" s="103">
        <f t="shared" ref="U534:U597" si="16">IF(R534="TruePositive",IF(D534&lt;&gt;1,N534,0),0)</f>
        <v>0</v>
      </c>
      <c r="Y534" s="98"/>
      <c r="AU534" s="103">
        <f t="shared" ref="AU534:AU597" si="17">IF(AQ534="TruePositive",IF(AC534&lt;&gt;1,AM534,0),0)</f>
        <v>0</v>
      </c>
    </row>
    <row r="535" spans="21:47" s="28" customFormat="1" x14ac:dyDescent="0.25">
      <c r="U535" s="103">
        <f t="shared" si="16"/>
        <v>0</v>
      </c>
      <c r="Y535" s="98"/>
      <c r="AU535" s="103">
        <f t="shared" si="17"/>
        <v>0</v>
      </c>
    </row>
    <row r="536" spans="21:47" s="28" customFormat="1" x14ac:dyDescent="0.25">
      <c r="U536" s="103">
        <f t="shared" si="16"/>
        <v>0</v>
      </c>
      <c r="Y536" s="98"/>
      <c r="AU536" s="103">
        <f t="shared" si="17"/>
        <v>0</v>
      </c>
    </row>
    <row r="537" spans="21:47" s="28" customFormat="1" x14ac:dyDescent="0.25">
      <c r="U537" s="103">
        <f t="shared" si="16"/>
        <v>0</v>
      </c>
      <c r="Y537" s="98"/>
      <c r="AU537" s="103">
        <f t="shared" si="17"/>
        <v>0</v>
      </c>
    </row>
    <row r="538" spans="21:47" s="28" customFormat="1" x14ac:dyDescent="0.25">
      <c r="U538" s="103">
        <f t="shared" si="16"/>
        <v>0</v>
      </c>
      <c r="Y538" s="98"/>
      <c r="AU538" s="103">
        <f t="shared" si="17"/>
        <v>0</v>
      </c>
    </row>
    <row r="539" spans="21:47" s="28" customFormat="1" x14ac:dyDescent="0.25">
      <c r="U539" s="103">
        <f t="shared" si="16"/>
        <v>0</v>
      </c>
      <c r="Y539" s="98"/>
      <c r="AU539" s="103">
        <f t="shared" si="17"/>
        <v>0</v>
      </c>
    </row>
    <row r="540" spans="21:47" s="28" customFormat="1" x14ac:dyDescent="0.25">
      <c r="U540" s="103">
        <f t="shared" si="16"/>
        <v>0</v>
      </c>
      <c r="Y540" s="98"/>
      <c r="AU540" s="103">
        <f t="shared" si="17"/>
        <v>0</v>
      </c>
    </row>
    <row r="541" spans="21:47" s="28" customFormat="1" x14ac:dyDescent="0.25">
      <c r="U541" s="103">
        <f t="shared" si="16"/>
        <v>0</v>
      </c>
      <c r="Y541" s="98"/>
      <c r="AU541" s="103">
        <f t="shared" si="17"/>
        <v>0</v>
      </c>
    </row>
    <row r="542" spans="21:47" s="28" customFormat="1" x14ac:dyDescent="0.25">
      <c r="U542" s="103">
        <f t="shared" si="16"/>
        <v>0</v>
      </c>
      <c r="Y542" s="98"/>
      <c r="AU542" s="103">
        <f t="shared" si="17"/>
        <v>0</v>
      </c>
    </row>
    <row r="543" spans="21:47" s="28" customFormat="1" x14ac:dyDescent="0.25">
      <c r="U543" s="103">
        <f t="shared" si="16"/>
        <v>0</v>
      </c>
      <c r="Y543" s="98"/>
      <c r="AU543" s="103">
        <f t="shared" si="17"/>
        <v>0</v>
      </c>
    </row>
    <row r="544" spans="21:47" s="28" customFormat="1" x14ac:dyDescent="0.25">
      <c r="U544" s="103">
        <f t="shared" si="16"/>
        <v>0</v>
      </c>
      <c r="Y544" s="98"/>
      <c r="AU544" s="103">
        <f t="shared" si="17"/>
        <v>0</v>
      </c>
    </row>
    <row r="545" spans="21:47" s="28" customFormat="1" x14ac:dyDescent="0.25">
      <c r="U545" s="103">
        <f t="shared" si="16"/>
        <v>0</v>
      </c>
      <c r="Y545" s="98"/>
      <c r="AU545" s="103">
        <f t="shared" si="17"/>
        <v>0</v>
      </c>
    </row>
    <row r="546" spans="21:47" s="28" customFormat="1" x14ac:dyDescent="0.25">
      <c r="U546" s="103">
        <f t="shared" si="16"/>
        <v>0</v>
      </c>
      <c r="Y546" s="98"/>
      <c r="AU546" s="103">
        <f t="shared" si="17"/>
        <v>0</v>
      </c>
    </row>
    <row r="547" spans="21:47" s="28" customFormat="1" x14ac:dyDescent="0.25">
      <c r="U547" s="103">
        <f t="shared" si="16"/>
        <v>0</v>
      </c>
      <c r="Y547" s="98"/>
      <c r="AU547" s="103">
        <f t="shared" si="17"/>
        <v>0</v>
      </c>
    </row>
    <row r="548" spans="21:47" s="28" customFormat="1" x14ac:dyDescent="0.25">
      <c r="U548" s="103">
        <f t="shared" si="16"/>
        <v>0</v>
      </c>
      <c r="Y548" s="98"/>
      <c r="AU548" s="103">
        <f t="shared" si="17"/>
        <v>0</v>
      </c>
    </row>
    <row r="549" spans="21:47" s="28" customFormat="1" x14ac:dyDescent="0.25">
      <c r="U549" s="103">
        <f t="shared" si="16"/>
        <v>0</v>
      </c>
      <c r="Y549" s="98"/>
      <c r="AU549" s="103">
        <f t="shared" si="17"/>
        <v>0</v>
      </c>
    </row>
    <row r="550" spans="21:47" s="28" customFormat="1" x14ac:dyDescent="0.25">
      <c r="U550" s="103">
        <f t="shared" si="16"/>
        <v>0</v>
      </c>
      <c r="Y550" s="98"/>
      <c r="AU550" s="103">
        <f t="shared" si="17"/>
        <v>0</v>
      </c>
    </row>
    <row r="551" spans="21:47" s="28" customFormat="1" x14ac:dyDescent="0.25">
      <c r="U551" s="103">
        <f t="shared" si="16"/>
        <v>0</v>
      </c>
      <c r="Y551" s="98"/>
      <c r="AU551" s="103">
        <f t="shared" si="17"/>
        <v>0</v>
      </c>
    </row>
    <row r="552" spans="21:47" s="28" customFormat="1" x14ac:dyDescent="0.25">
      <c r="U552" s="103">
        <f t="shared" si="16"/>
        <v>0</v>
      </c>
      <c r="Y552" s="98"/>
      <c r="AU552" s="103">
        <f t="shared" si="17"/>
        <v>0</v>
      </c>
    </row>
    <row r="553" spans="21:47" s="28" customFormat="1" x14ac:dyDescent="0.25">
      <c r="U553" s="103">
        <f t="shared" si="16"/>
        <v>0</v>
      </c>
      <c r="Y553" s="98"/>
      <c r="AU553" s="103">
        <f t="shared" si="17"/>
        <v>0</v>
      </c>
    </row>
    <row r="554" spans="21:47" s="28" customFormat="1" x14ac:dyDescent="0.25">
      <c r="U554" s="103">
        <f t="shared" si="16"/>
        <v>0</v>
      </c>
      <c r="Y554" s="98"/>
      <c r="AU554" s="103">
        <f t="shared" si="17"/>
        <v>0</v>
      </c>
    </row>
    <row r="555" spans="21:47" s="28" customFormat="1" x14ac:dyDescent="0.25">
      <c r="U555" s="103">
        <f t="shared" si="16"/>
        <v>0</v>
      </c>
      <c r="Y555" s="98"/>
      <c r="AU555" s="103">
        <f t="shared" si="17"/>
        <v>0</v>
      </c>
    </row>
    <row r="556" spans="21:47" s="28" customFormat="1" x14ac:dyDescent="0.25">
      <c r="U556" s="103">
        <f t="shared" si="16"/>
        <v>0</v>
      </c>
      <c r="Y556" s="98"/>
      <c r="AU556" s="103">
        <f t="shared" si="17"/>
        <v>0</v>
      </c>
    </row>
    <row r="557" spans="21:47" s="28" customFormat="1" x14ac:dyDescent="0.25">
      <c r="U557" s="103">
        <f t="shared" si="16"/>
        <v>0</v>
      </c>
      <c r="Y557" s="98"/>
      <c r="AU557" s="103">
        <f t="shared" si="17"/>
        <v>0</v>
      </c>
    </row>
    <row r="558" spans="21:47" s="28" customFormat="1" x14ac:dyDescent="0.25">
      <c r="U558" s="103">
        <f t="shared" si="16"/>
        <v>0</v>
      </c>
      <c r="Y558" s="98"/>
      <c r="AU558" s="103">
        <f t="shared" si="17"/>
        <v>0</v>
      </c>
    </row>
    <row r="559" spans="21:47" s="28" customFormat="1" x14ac:dyDescent="0.25">
      <c r="U559" s="103">
        <f t="shared" si="16"/>
        <v>0</v>
      </c>
      <c r="Y559" s="98"/>
      <c r="AU559" s="103">
        <f t="shared" si="17"/>
        <v>0</v>
      </c>
    </row>
    <row r="560" spans="21:47" s="28" customFormat="1" x14ac:dyDescent="0.25">
      <c r="U560" s="103">
        <f t="shared" si="16"/>
        <v>0</v>
      </c>
      <c r="Y560" s="98"/>
      <c r="AU560" s="103">
        <f t="shared" si="17"/>
        <v>0</v>
      </c>
    </row>
    <row r="561" spans="21:47" s="28" customFormat="1" x14ac:dyDescent="0.25">
      <c r="U561" s="103">
        <f t="shared" si="16"/>
        <v>0</v>
      </c>
      <c r="Y561" s="98"/>
      <c r="AU561" s="103">
        <f t="shared" si="17"/>
        <v>0</v>
      </c>
    </row>
    <row r="562" spans="21:47" s="28" customFormat="1" x14ac:dyDescent="0.25">
      <c r="U562" s="103">
        <f t="shared" si="16"/>
        <v>0</v>
      </c>
      <c r="Y562" s="98"/>
      <c r="AU562" s="103">
        <f t="shared" si="17"/>
        <v>0</v>
      </c>
    </row>
    <row r="563" spans="21:47" s="28" customFormat="1" x14ac:dyDescent="0.25">
      <c r="U563" s="103">
        <f t="shared" si="16"/>
        <v>0</v>
      </c>
      <c r="Y563" s="98"/>
      <c r="AU563" s="103">
        <f t="shared" si="17"/>
        <v>0</v>
      </c>
    </row>
    <row r="564" spans="21:47" s="28" customFormat="1" x14ac:dyDescent="0.25">
      <c r="U564" s="103">
        <f t="shared" si="16"/>
        <v>0</v>
      </c>
      <c r="Y564" s="98"/>
      <c r="AU564" s="103">
        <f t="shared" si="17"/>
        <v>0</v>
      </c>
    </row>
    <row r="565" spans="21:47" s="28" customFormat="1" x14ac:dyDescent="0.25">
      <c r="U565" s="103">
        <f t="shared" si="16"/>
        <v>0</v>
      </c>
      <c r="Y565" s="98"/>
      <c r="AU565" s="103">
        <f t="shared" si="17"/>
        <v>0</v>
      </c>
    </row>
    <row r="566" spans="21:47" s="28" customFormat="1" x14ac:dyDescent="0.25">
      <c r="U566" s="103">
        <f t="shared" si="16"/>
        <v>0</v>
      </c>
      <c r="Y566" s="98"/>
      <c r="AU566" s="103">
        <f t="shared" si="17"/>
        <v>0</v>
      </c>
    </row>
    <row r="567" spans="21:47" s="28" customFormat="1" x14ac:dyDescent="0.25">
      <c r="U567" s="103">
        <f t="shared" si="16"/>
        <v>0</v>
      </c>
      <c r="Y567" s="98"/>
      <c r="AU567" s="103">
        <f t="shared" si="17"/>
        <v>0</v>
      </c>
    </row>
    <row r="568" spans="21:47" s="28" customFormat="1" x14ac:dyDescent="0.25">
      <c r="U568" s="103">
        <f t="shared" si="16"/>
        <v>0</v>
      </c>
      <c r="Y568" s="98"/>
      <c r="AU568" s="103">
        <f t="shared" si="17"/>
        <v>0</v>
      </c>
    </row>
    <row r="569" spans="21:47" s="28" customFormat="1" x14ac:dyDescent="0.25">
      <c r="U569" s="103">
        <f t="shared" si="16"/>
        <v>0</v>
      </c>
      <c r="Y569" s="98"/>
      <c r="AU569" s="103">
        <f t="shared" si="17"/>
        <v>0</v>
      </c>
    </row>
    <row r="570" spans="21:47" s="28" customFormat="1" x14ac:dyDescent="0.25">
      <c r="U570" s="103">
        <f t="shared" si="16"/>
        <v>0</v>
      </c>
      <c r="Y570" s="98"/>
      <c r="AU570" s="103">
        <f t="shared" si="17"/>
        <v>0</v>
      </c>
    </row>
    <row r="571" spans="21:47" s="28" customFormat="1" x14ac:dyDescent="0.25">
      <c r="U571" s="103">
        <f t="shared" si="16"/>
        <v>0</v>
      </c>
      <c r="Y571" s="98"/>
      <c r="AU571" s="103">
        <f t="shared" si="17"/>
        <v>0</v>
      </c>
    </row>
    <row r="572" spans="21:47" s="28" customFormat="1" x14ac:dyDescent="0.25">
      <c r="U572" s="103">
        <f t="shared" si="16"/>
        <v>0</v>
      </c>
      <c r="Y572" s="98"/>
      <c r="AU572" s="103">
        <f t="shared" si="17"/>
        <v>0</v>
      </c>
    </row>
    <row r="573" spans="21:47" s="28" customFormat="1" x14ac:dyDescent="0.25">
      <c r="U573" s="103">
        <f t="shared" si="16"/>
        <v>0</v>
      </c>
      <c r="Y573" s="98"/>
      <c r="AU573" s="103">
        <f t="shared" si="17"/>
        <v>0</v>
      </c>
    </row>
    <row r="574" spans="21:47" s="28" customFormat="1" x14ac:dyDescent="0.25">
      <c r="U574" s="103">
        <f t="shared" si="16"/>
        <v>0</v>
      </c>
      <c r="Y574" s="98"/>
      <c r="AU574" s="103">
        <f t="shared" si="17"/>
        <v>0</v>
      </c>
    </row>
    <row r="575" spans="21:47" s="28" customFormat="1" x14ac:dyDescent="0.25">
      <c r="U575" s="103">
        <f t="shared" si="16"/>
        <v>0</v>
      </c>
      <c r="Y575" s="98"/>
      <c r="AU575" s="103">
        <f t="shared" si="17"/>
        <v>0</v>
      </c>
    </row>
    <row r="576" spans="21:47" s="28" customFormat="1" x14ac:dyDescent="0.25">
      <c r="U576" s="103">
        <f t="shared" si="16"/>
        <v>0</v>
      </c>
      <c r="Y576" s="98"/>
      <c r="AU576" s="103">
        <f t="shared" si="17"/>
        <v>0</v>
      </c>
    </row>
    <row r="577" spans="21:47" s="28" customFormat="1" x14ac:dyDescent="0.25">
      <c r="U577" s="103">
        <f t="shared" si="16"/>
        <v>0</v>
      </c>
      <c r="Y577" s="98"/>
      <c r="AU577" s="103">
        <f t="shared" si="17"/>
        <v>0</v>
      </c>
    </row>
    <row r="578" spans="21:47" s="28" customFormat="1" x14ac:dyDescent="0.25">
      <c r="U578" s="103">
        <f t="shared" si="16"/>
        <v>0</v>
      </c>
      <c r="Y578" s="98"/>
      <c r="AU578" s="103">
        <f t="shared" si="17"/>
        <v>0</v>
      </c>
    </row>
    <row r="579" spans="21:47" s="28" customFormat="1" x14ac:dyDescent="0.25">
      <c r="U579" s="103">
        <f t="shared" si="16"/>
        <v>0</v>
      </c>
      <c r="Y579" s="98"/>
      <c r="AU579" s="103">
        <f t="shared" si="17"/>
        <v>0</v>
      </c>
    </row>
    <row r="580" spans="21:47" s="28" customFormat="1" x14ac:dyDescent="0.25">
      <c r="U580" s="103">
        <f t="shared" si="16"/>
        <v>0</v>
      </c>
      <c r="Y580" s="98"/>
      <c r="AU580" s="103">
        <f t="shared" si="17"/>
        <v>0</v>
      </c>
    </row>
    <row r="581" spans="21:47" s="28" customFormat="1" x14ac:dyDescent="0.25">
      <c r="U581" s="103">
        <f t="shared" si="16"/>
        <v>0</v>
      </c>
      <c r="Y581" s="98"/>
      <c r="AU581" s="103">
        <f t="shared" si="17"/>
        <v>0</v>
      </c>
    </row>
    <row r="582" spans="21:47" s="28" customFormat="1" x14ac:dyDescent="0.25">
      <c r="U582" s="103">
        <f t="shared" si="16"/>
        <v>0</v>
      </c>
      <c r="Y582" s="98"/>
      <c r="AU582" s="103">
        <f t="shared" si="17"/>
        <v>0</v>
      </c>
    </row>
    <row r="583" spans="21:47" s="28" customFormat="1" x14ac:dyDescent="0.25">
      <c r="U583" s="103">
        <f t="shared" si="16"/>
        <v>0</v>
      </c>
      <c r="Y583" s="98"/>
      <c r="AU583" s="103">
        <f t="shared" si="17"/>
        <v>0</v>
      </c>
    </row>
    <row r="584" spans="21:47" s="28" customFormat="1" x14ac:dyDescent="0.25">
      <c r="U584" s="103">
        <f t="shared" si="16"/>
        <v>0</v>
      </c>
      <c r="Y584" s="98"/>
      <c r="AU584" s="103">
        <f t="shared" si="17"/>
        <v>0</v>
      </c>
    </row>
    <row r="585" spans="21:47" s="28" customFormat="1" x14ac:dyDescent="0.25">
      <c r="U585" s="103">
        <f t="shared" si="16"/>
        <v>0</v>
      </c>
      <c r="Y585" s="98"/>
      <c r="AU585" s="103">
        <f t="shared" si="17"/>
        <v>0</v>
      </c>
    </row>
    <row r="586" spans="21:47" s="28" customFormat="1" x14ac:dyDescent="0.25">
      <c r="U586" s="103">
        <f t="shared" si="16"/>
        <v>0</v>
      </c>
      <c r="Y586" s="98"/>
      <c r="AU586" s="103">
        <f t="shared" si="17"/>
        <v>0</v>
      </c>
    </row>
    <row r="587" spans="21:47" s="28" customFormat="1" x14ac:dyDescent="0.25">
      <c r="U587" s="103">
        <f t="shared" si="16"/>
        <v>0</v>
      </c>
      <c r="Y587" s="98"/>
      <c r="AU587" s="103">
        <f t="shared" si="17"/>
        <v>0</v>
      </c>
    </row>
    <row r="588" spans="21:47" s="28" customFormat="1" x14ac:dyDescent="0.25">
      <c r="U588" s="103">
        <f t="shared" si="16"/>
        <v>0</v>
      </c>
      <c r="Y588" s="98"/>
      <c r="AU588" s="103">
        <f t="shared" si="17"/>
        <v>0</v>
      </c>
    </row>
    <row r="589" spans="21:47" s="28" customFormat="1" x14ac:dyDescent="0.25">
      <c r="U589" s="103">
        <f t="shared" si="16"/>
        <v>0</v>
      </c>
      <c r="Y589" s="98"/>
      <c r="AU589" s="103">
        <f t="shared" si="17"/>
        <v>0</v>
      </c>
    </row>
    <row r="590" spans="21:47" s="28" customFormat="1" x14ac:dyDescent="0.25">
      <c r="U590" s="103">
        <f t="shared" si="16"/>
        <v>0</v>
      </c>
      <c r="Y590" s="98"/>
      <c r="AU590" s="103">
        <f t="shared" si="17"/>
        <v>0</v>
      </c>
    </row>
    <row r="591" spans="21:47" s="28" customFormat="1" x14ac:dyDescent="0.25">
      <c r="U591" s="103">
        <f t="shared" si="16"/>
        <v>0</v>
      </c>
      <c r="Y591" s="98"/>
      <c r="AU591" s="103">
        <f t="shared" si="17"/>
        <v>0</v>
      </c>
    </row>
    <row r="592" spans="21:47" s="28" customFormat="1" x14ac:dyDescent="0.25">
      <c r="U592" s="103">
        <f t="shared" si="16"/>
        <v>0</v>
      </c>
      <c r="Y592" s="98"/>
      <c r="AU592" s="103">
        <f t="shared" si="17"/>
        <v>0</v>
      </c>
    </row>
    <row r="593" spans="21:47" s="28" customFormat="1" x14ac:dyDescent="0.25">
      <c r="U593" s="103">
        <f t="shared" si="16"/>
        <v>0</v>
      </c>
      <c r="Y593" s="98"/>
      <c r="AU593" s="103">
        <f t="shared" si="17"/>
        <v>0</v>
      </c>
    </row>
    <row r="594" spans="21:47" s="28" customFormat="1" x14ac:dyDescent="0.25">
      <c r="U594" s="103">
        <f t="shared" si="16"/>
        <v>0</v>
      </c>
      <c r="Y594" s="98"/>
      <c r="AU594" s="103">
        <f t="shared" si="17"/>
        <v>0</v>
      </c>
    </row>
    <row r="595" spans="21:47" s="28" customFormat="1" x14ac:dyDescent="0.25">
      <c r="U595" s="103">
        <f t="shared" si="16"/>
        <v>0</v>
      </c>
      <c r="Y595" s="98"/>
      <c r="AU595" s="103">
        <f t="shared" si="17"/>
        <v>0</v>
      </c>
    </row>
    <row r="596" spans="21:47" s="28" customFormat="1" x14ac:dyDescent="0.25">
      <c r="U596" s="103">
        <f t="shared" si="16"/>
        <v>0</v>
      </c>
      <c r="Y596" s="98"/>
      <c r="AU596" s="103">
        <f t="shared" si="17"/>
        <v>0</v>
      </c>
    </row>
    <row r="597" spans="21:47" s="28" customFormat="1" x14ac:dyDescent="0.25">
      <c r="U597" s="103">
        <f t="shared" si="16"/>
        <v>0</v>
      </c>
      <c r="Y597" s="98"/>
      <c r="AU597" s="103">
        <f t="shared" si="17"/>
        <v>0</v>
      </c>
    </row>
    <row r="598" spans="21:47" s="28" customFormat="1" x14ac:dyDescent="0.25">
      <c r="U598" s="103">
        <f t="shared" ref="U598:U600" si="18">IF(R598="TruePositive",IF(D598&lt;&gt;1,N598,0),0)</f>
        <v>0</v>
      </c>
      <c r="Y598" s="98"/>
      <c r="AU598" s="103">
        <f t="shared" ref="AU598:AU600" si="19">IF(AQ598="TruePositive",IF(AC598&lt;&gt;1,AM598,0),0)</f>
        <v>0</v>
      </c>
    </row>
    <row r="599" spans="21:47" s="28" customFormat="1" x14ac:dyDescent="0.25">
      <c r="U599" s="103">
        <f t="shared" si="18"/>
        <v>0</v>
      </c>
      <c r="Y599" s="98"/>
      <c r="AU599" s="103">
        <f t="shared" si="19"/>
        <v>0</v>
      </c>
    </row>
    <row r="600" spans="21:47" s="28" customFormat="1" x14ac:dyDescent="0.25">
      <c r="U600" s="103">
        <f t="shared" si="18"/>
        <v>0</v>
      </c>
      <c r="Y600" s="98"/>
      <c r="AU600" s="103">
        <f t="shared" si="19"/>
        <v>0</v>
      </c>
    </row>
    <row r="601" spans="21:47" s="28" customFormat="1" x14ac:dyDescent="0.25">
      <c r="Y601" s="98"/>
    </row>
    <row r="602" spans="21:47" s="28" customFormat="1" x14ac:dyDescent="0.25">
      <c r="Y602" s="98"/>
    </row>
    <row r="603" spans="21:47" s="28" customFormat="1" x14ac:dyDescent="0.25">
      <c r="Y603" s="98"/>
    </row>
    <row r="604" spans="21:47" s="28" customFormat="1" x14ac:dyDescent="0.25">
      <c r="Y604" s="98"/>
    </row>
    <row r="605" spans="21:47" s="28" customFormat="1" x14ac:dyDescent="0.25">
      <c r="Y605" s="98"/>
    </row>
    <row r="606" spans="21:47" s="28" customFormat="1" x14ac:dyDescent="0.25">
      <c r="Y606" s="98"/>
    </row>
    <row r="607" spans="21:47" s="28" customFormat="1" x14ac:dyDescent="0.25">
      <c r="Y607" s="98"/>
    </row>
    <row r="608" spans="21:47" s="28" customFormat="1" x14ac:dyDescent="0.25">
      <c r="Y608" s="98"/>
    </row>
    <row r="609" spans="25:25" s="28" customFormat="1" x14ac:dyDescent="0.25">
      <c r="Y609" s="98"/>
    </row>
    <row r="610" spans="25:25" s="28" customFormat="1" x14ac:dyDescent="0.25">
      <c r="Y610" s="98"/>
    </row>
    <row r="611" spans="25:25" s="28" customFormat="1" x14ac:dyDescent="0.25">
      <c r="Y611" s="98"/>
    </row>
    <row r="612" spans="25:25" s="28" customFormat="1" x14ac:dyDescent="0.25">
      <c r="Y612" s="98"/>
    </row>
    <row r="613" spans="25:25" s="28" customFormat="1" x14ac:dyDescent="0.25">
      <c r="Y613" s="98"/>
    </row>
    <row r="614" spans="25:25" s="28" customFormat="1" x14ac:dyDescent="0.25">
      <c r="Y614" s="98"/>
    </row>
    <row r="615" spans="25:25" s="28" customFormat="1" x14ac:dyDescent="0.25">
      <c r="Y615" s="98"/>
    </row>
    <row r="616" spans="25:25" s="28" customFormat="1" x14ac:dyDescent="0.25">
      <c r="Y616" s="98"/>
    </row>
    <row r="617" spans="25:25" s="28" customFormat="1" x14ac:dyDescent="0.25">
      <c r="Y617" s="98"/>
    </row>
    <row r="618" spans="25:25" s="28" customFormat="1" x14ac:dyDescent="0.25">
      <c r="Y618" s="98"/>
    </row>
    <row r="619" spans="25:25" s="28" customFormat="1" x14ac:dyDescent="0.25">
      <c r="Y619" s="98"/>
    </row>
    <row r="620" spans="25:25" s="28" customFormat="1" x14ac:dyDescent="0.25">
      <c r="Y620" s="98"/>
    </row>
    <row r="621" spans="25:25" s="28" customFormat="1" x14ac:dyDescent="0.25">
      <c r="Y621" s="98"/>
    </row>
    <row r="622" spans="25:25" s="28" customFormat="1" x14ac:dyDescent="0.25">
      <c r="Y622" s="98"/>
    </row>
    <row r="623" spans="25:25" s="28" customFormat="1" x14ac:dyDescent="0.25">
      <c r="Y623" s="98"/>
    </row>
    <row r="624" spans="25:25" s="28" customFormat="1" x14ac:dyDescent="0.25">
      <c r="Y624" s="98"/>
    </row>
    <row r="625" spans="1:25" s="28" customFormat="1" x14ac:dyDescent="0.25">
      <c r="Y625" s="98"/>
    </row>
    <row r="626" spans="1:25" s="28" customFormat="1" x14ac:dyDescent="0.25">
      <c r="Y626" s="98"/>
    </row>
    <row r="627" spans="1:25" s="28" customFormat="1" x14ac:dyDescent="0.25">
      <c r="Y627" s="98"/>
    </row>
    <row r="628" spans="1:25" s="28" customFormat="1" x14ac:dyDescent="0.25">
      <c r="Y628" s="98"/>
    </row>
    <row r="629" spans="1:25" s="28" customFormat="1" x14ac:dyDescent="0.25">
      <c r="Y629" s="98"/>
    </row>
    <row r="630" spans="1:25" s="28" customFormat="1" x14ac:dyDescent="0.25">
      <c r="Y630" s="98"/>
    </row>
    <row r="631" spans="1:25" s="28" customFormat="1" x14ac:dyDescent="0.25">
      <c r="Y631" s="98"/>
    </row>
    <row r="632" spans="1:25" s="28" customFormat="1" x14ac:dyDescent="0.25">
      <c r="Y632" s="98"/>
    </row>
    <row r="633" spans="1:25" s="28" customFormat="1" x14ac:dyDescent="0.25">
      <c r="Y633" s="98"/>
    </row>
    <row r="634" spans="1:25" s="64" customFormat="1" x14ac:dyDescent="0.25">
      <c r="A634" s="63"/>
      <c r="S634" s="28"/>
      <c r="Y634" s="99"/>
    </row>
    <row r="635" spans="1:25" s="64" customFormat="1" x14ac:dyDescent="0.25">
      <c r="A635" s="63"/>
      <c r="S635" s="28"/>
      <c r="Y635" s="99"/>
    </row>
    <row r="636" spans="1:25" s="64" customFormat="1" x14ac:dyDescent="0.25">
      <c r="A636" s="63"/>
      <c r="S636" s="28"/>
      <c r="Y636" s="99"/>
    </row>
    <row r="637" spans="1:25" s="64" customFormat="1" x14ac:dyDescent="0.25">
      <c r="A637" s="63"/>
      <c r="S637" s="28"/>
      <c r="Y637" s="99"/>
    </row>
    <row r="638" spans="1:25" s="64" customFormat="1" x14ac:dyDescent="0.25">
      <c r="A638" s="63"/>
      <c r="S638" s="28"/>
      <c r="Y638" s="99"/>
    </row>
    <row r="639" spans="1:25" s="64" customFormat="1" x14ac:dyDescent="0.25">
      <c r="A639" s="63"/>
      <c r="S639" s="28"/>
      <c r="Y639" s="99"/>
    </row>
    <row r="640" spans="1:25" s="64" customFormat="1" x14ac:dyDescent="0.25">
      <c r="A640" s="63"/>
      <c r="S640" s="28"/>
      <c r="Y640" s="99"/>
    </row>
    <row r="641" spans="1:43" s="64" customFormat="1" x14ac:dyDescent="0.25">
      <c r="A641" s="63"/>
      <c r="S641" s="28"/>
      <c r="Y641" s="99"/>
    </row>
    <row r="642" spans="1:43" s="64" customFormat="1" x14ac:dyDescent="0.25">
      <c r="A642" s="63"/>
      <c r="S642" s="28"/>
      <c r="Y642" s="99"/>
    </row>
    <row r="643" spans="1:43" s="64" customFormat="1" x14ac:dyDescent="0.25">
      <c r="A643" s="63"/>
      <c r="S643" s="28"/>
      <c r="Y643" s="99"/>
    </row>
    <row r="644" spans="1:43" s="64" customFormat="1" x14ac:dyDescent="0.25">
      <c r="A644" s="63"/>
      <c r="S644" s="28"/>
      <c r="Y644" s="99"/>
    </row>
    <row r="645" spans="1:43" s="64" customFormat="1" x14ac:dyDescent="0.25">
      <c r="A645" s="63"/>
      <c r="S645" s="28"/>
      <c r="Y645" s="99"/>
    </row>
    <row r="646" spans="1:43" s="64" customFormat="1" x14ac:dyDescent="0.25">
      <c r="A646" s="63"/>
      <c r="S646" s="28"/>
      <c r="Y646" s="99"/>
    </row>
    <row r="647" spans="1:43" s="64" customFormat="1" x14ac:dyDescent="0.25">
      <c r="A647" s="63"/>
      <c r="S647" s="28"/>
      <c r="Y647" s="99"/>
    </row>
    <row r="648" spans="1:43" s="64" customFormat="1" x14ac:dyDescent="0.25">
      <c r="A648" s="63"/>
      <c r="S648" s="28"/>
      <c r="Y648" s="99"/>
    </row>
    <row r="649" spans="1:43" s="64" customFormat="1" x14ac:dyDescent="0.25">
      <c r="A649" s="63"/>
      <c r="S649" s="28"/>
      <c r="Y649" s="99"/>
    </row>
    <row r="650" spans="1:43" s="64" customFormat="1" x14ac:dyDescent="0.25">
      <c r="A650" s="63"/>
      <c r="S650" s="28"/>
      <c r="Y650" s="99"/>
    </row>
    <row r="651" spans="1:43" s="64" customFormat="1" x14ac:dyDescent="0.25">
      <c r="A651" s="63"/>
      <c r="S651" s="28"/>
      <c r="Y651" s="99"/>
    </row>
    <row r="652" spans="1:43" s="64" customFormat="1" x14ac:dyDescent="0.25">
      <c r="A652" s="63"/>
      <c r="S652" s="28"/>
      <c r="Y652" s="99"/>
    </row>
    <row r="653" spans="1:43" s="64" customFormat="1" x14ac:dyDescent="0.25">
      <c r="A653" s="63"/>
      <c r="S653" s="28"/>
      <c r="Y653" s="99"/>
    </row>
    <row r="654" spans="1:43" x14ac:dyDescent="0.25">
      <c r="A654" s="63"/>
      <c r="B654" s="64"/>
      <c r="C654" s="64"/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4"/>
      <c r="S654" s="28"/>
      <c r="T654" s="64"/>
      <c r="U654" s="64"/>
      <c r="Y654" s="99"/>
      <c r="Z654" s="64"/>
      <c r="AA654" s="64"/>
      <c r="AB654" s="64"/>
      <c r="AC654" s="64"/>
      <c r="AD654" s="64"/>
      <c r="AE654" s="64"/>
      <c r="AF654" s="64"/>
      <c r="AG654" s="64"/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</row>
    <row r="655" spans="1:43" x14ac:dyDescent="0.25">
      <c r="A655" s="63"/>
      <c r="B655" s="64"/>
      <c r="C655" s="64"/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4"/>
      <c r="S655" s="28"/>
      <c r="Y655" s="99"/>
      <c r="Z655" s="64"/>
    </row>
    <row r="656" spans="1:43" x14ac:dyDescent="0.25">
      <c r="A656" s="63"/>
      <c r="B656" s="64"/>
      <c r="C656" s="64"/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4"/>
      <c r="S656" s="28"/>
      <c r="Y656" s="99"/>
      <c r="Z656" s="64"/>
    </row>
    <row r="657" spans="1:26" x14ac:dyDescent="0.25">
      <c r="A657" s="63"/>
      <c r="B657" s="64"/>
      <c r="C657" s="64"/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4"/>
      <c r="S657" s="28"/>
      <c r="Y657" s="99"/>
      <c r="Z657" s="64"/>
    </row>
    <row r="658" spans="1:26" x14ac:dyDescent="0.25">
      <c r="A658" s="63"/>
      <c r="B658" s="64"/>
      <c r="C658" s="64"/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4"/>
      <c r="S658" s="28"/>
      <c r="Y658" s="99"/>
      <c r="Z658" s="64"/>
    </row>
    <row r="659" spans="1:26" x14ac:dyDescent="0.25">
      <c r="A659" s="63"/>
      <c r="B659" s="64"/>
      <c r="C659" s="64"/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4"/>
      <c r="S659" s="28"/>
      <c r="Y659" s="99"/>
      <c r="Z659" s="64"/>
    </row>
    <row r="660" spans="1:26" x14ac:dyDescent="0.25">
      <c r="A660" s="63"/>
      <c r="B660" s="64"/>
      <c r="C660" s="64"/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4"/>
      <c r="S660" s="28"/>
      <c r="Y660" s="99"/>
      <c r="Z660" s="64"/>
    </row>
    <row r="661" spans="1:26" x14ac:dyDescent="0.25">
      <c r="A661" s="63"/>
      <c r="B661" s="64"/>
      <c r="C661" s="64"/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4"/>
      <c r="S661" s="28"/>
      <c r="Y661" s="99"/>
      <c r="Z661" s="64"/>
    </row>
    <row r="662" spans="1:26" x14ac:dyDescent="0.25">
      <c r="A662" s="63"/>
      <c r="B662" s="64"/>
      <c r="C662" s="64"/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4"/>
      <c r="S662" s="28"/>
      <c r="Y662" s="99"/>
      <c r="Z662" s="64"/>
    </row>
    <row r="663" spans="1:26" x14ac:dyDescent="0.25">
      <c r="A663" s="63"/>
      <c r="B663" s="64"/>
      <c r="C663" s="64"/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4"/>
      <c r="S663" s="28"/>
      <c r="Y663" s="99"/>
      <c r="Z663" s="64"/>
    </row>
    <row r="664" spans="1:26" x14ac:dyDescent="0.25">
      <c r="A664" s="63"/>
      <c r="B664" s="64"/>
      <c r="C664" s="64"/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4"/>
      <c r="S664" s="28"/>
      <c r="Y664" s="99"/>
      <c r="Z664" s="64"/>
    </row>
    <row r="665" spans="1:26" x14ac:dyDescent="0.25">
      <c r="A665" s="63"/>
      <c r="B665" s="64"/>
      <c r="C665" s="64"/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4"/>
      <c r="S665" s="28"/>
      <c r="Y665" s="99"/>
      <c r="Z665" s="64"/>
    </row>
    <row r="666" spans="1:26" x14ac:dyDescent="0.25">
      <c r="A666" s="63"/>
      <c r="B666" s="64"/>
      <c r="C666" s="64"/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4"/>
      <c r="S666" s="28"/>
      <c r="Y666" s="99"/>
      <c r="Z666" s="64"/>
    </row>
    <row r="667" spans="1:26" x14ac:dyDescent="0.25">
      <c r="A667" s="63"/>
      <c r="B667" s="64"/>
      <c r="C667" s="64"/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4"/>
      <c r="S667" s="28"/>
      <c r="Y667" s="99"/>
      <c r="Z667" s="64"/>
    </row>
    <row r="668" spans="1:26" x14ac:dyDescent="0.25">
      <c r="A668" s="63"/>
      <c r="B668" s="64"/>
      <c r="C668" s="64"/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4"/>
      <c r="S668" s="28"/>
      <c r="Y668" s="99"/>
      <c r="Z668" s="64"/>
    </row>
    <row r="669" spans="1:26" x14ac:dyDescent="0.25">
      <c r="A669" s="63"/>
      <c r="B669" s="64"/>
      <c r="C669" s="64"/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4"/>
      <c r="S669" s="28"/>
      <c r="Y669" s="99"/>
      <c r="Z669" s="64"/>
    </row>
    <row r="670" spans="1:26" x14ac:dyDescent="0.25">
      <c r="A670" s="63"/>
      <c r="B670" s="64"/>
      <c r="C670" s="64"/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4"/>
      <c r="S670" s="28"/>
      <c r="Y670" s="99"/>
      <c r="Z670" s="64"/>
    </row>
    <row r="671" spans="1:26" x14ac:dyDescent="0.25">
      <c r="A671" s="63"/>
      <c r="B671" s="64"/>
      <c r="C671" s="64"/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4"/>
      <c r="S671" s="28"/>
      <c r="Y671" s="99"/>
      <c r="Z671" s="64"/>
    </row>
    <row r="672" spans="1:26" x14ac:dyDescent="0.25">
      <c r="A672" s="63"/>
      <c r="B672" s="64"/>
      <c r="C672" s="64"/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4"/>
      <c r="S672" s="28"/>
      <c r="Y672" s="99"/>
      <c r="Z672" s="64"/>
    </row>
    <row r="673" spans="1:26" x14ac:dyDescent="0.25">
      <c r="A673" s="63"/>
      <c r="B673" s="64"/>
      <c r="C673" s="64"/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4"/>
      <c r="S673" s="28"/>
      <c r="Y673" s="99"/>
      <c r="Z673" s="64"/>
    </row>
    <row r="674" spans="1:26" x14ac:dyDescent="0.25">
      <c r="A674" s="63"/>
      <c r="B674" s="64"/>
      <c r="C674" s="64"/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4"/>
      <c r="S674" s="28"/>
      <c r="Y674" s="99"/>
      <c r="Z674" s="64"/>
    </row>
    <row r="675" spans="1:26" x14ac:dyDescent="0.25">
      <c r="A675" s="63"/>
      <c r="B675" s="64"/>
      <c r="C675" s="64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4"/>
      <c r="S675" s="28"/>
      <c r="Y675" s="99"/>
      <c r="Z675" s="64"/>
    </row>
    <row r="676" spans="1:26" x14ac:dyDescent="0.25">
      <c r="A676" s="63"/>
      <c r="B676" s="64"/>
      <c r="C676" s="64"/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4"/>
      <c r="S676" s="28"/>
      <c r="Y676" s="99"/>
      <c r="Z676" s="64"/>
    </row>
    <row r="677" spans="1:26" x14ac:dyDescent="0.25">
      <c r="A677" s="63"/>
      <c r="B677" s="64"/>
      <c r="C677" s="64"/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4"/>
      <c r="S677" s="28"/>
      <c r="Y677" s="99"/>
      <c r="Z677" s="64"/>
    </row>
    <row r="678" spans="1:26" x14ac:dyDescent="0.25">
      <c r="A678" s="63"/>
      <c r="B678" s="64"/>
      <c r="C678" s="64"/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4"/>
      <c r="S678" s="28"/>
      <c r="Y678" s="99"/>
      <c r="Z678" s="64"/>
    </row>
    <row r="679" spans="1:26" x14ac:dyDescent="0.25">
      <c r="A679" s="63"/>
      <c r="B679" s="64"/>
      <c r="C679" s="64"/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4"/>
      <c r="S679" s="28"/>
      <c r="Y679" s="99"/>
      <c r="Z679" s="64"/>
    </row>
    <row r="680" spans="1:26" x14ac:dyDescent="0.25">
      <c r="A680" s="63"/>
      <c r="B680" s="64"/>
      <c r="C680" s="64"/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4"/>
      <c r="S680" s="28"/>
      <c r="Y680" s="99"/>
      <c r="Z680" s="64"/>
    </row>
    <row r="681" spans="1:26" x14ac:dyDescent="0.25">
      <c r="A681" s="63"/>
      <c r="B681" s="64"/>
      <c r="C681" s="64"/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4"/>
      <c r="S681" s="28"/>
      <c r="Y681" s="99"/>
      <c r="Z681" s="64"/>
    </row>
    <row r="682" spans="1:26" x14ac:dyDescent="0.25">
      <c r="A682" s="63"/>
      <c r="B682" s="64"/>
      <c r="C682" s="64"/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4"/>
      <c r="S682" s="28"/>
      <c r="Y682" s="99"/>
      <c r="Z682" s="64"/>
    </row>
    <row r="683" spans="1:26" x14ac:dyDescent="0.25">
      <c r="A683" s="63"/>
      <c r="B683" s="64"/>
      <c r="C683" s="64"/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4"/>
      <c r="S683" s="28"/>
      <c r="Y683" s="99"/>
      <c r="Z683" s="64"/>
    </row>
    <row r="684" spans="1:26" x14ac:dyDescent="0.25">
      <c r="A684" s="63"/>
      <c r="B684" s="64"/>
      <c r="C684" s="64"/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4"/>
      <c r="S684" s="28"/>
      <c r="Y684" s="99"/>
      <c r="Z684" s="64"/>
    </row>
    <row r="685" spans="1:26" x14ac:dyDescent="0.25">
      <c r="A685" s="63"/>
      <c r="B685" s="64"/>
      <c r="C685" s="64"/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4"/>
      <c r="S685" s="28"/>
      <c r="Y685" s="99"/>
      <c r="Z685" s="64"/>
    </row>
    <row r="686" spans="1:26" x14ac:dyDescent="0.25">
      <c r="A686" s="63"/>
      <c r="B686" s="64"/>
      <c r="C686" s="64"/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4"/>
      <c r="S686" s="28"/>
      <c r="Y686" s="99"/>
      <c r="Z686" s="64"/>
    </row>
    <row r="687" spans="1:26" x14ac:dyDescent="0.25">
      <c r="A687" s="63"/>
      <c r="B687" s="64"/>
      <c r="C687" s="64"/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4"/>
      <c r="S687" s="28"/>
      <c r="Y687" s="99"/>
      <c r="Z687" s="64"/>
    </row>
    <row r="688" spans="1:26" x14ac:dyDescent="0.25">
      <c r="A688" s="63"/>
      <c r="B688" s="64"/>
      <c r="C688" s="64"/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4"/>
      <c r="S688" s="28"/>
      <c r="Y688" s="99"/>
      <c r="Z688" s="64"/>
    </row>
    <row r="689" spans="1:26" x14ac:dyDescent="0.25">
      <c r="A689" s="63"/>
      <c r="B689" s="64"/>
      <c r="C689" s="64"/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4"/>
      <c r="S689" s="28"/>
      <c r="Y689" s="99"/>
      <c r="Z689" s="64"/>
    </row>
    <row r="690" spans="1:26" x14ac:dyDescent="0.25">
      <c r="A690" s="63"/>
      <c r="B690" s="64"/>
      <c r="C690" s="64"/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4"/>
      <c r="S690" s="28"/>
      <c r="Y690" s="99"/>
      <c r="Z690" s="64"/>
    </row>
    <row r="691" spans="1:26" x14ac:dyDescent="0.25">
      <c r="A691" s="63"/>
      <c r="B691" s="64"/>
      <c r="C691" s="64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4"/>
      <c r="S691" s="28"/>
      <c r="Y691" s="99"/>
      <c r="Z691" s="64"/>
    </row>
    <row r="692" spans="1:26" x14ac:dyDescent="0.25">
      <c r="A692" s="63"/>
      <c r="B692" s="64"/>
      <c r="C692" s="64"/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4"/>
      <c r="S692" s="28"/>
      <c r="Y692" s="99"/>
      <c r="Z692" s="64"/>
    </row>
    <row r="693" spans="1:26" x14ac:dyDescent="0.25">
      <c r="A693" s="63"/>
      <c r="B693" s="64"/>
      <c r="C693" s="64"/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4"/>
      <c r="S693" s="28"/>
      <c r="Y693" s="99"/>
      <c r="Z693" s="64"/>
    </row>
    <row r="694" spans="1:26" x14ac:dyDescent="0.25">
      <c r="A694" s="63"/>
      <c r="B694" s="64"/>
      <c r="C694" s="64"/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4"/>
      <c r="S694" s="28"/>
      <c r="Y694" s="99"/>
      <c r="Z694" s="64"/>
    </row>
    <row r="695" spans="1:26" x14ac:dyDescent="0.25">
      <c r="A695" s="63"/>
      <c r="B695" s="64"/>
      <c r="C695" s="64"/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4"/>
      <c r="S695" s="28"/>
      <c r="Y695" s="99"/>
      <c r="Z695" s="64"/>
    </row>
    <row r="696" spans="1:26" x14ac:dyDescent="0.25">
      <c r="A696" s="63"/>
      <c r="B696" s="64"/>
      <c r="C696" s="64"/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4"/>
      <c r="S696" s="28"/>
      <c r="Y696" s="99"/>
      <c r="Z696" s="64"/>
    </row>
    <row r="697" spans="1:26" x14ac:dyDescent="0.25">
      <c r="A697" s="63"/>
      <c r="B697" s="64"/>
      <c r="C697" s="64"/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4"/>
      <c r="S697" s="28"/>
      <c r="Y697" s="99"/>
      <c r="Z697" s="64"/>
    </row>
    <row r="698" spans="1:26" x14ac:dyDescent="0.25">
      <c r="A698" s="63"/>
      <c r="B698" s="64"/>
      <c r="C698" s="64"/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4"/>
      <c r="S698" s="28"/>
      <c r="Y698" s="99"/>
      <c r="Z698" s="64"/>
    </row>
    <row r="699" spans="1:26" x14ac:dyDescent="0.25">
      <c r="A699" s="63"/>
      <c r="B699" s="64"/>
      <c r="C699" s="64"/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4"/>
      <c r="S699" s="28"/>
      <c r="Y699" s="99"/>
      <c r="Z699" s="64"/>
    </row>
    <row r="700" spans="1:26" x14ac:dyDescent="0.25">
      <c r="A700" s="63"/>
      <c r="B700" s="64"/>
      <c r="C700" s="64"/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4"/>
      <c r="S700" s="28"/>
      <c r="Y700" s="99"/>
      <c r="Z700" s="64"/>
    </row>
    <row r="701" spans="1:26" x14ac:dyDescent="0.25">
      <c r="A701" s="63"/>
      <c r="B701" s="64"/>
      <c r="C701" s="64"/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4"/>
      <c r="S701" s="28"/>
      <c r="Y701" s="99"/>
      <c r="Z701" s="64"/>
    </row>
    <row r="702" spans="1:26" x14ac:dyDescent="0.25">
      <c r="A702" s="63"/>
      <c r="B702" s="64"/>
      <c r="C702" s="64"/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4"/>
      <c r="S702" s="28"/>
      <c r="Y702" s="99"/>
      <c r="Z702" s="64"/>
    </row>
    <row r="703" spans="1:26" x14ac:dyDescent="0.25">
      <c r="A703" s="63"/>
      <c r="B703" s="64"/>
      <c r="C703" s="64"/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4"/>
      <c r="S703" s="28"/>
      <c r="Y703" s="99"/>
      <c r="Z703" s="64"/>
    </row>
    <row r="704" spans="1:26" x14ac:dyDescent="0.25">
      <c r="A704" s="63"/>
      <c r="B704" s="64"/>
      <c r="C704" s="64"/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4"/>
      <c r="S704" s="28"/>
      <c r="Y704" s="99"/>
      <c r="Z704" s="64"/>
    </row>
    <row r="705" spans="1:26" x14ac:dyDescent="0.25">
      <c r="A705" s="63"/>
      <c r="B705" s="64"/>
      <c r="C705" s="64"/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4"/>
      <c r="S705" s="28"/>
      <c r="Y705" s="99"/>
      <c r="Z705" s="64"/>
    </row>
    <row r="706" spans="1:26" x14ac:dyDescent="0.25">
      <c r="A706" s="63"/>
      <c r="B706" s="64"/>
      <c r="C706" s="64"/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4"/>
      <c r="S706" s="28"/>
      <c r="Y706" s="99"/>
      <c r="Z706" s="64"/>
    </row>
    <row r="707" spans="1:26" x14ac:dyDescent="0.25">
      <c r="A707" s="63"/>
      <c r="B707" s="64"/>
      <c r="C707" s="64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4"/>
      <c r="S707" s="28"/>
      <c r="Y707" s="99"/>
      <c r="Z707" s="64"/>
    </row>
    <row r="708" spans="1:26" x14ac:dyDescent="0.25">
      <c r="A708" s="63"/>
      <c r="B708" s="64"/>
      <c r="C708" s="64"/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4"/>
      <c r="S708" s="28"/>
      <c r="Y708" s="99"/>
      <c r="Z708" s="64"/>
    </row>
    <row r="709" spans="1:26" x14ac:dyDescent="0.25">
      <c r="A709" s="63"/>
      <c r="B709" s="64"/>
      <c r="C709" s="64"/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4"/>
      <c r="S709" s="28"/>
      <c r="Y709" s="99"/>
      <c r="Z709" s="64"/>
    </row>
    <row r="710" spans="1:26" x14ac:dyDescent="0.25">
      <c r="A710" s="63"/>
      <c r="B710" s="64"/>
      <c r="C710" s="64"/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4"/>
      <c r="S710" s="28"/>
      <c r="Y710" s="99"/>
      <c r="Z710" s="64"/>
    </row>
    <row r="711" spans="1:26" x14ac:dyDescent="0.25">
      <c r="A711" s="63"/>
      <c r="B711" s="64"/>
      <c r="C711" s="64"/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4"/>
      <c r="S711" s="28"/>
      <c r="Y711" s="99"/>
      <c r="Z711" s="64"/>
    </row>
    <row r="712" spans="1:26" x14ac:dyDescent="0.25">
      <c r="A712" s="63"/>
      <c r="B712" s="64"/>
      <c r="C712" s="64"/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4"/>
      <c r="S712" s="28"/>
      <c r="Y712" s="99"/>
      <c r="Z712" s="64"/>
    </row>
    <row r="713" spans="1:26" x14ac:dyDescent="0.25">
      <c r="A713" s="63"/>
      <c r="B713" s="64"/>
      <c r="C713" s="64"/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4"/>
      <c r="S713" s="28"/>
      <c r="Y713" s="99"/>
      <c r="Z713" s="64"/>
    </row>
    <row r="714" spans="1:26" x14ac:dyDescent="0.25">
      <c r="A714" s="63"/>
      <c r="B714" s="64"/>
      <c r="C714" s="64"/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4"/>
      <c r="S714" s="28"/>
      <c r="Y714" s="99"/>
      <c r="Z714" s="64"/>
    </row>
    <row r="715" spans="1:26" x14ac:dyDescent="0.25">
      <c r="A715" s="63"/>
      <c r="B715" s="64"/>
      <c r="C715" s="64"/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4"/>
      <c r="S715" s="28"/>
      <c r="Y715" s="99"/>
      <c r="Z715" s="64"/>
    </row>
    <row r="716" spans="1:26" x14ac:dyDescent="0.25">
      <c r="A716" s="63"/>
      <c r="B716" s="64"/>
      <c r="C716" s="64"/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4"/>
      <c r="S716" s="28"/>
      <c r="Y716" s="99"/>
      <c r="Z716" s="64"/>
    </row>
    <row r="717" spans="1:26" x14ac:dyDescent="0.25">
      <c r="A717" s="63"/>
      <c r="B717" s="64"/>
      <c r="C717" s="64"/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4"/>
      <c r="S717" s="28"/>
      <c r="Y717" s="99"/>
      <c r="Z717" s="64"/>
    </row>
    <row r="718" spans="1:26" x14ac:dyDescent="0.25">
      <c r="A718" s="63"/>
      <c r="B718" s="64"/>
      <c r="C718" s="64"/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4"/>
      <c r="S718" s="28"/>
      <c r="Y718" s="99"/>
      <c r="Z718" s="64"/>
    </row>
    <row r="719" spans="1:26" x14ac:dyDescent="0.25">
      <c r="A719" s="63"/>
      <c r="B719" s="64"/>
      <c r="C719" s="64"/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4"/>
      <c r="S719" s="28"/>
      <c r="Y719" s="99"/>
      <c r="Z719" s="64"/>
    </row>
    <row r="720" spans="1:26" x14ac:dyDescent="0.25">
      <c r="A720" s="63"/>
      <c r="B720" s="64"/>
      <c r="C720" s="64"/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4"/>
      <c r="S720" s="28"/>
      <c r="Y720" s="99"/>
      <c r="Z720" s="64"/>
    </row>
    <row r="721" spans="1:26" x14ac:dyDescent="0.25">
      <c r="A721" s="63"/>
      <c r="B721" s="64"/>
      <c r="C721" s="64"/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4"/>
      <c r="S721" s="28"/>
      <c r="Y721" s="99"/>
      <c r="Z721" s="64"/>
    </row>
    <row r="722" spans="1:26" x14ac:dyDescent="0.25">
      <c r="A722" s="63"/>
      <c r="B722" s="64"/>
      <c r="C722" s="64"/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4"/>
      <c r="S722" s="28"/>
      <c r="Y722" s="99"/>
      <c r="Z722" s="64"/>
    </row>
    <row r="723" spans="1:26" x14ac:dyDescent="0.25">
      <c r="A723" s="63"/>
      <c r="B723" s="64"/>
      <c r="C723" s="64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4"/>
      <c r="S723" s="28"/>
      <c r="Y723" s="99"/>
      <c r="Z723" s="64"/>
    </row>
    <row r="724" spans="1:26" x14ac:dyDescent="0.25">
      <c r="A724" s="63"/>
      <c r="B724" s="64"/>
      <c r="C724" s="64"/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4"/>
      <c r="S724" s="28"/>
      <c r="Y724" s="99"/>
      <c r="Z724" s="64"/>
    </row>
    <row r="725" spans="1:26" x14ac:dyDescent="0.25">
      <c r="A725" s="63"/>
      <c r="B725" s="64"/>
      <c r="C725" s="64"/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4"/>
      <c r="S725" s="28"/>
      <c r="Y725" s="99"/>
      <c r="Z725" s="64"/>
    </row>
    <row r="726" spans="1:26" x14ac:dyDescent="0.25">
      <c r="A726" s="63"/>
      <c r="B726" s="64"/>
      <c r="C726" s="64"/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4"/>
      <c r="S726" s="28"/>
      <c r="Y726" s="99"/>
      <c r="Z726" s="64"/>
    </row>
    <row r="727" spans="1:26" x14ac:dyDescent="0.25">
      <c r="A727" s="63"/>
      <c r="B727" s="64"/>
      <c r="C727" s="64"/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4"/>
      <c r="S727" s="28"/>
      <c r="Y727" s="99"/>
      <c r="Z727" s="64"/>
    </row>
    <row r="728" spans="1:26" x14ac:dyDescent="0.25">
      <c r="A728" s="63"/>
      <c r="B728" s="64"/>
      <c r="C728" s="64"/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4"/>
      <c r="S728" s="28"/>
      <c r="Y728" s="99"/>
      <c r="Z728" s="64"/>
    </row>
    <row r="729" spans="1:26" x14ac:dyDescent="0.25">
      <c r="A729" s="63"/>
      <c r="B729" s="64"/>
      <c r="C729" s="64"/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4"/>
      <c r="S729" s="28"/>
      <c r="Y729" s="99"/>
      <c r="Z729" s="64"/>
    </row>
    <row r="730" spans="1:26" x14ac:dyDescent="0.25">
      <c r="A730" s="63"/>
      <c r="B730" s="64"/>
      <c r="C730" s="64"/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4"/>
      <c r="S730" s="28"/>
      <c r="Y730" s="99"/>
      <c r="Z730" s="64"/>
    </row>
    <row r="731" spans="1:26" x14ac:dyDescent="0.25">
      <c r="A731" s="63"/>
      <c r="B731" s="64"/>
      <c r="C731" s="64"/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4"/>
      <c r="S731" s="28"/>
      <c r="Y731" s="99"/>
      <c r="Z731" s="64"/>
    </row>
    <row r="732" spans="1:26" x14ac:dyDescent="0.25">
      <c r="A732" s="63"/>
      <c r="B732" s="64"/>
      <c r="C732" s="64"/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4"/>
      <c r="S732" s="28"/>
      <c r="Y732" s="99"/>
      <c r="Z732" s="64"/>
    </row>
    <row r="733" spans="1:26" x14ac:dyDescent="0.25">
      <c r="A733" s="63"/>
      <c r="B733" s="64"/>
      <c r="C733" s="64"/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4"/>
      <c r="S733" s="28"/>
      <c r="Y733" s="99"/>
      <c r="Z733" s="64"/>
    </row>
    <row r="734" spans="1:26" x14ac:dyDescent="0.25">
      <c r="A734" s="63"/>
      <c r="B734" s="64"/>
      <c r="C734" s="64"/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4"/>
      <c r="S734" s="28"/>
      <c r="Y734" s="99"/>
      <c r="Z734" s="64"/>
    </row>
    <row r="735" spans="1:26" x14ac:dyDescent="0.25">
      <c r="A735" s="63"/>
      <c r="B735" s="64"/>
      <c r="C735" s="64"/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4"/>
      <c r="S735" s="28"/>
      <c r="Y735" s="99"/>
      <c r="Z735" s="64"/>
    </row>
    <row r="736" spans="1:26" x14ac:dyDescent="0.25">
      <c r="A736" s="63"/>
      <c r="B736" s="64"/>
      <c r="C736" s="64"/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4"/>
      <c r="S736" s="28"/>
      <c r="Y736" s="99"/>
      <c r="Z736" s="64"/>
    </row>
    <row r="737" spans="1:26" x14ac:dyDescent="0.25">
      <c r="A737" s="63"/>
      <c r="B737" s="64"/>
      <c r="C737" s="64"/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4"/>
      <c r="S737" s="28"/>
      <c r="Y737" s="99"/>
      <c r="Z737" s="64"/>
    </row>
    <row r="738" spans="1:26" x14ac:dyDescent="0.25">
      <c r="A738" s="63"/>
      <c r="B738" s="64"/>
      <c r="C738" s="64"/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4"/>
      <c r="S738" s="28"/>
      <c r="Y738" s="99"/>
      <c r="Z738" s="64"/>
    </row>
    <row r="739" spans="1:26" x14ac:dyDescent="0.25">
      <c r="A739" s="63"/>
      <c r="B739" s="64"/>
      <c r="C739" s="64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4"/>
      <c r="S739" s="28"/>
      <c r="Y739" s="99"/>
      <c r="Z739" s="64"/>
    </row>
    <row r="740" spans="1:26" x14ac:dyDescent="0.25">
      <c r="A740" s="63"/>
      <c r="B740" s="64"/>
      <c r="C740" s="64"/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4"/>
      <c r="S740" s="28"/>
      <c r="Y740" s="99"/>
      <c r="Z740" s="64"/>
    </row>
    <row r="741" spans="1:26" x14ac:dyDescent="0.25">
      <c r="A741" s="63"/>
      <c r="B741" s="64"/>
      <c r="C741" s="64"/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4"/>
      <c r="S741" s="28"/>
      <c r="Y741" s="99"/>
      <c r="Z741" s="64"/>
    </row>
    <row r="742" spans="1:26" x14ac:dyDescent="0.25">
      <c r="A742" s="63"/>
      <c r="B742" s="64"/>
      <c r="C742" s="64"/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4"/>
      <c r="S742" s="28"/>
      <c r="Y742" s="99"/>
      <c r="Z742" s="64"/>
    </row>
    <row r="743" spans="1:26" x14ac:dyDescent="0.25">
      <c r="A743" s="63"/>
      <c r="B743" s="64"/>
      <c r="C743" s="64"/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4"/>
      <c r="S743" s="28"/>
      <c r="Y743" s="99"/>
      <c r="Z743" s="64"/>
    </row>
    <row r="744" spans="1:26" x14ac:dyDescent="0.25">
      <c r="A744" s="63"/>
      <c r="B744" s="64"/>
      <c r="C744" s="64"/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4"/>
      <c r="S744" s="28"/>
      <c r="Y744" s="99"/>
      <c r="Z744" s="64"/>
    </row>
    <row r="745" spans="1:26" x14ac:dyDescent="0.25">
      <c r="A745" s="63"/>
      <c r="B745" s="64"/>
      <c r="C745" s="64"/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4"/>
      <c r="S745" s="28"/>
      <c r="Y745" s="99"/>
      <c r="Z745" s="64"/>
    </row>
    <row r="746" spans="1:26" x14ac:dyDescent="0.25">
      <c r="A746" s="63"/>
      <c r="B746" s="64"/>
      <c r="C746" s="64"/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4"/>
      <c r="S746" s="28"/>
      <c r="Y746" s="99"/>
      <c r="Z746" s="64"/>
    </row>
    <row r="747" spans="1:26" x14ac:dyDescent="0.25">
      <c r="A747" s="63"/>
      <c r="B747" s="64"/>
      <c r="C747" s="64"/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4"/>
      <c r="S747" s="28"/>
      <c r="Y747" s="99"/>
      <c r="Z747" s="64"/>
    </row>
    <row r="748" spans="1:26" x14ac:dyDescent="0.25">
      <c r="A748" s="63"/>
      <c r="B748" s="64"/>
      <c r="C748" s="64"/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4"/>
      <c r="S748" s="28"/>
      <c r="Y748" s="99"/>
      <c r="Z748" s="64"/>
    </row>
    <row r="749" spans="1:26" x14ac:dyDescent="0.25">
      <c r="A749" s="63"/>
      <c r="B749" s="64"/>
      <c r="C749" s="64"/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4"/>
      <c r="S749" s="28"/>
      <c r="Y749" s="99"/>
      <c r="Z749" s="64"/>
    </row>
    <row r="750" spans="1:26" x14ac:dyDescent="0.25">
      <c r="A750" s="63"/>
      <c r="B750" s="64"/>
      <c r="C750" s="64"/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4"/>
      <c r="S750" s="28"/>
      <c r="Y750" s="99"/>
      <c r="Z750" s="64"/>
    </row>
    <row r="751" spans="1:26" x14ac:dyDescent="0.25">
      <c r="A751" s="63"/>
      <c r="B751" s="64"/>
      <c r="C751" s="64"/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4"/>
      <c r="S751" s="28"/>
      <c r="Y751" s="99"/>
      <c r="Z751" s="64"/>
    </row>
    <row r="752" spans="1:26" x14ac:dyDescent="0.25">
      <c r="A752" s="63"/>
      <c r="B752" s="64"/>
      <c r="C752" s="64"/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4"/>
      <c r="S752" s="28"/>
      <c r="Y752" s="99"/>
      <c r="Z752" s="64"/>
    </row>
    <row r="753" spans="1:26" x14ac:dyDescent="0.25">
      <c r="A753" s="63"/>
      <c r="B753" s="64"/>
      <c r="C753" s="64"/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4"/>
      <c r="S753" s="28"/>
      <c r="Y753" s="99"/>
      <c r="Z753" s="64"/>
    </row>
    <row r="754" spans="1:26" x14ac:dyDescent="0.25">
      <c r="A754" s="63"/>
      <c r="B754" s="64"/>
      <c r="C754" s="64"/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4"/>
      <c r="S754" s="28"/>
      <c r="Y754" s="99"/>
      <c r="Z754" s="64"/>
    </row>
    <row r="755" spans="1:26" x14ac:dyDescent="0.25">
      <c r="A755" s="63"/>
      <c r="B755" s="64"/>
      <c r="C755" s="64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4"/>
      <c r="S755" s="28"/>
      <c r="Y755" s="99"/>
      <c r="Z755" s="64"/>
    </row>
    <row r="756" spans="1:26" x14ac:dyDescent="0.25">
      <c r="A756" s="63"/>
      <c r="B756" s="64"/>
      <c r="C756" s="64"/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4"/>
      <c r="S756" s="28"/>
      <c r="Y756" s="99"/>
      <c r="Z756" s="64"/>
    </row>
    <row r="757" spans="1:26" x14ac:dyDescent="0.25">
      <c r="A757" s="63"/>
      <c r="B757" s="64"/>
      <c r="C757" s="64"/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4"/>
      <c r="S757" s="28"/>
      <c r="Y757" s="99"/>
      <c r="Z757" s="64"/>
    </row>
    <row r="758" spans="1:26" x14ac:dyDescent="0.25">
      <c r="A758" s="63"/>
      <c r="B758" s="64"/>
      <c r="C758" s="64"/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4"/>
      <c r="S758" s="28"/>
      <c r="Y758" s="99"/>
      <c r="Z758" s="64"/>
    </row>
    <row r="759" spans="1:26" x14ac:dyDescent="0.25">
      <c r="A759" s="63"/>
      <c r="B759" s="64"/>
      <c r="C759" s="64"/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4"/>
      <c r="S759" s="28"/>
      <c r="Y759" s="99"/>
      <c r="Z759" s="64"/>
    </row>
    <row r="760" spans="1:26" x14ac:dyDescent="0.25">
      <c r="A760" s="63"/>
      <c r="B760" s="64"/>
      <c r="C760" s="64"/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4"/>
      <c r="S760" s="28"/>
      <c r="Y760" s="99"/>
      <c r="Z760" s="64"/>
    </row>
    <row r="761" spans="1:26" x14ac:dyDescent="0.25">
      <c r="A761" s="63"/>
      <c r="B761" s="64"/>
      <c r="C761" s="64"/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4"/>
      <c r="S761" s="28"/>
      <c r="Y761" s="99"/>
      <c r="Z761" s="64"/>
    </row>
    <row r="762" spans="1:26" x14ac:dyDescent="0.25">
      <c r="A762" s="63"/>
      <c r="B762" s="64"/>
      <c r="C762" s="64"/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4"/>
      <c r="S762" s="28"/>
      <c r="Y762" s="99"/>
      <c r="Z762" s="64"/>
    </row>
    <row r="763" spans="1:26" x14ac:dyDescent="0.25">
      <c r="A763" s="63"/>
      <c r="B763" s="64"/>
      <c r="C763" s="64"/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4"/>
      <c r="S763" s="28"/>
      <c r="Y763" s="99"/>
      <c r="Z763" s="64"/>
    </row>
    <row r="764" spans="1:26" x14ac:dyDescent="0.25">
      <c r="A764" s="63"/>
      <c r="B764" s="64"/>
      <c r="C764" s="64"/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4"/>
      <c r="S764" s="28"/>
      <c r="Y764" s="99"/>
      <c r="Z764" s="64"/>
    </row>
    <row r="765" spans="1:26" x14ac:dyDescent="0.25">
      <c r="A765" s="63"/>
      <c r="B765" s="64"/>
      <c r="C765" s="64"/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4"/>
      <c r="S765" s="28"/>
      <c r="Y765" s="99"/>
      <c r="Z765" s="64"/>
    </row>
    <row r="766" spans="1:26" x14ac:dyDescent="0.25">
      <c r="A766" s="63"/>
      <c r="B766" s="64"/>
      <c r="C766" s="64"/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4"/>
      <c r="S766" s="28"/>
      <c r="Y766" s="99"/>
      <c r="Z766" s="64"/>
    </row>
    <row r="767" spans="1:26" x14ac:dyDescent="0.25">
      <c r="A767" s="63"/>
      <c r="B767" s="64"/>
      <c r="C767" s="64"/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4"/>
      <c r="S767" s="28"/>
      <c r="Y767" s="99"/>
      <c r="Z767" s="64"/>
    </row>
    <row r="768" spans="1:26" x14ac:dyDescent="0.25">
      <c r="A768" s="63"/>
      <c r="B768" s="64"/>
      <c r="C768" s="64"/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4"/>
      <c r="S768" s="28"/>
      <c r="Y768" s="99"/>
      <c r="Z768" s="64"/>
    </row>
    <row r="769" spans="1:26" x14ac:dyDescent="0.25">
      <c r="A769" s="63"/>
      <c r="B769" s="64"/>
      <c r="C769" s="64"/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4"/>
      <c r="S769" s="28"/>
      <c r="Y769" s="99"/>
      <c r="Z769" s="64"/>
    </row>
    <row r="770" spans="1:26" x14ac:dyDescent="0.25">
      <c r="A770" s="63"/>
      <c r="B770" s="64"/>
      <c r="C770" s="64"/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4"/>
      <c r="S770" s="28"/>
      <c r="Y770" s="99"/>
      <c r="Z770" s="64"/>
    </row>
    <row r="771" spans="1:26" x14ac:dyDescent="0.25">
      <c r="A771" s="63"/>
      <c r="B771" s="64"/>
      <c r="C771" s="64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4"/>
      <c r="S771" s="28"/>
      <c r="Y771" s="99"/>
      <c r="Z771" s="64"/>
    </row>
    <row r="772" spans="1:26" x14ac:dyDescent="0.25">
      <c r="A772" s="63"/>
      <c r="B772" s="64"/>
      <c r="C772" s="64"/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4"/>
      <c r="S772" s="28"/>
      <c r="Y772" s="99"/>
      <c r="Z772" s="64"/>
    </row>
    <row r="773" spans="1:26" x14ac:dyDescent="0.25">
      <c r="A773" s="63"/>
      <c r="B773" s="64"/>
      <c r="C773" s="64"/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4"/>
      <c r="S773" s="28"/>
      <c r="Y773" s="99"/>
      <c r="Z773" s="64"/>
    </row>
    <row r="774" spans="1:26" x14ac:dyDescent="0.25">
      <c r="A774" s="63"/>
      <c r="B774" s="64"/>
      <c r="C774" s="64"/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4"/>
      <c r="S774" s="28"/>
      <c r="Y774" s="99"/>
      <c r="Z774" s="64"/>
    </row>
    <row r="775" spans="1:26" x14ac:dyDescent="0.25">
      <c r="A775" s="63"/>
      <c r="B775" s="64"/>
      <c r="C775" s="64"/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4"/>
      <c r="S775" s="28"/>
      <c r="Y775" s="99"/>
      <c r="Z775" s="64"/>
    </row>
    <row r="776" spans="1:26" x14ac:dyDescent="0.25">
      <c r="A776" s="63"/>
      <c r="B776" s="64"/>
      <c r="C776" s="64"/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4"/>
      <c r="S776" s="28"/>
      <c r="Y776" s="99"/>
      <c r="Z776" s="64"/>
    </row>
    <row r="777" spans="1:26" x14ac:dyDescent="0.25">
      <c r="A777" s="63"/>
      <c r="B777" s="64"/>
      <c r="C777" s="64"/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4"/>
      <c r="S777" s="28"/>
      <c r="Y777" s="99"/>
      <c r="Z777" s="64"/>
    </row>
    <row r="778" spans="1:26" x14ac:dyDescent="0.25">
      <c r="A778" s="63"/>
      <c r="B778" s="64"/>
      <c r="C778" s="64"/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4"/>
      <c r="S778" s="28"/>
      <c r="Y778" s="99"/>
      <c r="Z778" s="64"/>
    </row>
    <row r="779" spans="1:26" x14ac:dyDescent="0.25">
      <c r="A779" s="63"/>
      <c r="B779" s="64"/>
      <c r="C779" s="64"/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4"/>
      <c r="S779" s="28"/>
      <c r="Y779" s="99"/>
      <c r="Z779" s="64"/>
    </row>
    <row r="780" spans="1:26" x14ac:dyDescent="0.25">
      <c r="A780" s="63"/>
      <c r="B780" s="64"/>
      <c r="C780" s="64"/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4"/>
      <c r="S780" s="28"/>
    </row>
    <row r="781" spans="1:26" x14ac:dyDescent="0.25">
      <c r="A781" s="63"/>
      <c r="B781" s="64"/>
      <c r="C781" s="64"/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4"/>
      <c r="S781" s="28"/>
    </row>
    <row r="782" spans="1:26" x14ac:dyDescent="0.25">
      <c r="A782" s="63"/>
      <c r="B782" s="64"/>
      <c r="C782" s="64"/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4"/>
      <c r="S782" s="28"/>
    </row>
    <row r="783" spans="1:26" x14ac:dyDescent="0.25">
      <c r="A783" s="63"/>
      <c r="B783" s="64"/>
      <c r="C783" s="64"/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4"/>
      <c r="S783" s="28"/>
    </row>
    <row r="784" spans="1:26" x14ac:dyDescent="0.25">
      <c r="A784" s="63"/>
      <c r="B784" s="64"/>
      <c r="C784" s="64"/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4"/>
      <c r="S784" s="28"/>
    </row>
    <row r="785" spans="1:19" x14ac:dyDescent="0.25">
      <c r="A785" s="63"/>
      <c r="B785" s="64"/>
      <c r="C785" s="64"/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4"/>
      <c r="S785" s="28"/>
    </row>
    <row r="786" spans="1:19" x14ac:dyDescent="0.25">
      <c r="A786" s="63"/>
      <c r="B786" s="64"/>
      <c r="C786" s="64"/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4"/>
      <c r="S786" s="28"/>
    </row>
    <row r="787" spans="1:19" x14ac:dyDescent="0.25">
      <c r="A787" s="63"/>
      <c r="B787" s="64"/>
      <c r="C787" s="64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4"/>
      <c r="S787" s="28"/>
    </row>
    <row r="788" spans="1:19" x14ac:dyDescent="0.25">
      <c r="A788" s="63"/>
      <c r="B788" s="64"/>
      <c r="C788" s="64"/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4"/>
      <c r="S788" s="28"/>
    </row>
    <row r="789" spans="1:19" x14ac:dyDescent="0.25">
      <c r="A789" s="63"/>
      <c r="B789" s="64"/>
      <c r="C789" s="64"/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4"/>
      <c r="S789" s="28"/>
    </row>
    <row r="790" spans="1:19" x14ac:dyDescent="0.25">
      <c r="A790" s="63"/>
      <c r="B790" s="64"/>
      <c r="C790" s="64"/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4"/>
      <c r="S790" s="28"/>
    </row>
    <row r="791" spans="1:19" x14ac:dyDescent="0.25">
      <c r="A791" s="63"/>
      <c r="B791" s="64"/>
      <c r="C791" s="64"/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4"/>
      <c r="S791" s="28"/>
    </row>
    <row r="792" spans="1:19" x14ac:dyDescent="0.25">
      <c r="A792" s="63"/>
      <c r="B792" s="64"/>
      <c r="C792" s="64"/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4"/>
      <c r="S792" s="28"/>
    </row>
    <row r="793" spans="1:19" x14ac:dyDescent="0.25">
      <c r="A793" s="63"/>
      <c r="B793" s="64"/>
      <c r="C793" s="64"/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4"/>
      <c r="S793" s="28"/>
    </row>
    <row r="794" spans="1:19" x14ac:dyDescent="0.25">
      <c r="A794" s="63"/>
      <c r="B794" s="64"/>
      <c r="C794" s="64"/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4"/>
      <c r="S794" s="28"/>
    </row>
    <row r="795" spans="1:19" x14ac:dyDescent="0.25">
      <c r="A795" s="63"/>
      <c r="B795" s="64"/>
      <c r="C795" s="64"/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4"/>
      <c r="S795" s="28"/>
    </row>
    <row r="796" spans="1:19" x14ac:dyDescent="0.25">
      <c r="A796" s="63"/>
      <c r="B796" s="64"/>
      <c r="C796" s="64"/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4"/>
      <c r="S796" s="28"/>
    </row>
    <row r="797" spans="1:19" x14ac:dyDescent="0.25">
      <c r="A797" s="63"/>
      <c r="B797" s="64"/>
      <c r="C797" s="64"/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4"/>
      <c r="S797" s="28"/>
    </row>
    <row r="798" spans="1:19" x14ac:dyDescent="0.25">
      <c r="A798" s="63"/>
      <c r="B798" s="64"/>
      <c r="C798" s="64"/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4"/>
      <c r="S798" s="28"/>
    </row>
    <row r="799" spans="1:19" x14ac:dyDescent="0.25">
      <c r="A799" s="63"/>
      <c r="B799" s="64"/>
      <c r="C799" s="64"/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4"/>
      <c r="S799" s="28"/>
    </row>
    <row r="800" spans="1:19" x14ac:dyDescent="0.25">
      <c r="A800" s="63"/>
      <c r="B800" s="64"/>
      <c r="C800" s="64"/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4"/>
      <c r="S800" s="28"/>
    </row>
    <row r="801" spans="1:19" x14ac:dyDescent="0.25">
      <c r="A801" s="63"/>
      <c r="B801" s="64"/>
      <c r="C801" s="64"/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4"/>
      <c r="S801" s="28"/>
    </row>
    <row r="802" spans="1:19" x14ac:dyDescent="0.25">
      <c r="A802" s="63"/>
      <c r="B802" s="64"/>
      <c r="C802" s="64"/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4"/>
      <c r="S802" s="28"/>
    </row>
    <row r="803" spans="1:19" x14ac:dyDescent="0.25">
      <c r="A803" s="63"/>
      <c r="B803" s="64"/>
      <c r="C803" s="64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4"/>
      <c r="S803" s="28"/>
    </row>
    <row r="804" spans="1:19" x14ac:dyDescent="0.25">
      <c r="A804" s="63"/>
      <c r="B804" s="64"/>
      <c r="C804" s="64"/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4"/>
      <c r="S804" s="28"/>
    </row>
    <row r="805" spans="1:19" x14ac:dyDescent="0.25">
      <c r="A805" s="63"/>
      <c r="B805" s="64"/>
      <c r="C805" s="64"/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4"/>
      <c r="S805" s="28"/>
    </row>
    <row r="806" spans="1:19" x14ac:dyDescent="0.25">
      <c r="A806" s="63"/>
      <c r="B806" s="64"/>
      <c r="C806" s="64"/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4"/>
      <c r="S806" s="28"/>
    </row>
    <row r="807" spans="1:19" x14ac:dyDescent="0.25">
      <c r="A807" s="63"/>
      <c r="B807" s="64"/>
      <c r="C807" s="64"/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4"/>
      <c r="S807" s="28"/>
    </row>
    <row r="808" spans="1:19" x14ac:dyDescent="0.25">
      <c r="A808" s="63"/>
      <c r="B808" s="64"/>
      <c r="C808" s="64"/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4"/>
      <c r="S808" s="28"/>
    </row>
    <row r="809" spans="1:19" x14ac:dyDescent="0.25">
      <c r="A809" s="63"/>
      <c r="B809" s="64"/>
      <c r="C809" s="64"/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4"/>
      <c r="S809" s="28"/>
    </row>
    <row r="810" spans="1:19" x14ac:dyDescent="0.25">
      <c r="A810" s="63"/>
      <c r="B810" s="64"/>
      <c r="C810" s="64"/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4"/>
      <c r="S810" s="28"/>
    </row>
    <row r="811" spans="1:19" x14ac:dyDescent="0.25">
      <c r="A811" s="63"/>
      <c r="B811" s="64"/>
      <c r="C811" s="64"/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4"/>
      <c r="S811" s="28"/>
    </row>
    <row r="812" spans="1:19" x14ac:dyDescent="0.25">
      <c r="A812" s="63"/>
      <c r="B812" s="64"/>
      <c r="C812" s="64"/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4"/>
      <c r="S812" s="28"/>
    </row>
    <row r="813" spans="1:19" x14ac:dyDescent="0.25">
      <c r="A813" s="63"/>
      <c r="B813" s="64"/>
      <c r="C813" s="64"/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4"/>
      <c r="S813" s="28"/>
    </row>
    <row r="814" spans="1:19" x14ac:dyDescent="0.25">
      <c r="A814" s="63"/>
      <c r="B814" s="64"/>
      <c r="C814" s="64"/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4"/>
      <c r="S814" s="28"/>
    </row>
    <row r="815" spans="1:19" x14ac:dyDescent="0.25">
      <c r="A815" s="63"/>
      <c r="B815" s="64"/>
      <c r="C815" s="64"/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4"/>
      <c r="S815" s="28"/>
    </row>
    <row r="816" spans="1:19" x14ac:dyDescent="0.25">
      <c r="A816" s="63"/>
      <c r="B816" s="64"/>
      <c r="C816" s="64"/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4"/>
      <c r="S816" s="28"/>
    </row>
    <row r="817" spans="1:19" x14ac:dyDescent="0.25">
      <c r="A817" s="63"/>
      <c r="B817" s="64"/>
      <c r="C817" s="64"/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4"/>
      <c r="S817" s="28"/>
    </row>
    <row r="818" spans="1:19" x14ac:dyDescent="0.25">
      <c r="A818" s="63"/>
      <c r="B818" s="64"/>
      <c r="C818" s="64"/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4"/>
      <c r="S818" s="28"/>
    </row>
    <row r="819" spans="1:19" x14ac:dyDescent="0.25">
      <c r="A819" s="63"/>
      <c r="B819" s="64"/>
      <c r="C819" s="64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4"/>
      <c r="S819" s="28"/>
    </row>
    <row r="820" spans="1:19" x14ac:dyDescent="0.25">
      <c r="A820" s="63"/>
      <c r="B820" s="64"/>
      <c r="C820" s="64"/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4"/>
      <c r="S820" s="28"/>
    </row>
    <row r="821" spans="1:19" x14ac:dyDescent="0.25">
      <c r="A821" s="63"/>
      <c r="B821" s="64"/>
      <c r="C821" s="64"/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4"/>
      <c r="S821" s="28"/>
    </row>
    <row r="822" spans="1:19" x14ac:dyDescent="0.25">
      <c r="A822" s="63"/>
      <c r="B822" s="64"/>
      <c r="C822" s="64"/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4"/>
      <c r="S822" s="28"/>
    </row>
    <row r="823" spans="1:19" x14ac:dyDescent="0.25">
      <c r="A823" s="63"/>
      <c r="B823" s="64"/>
      <c r="C823" s="64"/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4"/>
      <c r="S823" s="28"/>
    </row>
    <row r="824" spans="1:19" x14ac:dyDescent="0.25">
      <c r="A824" s="63"/>
      <c r="B824" s="64"/>
      <c r="C824" s="64"/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4"/>
      <c r="S824" s="28"/>
    </row>
    <row r="825" spans="1:19" x14ac:dyDescent="0.25">
      <c r="A825" s="63"/>
      <c r="B825" s="64"/>
      <c r="C825" s="64"/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4"/>
      <c r="S825" s="28"/>
    </row>
    <row r="826" spans="1:19" x14ac:dyDescent="0.25">
      <c r="A826" s="63"/>
      <c r="B826" s="64"/>
      <c r="C826" s="64"/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4"/>
      <c r="S826" s="28"/>
    </row>
    <row r="827" spans="1:19" x14ac:dyDescent="0.25">
      <c r="A827" s="63"/>
      <c r="B827" s="64"/>
      <c r="C827" s="64"/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4"/>
      <c r="S827" s="28"/>
    </row>
    <row r="828" spans="1:19" x14ac:dyDescent="0.25">
      <c r="A828" s="63"/>
      <c r="B828" s="64"/>
      <c r="C828" s="64"/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4"/>
      <c r="S828" s="28"/>
    </row>
    <row r="829" spans="1:19" x14ac:dyDescent="0.25">
      <c r="A829" s="63"/>
      <c r="B829" s="64"/>
      <c r="C829" s="64"/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4"/>
      <c r="S829" s="28"/>
    </row>
    <row r="830" spans="1:19" x14ac:dyDescent="0.25">
      <c r="A830" s="63"/>
      <c r="B830" s="64"/>
      <c r="C830" s="64"/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4"/>
      <c r="S830" s="28"/>
    </row>
    <row r="831" spans="1:19" x14ac:dyDescent="0.25">
      <c r="A831" s="63"/>
      <c r="B831" s="64"/>
      <c r="C831" s="64"/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4"/>
      <c r="S831" s="28"/>
    </row>
    <row r="832" spans="1:19" x14ac:dyDescent="0.25">
      <c r="A832" s="63"/>
      <c r="B832" s="64"/>
      <c r="C832" s="64"/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4"/>
      <c r="S832" s="28"/>
    </row>
    <row r="833" spans="1:19" x14ac:dyDescent="0.25">
      <c r="A833" s="63"/>
      <c r="B833" s="64"/>
      <c r="C833" s="64"/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4"/>
      <c r="S833" s="28"/>
    </row>
    <row r="834" spans="1:19" x14ac:dyDescent="0.25">
      <c r="A834" s="63"/>
      <c r="B834" s="64"/>
      <c r="C834" s="64"/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4"/>
      <c r="S834" s="28"/>
    </row>
    <row r="835" spans="1:19" x14ac:dyDescent="0.25">
      <c r="A835" s="63"/>
      <c r="B835" s="64"/>
      <c r="C835" s="64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4"/>
      <c r="S835" s="28"/>
    </row>
    <row r="836" spans="1:19" x14ac:dyDescent="0.25">
      <c r="A836" s="63"/>
      <c r="B836" s="64"/>
      <c r="C836" s="64"/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4"/>
      <c r="S836" s="28"/>
    </row>
    <row r="837" spans="1:19" x14ac:dyDescent="0.25">
      <c r="A837" s="63"/>
      <c r="B837" s="64"/>
      <c r="C837" s="64"/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4"/>
      <c r="S837" s="28"/>
    </row>
    <row r="838" spans="1:19" x14ac:dyDescent="0.25">
      <c r="A838" s="63"/>
      <c r="B838" s="64"/>
      <c r="C838" s="64"/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4"/>
      <c r="S838" s="28"/>
    </row>
    <row r="839" spans="1:19" x14ac:dyDescent="0.25">
      <c r="A839" s="63"/>
      <c r="B839" s="64"/>
      <c r="C839" s="64"/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4"/>
      <c r="S839" s="28"/>
    </row>
    <row r="840" spans="1:19" x14ac:dyDescent="0.25">
      <c r="A840" s="63"/>
      <c r="B840" s="64"/>
      <c r="C840" s="64"/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4"/>
      <c r="S840" s="28"/>
    </row>
    <row r="841" spans="1:19" x14ac:dyDescent="0.25">
      <c r="A841" s="63"/>
      <c r="B841" s="64"/>
      <c r="C841" s="64"/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4"/>
      <c r="S841" s="28"/>
    </row>
    <row r="842" spans="1:19" x14ac:dyDescent="0.25">
      <c r="A842" s="63"/>
      <c r="B842" s="64"/>
      <c r="C842" s="64"/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4"/>
      <c r="S842" s="28"/>
    </row>
    <row r="843" spans="1:19" x14ac:dyDescent="0.25">
      <c r="A843" s="63"/>
      <c r="B843" s="64"/>
      <c r="C843" s="64"/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4"/>
      <c r="S843" s="28"/>
    </row>
    <row r="844" spans="1:19" x14ac:dyDescent="0.25">
      <c r="A844" s="63"/>
      <c r="B844" s="64"/>
      <c r="C844" s="64"/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4"/>
      <c r="S844" s="28"/>
    </row>
    <row r="845" spans="1:19" x14ac:dyDescent="0.25">
      <c r="A845" s="63"/>
      <c r="B845" s="64"/>
      <c r="C845" s="64"/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4"/>
      <c r="S845" s="28"/>
    </row>
    <row r="846" spans="1:19" x14ac:dyDescent="0.25">
      <c r="A846" s="63"/>
      <c r="B846" s="64"/>
      <c r="C846" s="64"/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4"/>
      <c r="S846" s="28"/>
    </row>
    <row r="847" spans="1:19" x14ac:dyDescent="0.25">
      <c r="A847" s="63"/>
      <c r="B847" s="64"/>
      <c r="C847" s="64"/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4"/>
      <c r="S847" s="28"/>
    </row>
    <row r="848" spans="1:19" x14ac:dyDescent="0.25">
      <c r="A848" s="63"/>
      <c r="B848" s="64"/>
      <c r="C848" s="64"/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4"/>
      <c r="S848" s="28"/>
    </row>
    <row r="849" spans="1:19" x14ac:dyDescent="0.25">
      <c r="A849" s="63"/>
      <c r="B849" s="64"/>
      <c r="C849" s="64"/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4"/>
      <c r="S849" s="28"/>
    </row>
    <row r="850" spans="1:19" x14ac:dyDescent="0.25">
      <c r="A850" s="63"/>
      <c r="B850" s="64"/>
      <c r="C850" s="64"/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4"/>
      <c r="S850" s="28"/>
    </row>
    <row r="851" spans="1:19" x14ac:dyDescent="0.25">
      <c r="A851" s="63"/>
      <c r="B851" s="64"/>
      <c r="C851" s="64"/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64"/>
      <c r="S851" s="28"/>
    </row>
    <row r="852" spans="1:19" x14ac:dyDescent="0.25">
      <c r="A852" s="63"/>
      <c r="B852" s="64"/>
      <c r="C852" s="64"/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64"/>
      <c r="S852" s="28"/>
    </row>
    <row r="853" spans="1:19" x14ac:dyDescent="0.25">
      <c r="A853" s="63"/>
      <c r="B853" s="64"/>
      <c r="C853" s="64"/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64"/>
      <c r="S853" s="28"/>
    </row>
    <row r="854" spans="1:19" x14ac:dyDescent="0.25">
      <c r="A854" s="63"/>
      <c r="B854" s="64"/>
      <c r="C854" s="64"/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64"/>
      <c r="S854" s="28"/>
    </row>
    <row r="855" spans="1:19" x14ac:dyDescent="0.25">
      <c r="A855" s="63"/>
      <c r="B855" s="64"/>
      <c r="C855" s="64"/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64"/>
      <c r="S855" s="28"/>
    </row>
    <row r="856" spans="1:19" x14ac:dyDescent="0.25">
      <c r="A856" s="63"/>
      <c r="B856" s="64"/>
      <c r="C856" s="64"/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64"/>
      <c r="S856" s="28"/>
    </row>
    <row r="857" spans="1:19" x14ac:dyDescent="0.25">
      <c r="A857" s="63"/>
      <c r="B857" s="64"/>
      <c r="C857" s="64"/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64"/>
      <c r="S857" s="28"/>
    </row>
    <row r="858" spans="1:19" x14ac:dyDescent="0.25">
      <c r="A858" s="63"/>
      <c r="B858" s="64"/>
      <c r="C858" s="64"/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64"/>
      <c r="S858" s="28"/>
    </row>
    <row r="859" spans="1:19" x14ac:dyDescent="0.25">
      <c r="A859" s="63"/>
      <c r="B859" s="64"/>
      <c r="C859" s="64"/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64"/>
      <c r="S859" s="28"/>
    </row>
    <row r="860" spans="1:19" x14ac:dyDescent="0.25">
      <c r="A860" s="63"/>
      <c r="B860" s="64"/>
      <c r="C860" s="64"/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64"/>
      <c r="S860" s="28"/>
    </row>
    <row r="861" spans="1:19" x14ac:dyDescent="0.25">
      <c r="A861" s="63"/>
      <c r="B861" s="64"/>
      <c r="C861" s="64"/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64"/>
      <c r="S861" s="28"/>
    </row>
    <row r="862" spans="1:19" x14ac:dyDescent="0.25">
      <c r="A862" s="63"/>
      <c r="B862" s="64"/>
      <c r="C862" s="64"/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64"/>
      <c r="S862" s="28"/>
    </row>
    <row r="863" spans="1:19" x14ac:dyDescent="0.25">
      <c r="A863" s="63"/>
      <c r="B863" s="64"/>
      <c r="C863" s="64"/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64"/>
      <c r="S863" s="28"/>
    </row>
    <row r="864" spans="1:19" x14ac:dyDescent="0.25">
      <c r="A864" s="63"/>
      <c r="B864" s="64"/>
      <c r="C864" s="64"/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64"/>
      <c r="S864" s="28"/>
    </row>
    <row r="865" spans="1:19" x14ac:dyDescent="0.25">
      <c r="A865" s="63"/>
      <c r="B865" s="64"/>
      <c r="C865" s="64"/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64"/>
      <c r="S865" s="28"/>
    </row>
    <row r="866" spans="1:19" x14ac:dyDescent="0.25">
      <c r="A866" s="63"/>
      <c r="B866" s="64"/>
      <c r="C866" s="64"/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64"/>
      <c r="S866" s="28"/>
    </row>
    <row r="867" spans="1:19" x14ac:dyDescent="0.25">
      <c r="A867" s="63"/>
      <c r="B867" s="64"/>
      <c r="C867" s="64"/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64"/>
      <c r="S867" s="28"/>
    </row>
    <row r="868" spans="1:19" x14ac:dyDescent="0.25">
      <c r="A868" s="63"/>
      <c r="B868" s="64"/>
      <c r="C868" s="64"/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64"/>
      <c r="S868" s="28"/>
    </row>
    <row r="869" spans="1:19" x14ac:dyDescent="0.25">
      <c r="A869" s="63"/>
      <c r="B869" s="64"/>
      <c r="C869" s="64"/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64"/>
      <c r="S869" s="28"/>
    </row>
    <row r="870" spans="1:19" x14ac:dyDescent="0.25">
      <c r="A870" s="63"/>
      <c r="B870" s="64"/>
      <c r="C870" s="64"/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64"/>
      <c r="S870" s="28"/>
    </row>
    <row r="871" spans="1:19" x14ac:dyDescent="0.25">
      <c r="A871" s="63"/>
      <c r="B871" s="64"/>
      <c r="C871" s="64"/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64"/>
      <c r="S871" s="28"/>
    </row>
    <row r="872" spans="1:19" x14ac:dyDescent="0.25">
      <c r="A872" s="63"/>
      <c r="B872" s="64"/>
      <c r="C872" s="64"/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64"/>
      <c r="S872" s="28"/>
    </row>
    <row r="873" spans="1:19" x14ac:dyDescent="0.25">
      <c r="A873" s="63"/>
      <c r="B873" s="64"/>
      <c r="C873" s="64"/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64"/>
      <c r="S873" s="28"/>
    </row>
    <row r="874" spans="1:19" x14ac:dyDescent="0.25">
      <c r="A874" s="63"/>
      <c r="B874" s="64"/>
      <c r="C874" s="64"/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64"/>
      <c r="S874" s="28"/>
    </row>
    <row r="875" spans="1:19" x14ac:dyDescent="0.25">
      <c r="A875" s="63"/>
      <c r="B875" s="64"/>
      <c r="C875" s="64"/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64"/>
      <c r="S875" s="28"/>
    </row>
    <row r="876" spans="1:19" x14ac:dyDescent="0.25">
      <c r="A876" s="63"/>
      <c r="B876" s="64"/>
      <c r="C876" s="64"/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64"/>
      <c r="S876" s="28"/>
    </row>
    <row r="877" spans="1:19" x14ac:dyDescent="0.25">
      <c r="A877" s="63"/>
      <c r="B877" s="64"/>
      <c r="C877" s="64"/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64"/>
      <c r="S877" s="28"/>
    </row>
    <row r="878" spans="1:19" x14ac:dyDescent="0.25">
      <c r="A878" s="63"/>
      <c r="B878" s="64"/>
      <c r="C878" s="64"/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64"/>
      <c r="S878" s="28"/>
    </row>
    <row r="879" spans="1:19" x14ac:dyDescent="0.25">
      <c r="A879" s="63"/>
      <c r="B879" s="64"/>
      <c r="C879" s="64"/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64"/>
      <c r="S879" s="28"/>
    </row>
    <row r="880" spans="1:19" x14ac:dyDescent="0.25">
      <c r="A880" s="63"/>
      <c r="B880" s="64"/>
      <c r="C880" s="64"/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64"/>
      <c r="S880" s="28"/>
    </row>
    <row r="881" spans="1:19" x14ac:dyDescent="0.25">
      <c r="A881" s="63"/>
      <c r="B881" s="64"/>
      <c r="C881" s="64"/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64"/>
      <c r="S881" s="28"/>
    </row>
    <row r="882" spans="1:19" x14ac:dyDescent="0.25">
      <c r="A882" s="63"/>
      <c r="B882" s="64"/>
      <c r="C882" s="64"/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64"/>
      <c r="S882" s="28"/>
    </row>
    <row r="883" spans="1:19" x14ac:dyDescent="0.25">
      <c r="A883" s="63"/>
      <c r="B883" s="64"/>
      <c r="C883" s="64"/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64"/>
      <c r="S883" s="28"/>
    </row>
    <row r="884" spans="1:19" x14ac:dyDescent="0.25">
      <c r="A884" s="63"/>
      <c r="B884" s="64"/>
      <c r="C884" s="64"/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64"/>
      <c r="S884" s="28"/>
    </row>
    <row r="885" spans="1:19" x14ac:dyDescent="0.25">
      <c r="A885" s="63"/>
      <c r="B885" s="64"/>
      <c r="C885" s="64"/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64"/>
      <c r="S885" s="28"/>
    </row>
    <row r="886" spans="1:19" x14ac:dyDescent="0.25">
      <c r="A886" s="63"/>
      <c r="B886" s="64"/>
      <c r="C886" s="64"/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64"/>
      <c r="S886" s="28"/>
    </row>
    <row r="887" spans="1:19" x14ac:dyDescent="0.25">
      <c r="A887" s="63"/>
      <c r="B887" s="64"/>
      <c r="C887" s="64"/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64"/>
      <c r="S887" s="28"/>
    </row>
    <row r="888" spans="1:19" x14ac:dyDescent="0.25">
      <c r="A888" s="63"/>
      <c r="B888" s="64"/>
      <c r="C888" s="64"/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64"/>
      <c r="S888" s="28"/>
    </row>
    <row r="889" spans="1:19" x14ac:dyDescent="0.25">
      <c r="A889" s="63"/>
      <c r="B889" s="64"/>
      <c r="C889" s="64"/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64"/>
      <c r="S889" s="28"/>
    </row>
    <row r="890" spans="1:19" x14ac:dyDescent="0.25">
      <c r="A890" s="63"/>
      <c r="B890" s="64"/>
      <c r="C890" s="64"/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64"/>
      <c r="S890" s="28"/>
    </row>
    <row r="891" spans="1:19" x14ac:dyDescent="0.25">
      <c r="A891" s="63"/>
      <c r="B891" s="64"/>
      <c r="C891" s="64"/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64"/>
      <c r="S891" s="28"/>
    </row>
    <row r="892" spans="1:19" x14ac:dyDescent="0.25">
      <c r="A892" s="63"/>
      <c r="B892" s="64"/>
      <c r="C892" s="64"/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64"/>
      <c r="S892" s="28"/>
    </row>
    <row r="893" spans="1:19" x14ac:dyDescent="0.25">
      <c r="A893" s="63"/>
      <c r="B893" s="64"/>
      <c r="C893" s="64"/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64"/>
      <c r="S893" s="28"/>
    </row>
    <row r="894" spans="1:19" x14ac:dyDescent="0.25">
      <c r="A894" s="63"/>
      <c r="B894" s="64"/>
      <c r="C894" s="64"/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64"/>
      <c r="S894" s="28"/>
    </row>
    <row r="895" spans="1:19" x14ac:dyDescent="0.25">
      <c r="A895" s="63"/>
      <c r="B895" s="64"/>
      <c r="C895" s="64"/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64"/>
      <c r="S895" s="28"/>
    </row>
    <row r="896" spans="1:19" x14ac:dyDescent="0.25">
      <c r="A896" s="63"/>
      <c r="B896" s="64"/>
      <c r="C896" s="64"/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64"/>
      <c r="S896" s="28"/>
    </row>
    <row r="897" spans="1:19" x14ac:dyDescent="0.25">
      <c r="A897" s="63"/>
      <c r="B897" s="64"/>
      <c r="C897" s="64"/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64"/>
      <c r="S897" s="28"/>
    </row>
    <row r="898" spans="1:19" x14ac:dyDescent="0.25">
      <c r="A898" s="63"/>
      <c r="B898" s="64"/>
      <c r="C898" s="64"/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64"/>
      <c r="S898" s="28"/>
    </row>
    <row r="899" spans="1:19" x14ac:dyDescent="0.25">
      <c r="A899" s="63"/>
      <c r="B899" s="64"/>
      <c r="C899" s="64"/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64"/>
      <c r="S899" s="28"/>
    </row>
    <row r="900" spans="1:19" x14ac:dyDescent="0.25">
      <c r="A900" s="63"/>
      <c r="B900" s="64"/>
      <c r="C900" s="64"/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64"/>
      <c r="S900" s="28"/>
    </row>
    <row r="901" spans="1:19" x14ac:dyDescent="0.25">
      <c r="A901" s="63"/>
      <c r="B901" s="64"/>
      <c r="C901" s="64"/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64"/>
      <c r="S901" s="28"/>
    </row>
    <row r="902" spans="1:19" x14ac:dyDescent="0.25">
      <c r="A902" s="63"/>
      <c r="B902" s="64"/>
      <c r="C902" s="64"/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64"/>
      <c r="S902" s="28"/>
    </row>
    <row r="903" spans="1:19" x14ac:dyDescent="0.25">
      <c r="A903" s="63"/>
      <c r="B903" s="64"/>
      <c r="C903" s="64"/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64"/>
      <c r="S903" s="28"/>
    </row>
    <row r="904" spans="1:19" x14ac:dyDescent="0.25">
      <c r="A904" s="63"/>
      <c r="B904" s="64"/>
      <c r="C904" s="64"/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64"/>
      <c r="S904" s="28"/>
    </row>
    <row r="905" spans="1:19" x14ac:dyDescent="0.25">
      <c r="A905" s="63"/>
      <c r="B905" s="64"/>
      <c r="C905" s="64"/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64"/>
      <c r="S905" s="28"/>
    </row>
    <row r="906" spans="1:19" x14ac:dyDescent="0.25">
      <c r="A906" s="63"/>
      <c r="B906" s="64"/>
      <c r="C906" s="64"/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64"/>
      <c r="S906" s="28"/>
    </row>
    <row r="907" spans="1:19" x14ac:dyDescent="0.25">
      <c r="A907" s="63"/>
      <c r="B907" s="64"/>
      <c r="C907" s="64"/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64"/>
      <c r="S907" s="28"/>
    </row>
    <row r="908" spans="1:19" x14ac:dyDescent="0.25">
      <c r="A908" s="63"/>
      <c r="B908" s="64"/>
      <c r="C908" s="64"/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64"/>
      <c r="S908" s="28"/>
    </row>
    <row r="909" spans="1:19" x14ac:dyDescent="0.25">
      <c r="A909" s="63"/>
      <c r="B909" s="64"/>
      <c r="C909" s="64"/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64"/>
      <c r="S909" s="28"/>
    </row>
    <row r="910" spans="1:19" x14ac:dyDescent="0.25">
      <c r="A910" s="63"/>
      <c r="B910" s="64"/>
      <c r="C910" s="64"/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64"/>
      <c r="S910" s="28"/>
    </row>
    <row r="911" spans="1:19" x14ac:dyDescent="0.25">
      <c r="A911" s="63"/>
      <c r="B911" s="64"/>
      <c r="C911" s="64"/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64"/>
      <c r="S911" s="28"/>
    </row>
    <row r="912" spans="1:19" x14ac:dyDescent="0.25">
      <c r="A912" s="63"/>
      <c r="B912" s="64"/>
      <c r="C912" s="64"/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64"/>
      <c r="S912" s="28"/>
    </row>
    <row r="913" spans="1:19" x14ac:dyDescent="0.25">
      <c r="A913" s="63"/>
      <c r="B913" s="64"/>
      <c r="C913" s="64"/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64"/>
      <c r="S913" s="28"/>
    </row>
    <row r="914" spans="1:19" x14ac:dyDescent="0.25">
      <c r="A914" s="63"/>
      <c r="B914" s="64"/>
      <c r="C914" s="64"/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64"/>
      <c r="S914" s="28"/>
    </row>
    <row r="915" spans="1:19" x14ac:dyDescent="0.25">
      <c r="A915" s="63"/>
      <c r="B915" s="64"/>
      <c r="C915" s="64"/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64"/>
      <c r="S915" s="28"/>
    </row>
    <row r="916" spans="1:19" x14ac:dyDescent="0.25">
      <c r="A916" s="63"/>
      <c r="B916" s="64"/>
      <c r="C916" s="64"/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64"/>
      <c r="S916" s="28"/>
    </row>
    <row r="917" spans="1:19" x14ac:dyDescent="0.25">
      <c r="A917" s="63"/>
      <c r="B917" s="64"/>
      <c r="C917" s="64"/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64"/>
      <c r="S917" s="28"/>
    </row>
    <row r="918" spans="1:19" x14ac:dyDescent="0.25">
      <c r="A918" s="63"/>
      <c r="B918" s="64"/>
      <c r="C918" s="64"/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64"/>
      <c r="S918" s="28"/>
    </row>
    <row r="919" spans="1:19" x14ac:dyDescent="0.25">
      <c r="A919" s="63"/>
      <c r="B919" s="64"/>
      <c r="C919" s="64"/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64"/>
      <c r="S919" s="28"/>
    </row>
    <row r="920" spans="1:19" x14ac:dyDescent="0.25">
      <c r="A920" s="63"/>
      <c r="B920" s="64"/>
      <c r="C920" s="64"/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64"/>
      <c r="S920" s="28"/>
    </row>
    <row r="921" spans="1:19" x14ac:dyDescent="0.25">
      <c r="A921" s="63"/>
      <c r="B921" s="64"/>
      <c r="C921" s="64"/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64"/>
      <c r="S921" s="28"/>
    </row>
    <row r="922" spans="1:19" x14ac:dyDescent="0.25">
      <c r="A922" s="63"/>
      <c r="B922" s="64"/>
      <c r="C922" s="64"/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64"/>
      <c r="S922" s="28"/>
    </row>
    <row r="923" spans="1:19" x14ac:dyDescent="0.25">
      <c r="A923" s="63"/>
      <c r="B923" s="64"/>
      <c r="C923" s="64"/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64"/>
      <c r="S923" s="28"/>
    </row>
    <row r="924" spans="1:19" x14ac:dyDescent="0.25">
      <c r="A924" s="63"/>
      <c r="B924" s="64"/>
      <c r="C924" s="64"/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64"/>
      <c r="S924" s="28"/>
    </row>
    <row r="925" spans="1:19" x14ac:dyDescent="0.25">
      <c r="A925" s="63"/>
      <c r="B925" s="64"/>
      <c r="C925" s="64"/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64"/>
      <c r="S925" s="28"/>
    </row>
    <row r="926" spans="1:19" x14ac:dyDescent="0.25">
      <c r="A926" s="63"/>
      <c r="B926" s="64"/>
      <c r="C926" s="64"/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64"/>
      <c r="S926" s="28"/>
    </row>
    <row r="927" spans="1:19" x14ac:dyDescent="0.25">
      <c r="A927" s="63"/>
      <c r="B927" s="64"/>
      <c r="C927" s="64"/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64"/>
      <c r="S927" s="28"/>
    </row>
    <row r="928" spans="1:19" x14ac:dyDescent="0.25">
      <c r="A928" s="63"/>
      <c r="B928" s="64"/>
      <c r="C928" s="64"/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64"/>
      <c r="S928" s="28"/>
    </row>
    <row r="929" spans="1:19" x14ac:dyDescent="0.25">
      <c r="A929" s="63"/>
      <c r="B929" s="64"/>
      <c r="C929" s="64"/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64"/>
      <c r="S929" s="28"/>
    </row>
    <row r="930" spans="1:19" x14ac:dyDescent="0.25">
      <c r="A930" s="63"/>
      <c r="B930" s="64"/>
      <c r="C930" s="64"/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64"/>
      <c r="S930" s="28"/>
    </row>
    <row r="931" spans="1:19" x14ac:dyDescent="0.25">
      <c r="A931" s="63"/>
      <c r="B931" s="64"/>
      <c r="C931" s="64"/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64"/>
      <c r="S931" s="28"/>
    </row>
    <row r="932" spans="1:19" x14ac:dyDescent="0.25">
      <c r="A932" s="63"/>
      <c r="B932" s="64"/>
      <c r="C932" s="64"/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64"/>
      <c r="S932" s="28"/>
    </row>
    <row r="933" spans="1:19" x14ac:dyDescent="0.25">
      <c r="A933" s="63"/>
      <c r="B933" s="64"/>
      <c r="C933" s="64"/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64"/>
      <c r="S933" s="28"/>
    </row>
    <row r="934" spans="1:19" x14ac:dyDescent="0.25">
      <c r="A934" s="63"/>
      <c r="B934" s="64"/>
      <c r="C934" s="64"/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64"/>
      <c r="S934" s="28"/>
    </row>
    <row r="935" spans="1:19" x14ac:dyDescent="0.25">
      <c r="A935" s="63"/>
      <c r="B935" s="64"/>
      <c r="C935" s="64"/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64"/>
      <c r="S935" s="28"/>
    </row>
    <row r="936" spans="1:19" x14ac:dyDescent="0.25">
      <c r="A936" s="63"/>
      <c r="B936" s="64"/>
      <c r="C936" s="64"/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64"/>
      <c r="S936" s="28"/>
    </row>
    <row r="937" spans="1:19" x14ac:dyDescent="0.25">
      <c r="A937" s="63"/>
      <c r="B937" s="64"/>
      <c r="C937" s="64"/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64"/>
      <c r="S937" s="28"/>
    </row>
    <row r="938" spans="1:19" x14ac:dyDescent="0.25">
      <c r="A938" s="63"/>
      <c r="B938" s="64"/>
      <c r="C938" s="64"/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64"/>
      <c r="S938" s="28"/>
    </row>
    <row r="939" spans="1:19" x14ac:dyDescent="0.25">
      <c r="A939" s="63"/>
      <c r="B939" s="64"/>
      <c r="C939" s="64"/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64"/>
      <c r="S939" s="28"/>
    </row>
    <row r="940" spans="1:19" x14ac:dyDescent="0.25">
      <c r="A940" s="63"/>
      <c r="B940" s="64"/>
      <c r="C940" s="64"/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64"/>
      <c r="S940" s="28"/>
    </row>
    <row r="941" spans="1:19" x14ac:dyDescent="0.25">
      <c r="A941" s="63"/>
      <c r="B941" s="64"/>
      <c r="C941" s="64"/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64"/>
      <c r="S941" s="28"/>
    </row>
    <row r="942" spans="1:19" x14ac:dyDescent="0.25">
      <c r="A942" s="63"/>
      <c r="B942" s="64"/>
      <c r="C942" s="64"/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64"/>
      <c r="S942" s="28"/>
    </row>
    <row r="943" spans="1:19" x14ac:dyDescent="0.25">
      <c r="A943" s="63"/>
      <c r="B943" s="64"/>
      <c r="C943" s="64"/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64"/>
      <c r="S943" s="28"/>
    </row>
    <row r="944" spans="1:19" x14ac:dyDescent="0.25">
      <c r="A944" s="63"/>
      <c r="B944" s="64"/>
      <c r="C944" s="64"/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64"/>
      <c r="S944" s="28"/>
    </row>
    <row r="945" spans="1:19" x14ac:dyDescent="0.25">
      <c r="A945" s="63"/>
      <c r="B945" s="64"/>
      <c r="C945" s="64"/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64"/>
      <c r="S945" s="28"/>
    </row>
    <row r="946" spans="1:19" x14ac:dyDescent="0.25">
      <c r="A946" s="63"/>
      <c r="B946" s="64"/>
      <c r="C946" s="64"/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64"/>
      <c r="S946" s="28"/>
    </row>
    <row r="947" spans="1:19" x14ac:dyDescent="0.25">
      <c r="A947" s="63"/>
      <c r="B947" s="64"/>
      <c r="C947" s="64"/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64"/>
      <c r="S947" s="28"/>
    </row>
    <row r="948" spans="1:19" x14ac:dyDescent="0.25">
      <c r="A948" s="63"/>
      <c r="B948" s="64"/>
      <c r="C948" s="64"/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64"/>
      <c r="S948" s="28"/>
    </row>
    <row r="949" spans="1:19" x14ac:dyDescent="0.25">
      <c r="A949" s="63"/>
      <c r="B949" s="64"/>
      <c r="C949" s="64"/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64"/>
      <c r="S949" s="28"/>
    </row>
    <row r="950" spans="1:19" x14ac:dyDescent="0.25">
      <c r="A950" s="63"/>
      <c r="B950" s="64"/>
      <c r="C950" s="64"/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64"/>
      <c r="S950" s="28"/>
    </row>
    <row r="951" spans="1:19" x14ac:dyDescent="0.25">
      <c r="A951" s="63"/>
      <c r="B951" s="64"/>
      <c r="C951" s="64"/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64"/>
      <c r="S951" s="28"/>
    </row>
    <row r="952" spans="1:19" x14ac:dyDescent="0.25">
      <c r="A952" s="63"/>
      <c r="B952" s="64"/>
      <c r="C952" s="64"/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64"/>
      <c r="S952" s="28"/>
    </row>
    <row r="953" spans="1:19" x14ac:dyDescent="0.25">
      <c r="A953" s="63"/>
      <c r="B953" s="64"/>
      <c r="C953" s="64"/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64"/>
      <c r="S953" s="28"/>
    </row>
    <row r="954" spans="1:19" x14ac:dyDescent="0.25">
      <c r="A954" s="63"/>
      <c r="B954" s="64"/>
      <c r="C954" s="64"/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64"/>
      <c r="S954" s="28"/>
    </row>
    <row r="955" spans="1:19" x14ac:dyDescent="0.25">
      <c r="A955" s="63"/>
      <c r="B955" s="64"/>
      <c r="C955" s="64"/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64"/>
      <c r="S955" s="28"/>
    </row>
    <row r="956" spans="1:19" x14ac:dyDescent="0.25">
      <c r="A956" s="63"/>
      <c r="B956" s="64"/>
      <c r="C956" s="64"/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64"/>
      <c r="S956" s="28"/>
    </row>
    <row r="957" spans="1:19" x14ac:dyDescent="0.25">
      <c r="A957" s="63"/>
      <c r="B957" s="64"/>
      <c r="C957" s="64"/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64"/>
      <c r="S957" s="28"/>
    </row>
    <row r="958" spans="1:19" x14ac:dyDescent="0.25">
      <c r="A958" s="63"/>
      <c r="B958" s="64"/>
      <c r="C958" s="64"/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64"/>
      <c r="S958" s="28"/>
    </row>
    <row r="959" spans="1:19" x14ac:dyDescent="0.25">
      <c r="A959" s="63"/>
      <c r="B959" s="64"/>
      <c r="C959" s="64"/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64"/>
      <c r="S959" s="28"/>
    </row>
    <row r="960" spans="1:19" x14ac:dyDescent="0.25">
      <c r="A960" s="63"/>
      <c r="B960" s="64"/>
      <c r="C960" s="64"/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64"/>
      <c r="S960" s="28"/>
    </row>
    <row r="961" spans="1:19" x14ac:dyDescent="0.25">
      <c r="A961" s="63"/>
      <c r="B961" s="64"/>
      <c r="C961" s="64"/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64"/>
      <c r="S961" s="28"/>
    </row>
    <row r="962" spans="1:19" x14ac:dyDescent="0.25">
      <c r="A962" s="63"/>
      <c r="B962" s="64"/>
      <c r="C962" s="64"/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64"/>
      <c r="S962" s="28"/>
    </row>
    <row r="963" spans="1:19" x14ac:dyDescent="0.25">
      <c r="A963" s="63"/>
      <c r="B963" s="64"/>
      <c r="C963" s="64"/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64"/>
      <c r="S963" s="28"/>
    </row>
    <row r="964" spans="1:19" x14ac:dyDescent="0.25">
      <c r="A964" s="63"/>
      <c r="B964" s="64"/>
      <c r="C964" s="64"/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64"/>
      <c r="S964" s="28"/>
    </row>
    <row r="965" spans="1:19" x14ac:dyDescent="0.25">
      <c r="A965" s="63"/>
      <c r="B965" s="64"/>
      <c r="C965" s="64"/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64"/>
      <c r="S965" s="28"/>
    </row>
    <row r="966" spans="1:19" x14ac:dyDescent="0.25">
      <c r="A966" s="63"/>
      <c r="B966" s="64"/>
      <c r="C966" s="64"/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64"/>
      <c r="S966" s="28"/>
    </row>
    <row r="967" spans="1:19" x14ac:dyDescent="0.25">
      <c r="A967" s="63"/>
      <c r="B967" s="64"/>
      <c r="C967" s="64"/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64"/>
      <c r="S967" s="28"/>
    </row>
    <row r="968" spans="1:19" x14ac:dyDescent="0.25">
      <c r="A968" s="63"/>
      <c r="B968" s="64"/>
      <c r="C968" s="64"/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64"/>
      <c r="S968" s="28"/>
    </row>
    <row r="969" spans="1:19" x14ac:dyDescent="0.25">
      <c r="A969" s="63"/>
      <c r="B969" s="64"/>
      <c r="C969" s="64"/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64"/>
      <c r="S969" s="28"/>
    </row>
    <row r="970" spans="1:19" x14ac:dyDescent="0.25">
      <c r="A970" s="63"/>
      <c r="B970" s="64"/>
      <c r="C970" s="64"/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64"/>
      <c r="S970" s="28"/>
    </row>
    <row r="971" spans="1:19" x14ac:dyDescent="0.25">
      <c r="A971" s="63"/>
      <c r="B971" s="64"/>
      <c r="C971" s="64"/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64"/>
      <c r="S971" s="28"/>
    </row>
    <row r="972" spans="1:19" x14ac:dyDescent="0.25">
      <c r="A972" s="63"/>
      <c r="B972" s="64"/>
      <c r="C972" s="64"/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64"/>
      <c r="S972" s="28"/>
    </row>
    <row r="973" spans="1:19" x14ac:dyDescent="0.25">
      <c r="A973" s="63"/>
      <c r="B973" s="64"/>
      <c r="C973" s="64"/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64"/>
      <c r="S973" s="28"/>
    </row>
    <row r="974" spans="1:19" x14ac:dyDescent="0.25">
      <c r="A974" s="63"/>
      <c r="B974" s="64"/>
      <c r="C974" s="64"/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64"/>
      <c r="S974" s="28"/>
    </row>
    <row r="975" spans="1:19" x14ac:dyDescent="0.25">
      <c r="A975" s="63"/>
      <c r="B975" s="64"/>
      <c r="C975" s="64"/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64"/>
      <c r="S975" s="28"/>
    </row>
    <row r="976" spans="1:19" x14ac:dyDescent="0.25">
      <c r="A976" s="63"/>
      <c r="B976" s="64"/>
      <c r="C976" s="64"/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64"/>
      <c r="S976" s="28"/>
    </row>
    <row r="977" spans="1:19" x14ac:dyDescent="0.25">
      <c r="A977" s="63"/>
      <c r="B977" s="64"/>
      <c r="C977" s="64"/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64"/>
      <c r="S977" s="28"/>
    </row>
    <row r="978" spans="1:19" x14ac:dyDescent="0.25">
      <c r="A978" s="63"/>
      <c r="B978" s="64"/>
      <c r="C978" s="64"/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64"/>
      <c r="S978" s="28"/>
    </row>
    <row r="979" spans="1:19" x14ac:dyDescent="0.25">
      <c r="A979" s="63"/>
      <c r="B979" s="64"/>
      <c r="C979" s="64"/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64"/>
      <c r="S979" s="28"/>
    </row>
    <row r="980" spans="1:19" x14ac:dyDescent="0.25">
      <c r="A980" s="63"/>
      <c r="B980" s="64"/>
      <c r="C980" s="64"/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64"/>
      <c r="S980" s="28"/>
    </row>
    <row r="981" spans="1:19" x14ac:dyDescent="0.25">
      <c r="A981" s="63"/>
      <c r="B981" s="64"/>
      <c r="C981" s="64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4"/>
      <c r="S981" s="28"/>
    </row>
    <row r="982" spans="1:19" x14ac:dyDescent="0.25">
      <c r="A982" s="63"/>
      <c r="B982" s="64"/>
      <c r="C982" s="64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4"/>
      <c r="S982" s="28"/>
    </row>
    <row r="983" spans="1:19" x14ac:dyDescent="0.25">
      <c r="A983" s="63"/>
      <c r="B983" s="64"/>
      <c r="C983" s="64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4"/>
      <c r="S983" s="28"/>
    </row>
    <row r="984" spans="1:19" x14ac:dyDescent="0.25">
      <c r="A984" s="63"/>
      <c r="B984" s="64"/>
      <c r="C984" s="64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4"/>
      <c r="S984" s="28"/>
    </row>
    <row r="985" spans="1:19" x14ac:dyDescent="0.25">
      <c r="A985" s="63"/>
      <c r="B985" s="64"/>
      <c r="C985" s="64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4"/>
      <c r="S985" s="28"/>
    </row>
    <row r="986" spans="1:19" x14ac:dyDescent="0.25">
      <c r="A986" s="63"/>
      <c r="B986" s="64"/>
      <c r="C986" s="64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4"/>
      <c r="S986" s="28"/>
    </row>
    <row r="987" spans="1:19" x14ac:dyDescent="0.25">
      <c r="A987" s="63"/>
      <c r="B987" s="64"/>
      <c r="C987" s="64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4"/>
      <c r="S987" s="28"/>
    </row>
    <row r="988" spans="1:19" x14ac:dyDescent="0.25">
      <c r="A988" s="63"/>
      <c r="B988" s="64"/>
      <c r="C988" s="64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4"/>
      <c r="S988" s="28"/>
    </row>
    <row r="989" spans="1:19" x14ac:dyDescent="0.25">
      <c r="A989" s="63"/>
      <c r="B989" s="64"/>
      <c r="C989" s="64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4"/>
      <c r="S989" s="28"/>
    </row>
    <row r="990" spans="1:19" x14ac:dyDescent="0.25">
      <c r="A990" s="63"/>
      <c r="B990" s="64"/>
      <c r="C990" s="64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4"/>
      <c r="S990" s="28"/>
    </row>
    <row r="991" spans="1:19" x14ac:dyDescent="0.25">
      <c r="A991" s="63"/>
      <c r="B991" s="64"/>
      <c r="C991" s="64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4"/>
      <c r="S991" s="28"/>
    </row>
    <row r="992" spans="1:19" x14ac:dyDescent="0.25">
      <c r="A992" s="63"/>
      <c r="B992" s="64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28"/>
    </row>
    <row r="993" spans="1:19" x14ac:dyDescent="0.25">
      <c r="A993" s="63"/>
      <c r="B993" s="64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28"/>
    </row>
    <row r="994" spans="1:19" x14ac:dyDescent="0.25">
      <c r="A994" s="63"/>
      <c r="B994" s="64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28"/>
    </row>
    <row r="995" spans="1:19" x14ac:dyDescent="0.25">
      <c r="A995" s="63"/>
      <c r="B995" s="64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28"/>
    </row>
    <row r="996" spans="1:19" x14ac:dyDescent="0.25">
      <c r="A996" s="63"/>
      <c r="B996" s="64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28"/>
    </row>
    <row r="997" spans="1:19" x14ac:dyDescent="0.25">
      <c r="A997" s="63"/>
      <c r="B997" s="64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4"/>
      <c r="S997" s="28"/>
    </row>
    <row r="998" spans="1:19" x14ac:dyDescent="0.25">
      <c r="A998" s="63"/>
      <c r="B998" s="64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4"/>
      <c r="S998" s="28"/>
    </row>
    <row r="999" spans="1:19" x14ac:dyDescent="0.25">
      <c r="A999" s="63"/>
      <c r="B999" s="64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4"/>
      <c r="S999" s="28"/>
    </row>
    <row r="1000" spans="1:19" x14ac:dyDescent="0.25">
      <c r="A1000" s="63"/>
      <c r="B1000" s="64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4"/>
      <c r="S1000" s="28"/>
    </row>
    <row r="1001" spans="1:19" x14ac:dyDescent="0.25">
      <c r="A1001" s="63"/>
      <c r="B1001" s="64"/>
      <c r="C1001" s="64"/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  <c r="Q1001" s="64"/>
      <c r="R1001" s="64"/>
      <c r="S1001" s="28"/>
    </row>
    <row r="1002" spans="1:19" x14ac:dyDescent="0.25">
      <c r="A1002" s="63"/>
      <c r="B1002" s="64"/>
      <c r="C1002" s="64"/>
      <c r="D1002" s="64"/>
      <c r="E1002" s="64"/>
      <c r="F1002" s="64"/>
      <c r="G1002" s="64"/>
      <c r="H1002" s="64"/>
      <c r="I1002" s="64"/>
      <c r="J1002" s="64"/>
      <c r="K1002" s="64"/>
      <c r="L1002" s="64"/>
      <c r="M1002" s="64"/>
      <c r="N1002" s="64"/>
      <c r="O1002" s="64"/>
      <c r="P1002" s="64"/>
      <c r="Q1002" s="64"/>
      <c r="R1002" s="64"/>
      <c r="S1002" s="28"/>
    </row>
    <row r="1003" spans="1:19" x14ac:dyDescent="0.25">
      <c r="A1003" s="63"/>
      <c r="B1003" s="64"/>
      <c r="C1003" s="64"/>
      <c r="D1003" s="64"/>
      <c r="E1003" s="64"/>
      <c r="F1003" s="64"/>
      <c r="G1003" s="64"/>
      <c r="H1003" s="64"/>
      <c r="I1003" s="64"/>
      <c r="J1003" s="64"/>
      <c r="K1003" s="64"/>
      <c r="L1003" s="64"/>
      <c r="M1003" s="64"/>
      <c r="N1003" s="64"/>
      <c r="O1003" s="64"/>
      <c r="P1003" s="64"/>
      <c r="Q1003" s="64"/>
      <c r="R1003" s="64"/>
      <c r="S1003" s="28"/>
    </row>
    <row r="1004" spans="1:19" x14ac:dyDescent="0.25">
      <c r="A1004" s="63"/>
      <c r="B1004" s="64"/>
      <c r="C1004" s="64"/>
      <c r="D1004" s="64"/>
      <c r="E1004" s="64"/>
      <c r="F1004" s="64"/>
      <c r="G1004" s="64"/>
      <c r="H1004" s="64"/>
      <c r="I1004" s="64"/>
      <c r="J1004" s="64"/>
      <c r="K1004" s="64"/>
      <c r="L1004" s="64"/>
      <c r="M1004" s="64"/>
      <c r="N1004" s="64"/>
      <c r="O1004" s="64"/>
      <c r="P1004" s="64"/>
      <c r="Q1004" s="64"/>
      <c r="R1004" s="64"/>
      <c r="S1004" s="28"/>
    </row>
    <row r="1005" spans="1:19" x14ac:dyDescent="0.25">
      <c r="A1005" s="63"/>
      <c r="B1005" s="64"/>
      <c r="C1005" s="64"/>
      <c r="D1005" s="64"/>
      <c r="E1005" s="64"/>
      <c r="F1005" s="64"/>
      <c r="G1005" s="64"/>
      <c r="H1005" s="64"/>
      <c r="I1005" s="64"/>
      <c r="J1005" s="64"/>
      <c r="K1005" s="64"/>
      <c r="L1005" s="64"/>
      <c r="M1005" s="64"/>
      <c r="N1005" s="64"/>
      <c r="O1005" s="64"/>
      <c r="P1005" s="64"/>
      <c r="Q1005" s="64"/>
      <c r="R1005" s="64"/>
      <c r="S1005" s="28"/>
    </row>
    <row r="1006" spans="1:19" x14ac:dyDescent="0.25">
      <c r="A1006" s="63"/>
      <c r="B1006" s="64"/>
      <c r="C1006" s="64"/>
      <c r="D1006" s="64"/>
      <c r="E1006" s="64"/>
      <c r="F1006" s="64"/>
      <c r="G1006" s="64"/>
      <c r="H1006" s="64"/>
      <c r="I1006" s="64"/>
      <c r="J1006" s="64"/>
      <c r="K1006" s="64"/>
      <c r="L1006" s="64"/>
      <c r="M1006" s="64"/>
      <c r="N1006" s="64"/>
      <c r="O1006" s="64"/>
      <c r="P1006" s="64"/>
      <c r="Q1006" s="64"/>
      <c r="R1006" s="64"/>
      <c r="S1006" s="28"/>
    </row>
    <row r="1007" spans="1:19" x14ac:dyDescent="0.25">
      <c r="A1007" s="63"/>
      <c r="B1007" s="64"/>
      <c r="C1007" s="64"/>
      <c r="D1007" s="64"/>
      <c r="E1007" s="64"/>
      <c r="F1007" s="64"/>
      <c r="G1007" s="64"/>
      <c r="H1007" s="64"/>
      <c r="I1007" s="64"/>
      <c r="J1007" s="64"/>
      <c r="K1007" s="64"/>
      <c r="L1007" s="64"/>
      <c r="M1007" s="64"/>
      <c r="N1007" s="64"/>
      <c r="O1007" s="64"/>
      <c r="P1007" s="64"/>
      <c r="Q1007" s="64"/>
      <c r="R1007" s="64"/>
      <c r="S1007" s="28"/>
    </row>
    <row r="1008" spans="1:19" x14ac:dyDescent="0.25">
      <c r="A1008" s="63"/>
      <c r="B1008" s="64"/>
      <c r="C1008" s="64"/>
      <c r="D1008" s="64"/>
      <c r="E1008" s="64"/>
      <c r="F1008" s="64"/>
      <c r="G1008" s="64"/>
      <c r="H1008" s="64"/>
      <c r="I1008" s="64"/>
      <c r="J1008" s="64"/>
      <c r="K1008" s="64"/>
      <c r="L1008" s="64"/>
      <c r="M1008" s="64"/>
      <c r="N1008" s="64"/>
      <c r="O1008" s="64"/>
      <c r="P1008" s="64"/>
      <c r="Q1008" s="64"/>
      <c r="R1008" s="64"/>
      <c r="S1008" s="28"/>
    </row>
    <row r="1009" spans="1:19" x14ac:dyDescent="0.25">
      <c r="A1009" s="63"/>
      <c r="B1009" s="64"/>
      <c r="C1009" s="64"/>
      <c r="D1009" s="64"/>
      <c r="E1009" s="64"/>
      <c r="F1009" s="64"/>
      <c r="G1009" s="64"/>
      <c r="H1009" s="64"/>
      <c r="I1009" s="64"/>
      <c r="J1009" s="64"/>
      <c r="K1009" s="64"/>
      <c r="L1009" s="64"/>
      <c r="M1009" s="64"/>
      <c r="N1009" s="64"/>
      <c r="O1009" s="64"/>
      <c r="P1009" s="64"/>
      <c r="Q1009" s="64"/>
      <c r="R1009" s="64"/>
      <c r="S1009" s="28"/>
    </row>
    <row r="1010" spans="1:19" x14ac:dyDescent="0.25">
      <c r="A1010" s="63"/>
      <c r="B1010" s="64"/>
      <c r="C1010" s="64"/>
      <c r="D1010" s="64"/>
      <c r="E1010" s="64"/>
      <c r="F1010" s="64"/>
      <c r="G1010" s="64"/>
      <c r="H1010" s="64"/>
      <c r="I1010" s="64"/>
      <c r="J1010" s="64"/>
      <c r="K1010" s="64"/>
      <c r="L1010" s="64"/>
      <c r="M1010" s="64"/>
      <c r="N1010" s="64"/>
      <c r="O1010" s="64"/>
      <c r="P1010" s="64"/>
      <c r="Q1010" s="64"/>
      <c r="R1010" s="64"/>
      <c r="S1010" s="28"/>
    </row>
    <row r="1011" spans="1:19" x14ac:dyDescent="0.25">
      <c r="A1011" s="63"/>
      <c r="B1011" s="64"/>
      <c r="C1011" s="64"/>
      <c r="D1011" s="64"/>
      <c r="E1011" s="64"/>
      <c r="F1011" s="64"/>
      <c r="G1011" s="64"/>
      <c r="H1011" s="64"/>
      <c r="I1011" s="64"/>
      <c r="J1011" s="64"/>
      <c r="K1011" s="64"/>
      <c r="L1011" s="64"/>
      <c r="M1011" s="64"/>
      <c r="N1011" s="64"/>
      <c r="O1011" s="64"/>
      <c r="P1011" s="64"/>
      <c r="Q1011" s="64"/>
      <c r="R1011" s="64"/>
      <c r="S1011" s="28"/>
    </row>
    <row r="1012" spans="1:19" x14ac:dyDescent="0.25">
      <c r="A1012" s="63"/>
      <c r="B1012" s="64"/>
      <c r="C1012" s="64"/>
      <c r="D1012" s="64"/>
      <c r="E1012" s="64"/>
      <c r="F1012" s="64"/>
      <c r="G1012" s="64"/>
      <c r="H1012" s="64"/>
      <c r="I1012" s="64"/>
      <c r="J1012" s="64"/>
      <c r="K1012" s="64"/>
      <c r="L1012" s="64"/>
      <c r="M1012" s="64"/>
      <c r="N1012" s="64"/>
      <c r="O1012" s="64"/>
      <c r="P1012" s="64"/>
      <c r="Q1012" s="64"/>
      <c r="R1012" s="64"/>
      <c r="S1012" s="28"/>
    </row>
    <row r="1013" spans="1:19" x14ac:dyDescent="0.25">
      <c r="A1013" s="63"/>
      <c r="B1013" s="64"/>
      <c r="C1013" s="64"/>
      <c r="D1013" s="64"/>
      <c r="E1013" s="64"/>
      <c r="F1013" s="64"/>
      <c r="G1013" s="64"/>
      <c r="H1013" s="64"/>
      <c r="I1013" s="64"/>
      <c r="J1013" s="64"/>
      <c r="K1013" s="64"/>
      <c r="L1013" s="64"/>
      <c r="M1013" s="64"/>
      <c r="N1013" s="64"/>
      <c r="O1013" s="64"/>
      <c r="P1013" s="64"/>
      <c r="Q1013" s="64"/>
      <c r="R1013" s="64"/>
      <c r="S1013" s="28"/>
    </row>
    <row r="1014" spans="1:19" x14ac:dyDescent="0.25">
      <c r="A1014" s="63"/>
      <c r="B1014" s="64"/>
      <c r="C1014" s="64"/>
      <c r="D1014" s="64"/>
      <c r="E1014" s="64"/>
      <c r="F1014" s="64"/>
      <c r="G1014" s="64"/>
      <c r="H1014" s="64"/>
      <c r="I1014" s="64"/>
      <c r="J1014" s="64"/>
      <c r="K1014" s="64"/>
      <c r="L1014" s="64"/>
      <c r="M1014" s="64"/>
      <c r="N1014" s="64"/>
      <c r="O1014" s="64"/>
      <c r="P1014" s="64"/>
      <c r="Q1014" s="64"/>
      <c r="R1014" s="64"/>
      <c r="S1014" s="28"/>
    </row>
    <row r="1015" spans="1:19" x14ac:dyDescent="0.25">
      <c r="A1015" s="63"/>
      <c r="B1015" s="64"/>
      <c r="C1015" s="64"/>
      <c r="D1015" s="64"/>
      <c r="E1015" s="64"/>
      <c r="F1015" s="64"/>
      <c r="G1015" s="64"/>
      <c r="H1015" s="64"/>
      <c r="I1015" s="64"/>
      <c r="J1015" s="64"/>
      <c r="K1015" s="64"/>
      <c r="L1015" s="64"/>
      <c r="M1015" s="64"/>
      <c r="N1015" s="64"/>
      <c r="O1015" s="64"/>
      <c r="P1015" s="64"/>
      <c r="Q1015" s="64"/>
      <c r="R1015" s="64"/>
      <c r="S1015" s="28"/>
    </row>
    <row r="1016" spans="1:19" x14ac:dyDescent="0.25">
      <c r="A1016" s="63"/>
      <c r="B1016" s="64"/>
      <c r="C1016" s="64"/>
      <c r="D1016" s="64"/>
      <c r="E1016" s="64"/>
      <c r="F1016" s="64"/>
      <c r="G1016" s="64"/>
      <c r="H1016" s="64"/>
      <c r="I1016" s="64"/>
      <c r="J1016" s="64"/>
      <c r="K1016" s="64"/>
      <c r="L1016" s="64"/>
      <c r="M1016" s="64"/>
      <c r="N1016" s="64"/>
      <c r="O1016" s="64"/>
      <c r="P1016" s="64"/>
      <c r="Q1016" s="64"/>
      <c r="R1016" s="64"/>
      <c r="S1016" s="28"/>
    </row>
    <row r="1017" spans="1:19" x14ac:dyDescent="0.25">
      <c r="A1017" s="63"/>
      <c r="B1017" s="64"/>
      <c r="C1017" s="64"/>
      <c r="D1017" s="64"/>
      <c r="E1017" s="64"/>
      <c r="F1017" s="64"/>
      <c r="G1017" s="64"/>
      <c r="H1017" s="64"/>
      <c r="I1017" s="64"/>
      <c r="J1017" s="64"/>
      <c r="K1017" s="64"/>
      <c r="L1017" s="64"/>
      <c r="M1017" s="64"/>
      <c r="N1017" s="64"/>
      <c r="O1017" s="64"/>
      <c r="P1017" s="64"/>
      <c r="Q1017" s="64"/>
      <c r="R1017" s="64"/>
      <c r="S1017" s="28"/>
    </row>
    <row r="1018" spans="1:19" x14ac:dyDescent="0.25">
      <c r="A1018" s="63"/>
      <c r="B1018" s="64"/>
      <c r="C1018" s="64"/>
      <c r="D1018" s="64"/>
      <c r="E1018" s="64"/>
      <c r="F1018" s="64"/>
      <c r="G1018" s="64"/>
      <c r="H1018" s="64"/>
      <c r="I1018" s="64"/>
      <c r="J1018" s="64"/>
      <c r="K1018" s="64"/>
      <c r="L1018" s="64"/>
      <c r="M1018" s="64"/>
      <c r="N1018" s="64"/>
      <c r="O1018" s="64"/>
      <c r="P1018" s="64"/>
      <c r="Q1018" s="64"/>
      <c r="R1018" s="64"/>
      <c r="S1018" s="28"/>
    </row>
    <row r="1019" spans="1:19" x14ac:dyDescent="0.25">
      <c r="A1019" s="63"/>
      <c r="B1019" s="64"/>
      <c r="C1019" s="64"/>
      <c r="D1019" s="64"/>
      <c r="E1019" s="64"/>
      <c r="F1019" s="64"/>
      <c r="G1019" s="64"/>
      <c r="H1019" s="64"/>
      <c r="I1019" s="64"/>
      <c r="J1019" s="64"/>
      <c r="K1019" s="64"/>
      <c r="L1019" s="64"/>
      <c r="M1019" s="64"/>
      <c r="N1019" s="64"/>
      <c r="O1019" s="64"/>
      <c r="P1019" s="64"/>
      <c r="Q1019" s="64"/>
      <c r="R1019" s="64"/>
      <c r="S1019" s="28"/>
    </row>
    <row r="1020" spans="1:19" x14ac:dyDescent="0.25">
      <c r="A1020" s="63"/>
      <c r="B1020" s="64"/>
      <c r="C1020" s="64"/>
      <c r="D1020" s="64"/>
      <c r="E1020" s="64"/>
      <c r="F1020" s="64"/>
      <c r="G1020" s="64"/>
      <c r="H1020" s="64"/>
      <c r="I1020" s="64"/>
      <c r="J1020" s="64"/>
      <c r="K1020" s="64"/>
      <c r="L1020" s="64"/>
      <c r="M1020" s="64"/>
      <c r="N1020" s="64"/>
      <c r="O1020" s="64"/>
      <c r="P1020" s="64"/>
      <c r="Q1020" s="64"/>
      <c r="R1020" s="64"/>
      <c r="S1020" s="28"/>
    </row>
    <row r="1021" spans="1:19" x14ac:dyDescent="0.25">
      <c r="A1021" s="63"/>
      <c r="B1021" s="64"/>
      <c r="C1021" s="64"/>
      <c r="D1021" s="64"/>
      <c r="E1021" s="64"/>
      <c r="F1021" s="64"/>
      <c r="G1021" s="64"/>
      <c r="H1021" s="64"/>
      <c r="I1021" s="64"/>
      <c r="J1021" s="64"/>
      <c r="K1021" s="64"/>
      <c r="L1021" s="64"/>
      <c r="M1021" s="64"/>
      <c r="N1021" s="64"/>
      <c r="O1021" s="64"/>
      <c r="P1021" s="64"/>
      <c r="Q1021" s="64"/>
      <c r="R1021" s="64"/>
      <c r="S1021" s="28"/>
    </row>
    <row r="1022" spans="1:19" x14ac:dyDescent="0.25">
      <c r="A1022" s="63"/>
      <c r="B1022" s="64"/>
      <c r="C1022" s="64"/>
      <c r="D1022" s="64"/>
      <c r="E1022" s="64"/>
      <c r="F1022" s="64"/>
      <c r="G1022" s="64"/>
      <c r="H1022" s="64"/>
      <c r="I1022" s="64"/>
      <c r="J1022" s="64"/>
      <c r="K1022" s="64"/>
      <c r="L1022" s="64"/>
      <c r="M1022" s="64"/>
      <c r="N1022" s="64"/>
      <c r="O1022" s="64"/>
      <c r="P1022" s="64"/>
      <c r="Q1022" s="64"/>
      <c r="R1022" s="64"/>
      <c r="S1022" s="28"/>
    </row>
    <row r="1023" spans="1:19" x14ac:dyDescent="0.25">
      <c r="A1023" s="63"/>
      <c r="B1023" s="64"/>
      <c r="C1023" s="64"/>
      <c r="D1023" s="64"/>
      <c r="E1023" s="64"/>
      <c r="F1023" s="64"/>
      <c r="G1023" s="64"/>
      <c r="H1023" s="64"/>
      <c r="I1023" s="64"/>
      <c r="J1023" s="64"/>
      <c r="K1023" s="64"/>
      <c r="L1023" s="64"/>
      <c r="M1023" s="64"/>
      <c r="N1023" s="64"/>
      <c r="O1023" s="64"/>
      <c r="P1023" s="64"/>
      <c r="Q1023" s="64"/>
      <c r="R1023" s="64"/>
      <c r="S1023" s="28"/>
    </row>
    <row r="1024" spans="1:19" x14ac:dyDescent="0.25">
      <c r="A1024" s="63"/>
      <c r="B1024" s="64"/>
      <c r="C1024" s="64"/>
      <c r="D1024" s="64"/>
      <c r="E1024" s="64"/>
      <c r="F1024" s="64"/>
      <c r="G1024" s="64"/>
      <c r="H1024" s="64"/>
      <c r="I1024" s="64"/>
      <c r="J1024" s="64"/>
      <c r="K1024" s="64"/>
      <c r="L1024" s="64"/>
      <c r="M1024" s="64"/>
      <c r="N1024" s="64"/>
      <c r="O1024" s="64"/>
      <c r="P1024" s="64"/>
      <c r="Q1024" s="64"/>
      <c r="R1024" s="64"/>
      <c r="S1024" s="28"/>
    </row>
    <row r="1025" spans="1:19" x14ac:dyDescent="0.25">
      <c r="A1025" s="63"/>
      <c r="B1025" s="64"/>
      <c r="C1025" s="64"/>
      <c r="D1025" s="64"/>
      <c r="E1025" s="64"/>
      <c r="F1025" s="64"/>
      <c r="G1025" s="64"/>
      <c r="H1025" s="64"/>
      <c r="I1025" s="64"/>
      <c r="J1025" s="64"/>
      <c r="K1025" s="64"/>
      <c r="L1025" s="64"/>
      <c r="M1025" s="64"/>
      <c r="N1025" s="64"/>
      <c r="O1025" s="64"/>
      <c r="P1025" s="64"/>
      <c r="Q1025" s="64"/>
      <c r="R1025" s="64"/>
      <c r="S1025" s="28"/>
    </row>
    <row r="1026" spans="1:19" x14ac:dyDescent="0.25">
      <c r="A1026" s="63"/>
      <c r="B1026" s="64"/>
      <c r="C1026" s="64"/>
      <c r="D1026" s="64"/>
      <c r="E1026" s="64"/>
      <c r="F1026" s="64"/>
      <c r="G1026" s="64"/>
      <c r="H1026" s="64"/>
      <c r="I1026" s="64"/>
      <c r="J1026" s="64"/>
      <c r="K1026" s="64"/>
      <c r="L1026" s="64"/>
      <c r="M1026" s="64"/>
      <c r="N1026" s="64"/>
      <c r="O1026" s="64"/>
      <c r="P1026" s="64"/>
      <c r="Q1026" s="64"/>
      <c r="R1026" s="64"/>
      <c r="S1026" s="28"/>
    </row>
    <row r="1027" spans="1:19" x14ac:dyDescent="0.25">
      <c r="A1027" s="63"/>
      <c r="B1027" s="64"/>
      <c r="C1027" s="64"/>
      <c r="D1027" s="64"/>
      <c r="E1027" s="64"/>
      <c r="F1027" s="64"/>
      <c r="G1027" s="64"/>
      <c r="H1027" s="64"/>
      <c r="I1027" s="64"/>
      <c r="J1027" s="64"/>
      <c r="K1027" s="64"/>
      <c r="L1027" s="64"/>
      <c r="M1027" s="64"/>
      <c r="N1027" s="64"/>
      <c r="O1027" s="64"/>
      <c r="P1027" s="64"/>
      <c r="Q1027" s="64"/>
      <c r="R1027" s="64"/>
      <c r="S1027" s="28"/>
    </row>
    <row r="1028" spans="1:19" x14ac:dyDescent="0.25">
      <c r="A1028" s="63"/>
      <c r="B1028" s="64"/>
      <c r="C1028" s="64"/>
      <c r="D1028" s="64"/>
      <c r="E1028" s="64"/>
      <c r="F1028" s="64"/>
      <c r="G1028" s="64"/>
      <c r="H1028" s="64"/>
      <c r="I1028" s="64"/>
      <c r="J1028" s="64"/>
      <c r="K1028" s="64"/>
      <c r="L1028" s="64"/>
      <c r="M1028" s="64"/>
      <c r="N1028" s="64"/>
      <c r="O1028" s="64"/>
      <c r="P1028" s="64"/>
      <c r="Q1028" s="64"/>
      <c r="R1028" s="64"/>
      <c r="S1028" s="28"/>
    </row>
    <row r="1029" spans="1:19" x14ac:dyDescent="0.25">
      <c r="A1029" s="63"/>
      <c r="B1029" s="64"/>
      <c r="C1029" s="64"/>
      <c r="D1029" s="64"/>
      <c r="E1029" s="64"/>
      <c r="F1029" s="64"/>
      <c r="G1029" s="64"/>
      <c r="H1029" s="64"/>
      <c r="I1029" s="64"/>
      <c r="J1029" s="64"/>
      <c r="K1029" s="64"/>
      <c r="L1029" s="64"/>
      <c r="M1029" s="64"/>
      <c r="N1029" s="64"/>
      <c r="O1029" s="64"/>
      <c r="P1029" s="64"/>
      <c r="Q1029" s="64"/>
      <c r="R1029" s="64"/>
      <c r="S1029" s="28"/>
    </row>
    <row r="1030" spans="1:19" x14ac:dyDescent="0.25">
      <c r="A1030" s="63"/>
      <c r="B1030" s="64"/>
      <c r="C1030" s="64"/>
      <c r="D1030" s="64"/>
      <c r="E1030" s="64"/>
      <c r="F1030" s="64"/>
      <c r="G1030" s="64"/>
      <c r="H1030" s="64"/>
      <c r="I1030" s="64"/>
      <c r="J1030" s="64"/>
      <c r="K1030" s="64"/>
      <c r="L1030" s="64"/>
      <c r="M1030" s="64"/>
      <c r="N1030" s="64"/>
      <c r="O1030" s="64"/>
      <c r="P1030" s="64"/>
      <c r="Q1030" s="64"/>
      <c r="R1030" s="64"/>
      <c r="S1030" s="28"/>
    </row>
    <row r="1031" spans="1:19" x14ac:dyDescent="0.25">
      <c r="A1031" s="63"/>
      <c r="B1031" s="64"/>
      <c r="C1031" s="64"/>
      <c r="D1031" s="64"/>
      <c r="E1031" s="64"/>
      <c r="F1031" s="64"/>
      <c r="G1031" s="64"/>
      <c r="H1031" s="64"/>
      <c r="I1031" s="64"/>
      <c r="J1031" s="64"/>
      <c r="K1031" s="64"/>
      <c r="L1031" s="64"/>
      <c r="M1031" s="64"/>
      <c r="N1031" s="64"/>
      <c r="O1031" s="64"/>
      <c r="P1031" s="64"/>
      <c r="Q1031" s="64"/>
      <c r="R1031" s="64"/>
      <c r="S1031" s="28"/>
    </row>
    <row r="1032" spans="1:19" x14ac:dyDescent="0.25">
      <c r="A1032" s="63"/>
      <c r="B1032" s="64"/>
      <c r="C1032" s="64"/>
      <c r="D1032" s="64"/>
      <c r="E1032" s="64"/>
      <c r="F1032" s="64"/>
      <c r="G1032" s="64"/>
      <c r="H1032" s="64"/>
      <c r="I1032" s="64"/>
      <c r="J1032" s="64"/>
      <c r="K1032" s="64"/>
      <c r="L1032" s="64"/>
      <c r="M1032" s="64"/>
      <c r="N1032" s="64"/>
      <c r="O1032" s="64"/>
      <c r="P1032" s="64"/>
      <c r="Q1032" s="64"/>
      <c r="R1032" s="64"/>
      <c r="S1032" s="28"/>
    </row>
    <row r="1033" spans="1:19" x14ac:dyDescent="0.25">
      <c r="A1033" s="63"/>
      <c r="B1033" s="64"/>
      <c r="C1033" s="64"/>
      <c r="D1033" s="64"/>
      <c r="E1033" s="64"/>
      <c r="F1033" s="64"/>
      <c r="G1033" s="64"/>
      <c r="H1033" s="64"/>
      <c r="I1033" s="64"/>
      <c r="J1033" s="64"/>
      <c r="K1033" s="64"/>
      <c r="L1033" s="64"/>
      <c r="M1033" s="64"/>
      <c r="N1033" s="64"/>
      <c r="O1033" s="64"/>
      <c r="P1033" s="64"/>
      <c r="Q1033" s="64"/>
      <c r="R1033" s="64"/>
      <c r="S1033" s="28"/>
    </row>
    <row r="1034" spans="1:19" x14ac:dyDescent="0.25">
      <c r="A1034" s="63"/>
      <c r="B1034" s="64"/>
      <c r="C1034" s="64"/>
      <c r="D1034" s="64"/>
      <c r="E1034" s="64"/>
      <c r="F1034" s="64"/>
      <c r="G1034" s="64"/>
      <c r="H1034" s="64"/>
      <c r="I1034" s="64"/>
      <c r="J1034" s="64"/>
      <c r="K1034" s="64"/>
      <c r="L1034" s="64"/>
      <c r="M1034" s="64"/>
      <c r="N1034" s="64"/>
      <c r="O1034" s="64"/>
      <c r="P1034" s="64"/>
      <c r="Q1034" s="64"/>
      <c r="R1034" s="64"/>
      <c r="S1034" s="28"/>
    </row>
    <row r="1035" spans="1:19" x14ac:dyDescent="0.25">
      <c r="A1035" s="63"/>
      <c r="B1035" s="64"/>
      <c r="C1035" s="64"/>
      <c r="D1035" s="64"/>
      <c r="E1035" s="64"/>
      <c r="F1035" s="64"/>
      <c r="G1035" s="64"/>
      <c r="H1035" s="64"/>
      <c r="I1035" s="64"/>
      <c r="J1035" s="64"/>
      <c r="K1035" s="64"/>
      <c r="L1035" s="64"/>
      <c r="M1035" s="64"/>
      <c r="N1035" s="64"/>
      <c r="O1035" s="64"/>
      <c r="P1035" s="64"/>
      <c r="Q1035" s="64"/>
      <c r="R1035" s="64"/>
      <c r="S1035" s="28"/>
    </row>
    <row r="1036" spans="1:19" x14ac:dyDescent="0.25">
      <c r="A1036" s="63"/>
      <c r="B1036" s="64"/>
      <c r="C1036" s="64"/>
      <c r="D1036" s="64"/>
      <c r="E1036" s="64"/>
      <c r="F1036" s="64"/>
      <c r="G1036" s="64"/>
      <c r="H1036" s="64"/>
      <c r="I1036" s="64"/>
      <c r="J1036" s="64"/>
      <c r="K1036" s="64"/>
      <c r="L1036" s="64"/>
      <c r="M1036" s="64"/>
      <c r="N1036" s="64"/>
      <c r="O1036" s="64"/>
      <c r="P1036" s="64"/>
      <c r="Q1036" s="64"/>
      <c r="R1036" s="64"/>
      <c r="S1036" s="28"/>
    </row>
    <row r="1037" spans="1:19" x14ac:dyDescent="0.25">
      <c r="A1037" s="63"/>
      <c r="B1037" s="64"/>
      <c r="C1037" s="64"/>
      <c r="D1037" s="64"/>
      <c r="E1037" s="64"/>
      <c r="F1037" s="64"/>
      <c r="G1037" s="64"/>
      <c r="H1037" s="64"/>
      <c r="I1037" s="64"/>
      <c r="J1037" s="64"/>
      <c r="K1037" s="64"/>
      <c r="L1037" s="64"/>
      <c r="M1037" s="64"/>
      <c r="N1037" s="64"/>
      <c r="O1037" s="64"/>
      <c r="P1037" s="64"/>
      <c r="Q1037" s="64"/>
      <c r="R1037" s="64"/>
      <c r="S1037" s="28"/>
    </row>
    <row r="1038" spans="1:19" x14ac:dyDescent="0.25">
      <c r="A1038" s="63"/>
      <c r="B1038" s="64"/>
      <c r="C1038" s="64"/>
      <c r="D1038" s="64"/>
      <c r="E1038" s="64"/>
      <c r="F1038" s="64"/>
      <c r="G1038" s="64"/>
      <c r="H1038" s="64"/>
      <c r="I1038" s="64"/>
      <c r="J1038" s="64"/>
      <c r="K1038" s="64"/>
      <c r="L1038" s="64"/>
      <c r="M1038" s="64"/>
      <c r="N1038" s="64"/>
      <c r="O1038" s="64"/>
      <c r="P1038" s="64"/>
      <c r="Q1038" s="64"/>
      <c r="R1038" s="64"/>
      <c r="S1038" s="28"/>
    </row>
    <row r="1039" spans="1:19" x14ac:dyDescent="0.25">
      <c r="A1039" s="63"/>
      <c r="B1039" s="64"/>
      <c r="C1039" s="64"/>
      <c r="D1039" s="64"/>
      <c r="E1039" s="64"/>
      <c r="F1039" s="64"/>
      <c r="G1039" s="64"/>
      <c r="H1039" s="64"/>
      <c r="I1039" s="64"/>
      <c r="J1039" s="64"/>
      <c r="K1039" s="64"/>
      <c r="L1039" s="64"/>
      <c r="M1039" s="64"/>
      <c r="N1039" s="64"/>
      <c r="O1039" s="64"/>
      <c r="P1039" s="64"/>
      <c r="Q1039" s="64"/>
      <c r="R1039" s="64"/>
      <c r="S1039" s="28"/>
    </row>
    <row r="1040" spans="1:19" x14ac:dyDescent="0.25">
      <c r="A1040" s="63"/>
      <c r="B1040" s="64"/>
      <c r="C1040" s="64"/>
      <c r="D1040" s="64"/>
      <c r="E1040" s="64"/>
      <c r="F1040" s="64"/>
      <c r="G1040" s="64"/>
      <c r="H1040" s="64"/>
      <c r="I1040" s="64"/>
      <c r="J1040" s="64"/>
      <c r="K1040" s="64"/>
      <c r="L1040" s="64"/>
      <c r="M1040" s="64"/>
      <c r="N1040" s="64"/>
      <c r="O1040" s="64"/>
      <c r="P1040" s="64"/>
      <c r="Q1040" s="64"/>
      <c r="R1040" s="64"/>
      <c r="S1040" s="28"/>
    </row>
    <row r="1041" spans="1:19" x14ac:dyDescent="0.25">
      <c r="A1041" s="63"/>
      <c r="B1041" s="64"/>
      <c r="C1041" s="64"/>
      <c r="D1041" s="64"/>
      <c r="E1041" s="64"/>
      <c r="F1041" s="64"/>
      <c r="G1041" s="64"/>
      <c r="H1041" s="64"/>
      <c r="I1041" s="64"/>
      <c r="J1041" s="64"/>
      <c r="K1041" s="64"/>
      <c r="L1041" s="64"/>
      <c r="M1041" s="64"/>
      <c r="N1041" s="64"/>
      <c r="O1041" s="64"/>
      <c r="P1041" s="64"/>
      <c r="Q1041" s="64"/>
      <c r="R1041" s="64"/>
      <c r="S1041" s="28"/>
    </row>
    <row r="1042" spans="1:19" x14ac:dyDescent="0.25">
      <c r="A1042" s="63"/>
      <c r="B1042" s="64"/>
      <c r="C1042" s="64"/>
      <c r="D1042" s="64"/>
      <c r="E1042" s="64"/>
      <c r="F1042" s="64"/>
      <c r="G1042" s="64"/>
      <c r="H1042" s="64"/>
      <c r="I1042" s="64"/>
      <c r="J1042" s="64"/>
      <c r="K1042" s="64"/>
      <c r="L1042" s="64"/>
      <c r="M1042" s="64"/>
      <c r="N1042" s="64"/>
      <c r="O1042" s="64"/>
      <c r="P1042" s="64"/>
      <c r="Q1042" s="64"/>
      <c r="R1042" s="64"/>
      <c r="S1042" s="28"/>
    </row>
    <row r="1043" spans="1:19" x14ac:dyDescent="0.25">
      <c r="A1043" s="63"/>
      <c r="B1043" s="64"/>
      <c r="C1043" s="64"/>
      <c r="D1043" s="64"/>
      <c r="E1043" s="64"/>
      <c r="F1043" s="64"/>
      <c r="G1043" s="64"/>
      <c r="H1043" s="64"/>
      <c r="I1043" s="64"/>
      <c r="J1043" s="64"/>
      <c r="K1043" s="64"/>
      <c r="L1043" s="64"/>
      <c r="M1043" s="64"/>
      <c r="N1043" s="64"/>
      <c r="O1043" s="64"/>
      <c r="P1043" s="64"/>
      <c r="Q1043" s="64"/>
      <c r="R1043" s="64"/>
      <c r="S1043" s="28"/>
    </row>
    <row r="1044" spans="1:19" x14ac:dyDescent="0.25">
      <c r="A1044" s="63"/>
      <c r="B1044" s="64"/>
      <c r="C1044" s="64"/>
      <c r="D1044" s="64"/>
      <c r="E1044" s="64"/>
      <c r="F1044" s="64"/>
      <c r="G1044" s="64"/>
      <c r="H1044" s="64"/>
      <c r="I1044" s="64"/>
      <c r="J1044" s="64"/>
      <c r="K1044" s="64"/>
      <c r="L1044" s="64"/>
      <c r="M1044" s="64"/>
      <c r="N1044" s="64"/>
      <c r="O1044" s="64"/>
      <c r="P1044" s="64"/>
      <c r="Q1044" s="64"/>
      <c r="R1044" s="64"/>
      <c r="S1044" s="28"/>
    </row>
    <row r="1045" spans="1:19" x14ac:dyDescent="0.25">
      <c r="A1045" s="63"/>
      <c r="B1045" s="64"/>
      <c r="C1045" s="64"/>
      <c r="D1045" s="64"/>
      <c r="E1045" s="64"/>
      <c r="F1045" s="64"/>
      <c r="G1045" s="64"/>
      <c r="H1045" s="64"/>
      <c r="I1045" s="64"/>
      <c r="J1045" s="64"/>
      <c r="K1045" s="64"/>
      <c r="L1045" s="64"/>
      <c r="M1045" s="64"/>
      <c r="N1045" s="64"/>
      <c r="O1045" s="64"/>
      <c r="P1045" s="64"/>
      <c r="Q1045" s="64"/>
      <c r="R1045" s="64"/>
      <c r="S1045" s="28"/>
    </row>
    <row r="1046" spans="1:19" x14ac:dyDescent="0.25">
      <c r="A1046" s="63"/>
      <c r="B1046" s="64"/>
      <c r="C1046" s="64"/>
      <c r="D1046" s="64"/>
      <c r="E1046" s="64"/>
      <c r="F1046" s="64"/>
      <c r="G1046" s="64"/>
      <c r="H1046" s="64"/>
      <c r="I1046" s="64"/>
      <c r="J1046" s="64"/>
      <c r="K1046" s="64"/>
      <c r="L1046" s="64"/>
      <c r="M1046" s="64"/>
      <c r="N1046" s="64"/>
      <c r="O1046" s="64"/>
      <c r="P1046" s="64"/>
      <c r="Q1046" s="64"/>
      <c r="R1046" s="64"/>
      <c r="S1046" s="28"/>
    </row>
    <row r="1047" spans="1:19" x14ac:dyDescent="0.25">
      <c r="A1047" s="63"/>
      <c r="B1047" s="64"/>
      <c r="C1047" s="64"/>
      <c r="D1047" s="64"/>
      <c r="E1047" s="64"/>
      <c r="F1047" s="64"/>
      <c r="G1047" s="64"/>
      <c r="H1047" s="64"/>
      <c r="I1047" s="64"/>
      <c r="J1047" s="64"/>
      <c r="K1047" s="64"/>
      <c r="L1047" s="64"/>
      <c r="M1047" s="64"/>
      <c r="N1047" s="64"/>
      <c r="O1047" s="64"/>
      <c r="P1047" s="64"/>
      <c r="Q1047" s="64"/>
      <c r="R1047" s="64"/>
      <c r="S1047" s="28"/>
    </row>
    <row r="1048" spans="1:19" x14ac:dyDescent="0.25">
      <c r="A1048" s="63"/>
      <c r="B1048" s="64"/>
      <c r="C1048" s="64"/>
      <c r="D1048" s="64"/>
      <c r="E1048" s="64"/>
      <c r="F1048" s="64"/>
      <c r="G1048" s="64"/>
      <c r="H1048" s="64"/>
      <c r="I1048" s="64"/>
      <c r="J1048" s="64"/>
      <c r="K1048" s="64"/>
      <c r="L1048" s="64"/>
      <c r="M1048" s="64"/>
      <c r="N1048" s="64"/>
      <c r="O1048" s="64"/>
      <c r="P1048" s="64"/>
      <c r="Q1048" s="64"/>
      <c r="R1048" s="64"/>
      <c r="S1048" s="28"/>
    </row>
    <row r="1049" spans="1:19" x14ac:dyDescent="0.25">
      <c r="A1049" s="63"/>
      <c r="B1049" s="64"/>
      <c r="C1049" s="64"/>
      <c r="D1049" s="64"/>
      <c r="E1049" s="64"/>
      <c r="F1049" s="64"/>
      <c r="G1049" s="64"/>
      <c r="H1049" s="64"/>
      <c r="I1049" s="64"/>
      <c r="J1049" s="64"/>
      <c r="K1049" s="64"/>
      <c r="L1049" s="64"/>
      <c r="M1049" s="64"/>
      <c r="N1049" s="64"/>
      <c r="O1049" s="64"/>
      <c r="P1049" s="64"/>
      <c r="Q1049" s="64"/>
      <c r="R1049" s="64"/>
      <c r="S1049" s="28"/>
    </row>
    <row r="1050" spans="1:19" x14ac:dyDescent="0.25">
      <c r="A1050" s="63"/>
      <c r="B1050" s="64"/>
      <c r="C1050" s="64"/>
      <c r="D1050" s="64"/>
      <c r="E1050" s="64"/>
      <c r="F1050" s="64"/>
      <c r="G1050" s="64"/>
      <c r="H1050" s="64"/>
      <c r="I1050" s="64"/>
      <c r="J1050" s="64"/>
      <c r="K1050" s="64"/>
      <c r="L1050" s="64"/>
      <c r="M1050" s="64"/>
      <c r="N1050" s="64"/>
      <c r="O1050" s="64"/>
      <c r="P1050" s="64"/>
      <c r="Q1050" s="64"/>
      <c r="R1050" s="64"/>
      <c r="S1050" s="28"/>
    </row>
    <row r="1051" spans="1:19" x14ac:dyDescent="0.25">
      <c r="A1051" s="63"/>
      <c r="B1051" s="64"/>
      <c r="C1051" s="64"/>
      <c r="D1051" s="64"/>
      <c r="E1051" s="64"/>
      <c r="F1051" s="64"/>
      <c r="G1051" s="64"/>
      <c r="H1051" s="64"/>
      <c r="I1051" s="64"/>
      <c r="J1051" s="64"/>
      <c r="K1051" s="64"/>
      <c r="L1051" s="64"/>
      <c r="M1051" s="64"/>
      <c r="N1051" s="64"/>
      <c r="O1051" s="64"/>
      <c r="P1051" s="64"/>
      <c r="Q1051" s="64"/>
      <c r="R1051" s="64"/>
      <c r="S1051" s="28"/>
    </row>
    <row r="1052" spans="1:19" x14ac:dyDescent="0.25">
      <c r="A1052" s="63"/>
      <c r="B1052" s="64"/>
      <c r="C1052" s="64"/>
      <c r="D1052" s="64"/>
      <c r="E1052" s="64"/>
      <c r="F1052" s="64"/>
      <c r="G1052" s="64"/>
      <c r="H1052" s="64"/>
      <c r="I1052" s="64"/>
      <c r="J1052" s="64"/>
      <c r="K1052" s="64"/>
      <c r="L1052" s="64"/>
      <c r="M1052" s="64"/>
      <c r="N1052" s="64"/>
      <c r="O1052" s="64"/>
      <c r="P1052" s="64"/>
      <c r="Q1052" s="64"/>
      <c r="R1052" s="64"/>
      <c r="S1052" s="28"/>
    </row>
    <row r="1053" spans="1:19" x14ac:dyDescent="0.25">
      <c r="A1053" s="63"/>
      <c r="B1053" s="64"/>
      <c r="C1053" s="64"/>
      <c r="D1053" s="64"/>
      <c r="E1053" s="64"/>
      <c r="F1053" s="64"/>
      <c r="G1053" s="64"/>
      <c r="H1053" s="64"/>
      <c r="I1053" s="64"/>
      <c r="J1053" s="64"/>
      <c r="K1053" s="64"/>
      <c r="L1053" s="64"/>
      <c r="M1053" s="64"/>
      <c r="N1053" s="64"/>
      <c r="O1053" s="64"/>
      <c r="P1053" s="64"/>
      <c r="Q1053" s="64"/>
      <c r="R1053" s="64"/>
      <c r="S1053" s="28"/>
    </row>
    <row r="1054" spans="1:19" x14ac:dyDescent="0.25">
      <c r="A1054" s="63"/>
      <c r="B1054" s="64"/>
      <c r="C1054" s="64"/>
      <c r="D1054" s="64"/>
      <c r="E1054" s="64"/>
      <c r="F1054" s="64"/>
      <c r="G1054" s="64"/>
      <c r="H1054" s="64"/>
      <c r="I1054" s="64"/>
      <c r="J1054" s="64"/>
      <c r="K1054" s="64"/>
      <c r="L1054" s="64"/>
      <c r="M1054" s="64"/>
      <c r="N1054" s="64"/>
      <c r="O1054" s="64"/>
      <c r="P1054" s="64"/>
      <c r="Q1054" s="64"/>
      <c r="R1054" s="64"/>
      <c r="S1054" s="28"/>
    </row>
    <row r="1055" spans="1:19" x14ac:dyDescent="0.25">
      <c r="A1055" s="63"/>
      <c r="B1055" s="64"/>
      <c r="C1055" s="64"/>
      <c r="D1055" s="64"/>
      <c r="E1055" s="64"/>
      <c r="F1055" s="64"/>
      <c r="G1055" s="64"/>
      <c r="H1055" s="64"/>
      <c r="I1055" s="64"/>
      <c r="J1055" s="64"/>
      <c r="K1055" s="64"/>
      <c r="L1055" s="64"/>
      <c r="M1055" s="64"/>
      <c r="N1055" s="64"/>
      <c r="O1055" s="64"/>
      <c r="P1055" s="64"/>
      <c r="Q1055" s="64"/>
      <c r="R1055" s="64"/>
      <c r="S1055" s="28"/>
    </row>
    <row r="1056" spans="1:19" x14ac:dyDescent="0.25">
      <c r="A1056" s="63"/>
      <c r="B1056" s="64"/>
      <c r="C1056" s="64"/>
      <c r="D1056" s="64"/>
      <c r="E1056" s="64"/>
      <c r="F1056" s="64"/>
      <c r="G1056" s="64"/>
      <c r="H1056" s="64"/>
      <c r="I1056" s="64"/>
      <c r="J1056" s="64"/>
      <c r="K1056" s="64"/>
      <c r="L1056" s="64"/>
      <c r="M1056" s="64"/>
      <c r="N1056" s="64"/>
      <c r="O1056" s="64"/>
      <c r="P1056" s="64"/>
      <c r="Q1056" s="64"/>
      <c r="R1056" s="64"/>
      <c r="S1056" s="28"/>
    </row>
    <row r="1057" spans="1:19" x14ac:dyDescent="0.25">
      <c r="A1057" s="63"/>
      <c r="B1057" s="64"/>
      <c r="C1057" s="64"/>
      <c r="D1057" s="64"/>
      <c r="E1057" s="64"/>
      <c r="F1057" s="64"/>
      <c r="G1057" s="64"/>
      <c r="H1057" s="64"/>
      <c r="I1057" s="64"/>
      <c r="J1057" s="64"/>
      <c r="K1057" s="64"/>
      <c r="L1057" s="64"/>
      <c r="M1057" s="64"/>
      <c r="N1057" s="64"/>
      <c r="O1057" s="64"/>
      <c r="P1057" s="64"/>
      <c r="Q1057" s="64"/>
      <c r="R1057" s="64"/>
      <c r="S1057" s="28"/>
    </row>
    <row r="1058" spans="1:19" x14ac:dyDescent="0.25">
      <c r="A1058" s="63"/>
      <c r="B1058" s="64"/>
      <c r="C1058" s="64"/>
      <c r="D1058" s="64"/>
      <c r="E1058" s="64"/>
      <c r="F1058" s="64"/>
      <c r="G1058" s="64"/>
      <c r="H1058" s="64"/>
      <c r="I1058" s="64"/>
      <c r="J1058" s="64"/>
      <c r="K1058" s="64"/>
      <c r="L1058" s="64"/>
      <c r="M1058" s="64"/>
      <c r="N1058" s="64"/>
      <c r="O1058" s="64"/>
      <c r="P1058" s="64"/>
      <c r="Q1058" s="64"/>
      <c r="R1058" s="64"/>
      <c r="S1058" s="28"/>
    </row>
    <row r="1059" spans="1:19" x14ac:dyDescent="0.25">
      <c r="A1059" s="63"/>
      <c r="B1059" s="64"/>
      <c r="C1059" s="64"/>
      <c r="D1059" s="64"/>
      <c r="E1059" s="64"/>
      <c r="F1059" s="64"/>
      <c r="G1059" s="64"/>
      <c r="H1059" s="64"/>
      <c r="I1059" s="64"/>
      <c r="J1059" s="64"/>
      <c r="K1059" s="64"/>
      <c r="L1059" s="64"/>
      <c r="M1059" s="64"/>
      <c r="N1059" s="64"/>
      <c r="O1059" s="64"/>
      <c r="P1059" s="64"/>
      <c r="Q1059" s="64"/>
      <c r="R1059" s="64"/>
      <c r="S1059" s="28"/>
    </row>
    <row r="1060" spans="1:19" x14ac:dyDescent="0.25">
      <c r="A1060" s="63"/>
      <c r="B1060" s="64"/>
      <c r="C1060" s="64"/>
      <c r="D1060" s="64"/>
      <c r="E1060" s="64"/>
      <c r="F1060" s="64"/>
      <c r="G1060" s="64"/>
      <c r="H1060" s="64"/>
      <c r="I1060" s="64"/>
      <c r="J1060" s="64"/>
      <c r="K1060" s="64"/>
      <c r="L1060" s="64"/>
      <c r="M1060" s="64"/>
      <c r="N1060" s="64"/>
      <c r="O1060" s="64"/>
      <c r="P1060" s="64"/>
      <c r="Q1060" s="64"/>
      <c r="R1060" s="64"/>
      <c r="S1060" s="28"/>
    </row>
    <row r="1061" spans="1:19" x14ac:dyDescent="0.25">
      <c r="A1061" s="63"/>
      <c r="B1061" s="64"/>
      <c r="C1061" s="64"/>
      <c r="D1061" s="64"/>
      <c r="E1061" s="64"/>
      <c r="F1061" s="64"/>
      <c r="G1061" s="64"/>
      <c r="H1061" s="64"/>
      <c r="I1061" s="64"/>
      <c r="J1061" s="64"/>
      <c r="K1061" s="64"/>
      <c r="L1061" s="64"/>
      <c r="M1061" s="64"/>
      <c r="N1061" s="64"/>
      <c r="O1061" s="64"/>
      <c r="P1061" s="64"/>
      <c r="Q1061" s="64"/>
      <c r="R1061" s="64"/>
      <c r="S1061" s="28"/>
    </row>
    <row r="1062" spans="1:19" x14ac:dyDescent="0.25">
      <c r="A1062" s="63"/>
      <c r="B1062" s="64"/>
      <c r="C1062" s="64"/>
      <c r="D1062" s="64"/>
      <c r="E1062" s="64"/>
      <c r="F1062" s="64"/>
      <c r="G1062" s="64"/>
      <c r="H1062" s="64"/>
      <c r="I1062" s="64"/>
      <c r="J1062" s="64"/>
      <c r="K1062" s="64"/>
      <c r="L1062" s="64"/>
      <c r="M1062" s="64"/>
      <c r="N1062" s="64"/>
      <c r="O1062" s="64"/>
      <c r="P1062" s="64"/>
      <c r="Q1062" s="64"/>
      <c r="R1062" s="64"/>
      <c r="S1062" s="28"/>
    </row>
    <row r="1063" spans="1:19" x14ac:dyDescent="0.25">
      <c r="A1063" s="63"/>
      <c r="B1063" s="64"/>
      <c r="C1063" s="64"/>
      <c r="D1063" s="64"/>
      <c r="E1063" s="64"/>
      <c r="F1063" s="64"/>
      <c r="G1063" s="64"/>
      <c r="H1063" s="64"/>
      <c r="I1063" s="64"/>
      <c r="J1063" s="64"/>
      <c r="K1063" s="64"/>
      <c r="L1063" s="64"/>
      <c r="M1063" s="64"/>
      <c r="N1063" s="64"/>
      <c r="O1063" s="64"/>
      <c r="P1063" s="64"/>
      <c r="Q1063" s="64"/>
      <c r="R1063" s="64"/>
      <c r="S1063" s="28"/>
    </row>
    <row r="1064" spans="1:19" x14ac:dyDescent="0.25">
      <c r="A1064" s="63"/>
      <c r="B1064" s="64"/>
      <c r="C1064" s="64"/>
      <c r="D1064" s="64"/>
      <c r="E1064" s="64"/>
      <c r="F1064" s="64"/>
      <c r="G1064" s="64"/>
      <c r="H1064" s="64"/>
      <c r="I1064" s="64"/>
      <c r="J1064" s="64"/>
      <c r="K1064" s="64"/>
      <c r="L1064" s="64"/>
      <c r="M1064" s="64"/>
      <c r="N1064" s="64"/>
      <c r="O1064" s="64"/>
      <c r="P1064" s="64"/>
      <c r="Q1064" s="64"/>
      <c r="R1064" s="64"/>
      <c r="S1064" s="28"/>
    </row>
    <row r="1065" spans="1:19" x14ac:dyDescent="0.25">
      <c r="A1065" s="63"/>
      <c r="B1065" s="64"/>
      <c r="C1065" s="64"/>
      <c r="D1065" s="64"/>
      <c r="E1065" s="64"/>
      <c r="F1065" s="64"/>
      <c r="G1065" s="64"/>
      <c r="H1065" s="64"/>
      <c r="I1065" s="64"/>
      <c r="J1065" s="64"/>
      <c r="K1065" s="64"/>
      <c r="L1065" s="64"/>
      <c r="M1065" s="64"/>
      <c r="N1065" s="64"/>
      <c r="O1065" s="64"/>
      <c r="P1065" s="64"/>
      <c r="Q1065" s="64"/>
      <c r="R1065" s="64"/>
      <c r="S1065" s="28"/>
    </row>
    <row r="1066" spans="1:19" x14ac:dyDescent="0.25">
      <c r="A1066" s="63"/>
      <c r="B1066" s="64"/>
      <c r="C1066" s="64"/>
      <c r="D1066" s="64"/>
      <c r="E1066" s="64"/>
      <c r="F1066" s="64"/>
      <c r="G1066" s="64"/>
      <c r="H1066" s="64"/>
      <c r="I1066" s="64"/>
      <c r="J1066" s="64"/>
      <c r="K1066" s="64"/>
      <c r="L1066" s="64"/>
      <c r="M1066" s="64"/>
      <c r="N1066" s="64"/>
      <c r="O1066" s="64"/>
      <c r="P1066" s="64"/>
      <c r="Q1066" s="64"/>
      <c r="R1066" s="64"/>
      <c r="S1066" s="28"/>
    </row>
    <row r="1067" spans="1:19" x14ac:dyDescent="0.25">
      <c r="A1067" s="63"/>
      <c r="B1067" s="64"/>
      <c r="C1067" s="64"/>
      <c r="D1067" s="64"/>
      <c r="E1067" s="64"/>
      <c r="F1067" s="64"/>
      <c r="G1067" s="64"/>
      <c r="H1067" s="64"/>
      <c r="I1067" s="64"/>
      <c r="J1067" s="64"/>
      <c r="K1067" s="64"/>
      <c r="L1067" s="64"/>
      <c r="M1067" s="64"/>
      <c r="N1067" s="64"/>
      <c r="O1067" s="64"/>
      <c r="P1067" s="64"/>
      <c r="Q1067" s="64"/>
      <c r="R1067" s="64"/>
      <c r="S1067" s="28"/>
    </row>
    <row r="1068" spans="1:19" x14ac:dyDescent="0.25">
      <c r="A1068" s="63"/>
      <c r="B1068" s="64"/>
      <c r="C1068" s="64"/>
      <c r="D1068" s="64"/>
      <c r="E1068" s="64"/>
      <c r="F1068" s="64"/>
      <c r="G1068" s="64"/>
      <c r="H1068" s="64"/>
      <c r="I1068" s="64"/>
      <c r="J1068" s="64"/>
      <c r="K1068" s="64"/>
      <c r="L1068" s="64"/>
      <c r="M1068" s="64"/>
      <c r="N1068" s="64"/>
      <c r="O1068" s="64"/>
      <c r="P1068" s="64"/>
      <c r="Q1068" s="64"/>
      <c r="R1068" s="64"/>
      <c r="S1068" s="28"/>
    </row>
    <row r="1069" spans="1:19" x14ac:dyDescent="0.25">
      <c r="A1069" s="63"/>
      <c r="B1069" s="64"/>
      <c r="C1069" s="64"/>
      <c r="D1069" s="64"/>
      <c r="E1069" s="64"/>
      <c r="F1069" s="64"/>
      <c r="G1069" s="64"/>
      <c r="H1069" s="64"/>
      <c r="I1069" s="64"/>
      <c r="J1069" s="64"/>
      <c r="K1069" s="64"/>
      <c r="L1069" s="64"/>
      <c r="M1069" s="64"/>
      <c r="N1069" s="64"/>
      <c r="O1069" s="64"/>
      <c r="P1069" s="64"/>
      <c r="Q1069" s="64"/>
      <c r="R1069" s="64"/>
      <c r="S1069" s="28"/>
    </row>
    <row r="1070" spans="1:19" x14ac:dyDescent="0.25">
      <c r="A1070" s="63"/>
      <c r="B1070" s="64"/>
      <c r="C1070" s="64"/>
      <c r="D1070" s="64"/>
      <c r="E1070" s="64"/>
      <c r="F1070" s="64"/>
      <c r="G1070" s="64"/>
      <c r="H1070" s="64"/>
      <c r="I1070" s="64"/>
      <c r="J1070" s="64"/>
      <c r="K1070" s="64"/>
      <c r="L1070" s="64"/>
      <c r="M1070" s="64"/>
      <c r="N1070" s="64"/>
      <c r="O1070" s="64"/>
      <c r="P1070" s="64"/>
      <c r="Q1070" s="64"/>
      <c r="R1070" s="64"/>
      <c r="S1070" s="28"/>
    </row>
    <row r="1071" spans="1:19" x14ac:dyDescent="0.25">
      <c r="A1071" s="63"/>
      <c r="B1071" s="64"/>
      <c r="C1071" s="64"/>
      <c r="D1071" s="64"/>
      <c r="E1071" s="64"/>
      <c r="F1071" s="64"/>
      <c r="G1071" s="64"/>
      <c r="H1071" s="64"/>
      <c r="I1071" s="64"/>
      <c r="J1071" s="64"/>
      <c r="K1071" s="64"/>
      <c r="L1071" s="64"/>
      <c r="M1071" s="64"/>
      <c r="N1071" s="64"/>
      <c r="O1071" s="64"/>
      <c r="P1071" s="64"/>
      <c r="Q1071" s="64"/>
      <c r="R1071" s="64"/>
      <c r="S1071" s="28"/>
    </row>
    <row r="1072" spans="1:19" x14ac:dyDescent="0.25">
      <c r="A1072" s="63"/>
      <c r="B1072" s="64"/>
      <c r="C1072" s="64"/>
      <c r="D1072" s="64"/>
      <c r="E1072" s="64"/>
      <c r="F1072" s="64"/>
      <c r="G1072" s="64"/>
      <c r="H1072" s="64"/>
      <c r="I1072" s="64"/>
      <c r="J1072" s="64"/>
      <c r="K1072" s="64"/>
      <c r="L1072" s="64"/>
      <c r="M1072" s="64"/>
      <c r="N1072" s="64"/>
      <c r="O1072" s="64"/>
      <c r="P1072" s="64"/>
      <c r="Q1072" s="64"/>
      <c r="R1072" s="64"/>
      <c r="S1072" s="28"/>
    </row>
    <row r="1073" spans="1:19" x14ac:dyDescent="0.25">
      <c r="A1073" s="63"/>
      <c r="B1073" s="64"/>
      <c r="C1073" s="64"/>
      <c r="D1073" s="64"/>
      <c r="E1073" s="64"/>
      <c r="F1073" s="64"/>
      <c r="G1073" s="64"/>
      <c r="H1073" s="64"/>
      <c r="I1073" s="64"/>
      <c r="J1073" s="64"/>
      <c r="K1073" s="64"/>
      <c r="L1073" s="64"/>
      <c r="M1073" s="64"/>
      <c r="N1073" s="64"/>
      <c r="O1073" s="64"/>
      <c r="P1073" s="64"/>
      <c r="Q1073" s="64"/>
      <c r="R1073" s="64"/>
      <c r="S1073" s="28"/>
    </row>
    <row r="1074" spans="1:19" x14ac:dyDescent="0.25">
      <c r="A1074" s="63"/>
      <c r="B1074" s="64"/>
      <c r="C1074" s="64"/>
      <c r="D1074" s="64"/>
      <c r="E1074" s="64"/>
      <c r="F1074" s="64"/>
      <c r="G1074" s="64"/>
      <c r="H1074" s="64"/>
      <c r="I1074" s="64"/>
      <c r="J1074" s="64"/>
      <c r="K1074" s="64"/>
      <c r="L1074" s="64"/>
      <c r="M1074" s="64"/>
      <c r="N1074" s="64"/>
      <c r="O1074" s="64"/>
      <c r="P1074" s="64"/>
      <c r="Q1074" s="64"/>
      <c r="R1074" s="64"/>
      <c r="S1074" s="28"/>
    </row>
    <row r="1075" spans="1:19" x14ac:dyDescent="0.25">
      <c r="A1075" s="63"/>
      <c r="B1075" s="64"/>
      <c r="C1075" s="64"/>
      <c r="D1075" s="64"/>
      <c r="E1075" s="64"/>
      <c r="F1075" s="64"/>
      <c r="G1075" s="64"/>
      <c r="H1075" s="64"/>
      <c r="I1075" s="64"/>
      <c r="J1075" s="64"/>
      <c r="K1075" s="64"/>
      <c r="L1075" s="64"/>
      <c r="M1075" s="64"/>
      <c r="N1075" s="64"/>
      <c r="O1075" s="64"/>
      <c r="P1075" s="64"/>
      <c r="Q1075" s="64"/>
      <c r="R1075" s="64"/>
      <c r="S1075" s="28"/>
    </row>
    <row r="1076" spans="1:19" x14ac:dyDescent="0.25">
      <c r="A1076" s="63"/>
      <c r="B1076" s="64"/>
      <c r="C1076" s="64"/>
      <c r="D1076" s="64"/>
      <c r="E1076" s="64"/>
      <c r="F1076" s="64"/>
      <c r="G1076" s="64"/>
      <c r="H1076" s="64"/>
      <c r="I1076" s="64"/>
      <c r="J1076" s="64"/>
      <c r="K1076" s="64"/>
      <c r="L1076" s="64"/>
      <c r="M1076" s="64"/>
      <c r="N1076" s="64"/>
      <c r="O1076" s="64"/>
      <c r="P1076" s="64"/>
      <c r="Q1076" s="64"/>
      <c r="R1076" s="64"/>
      <c r="S1076" s="28"/>
    </row>
    <row r="1077" spans="1:19" x14ac:dyDescent="0.25">
      <c r="A1077" s="63"/>
      <c r="B1077" s="64"/>
      <c r="C1077" s="64"/>
      <c r="D1077" s="64"/>
      <c r="E1077" s="64"/>
      <c r="F1077" s="64"/>
      <c r="G1077" s="64"/>
      <c r="H1077" s="64"/>
      <c r="I1077" s="64"/>
      <c r="J1077" s="64"/>
      <c r="K1077" s="64"/>
      <c r="L1077" s="64"/>
      <c r="M1077" s="64"/>
      <c r="N1077" s="64"/>
      <c r="O1077" s="64"/>
      <c r="P1077" s="64"/>
      <c r="Q1077" s="64"/>
      <c r="R1077" s="64"/>
      <c r="S1077" s="28"/>
    </row>
    <row r="1078" spans="1:19" x14ac:dyDescent="0.25">
      <c r="A1078" s="63"/>
      <c r="B1078" s="64"/>
      <c r="C1078" s="64"/>
      <c r="D1078" s="64"/>
      <c r="E1078" s="64"/>
      <c r="F1078" s="64"/>
      <c r="G1078" s="64"/>
      <c r="H1078" s="64"/>
      <c r="I1078" s="64"/>
      <c r="J1078" s="64"/>
      <c r="K1078" s="64"/>
      <c r="L1078" s="64"/>
      <c r="M1078" s="64"/>
      <c r="N1078" s="64"/>
      <c r="O1078" s="64"/>
      <c r="P1078" s="64"/>
      <c r="Q1078" s="64"/>
      <c r="R1078" s="64"/>
      <c r="S1078" s="28"/>
    </row>
    <row r="1079" spans="1:19" x14ac:dyDescent="0.25">
      <c r="A1079" s="63"/>
      <c r="B1079" s="64"/>
      <c r="C1079" s="64"/>
      <c r="D1079" s="64"/>
      <c r="E1079" s="64"/>
      <c r="F1079" s="64"/>
      <c r="G1079" s="64"/>
      <c r="H1079" s="64"/>
      <c r="I1079" s="64"/>
      <c r="J1079" s="64"/>
      <c r="K1079" s="64"/>
      <c r="L1079" s="64"/>
      <c r="M1079" s="64"/>
      <c r="N1079" s="64"/>
      <c r="O1079" s="64"/>
      <c r="P1079" s="64"/>
      <c r="Q1079" s="64"/>
      <c r="R1079" s="64"/>
      <c r="S1079" s="28"/>
    </row>
    <row r="1080" spans="1:19" x14ac:dyDescent="0.25">
      <c r="A1080" s="63"/>
      <c r="B1080" s="64"/>
      <c r="C1080" s="64"/>
      <c r="D1080" s="64"/>
      <c r="E1080" s="64"/>
      <c r="F1080" s="64"/>
      <c r="G1080" s="64"/>
      <c r="H1080" s="64"/>
      <c r="I1080" s="64"/>
      <c r="J1080" s="64"/>
      <c r="K1080" s="64"/>
      <c r="L1080" s="64"/>
      <c r="M1080" s="64"/>
      <c r="N1080" s="64"/>
      <c r="O1080" s="64"/>
      <c r="P1080" s="64"/>
      <c r="Q1080" s="64"/>
      <c r="R1080" s="64"/>
      <c r="S1080" s="28"/>
    </row>
    <row r="1081" spans="1:19" x14ac:dyDescent="0.25">
      <c r="A1081" s="63"/>
      <c r="B1081" s="64"/>
      <c r="C1081" s="64"/>
      <c r="D1081" s="64"/>
      <c r="E1081" s="64"/>
      <c r="F1081" s="64"/>
      <c r="G1081" s="64"/>
      <c r="H1081" s="64"/>
      <c r="I1081" s="64"/>
      <c r="J1081" s="64"/>
      <c r="K1081" s="64"/>
      <c r="L1081" s="64"/>
      <c r="M1081" s="64"/>
      <c r="N1081" s="64"/>
      <c r="O1081" s="64"/>
      <c r="P1081" s="64"/>
      <c r="Q1081" s="64"/>
      <c r="R1081" s="64"/>
      <c r="S1081" s="28"/>
    </row>
    <row r="1082" spans="1:19" x14ac:dyDescent="0.25">
      <c r="A1082" s="63"/>
      <c r="B1082" s="64"/>
      <c r="C1082" s="64"/>
      <c r="D1082" s="64"/>
      <c r="E1082" s="64"/>
      <c r="F1082" s="64"/>
      <c r="G1082" s="64"/>
      <c r="H1082" s="64"/>
      <c r="I1082" s="64"/>
      <c r="J1082" s="64"/>
      <c r="K1082" s="64"/>
      <c r="L1082" s="64"/>
      <c r="M1082" s="64"/>
      <c r="N1082" s="64"/>
      <c r="O1082" s="64"/>
      <c r="P1082" s="64"/>
      <c r="Q1082" s="64"/>
      <c r="R1082" s="64"/>
      <c r="S1082" s="28"/>
    </row>
    <row r="1083" spans="1:19" x14ac:dyDescent="0.25">
      <c r="A1083" s="63"/>
      <c r="B1083" s="64"/>
      <c r="C1083" s="64"/>
      <c r="D1083" s="64"/>
      <c r="E1083" s="64"/>
      <c r="F1083" s="64"/>
      <c r="G1083" s="64"/>
      <c r="H1083" s="64"/>
      <c r="I1083" s="64"/>
      <c r="J1083" s="64"/>
      <c r="K1083" s="64"/>
      <c r="L1083" s="64"/>
      <c r="M1083" s="64"/>
      <c r="N1083" s="64"/>
      <c r="O1083" s="64"/>
      <c r="P1083" s="64"/>
      <c r="Q1083" s="64"/>
      <c r="R1083" s="64"/>
      <c r="S1083" s="28"/>
    </row>
    <row r="1084" spans="1:19" x14ac:dyDescent="0.25">
      <c r="A1084" s="63"/>
      <c r="B1084" s="64"/>
      <c r="C1084" s="64"/>
      <c r="D1084" s="64"/>
      <c r="E1084" s="64"/>
      <c r="F1084" s="64"/>
      <c r="G1084" s="64"/>
      <c r="H1084" s="64"/>
      <c r="I1084" s="64"/>
      <c r="J1084" s="64"/>
      <c r="K1084" s="64"/>
      <c r="L1084" s="64"/>
      <c r="M1084" s="64"/>
      <c r="N1084" s="64"/>
      <c r="O1084" s="64"/>
      <c r="P1084" s="64"/>
      <c r="Q1084" s="64"/>
      <c r="R1084" s="64"/>
      <c r="S1084" s="28"/>
    </row>
    <row r="1085" spans="1:19" x14ac:dyDescent="0.25">
      <c r="A1085" s="63"/>
      <c r="B1085" s="64"/>
      <c r="C1085" s="64"/>
      <c r="D1085" s="64"/>
      <c r="E1085" s="64"/>
      <c r="F1085" s="64"/>
      <c r="G1085" s="64"/>
      <c r="H1085" s="64"/>
      <c r="I1085" s="64"/>
      <c r="J1085" s="64"/>
      <c r="K1085" s="64"/>
      <c r="L1085" s="64"/>
      <c r="M1085" s="64"/>
      <c r="N1085" s="64"/>
      <c r="O1085" s="64"/>
      <c r="P1085" s="64"/>
      <c r="Q1085" s="64"/>
      <c r="R1085" s="64"/>
      <c r="S1085" s="28"/>
    </row>
    <row r="1086" spans="1:19" x14ac:dyDescent="0.25">
      <c r="A1086" s="63"/>
      <c r="B1086" s="64"/>
      <c r="C1086" s="64"/>
      <c r="D1086" s="64"/>
      <c r="E1086" s="64"/>
      <c r="F1086" s="64"/>
      <c r="G1086" s="64"/>
      <c r="H1086" s="64"/>
      <c r="I1086" s="64"/>
      <c r="J1086" s="64"/>
      <c r="K1086" s="64"/>
      <c r="L1086" s="64"/>
      <c r="M1086" s="64"/>
      <c r="N1086" s="64"/>
      <c r="O1086" s="64"/>
      <c r="P1086" s="64"/>
      <c r="Q1086" s="64"/>
      <c r="R1086" s="64"/>
      <c r="S1086" s="28"/>
    </row>
    <row r="1087" spans="1:19" x14ac:dyDescent="0.25">
      <c r="A1087" s="63"/>
      <c r="B1087" s="64"/>
      <c r="C1087" s="64"/>
      <c r="D1087" s="64"/>
      <c r="E1087" s="64"/>
      <c r="F1087" s="64"/>
      <c r="G1087" s="64"/>
      <c r="H1087" s="64"/>
      <c r="I1087" s="64"/>
      <c r="J1087" s="64"/>
      <c r="K1087" s="64"/>
      <c r="L1087" s="64"/>
      <c r="M1087" s="64"/>
      <c r="N1087" s="64"/>
      <c r="O1087" s="64"/>
      <c r="P1087" s="64"/>
      <c r="Q1087" s="64"/>
      <c r="R1087" s="64"/>
      <c r="S1087" s="28"/>
    </row>
    <row r="1088" spans="1:19" x14ac:dyDescent="0.25">
      <c r="A1088" s="63"/>
      <c r="B1088" s="64"/>
      <c r="C1088" s="64"/>
      <c r="D1088" s="64"/>
      <c r="E1088" s="64"/>
      <c r="F1088" s="64"/>
      <c r="G1088" s="64"/>
      <c r="H1088" s="64"/>
      <c r="I1088" s="64"/>
      <c r="J1088" s="64"/>
      <c r="K1088" s="64"/>
      <c r="L1088" s="64"/>
      <c r="M1088" s="64"/>
      <c r="N1088" s="64"/>
      <c r="O1088" s="64"/>
      <c r="P1088" s="64"/>
      <c r="Q1088" s="64"/>
      <c r="R1088" s="64"/>
      <c r="S1088" s="28"/>
    </row>
    <row r="1089" spans="1:19" x14ac:dyDescent="0.25">
      <c r="A1089" s="63"/>
      <c r="B1089" s="64"/>
      <c r="C1089" s="64"/>
      <c r="D1089" s="64"/>
      <c r="E1089" s="64"/>
      <c r="F1089" s="64"/>
      <c r="G1089" s="64"/>
      <c r="H1089" s="64"/>
      <c r="I1089" s="64"/>
      <c r="J1089" s="64"/>
      <c r="K1089" s="64"/>
      <c r="L1089" s="64"/>
      <c r="M1089" s="64"/>
      <c r="N1089" s="64"/>
      <c r="O1089" s="64"/>
      <c r="P1089" s="64"/>
      <c r="Q1089" s="64"/>
      <c r="R1089" s="64"/>
      <c r="S1089" s="28"/>
    </row>
    <row r="1090" spans="1:19" x14ac:dyDescent="0.25">
      <c r="A1090" s="63"/>
      <c r="B1090" s="64"/>
      <c r="C1090" s="64"/>
      <c r="D1090" s="64"/>
      <c r="E1090" s="64"/>
      <c r="F1090" s="64"/>
      <c r="G1090" s="64"/>
      <c r="H1090" s="64"/>
      <c r="I1090" s="64"/>
      <c r="J1090" s="64"/>
      <c r="K1090" s="64"/>
      <c r="L1090" s="64"/>
      <c r="M1090" s="64"/>
      <c r="N1090" s="64"/>
      <c r="O1090" s="64"/>
      <c r="P1090" s="64"/>
      <c r="Q1090" s="64"/>
      <c r="R1090" s="64"/>
      <c r="S1090" s="28"/>
    </row>
    <row r="1091" spans="1:19" x14ac:dyDescent="0.25">
      <c r="A1091" s="63"/>
      <c r="B1091" s="64"/>
      <c r="C1091" s="64"/>
      <c r="D1091" s="64"/>
      <c r="E1091" s="64"/>
      <c r="F1091" s="64"/>
      <c r="G1091" s="64"/>
      <c r="H1091" s="64"/>
      <c r="I1091" s="64"/>
      <c r="J1091" s="64"/>
      <c r="K1091" s="64"/>
      <c r="L1091" s="64"/>
      <c r="M1091" s="64"/>
      <c r="N1091" s="64"/>
      <c r="O1091" s="64"/>
      <c r="P1091" s="64"/>
      <c r="Q1091" s="64"/>
      <c r="R1091" s="64"/>
      <c r="S1091" s="28"/>
    </row>
    <row r="1092" spans="1:19" x14ac:dyDescent="0.25">
      <c r="A1092" s="63"/>
      <c r="B1092" s="64"/>
      <c r="C1092" s="64"/>
      <c r="D1092" s="64"/>
      <c r="E1092" s="64"/>
      <c r="F1092" s="64"/>
      <c r="G1092" s="64"/>
      <c r="H1092" s="64"/>
      <c r="I1092" s="64"/>
      <c r="J1092" s="64"/>
      <c r="K1092" s="64"/>
      <c r="L1092" s="64"/>
      <c r="M1092" s="64"/>
      <c r="N1092" s="64"/>
      <c r="O1092" s="64"/>
      <c r="P1092" s="64"/>
      <c r="Q1092" s="64"/>
      <c r="R1092" s="64"/>
      <c r="S1092" s="28"/>
    </row>
    <row r="1093" spans="1:19" x14ac:dyDescent="0.25">
      <c r="A1093" s="63"/>
      <c r="B1093" s="64"/>
      <c r="C1093" s="64"/>
      <c r="D1093" s="64"/>
      <c r="E1093" s="64"/>
      <c r="F1093" s="64"/>
      <c r="G1093" s="64"/>
      <c r="H1093" s="64"/>
      <c r="I1093" s="64"/>
      <c r="J1093" s="64"/>
      <c r="K1093" s="64"/>
      <c r="L1093" s="64"/>
      <c r="M1093" s="64"/>
      <c r="N1093" s="64"/>
      <c r="O1093" s="64"/>
      <c r="P1093" s="64"/>
      <c r="Q1093" s="64"/>
      <c r="R1093" s="64"/>
      <c r="S1093" s="28"/>
    </row>
    <row r="1094" spans="1:19" x14ac:dyDescent="0.25">
      <c r="A1094" s="63"/>
      <c r="B1094" s="64"/>
      <c r="C1094" s="64"/>
      <c r="D1094" s="64"/>
      <c r="E1094" s="64"/>
      <c r="F1094" s="64"/>
      <c r="G1094" s="64"/>
      <c r="H1094" s="64"/>
      <c r="I1094" s="64"/>
      <c r="J1094" s="64"/>
      <c r="K1094" s="64"/>
      <c r="L1094" s="64"/>
      <c r="M1094" s="64"/>
      <c r="N1094" s="64"/>
      <c r="O1094" s="64"/>
      <c r="P1094" s="64"/>
      <c r="Q1094" s="64"/>
      <c r="R1094" s="64"/>
      <c r="S1094" s="28"/>
    </row>
    <row r="1095" spans="1:19" x14ac:dyDescent="0.25">
      <c r="A1095" s="63"/>
      <c r="B1095" s="64"/>
      <c r="C1095" s="64"/>
      <c r="D1095" s="64"/>
      <c r="E1095" s="64"/>
      <c r="F1095" s="64"/>
      <c r="G1095" s="64"/>
      <c r="H1095" s="64"/>
      <c r="I1095" s="64"/>
      <c r="J1095" s="64"/>
      <c r="K1095" s="64"/>
      <c r="L1095" s="64"/>
      <c r="M1095" s="64"/>
      <c r="N1095" s="64"/>
      <c r="O1095" s="64"/>
      <c r="P1095" s="64"/>
      <c r="Q1095" s="64"/>
      <c r="R1095" s="64"/>
      <c r="S1095" s="28"/>
    </row>
    <row r="1096" spans="1:19" x14ac:dyDescent="0.25">
      <c r="A1096" s="63"/>
      <c r="B1096" s="64"/>
      <c r="C1096" s="64"/>
      <c r="D1096" s="64"/>
      <c r="E1096" s="64"/>
      <c r="F1096" s="64"/>
      <c r="G1096" s="64"/>
      <c r="H1096" s="64"/>
      <c r="I1096" s="64"/>
      <c r="J1096" s="64"/>
      <c r="K1096" s="64"/>
      <c r="L1096" s="64"/>
      <c r="M1096" s="64"/>
      <c r="N1096" s="64"/>
      <c r="O1096" s="64"/>
      <c r="P1096" s="64"/>
      <c r="Q1096" s="64"/>
      <c r="R1096" s="64"/>
      <c r="S1096" s="28"/>
    </row>
    <row r="1097" spans="1:19" x14ac:dyDescent="0.25">
      <c r="A1097" s="63"/>
      <c r="B1097" s="64"/>
      <c r="C1097" s="64"/>
      <c r="D1097" s="64"/>
      <c r="E1097" s="64"/>
      <c r="F1097" s="64"/>
      <c r="G1097" s="64"/>
      <c r="H1097" s="64"/>
      <c r="I1097" s="64"/>
      <c r="J1097" s="64"/>
      <c r="K1097" s="64"/>
      <c r="L1097" s="64"/>
      <c r="M1097" s="64"/>
      <c r="N1097" s="64"/>
      <c r="O1097" s="64"/>
      <c r="P1097" s="64"/>
      <c r="Q1097" s="64"/>
      <c r="R1097" s="64"/>
      <c r="S1097" s="28"/>
    </row>
    <row r="1098" spans="1:19" x14ac:dyDescent="0.25">
      <c r="A1098" s="63"/>
      <c r="B1098" s="64"/>
      <c r="C1098" s="64"/>
      <c r="D1098" s="64"/>
      <c r="E1098" s="64"/>
      <c r="F1098" s="64"/>
      <c r="G1098" s="64"/>
      <c r="H1098" s="64"/>
      <c r="I1098" s="64"/>
      <c r="J1098" s="64"/>
      <c r="K1098" s="64"/>
      <c r="L1098" s="64"/>
      <c r="M1098" s="64"/>
      <c r="N1098" s="64"/>
      <c r="O1098" s="64"/>
      <c r="P1098" s="64"/>
      <c r="Q1098" s="64"/>
      <c r="R1098" s="64"/>
      <c r="S1098" s="28"/>
    </row>
    <row r="1099" spans="1:19" x14ac:dyDescent="0.25">
      <c r="A1099" s="63"/>
      <c r="B1099" s="64"/>
      <c r="C1099" s="64"/>
      <c r="D1099" s="64"/>
      <c r="E1099" s="64"/>
      <c r="F1099" s="64"/>
      <c r="G1099" s="64"/>
      <c r="H1099" s="64"/>
      <c r="I1099" s="64"/>
      <c r="J1099" s="64"/>
      <c r="K1099" s="64"/>
      <c r="L1099" s="64"/>
      <c r="M1099" s="64"/>
      <c r="N1099" s="64"/>
      <c r="O1099" s="64"/>
      <c r="P1099" s="64"/>
      <c r="Q1099" s="64"/>
      <c r="R1099" s="64"/>
      <c r="S1099" s="28"/>
    </row>
    <row r="1100" spans="1:19" x14ac:dyDescent="0.25">
      <c r="A1100" s="63"/>
      <c r="B1100" s="64"/>
      <c r="C1100" s="64"/>
      <c r="D1100" s="64"/>
      <c r="E1100" s="64"/>
      <c r="F1100" s="64"/>
      <c r="G1100" s="64"/>
      <c r="H1100" s="64"/>
      <c r="I1100" s="64"/>
      <c r="J1100" s="64"/>
      <c r="K1100" s="64"/>
      <c r="L1100" s="64"/>
      <c r="M1100" s="64"/>
      <c r="N1100" s="64"/>
      <c r="O1100" s="64"/>
      <c r="P1100" s="64"/>
      <c r="Q1100" s="64"/>
      <c r="R1100" s="64"/>
      <c r="S1100" s="28"/>
    </row>
    <row r="1101" spans="1:19" x14ac:dyDescent="0.25">
      <c r="A1101" s="63"/>
      <c r="B1101" s="64"/>
      <c r="C1101" s="64"/>
      <c r="D1101" s="64"/>
      <c r="E1101" s="64"/>
      <c r="F1101" s="64"/>
      <c r="G1101" s="64"/>
      <c r="H1101" s="64"/>
      <c r="I1101" s="64"/>
      <c r="J1101" s="64"/>
      <c r="K1101" s="64"/>
      <c r="L1101" s="64"/>
      <c r="M1101" s="64"/>
      <c r="N1101" s="64"/>
      <c r="O1101" s="64"/>
      <c r="P1101" s="64"/>
      <c r="Q1101" s="64"/>
      <c r="R1101" s="64"/>
      <c r="S1101" s="28"/>
    </row>
    <row r="1102" spans="1:19" x14ac:dyDescent="0.25">
      <c r="A1102" s="63"/>
      <c r="B1102" s="64"/>
      <c r="C1102" s="64"/>
      <c r="D1102" s="64"/>
      <c r="E1102" s="64"/>
      <c r="F1102" s="64"/>
      <c r="G1102" s="64"/>
      <c r="H1102" s="64"/>
      <c r="I1102" s="64"/>
      <c r="J1102" s="64"/>
      <c r="K1102" s="64"/>
      <c r="L1102" s="64"/>
      <c r="M1102" s="64"/>
      <c r="N1102" s="64"/>
      <c r="O1102" s="64"/>
      <c r="P1102" s="64"/>
      <c r="Q1102" s="64"/>
      <c r="R1102" s="64"/>
      <c r="S1102" s="28"/>
    </row>
    <row r="1103" spans="1:19" x14ac:dyDescent="0.25">
      <c r="A1103" s="63"/>
      <c r="B1103" s="64"/>
      <c r="C1103" s="64"/>
      <c r="D1103" s="64"/>
      <c r="E1103" s="64"/>
      <c r="F1103" s="64"/>
      <c r="G1103" s="64"/>
      <c r="H1103" s="64"/>
      <c r="I1103" s="64"/>
      <c r="J1103" s="64"/>
      <c r="K1103" s="64"/>
      <c r="L1103" s="64"/>
      <c r="M1103" s="64"/>
      <c r="N1103" s="64"/>
      <c r="O1103" s="64"/>
      <c r="P1103" s="64"/>
      <c r="Q1103" s="64"/>
      <c r="R1103" s="64"/>
      <c r="S1103" s="28"/>
    </row>
    <row r="1104" spans="1:19" x14ac:dyDescent="0.25">
      <c r="A1104" s="63"/>
      <c r="B1104" s="64"/>
      <c r="C1104" s="64"/>
      <c r="D1104" s="64"/>
      <c r="E1104" s="64"/>
      <c r="F1104" s="64"/>
      <c r="G1104" s="64"/>
      <c r="H1104" s="64"/>
      <c r="I1104" s="64"/>
      <c r="J1104" s="64"/>
      <c r="K1104" s="64"/>
      <c r="L1104" s="64"/>
      <c r="M1104" s="64"/>
      <c r="N1104" s="64"/>
      <c r="O1104" s="64"/>
      <c r="P1104" s="64"/>
      <c r="Q1104" s="64"/>
      <c r="R1104" s="64"/>
      <c r="S1104" s="28"/>
    </row>
    <row r="1105" spans="1:19" x14ac:dyDescent="0.25">
      <c r="A1105" s="63"/>
      <c r="B1105" s="64"/>
      <c r="C1105" s="64"/>
      <c r="D1105" s="64"/>
      <c r="E1105" s="64"/>
      <c r="F1105" s="64"/>
      <c r="G1105" s="64"/>
      <c r="H1105" s="64"/>
      <c r="I1105" s="64"/>
      <c r="J1105" s="64"/>
      <c r="K1105" s="64"/>
      <c r="L1105" s="64"/>
      <c r="M1105" s="64"/>
      <c r="N1105" s="64"/>
      <c r="O1105" s="64"/>
      <c r="P1105" s="64"/>
      <c r="Q1105" s="64"/>
      <c r="R1105" s="64"/>
      <c r="S1105" s="28"/>
    </row>
    <row r="1106" spans="1:19" x14ac:dyDescent="0.25">
      <c r="A1106" s="63"/>
      <c r="B1106" s="64"/>
      <c r="C1106" s="64"/>
      <c r="D1106" s="64"/>
      <c r="E1106" s="64"/>
      <c r="F1106" s="64"/>
      <c r="G1106" s="64"/>
      <c r="H1106" s="64"/>
      <c r="I1106" s="64"/>
      <c r="J1106" s="64"/>
      <c r="K1106" s="64"/>
      <c r="L1106" s="64"/>
      <c r="M1106" s="64"/>
      <c r="N1106" s="64"/>
      <c r="O1106" s="64"/>
      <c r="P1106" s="64"/>
      <c r="Q1106" s="64"/>
      <c r="R1106" s="64"/>
      <c r="S1106" s="28"/>
    </row>
    <row r="1107" spans="1:19" x14ac:dyDescent="0.25">
      <c r="A1107" s="63"/>
      <c r="B1107" s="64"/>
      <c r="C1107" s="64"/>
      <c r="D1107" s="64"/>
      <c r="E1107" s="64"/>
      <c r="F1107" s="64"/>
      <c r="G1107" s="64"/>
      <c r="H1107" s="64"/>
      <c r="I1107" s="64"/>
      <c r="J1107" s="64"/>
      <c r="K1107" s="64"/>
      <c r="L1107" s="64"/>
      <c r="M1107" s="64"/>
      <c r="N1107" s="64"/>
      <c r="O1107" s="64"/>
      <c r="P1107" s="64"/>
      <c r="Q1107" s="64"/>
      <c r="R1107" s="64"/>
      <c r="S1107" s="28"/>
    </row>
    <row r="1108" spans="1:19" x14ac:dyDescent="0.25">
      <c r="A1108" s="63"/>
      <c r="B1108" s="64"/>
      <c r="C1108" s="64"/>
      <c r="D1108" s="64"/>
      <c r="E1108" s="64"/>
      <c r="F1108" s="64"/>
      <c r="G1108" s="64"/>
      <c r="H1108" s="64"/>
      <c r="I1108" s="64"/>
      <c r="J1108" s="64"/>
      <c r="K1108" s="64"/>
      <c r="L1108" s="64"/>
      <c r="M1108" s="64"/>
      <c r="N1108" s="64"/>
      <c r="O1108" s="64"/>
      <c r="P1108" s="64"/>
      <c r="Q1108" s="64"/>
      <c r="R1108" s="64"/>
      <c r="S1108" s="28"/>
    </row>
    <row r="1109" spans="1:19" x14ac:dyDescent="0.25">
      <c r="A1109" s="63"/>
      <c r="B1109" s="64"/>
      <c r="C1109" s="64"/>
      <c r="D1109" s="64"/>
      <c r="E1109" s="64"/>
      <c r="F1109" s="64"/>
      <c r="G1109" s="64"/>
      <c r="H1109" s="64"/>
      <c r="I1109" s="64"/>
      <c r="J1109" s="64"/>
      <c r="K1109" s="64"/>
      <c r="L1109" s="64"/>
      <c r="M1109" s="64"/>
      <c r="N1109" s="64"/>
      <c r="O1109" s="64"/>
      <c r="P1109" s="64"/>
      <c r="Q1109" s="64"/>
      <c r="R1109" s="64"/>
      <c r="S1109" s="28"/>
    </row>
    <row r="1110" spans="1:19" x14ac:dyDescent="0.25">
      <c r="A1110" s="63"/>
      <c r="B1110" s="64"/>
      <c r="C1110" s="64"/>
      <c r="D1110" s="64"/>
      <c r="E1110" s="64"/>
      <c r="F1110" s="64"/>
      <c r="G1110" s="64"/>
      <c r="H1110" s="64"/>
      <c r="I1110" s="64"/>
      <c r="J1110" s="64"/>
      <c r="K1110" s="64"/>
      <c r="L1110" s="64"/>
      <c r="M1110" s="64"/>
      <c r="N1110" s="64"/>
      <c r="O1110" s="64"/>
      <c r="P1110" s="64"/>
      <c r="Q1110" s="64"/>
      <c r="R1110" s="64"/>
      <c r="S1110" s="28"/>
    </row>
    <row r="1111" spans="1:19" x14ac:dyDescent="0.25">
      <c r="A1111" s="63"/>
      <c r="B1111" s="64"/>
      <c r="C1111" s="64"/>
      <c r="D1111" s="64"/>
      <c r="E1111" s="64"/>
      <c r="F1111" s="64"/>
      <c r="G1111" s="64"/>
      <c r="H1111" s="64"/>
      <c r="I1111" s="64"/>
      <c r="J1111" s="64"/>
      <c r="K1111" s="64"/>
      <c r="L1111" s="64"/>
      <c r="M1111" s="64"/>
      <c r="N1111" s="64"/>
      <c r="O1111" s="64"/>
      <c r="P1111" s="64"/>
      <c r="Q1111" s="64"/>
      <c r="R1111" s="64"/>
      <c r="S1111" s="28"/>
    </row>
    <row r="1112" spans="1:19" x14ac:dyDescent="0.25">
      <c r="A1112" s="63"/>
      <c r="B1112" s="64"/>
      <c r="C1112" s="64"/>
      <c r="D1112" s="64"/>
      <c r="E1112" s="64"/>
      <c r="F1112" s="64"/>
      <c r="G1112" s="64"/>
      <c r="H1112" s="64"/>
      <c r="I1112" s="64"/>
      <c r="J1112" s="64"/>
      <c r="K1112" s="64"/>
      <c r="L1112" s="64"/>
      <c r="M1112" s="64"/>
      <c r="N1112" s="64"/>
      <c r="O1112" s="64"/>
      <c r="P1112" s="64"/>
      <c r="Q1112" s="64"/>
      <c r="R1112" s="64"/>
      <c r="S1112" s="28"/>
    </row>
    <row r="1113" spans="1:19" x14ac:dyDescent="0.25">
      <c r="A1113" s="63"/>
      <c r="B1113" s="64"/>
      <c r="C1113" s="64"/>
      <c r="D1113" s="64"/>
      <c r="E1113" s="64"/>
      <c r="F1113" s="64"/>
      <c r="G1113" s="64"/>
      <c r="H1113" s="64"/>
      <c r="I1113" s="64"/>
      <c r="J1113" s="64"/>
      <c r="K1113" s="64"/>
      <c r="L1113" s="64"/>
      <c r="M1113" s="64"/>
      <c r="N1113" s="64"/>
      <c r="O1113" s="64"/>
      <c r="P1113" s="64"/>
      <c r="Q1113" s="64"/>
      <c r="R1113" s="64"/>
      <c r="S1113" s="28"/>
    </row>
    <row r="1114" spans="1:19" x14ac:dyDescent="0.25">
      <c r="A1114" s="63"/>
      <c r="B1114" s="64"/>
      <c r="C1114" s="64"/>
      <c r="D1114" s="64"/>
      <c r="E1114" s="64"/>
      <c r="F1114" s="64"/>
      <c r="G1114" s="64"/>
      <c r="H1114" s="64"/>
      <c r="I1114" s="64"/>
      <c r="J1114" s="64"/>
      <c r="K1114" s="64"/>
      <c r="L1114" s="64"/>
      <c r="M1114" s="64"/>
      <c r="N1114" s="64"/>
      <c r="O1114" s="64"/>
      <c r="P1114" s="64"/>
      <c r="Q1114" s="64"/>
      <c r="R1114" s="64"/>
      <c r="S1114" s="28"/>
    </row>
    <row r="1115" spans="1:19" x14ac:dyDescent="0.25">
      <c r="A1115" s="63"/>
      <c r="B1115" s="64"/>
      <c r="C1115" s="64"/>
      <c r="D1115" s="64"/>
      <c r="E1115" s="64"/>
      <c r="F1115" s="64"/>
      <c r="G1115" s="64"/>
      <c r="H1115" s="64"/>
      <c r="I1115" s="64"/>
      <c r="J1115" s="64"/>
      <c r="K1115" s="64"/>
      <c r="L1115" s="64"/>
      <c r="M1115" s="64"/>
      <c r="N1115" s="64"/>
      <c r="O1115" s="64"/>
      <c r="P1115" s="64"/>
      <c r="Q1115" s="64"/>
      <c r="R1115" s="64"/>
      <c r="S1115" s="28"/>
    </row>
    <row r="1116" spans="1:19" x14ac:dyDescent="0.25">
      <c r="A1116" s="63"/>
      <c r="B1116" s="64"/>
      <c r="C1116" s="64"/>
      <c r="D1116" s="64"/>
      <c r="E1116" s="64"/>
      <c r="F1116" s="64"/>
      <c r="G1116" s="64"/>
      <c r="H1116" s="64"/>
      <c r="I1116" s="64"/>
      <c r="J1116" s="64"/>
      <c r="K1116" s="64"/>
      <c r="L1116" s="64"/>
      <c r="M1116" s="64"/>
      <c r="N1116" s="64"/>
      <c r="O1116" s="64"/>
      <c r="P1116" s="64"/>
      <c r="Q1116" s="64"/>
      <c r="R1116" s="64"/>
      <c r="S1116" s="28"/>
    </row>
    <row r="1117" spans="1:19" x14ac:dyDescent="0.25">
      <c r="A1117" s="63"/>
      <c r="B1117" s="64"/>
      <c r="C1117" s="64"/>
      <c r="D1117" s="64"/>
      <c r="E1117" s="64"/>
      <c r="F1117" s="64"/>
      <c r="G1117" s="64"/>
      <c r="H1117" s="64"/>
      <c r="I1117" s="64"/>
      <c r="J1117" s="64"/>
      <c r="K1117" s="64"/>
      <c r="L1117" s="64"/>
      <c r="M1117" s="64"/>
      <c r="N1117" s="64"/>
      <c r="O1117" s="64"/>
      <c r="P1117" s="64"/>
      <c r="Q1117" s="64"/>
      <c r="R1117" s="64"/>
      <c r="S1117" s="28"/>
    </row>
    <row r="1118" spans="1:19" x14ac:dyDescent="0.25">
      <c r="A1118" s="63"/>
      <c r="B1118" s="64"/>
      <c r="C1118" s="64"/>
      <c r="D1118" s="64"/>
      <c r="E1118" s="64"/>
      <c r="F1118" s="64"/>
      <c r="G1118" s="64"/>
      <c r="H1118" s="64"/>
      <c r="I1118" s="64"/>
      <c r="J1118" s="64"/>
      <c r="K1118" s="64"/>
      <c r="L1118" s="64"/>
      <c r="M1118" s="64"/>
      <c r="N1118" s="64"/>
      <c r="O1118" s="64"/>
      <c r="P1118" s="64"/>
      <c r="Q1118" s="64"/>
      <c r="R1118" s="64"/>
      <c r="S1118" s="28"/>
    </row>
    <row r="1119" spans="1:19" x14ac:dyDescent="0.25">
      <c r="A1119" s="63"/>
      <c r="B1119" s="64"/>
      <c r="C1119" s="64"/>
      <c r="D1119" s="64"/>
      <c r="E1119" s="64"/>
      <c r="F1119" s="64"/>
      <c r="G1119" s="64"/>
      <c r="H1119" s="64"/>
      <c r="I1119" s="64"/>
      <c r="J1119" s="64"/>
      <c r="K1119" s="64"/>
      <c r="L1119" s="64"/>
      <c r="M1119" s="64"/>
      <c r="N1119" s="64"/>
      <c r="O1119" s="64"/>
      <c r="P1119" s="64"/>
      <c r="Q1119" s="64"/>
      <c r="R1119" s="64"/>
      <c r="S1119" s="28"/>
    </row>
    <row r="1120" spans="1:19" x14ac:dyDescent="0.25">
      <c r="A1120" s="63"/>
      <c r="B1120" s="64"/>
      <c r="C1120" s="64"/>
      <c r="D1120" s="64"/>
      <c r="E1120" s="64"/>
      <c r="F1120" s="64"/>
      <c r="G1120" s="64"/>
      <c r="H1120" s="64"/>
      <c r="I1120" s="64"/>
      <c r="J1120" s="64"/>
      <c r="K1120" s="64"/>
      <c r="L1120" s="64"/>
      <c r="M1120" s="64"/>
      <c r="N1120" s="64"/>
      <c r="O1120" s="64"/>
      <c r="P1120" s="64"/>
      <c r="Q1120" s="64"/>
      <c r="R1120" s="64"/>
      <c r="S1120" s="28"/>
    </row>
    <row r="1121" spans="1:19" x14ac:dyDescent="0.25">
      <c r="A1121" s="63"/>
      <c r="B1121" s="64"/>
      <c r="C1121" s="64"/>
      <c r="D1121" s="64"/>
      <c r="E1121" s="64"/>
      <c r="F1121" s="64"/>
      <c r="G1121" s="64"/>
      <c r="H1121" s="64"/>
      <c r="I1121" s="64"/>
      <c r="J1121" s="64"/>
      <c r="K1121" s="64"/>
      <c r="L1121" s="64"/>
      <c r="M1121" s="64"/>
      <c r="N1121" s="64"/>
      <c r="O1121" s="64"/>
      <c r="P1121" s="64"/>
      <c r="Q1121" s="64"/>
      <c r="R1121" s="64"/>
      <c r="S1121" s="28"/>
    </row>
    <row r="1122" spans="1:19" x14ac:dyDescent="0.25">
      <c r="A1122" s="63"/>
      <c r="B1122" s="64"/>
      <c r="C1122" s="64"/>
      <c r="D1122" s="64"/>
      <c r="E1122" s="64"/>
      <c r="F1122" s="64"/>
      <c r="G1122" s="64"/>
      <c r="H1122" s="64"/>
      <c r="I1122" s="64"/>
      <c r="J1122" s="64"/>
      <c r="K1122" s="64"/>
      <c r="L1122" s="64"/>
      <c r="M1122" s="64"/>
      <c r="N1122" s="64"/>
      <c r="O1122" s="64"/>
      <c r="P1122" s="64"/>
      <c r="Q1122" s="64"/>
      <c r="R1122" s="64"/>
      <c r="S1122" s="28"/>
    </row>
    <row r="1123" spans="1:19" x14ac:dyDescent="0.25">
      <c r="A1123" s="63"/>
      <c r="B1123" s="64"/>
      <c r="C1123" s="64"/>
      <c r="D1123" s="64"/>
      <c r="E1123" s="64"/>
      <c r="F1123" s="64"/>
      <c r="G1123" s="64"/>
      <c r="H1123" s="64"/>
      <c r="I1123" s="64"/>
      <c r="J1123" s="64"/>
      <c r="K1123" s="64"/>
      <c r="L1123" s="64"/>
      <c r="M1123" s="64"/>
      <c r="N1123" s="64"/>
      <c r="O1123" s="64"/>
      <c r="P1123" s="64"/>
      <c r="Q1123" s="64"/>
      <c r="R1123" s="64"/>
      <c r="S1123" s="28"/>
    </row>
    <row r="1124" spans="1:19" x14ac:dyDescent="0.25">
      <c r="A1124" s="63"/>
      <c r="B1124" s="64"/>
      <c r="C1124" s="64"/>
      <c r="D1124" s="64"/>
      <c r="E1124" s="64"/>
      <c r="F1124" s="64"/>
      <c r="G1124" s="64"/>
      <c r="H1124" s="64"/>
      <c r="I1124" s="64"/>
      <c r="J1124" s="64"/>
      <c r="K1124" s="64"/>
      <c r="L1124" s="64"/>
      <c r="M1124" s="64"/>
      <c r="N1124" s="64"/>
      <c r="O1124" s="64"/>
      <c r="P1124" s="64"/>
      <c r="Q1124" s="64"/>
      <c r="R1124" s="64"/>
      <c r="S1124" s="28"/>
    </row>
    <row r="1125" spans="1:19" x14ac:dyDescent="0.25">
      <c r="A1125" s="63"/>
      <c r="B1125" s="64"/>
      <c r="C1125" s="64"/>
      <c r="D1125" s="64"/>
      <c r="E1125" s="64"/>
      <c r="F1125" s="64"/>
      <c r="G1125" s="64"/>
      <c r="H1125" s="64"/>
      <c r="I1125" s="64"/>
      <c r="J1125" s="64"/>
      <c r="K1125" s="64"/>
      <c r="L1125" s="64"/>
      <c r="M1125" s="64"/>
      <c r="N1125" s="64"/>
      <c r="O1125" s="64"/>
      <c r="P1125" s="64"/>
      <c r="Q1125" s="64"/>
      <c r="R1125" s="64"/>
      <c r="S1125" s="28"/>
    </row>
    <row r="1126" spans="1:19" x14ac:dyDescent="0.25">
      <c r="A1126" s="63"/>
      <c r="B1126" s="64"/>
      <c r="C1126" s="64"/>
      <c r="D1126" s="64"/>
      <c r="E1126" s="64"/>
      <c r="F1126" s="64"/>
      <c r="G1126" s="64"/>
      <c r="H1126" s="64"/>
      <c r="I1126" s="64"/>
      <c r="J1126" s="64"/>
      <c r="K1126" s="64"/>
      <c r="L1126" s="64"/>
      <c r="M1126" s="64"/>
      <c r="N1126" s="64"/>
      <c r="O1126" s="64"/>
      <c r="P1126" s="64"/>
      <c r="Q1126" s="64"/>
      <c r="R1126" s="64"/>
      <c r="S1126" s="28"/>
    </row>
    <row r="1127" spans="1:19" x14ac:dyDescent="0.25">
      <c r="A1127" s="63"/>
      <c r="B1127" s="64"/>
      <c r="C1127" s="64"/>
      <c r="D1127" s="64"/>
      <c r="E1127" s="64"/>
      <c r="F1127" s="64"/>
      <c r="G1127" s="64"/>
      <c r="H1127" s="64"/>
      <c r="I1127" s="64"/>
      <c r="J1127" s="64"/>
      <c r="K1127" s="64"/>
      <c r="L1127" s="64"/>
      <c r="M1127" s="64"/>
      <c r="N1127" s="64"/>
      <c r="O1127" s="64"/>
      <c r="P1127" s="64"/>
      <c r="Q1127" s="64"/>
      <c r="R1127" s="64"/>
      <c r="S1127" s="28"/>
    </row>
    <row r="1128" spans="1:19" x14ac:dyDescent="0.25">
      <c r="A1128" s="63"/>
      <c r="B1128" s="64"/>
      <c r="C1128" s="64"/>
      <c r="D1128" s="64"/>
      <c r="E1128" s="64"/>
      <c r="F1128" s="64"/>
      <c r="G1128" s="64"/>
      <c r="H1128" s="64"/>
      <c r="I1128" s="64"/>
      <c r="J1128" s="64"/>
      <c r="K1128" s="64"/>
      <c r="L1128" s="64"/>
      <c r="M1128" s="64"/>
      <c r="N1128" s="64"/>
      <c r="O1128" s="64"/>
      <c r="P1128" s="64"/>
      <c r="Q1128" s="64"/>
      <c r="R1128" s="64"/>
      <c r="S1128" s="28"/>
    </row>
    <row r="1129" spans="1:19" x14ac:dyDescent="0.25">
      <c r="A1129" s="63"/>
      <c r="B1129" s="64"/>
      <c r="C1129" s="64"/>
      <c r="D1129" s="64"/>
      <c r="E1129" s="64"/>
      <c r="F1129" s="64"/>
      <c r="G1129" s="64"/>
      <c r="H1129" s="64"/>
      <c r="I1129" s="64"/>
      <c r="J1129" s="64"/>
      <c r="K1129" s="64"/>
      <c r="L1129" s="64"/>
      <c r="M1129" s="64"/>
      <c r="N1129" s="64"/>
      <c r="O1129" s="64"/>
      <c r="P1129" s="64"/>
      <c r="Q1129" s="64"/>
      <c r="R1129" s="64"/>
      <c r="S1129" s="28"/>
    </row>
    <row r="1130" spans="1:19" x14ac:dyDescent="0.25">
      <c r="A1130" s="63"/>
      <c r="B1130" s="64"/>
      <c r="C1130" s="64"/>
      <c r="D1130" s="64"/>
      <c r="E1130" s="64"/>
      <c r="F1130" s="64"/>
      <c r="G1130" s="64"/>
      <c r="H1130" s="64"/>
      <c r="I1130" s="64"/>
      <c r="J1130" s="64"/>
      <c r="K1130" s="64"/>
      <c r="L1130" s="64"/>
      <c r="M1130" s="64"/>
      <c r="N1130" s="64"/>
      <c r="O1130" s="64"/>
      <c r="P1130" s="64"/>
      <c r="Q1130" s="64"/>
      <c r="R1130" s="64"/>
      <c r="S1130" s="28"/>
    </row>
    <row r="1131" spans="1:19" x14ac:dyDescent="0.25">
      <c r="A1131" s="63"/>
      <c r="B1131" s="64"/>
      <c r="C1131" s="64"/>
      <c r="D1131" s="64"/>
      <c r="E1131" s="64"/>
      <c r="F1131" s="64"/>
      <c r="G1131" s="64"/>
      <c r="H1131" s="64"/>
      <c r="I1131" s="64"/>
      <c r="J1131" s="64"/>
      <c r="K1131" s="64"/>
      <c r="L1131" s="64"/>
      <c r="M1131" s="64"/>
      <c r="N1131" s="64"/>
      <c r="O1131" s="64"/>
      <c r="P1131" s="64"/>
      <c r="Q1131" s="64"/>
      <c r="R1131" s="64"/>
      <c r="S1131" s="28"/>
    </row>
    <row r="1132" spans="1:19" x14ac:dyDescent="0.25">
      <c r="A1132" s="63"/>
      <c r="B1132" s="64"/>
      <c r="C1132" s="64"/>
      <c r="D1132" s="64"/>
      <c r="E1132" s="64"/>
      <c r="F1132" s="64"/>
      <c r="G1132" s="64"/>
      <c r="H1132" s="64"/>
      <c r="I1132" s="64"/>
      <c r="J1132" s="64"/>
      <c r="K1132" s="64"/>
      <c r="L1132" s="64"/>
      <c r="M1132" s="64"/>
      <c r="N1132" s="64"/>
      <c r="O1132" s="64"/>
      <c r="P1132" s="64"/>
      <c r="Q1132" s="64"/>
      <c r="R1132" s="64"/>
      <c r="S1132" s="28"/>
    </row>
    <row r="1133" spans="1:19" x14ac:dyDescent="0.25">
      <c r="A1133" s="63"/>
      <c r="B1133" s="64"/>
      <c r="C1133" s="64"/>
      <c r="D1133" s="64"/>
      <c r="E1133" s="64"/>
      <c r="F1133" s="64"/>
      <c r="G1133" s="64"/>
      <c r="H1133" s="64"/>
      <c r="I1133" s="64"/>
      <c r="J1133" s="64"/>
      <c r="K1133" s="64"/>
      <c r="L1133" s="64"/>
      <c r="M1133" s="64"/>
      <c r="N1133" s="64"/>
      <c r="O1133" s="64"/>
      <c r="P1133" s="64"/>
      <c r="Q1133" s="64"/>
      <c r="R1133" s="64"/>
      <c r="S1133" s="28"/>
    </row>
    <row r="1134" spans="1:19" x14ac:dyDescent="0.25">
      <c r="A1134" s="63"/>
      <c r="B1134" s="64"/>
      <c r="C1134" s="64"/>
      <c r="D1134" s="64"/>
      <c r="E1134" s="64"/>
      <c r="F1134" s="64"/>
      <c r="G1134" s="64"/>
      <c r="H1134" s="64"/>
      <c r="I1134" s="64"/>
      <c r="J1134" s="64"/>
      <c r="K1134" s="64"/>
      <c r="L1134" s="64"/>
      <c r="M1134" s="64"/>
      <c r="N1134" s="64"/>
      <c r="O1134" s="64"/>
      <c r="P1134" s="64"/>
      <c r="Q1134" s="64"/>
      <c r="R1134" s="64"/>
      <c r="S1134" s="28"/>
    </row>
    <row r="1135" spans="1:19" x14ac:dyDescent="0.25">
      <c r="A1135" s="63"/>
      <c r="B1135" s="64"/>
      <c r="C1135" s="64"/>
      <c r="D1135" s="64"/>
      <c r="E1135" s="64"/>
      <c r="F1135" s="64"/>
      <c r="G1135" s="64"/>
      <c r="H1135" s="64"/>
      <c r="I1135" s="64"/>
      <c r="J1135" s="64"/>
      <c r="K1135" s="64"/>
      <c r="L1135" s="64"/>
      <c r="M1135" s="64"/>
      <c r="N1135" s="64"/>
      <c r="O1135" s="64"/>
      <c r="P1135" s="64"/>
      <c r="Q1135" s="64"/>
      <c r="R1135" s="64"/>
      <c r="S1135" s="28"/>
    </row>
    <row r="1136" spans="1:19" x14ac:dyDescent="0.25">
      <c r="A1136" s="63"/>
      <c r="B1136" s="64"/>
      <c r="C1136" s="64"/>
      <c r="D1136" s="64"/>
      <c r="E1136" s="64"/>
      <c r="F1136" s="64"/>
      <c r="G1136" s="64"/>
      <c r="H1136" s="64"/>
      <c r="I1136" s="64"/>
      <c r="J1136" s="64"/>
      <c r="K1136" s="64"/>
      <c r="L1136" s="64"/>
      <c r="M1136" s="64"/>
      <c r="N1136" s="64"/>
      <c r="O1136" s="64"/>
      <c r="P1136" s="64"/>
      <c r="Q1136" s="64"/>
      <c r="R1136" s="64"/>
      <c r="S1136" s="28"/>
    </row>
    <row r="1137" spans="1:19" x14ac:dyDescent="0.25">
      <c r="A1137" s="63"/>
      <c r="B1137" s="64"/>
      <c r="C1137" s="64"/>
      <c r="D1137" s="64"/>
      <c r="E1137" s="64"/>
      <c r="F1137" s="64"/>
      <c r="G1137" s="64"/>
      <c r="H1137" s="64"/>
      <c r="I1137" s="64"/>
      <c r="J1137" s="64"/>
      <c r="K1137" s="64"/>
      <c r="L1137" s="64"/>
      <c r="M1137" s="64"/>
      <c r="N1137" s="64"/>
      <c r="O1137" s="64"/>
      <c r="P1137" s="64"/>
      <c r="Q1137" s="64"/>
      <c r="R1137" s="64"/>
      <c r="S1137" s="28"/>
    </row>
    <row r="1138" spans="1:19" x14ac:dyDescent="0.25">
      <c r="A1138" s="63"/>
      <c r="B1138" s="64"/>
      <c r="C1138" s="64"/>
      <c r="D1138" s="64"/>
      <c r="E1138" s="64"/>
      <c r="F1138" s="64"/>
      <c r="G1138" s="64"/>
      <c r="H1138" s="64"/>
      <c r="I1138" s="64"/>
      <c r="J1138" s="64"/>
      <c r="K1138" s="64"/>
      <c r="L1138" s="64"/>
      <c r="M1138" s="64"/>
      <c r="N1138" s="64"/>
      <c r="O1138" s="64"/>
      <c r="P1138" s="64"/>
      <c r="Q1138" s="64"/>
      <c r="R1138" s="64"/>
      <c r="S1138" s="28"/>
    </row>
    <row r="1139" spans="1:19" x14ac:dyDescent="0.25">
      <c r="A1139" s="63"/>
      <c r="B1139" s="64"/>
      <c r="C1139" s="64"/>
      <c r="D1139" s="64"/>
      <c r="E1139" s="64"/>
      <c r="F1139" s="64"/>
      <c r="G1139" s="64"/>
      <c r="H1139" s="64"/>
      <c r="I1139" s="64"/>
      <c r="J1139" s="64"/>
      <c r="K1139" s="64"/>
      <c r="L1139" s="64"/>
      <c r="M1139" s="64"/>
      <c r="N1139" s="64"/>
      <c r="O1139" s="64"/>
      <c r="P1139" s="64"/>
      <c r="Q1139" s="64"/>
      <c r="R1139" s="64"/>
      <c r="S1139" s="28"/>
    </row>
    <row r="1140" spans="1:19" x14ac:dyDescent="0.25">
      <c r="A1140" s="63"/>
      <c r="B1140" s="64"/>
      <c r="C1140" s="64"/>
      <c r="D1140" s="64"/>
      <c r="E1140" s="64"/>
      <c r="F1140" s="64"/>
      <c r="G1140" s="64"/>
      <c r="H1140" s="64"/>
      <c r="I1140" s="64"/>
      <c r="J1140" s="64"/>
      <c r="K1140" s="64"/>
      <c r="L1140" s="64"/>
      <c r="M1140" s="64"/>
      <c r="N1140" s="64"/>
      <c r="O1140" s="64"/>
      <c r="P1140" s="64"/>
      <c r="Q1140" s="64"/>
      <c r="R1140" s="64"/>
      <c r="S1140" s="28"/>
    </row>
    <row r="1141" spans="1:19" x14ac:dyDescent="0.25">
      <c r="A1141" s="63"/>
      <c r="B1141" s="64"/>
      <c r="C1141" s="64"/>
      <c r="D1141" s="64"/>
      <c r="E1141" s="64"/>
      <c r="F1141" s="64"/>
      <c r="G1141" s="64"/>
      <c r="H1141" s="64"/>
      <c r="I1141" s="64"/>
      <c r="J1141" s="64"/>
      <c r="K1141" s="64"/>
      <c r="L1141" s="64"/>
      <c r="M1141" s="64"/>
      <c r="N1141" s="64"/>
      <c r="O1141" s="64"/>
      <c r="P1141" s="64"/>
      <c r="Q1141" s="64"/>
      <c r="R1141" s="64"/>
      <c r="S1141" s="28"/>
    </row>
    <row r="1142" spans="1:19" x14ac:dyDescent="0.25">
      <c r="A1142" s="63"/>
      <c r="B1142" s="64"/>
      <c r="C1142" s="64"/>
      <c r="D1142" s="64"/>
      <c r="E1142" s="64"/>
      <c r="F1142" s="64"/>
      <c r="G1142" s="64"/>
      <c r="H1142" s="64"/>
      <c r="I1142" s="64"/>
      <c r="J1142" s="64"/>
      <c r="K1142" s="64"/>
      <c r="L1142" s="64"/>
      <c r="M1142" s="64"/>
      <c r="N1142" s="64"/>
      <c r="O1142" s="64"/>
      <c r="P1142" s="64"/>
      <c r="Q1142" s="64"/>
      <c r="R1142" s="64"/>
      <c r="S1142" s="28"/>
    </row>
    <row r="1143" spans="1:19" x14ac:dyDescent="0.25">
      <c r="A1143" s="63"/>
      <c r="B1143" s="64"/>
      <c r="C1143" s="64"/>
      <c r="D1143" s="64"/>
      <c r="E1143" s="64"/>
      <c r="F1143" s="64"/>
      <c r="G1143" s="64"/>
      <c r="H1143" s="64"/>
      <c r="I1143" s="64"/>
      <c r="J1143" s="64"/>
      <c r="K1143" s="64"/>
      <c r="L1143" s="64"/>
      <c r="M1143" s="64"/>
      <c r="N1143" s="64"/>
      <c r="O1143" s="64"/>
      <c r="P1143" s="64"/>
      <c r="Q1143" s="64"/>
      <c r="R1143" s="64"/>
      <c r="S1143" s="28"/>
    </row>
    <row r="1144" spans="1:19" x14ac:dyDescent="0.25">
      <c r="A1144" s="63"/>
      <c r="B1144" s="64"/>
      <c r="C1144" s="64"/>
      <c r="D1144" s="64"/>
      <c r="E1144" s="64"/>
      <c r="F1144" s="64"/>
      <c r="G1144" s="64"/>
      <c r="H1144" s="64"/>
      <c r="I1144" s="64"/>
      <c r="J1144" s="64"/>
      <c r="K1144" s="64"/>
      <c r="L1144" s="64"/>
      <c r="M1144" s="64"/>
      <c r="N1144" s="64"/>
      <c r="O1144" s="64"/>
      <c r="P1144" s="64"/>
      <c r="Q1144" s="64"/>
      <c r="R1144" s="64"/>
      <c r="S1144" s="28"/>
    </row>
    <row r="1145" spans="1:19" x14ac:dyDescent="0.25">
      <c r="A1145" s="63"/>
      <c r="B1145" s="64"/>
      <c r="C1145" s="64"/>
      <c r="D1145" s="64"/>
      <c r="E1145" s="64"/>
      <c r="F1145" s="64"/>
      <c r="G1145" s="64"/>
      <c r="H1145" s="64"/>
      <c r="I1145" s="64"/>
      <c r="J1145" s="64"/>
      <c r="K1145" s="64"/>
      <c r="L1145" s="64"/>
      <c r="M1145" s="64"/>
      <c r="N1145" s="64"/>
      <c r="O1145" s="64"/>
      <c r="P1145" s="64"/>
      <c r="Q1145" s="64"/>
      <c r="R1145" s="64"/>
      <c r="S1145" s="28"/>
    </row>
    <row r="1146" spans="1:19" x14ac:dyDescent="0.25">
      <c r="A1146" s="63"/>
      <c r="B1146" s="64"/>
      <c r="C1146" s="64"/>
      <c r="D1146" s="64"/>
      <c r="E1146" s="64"/>
      <c r="F1146" s="64"/>
      <c r="G1146" s="64"/>
      <c r="H1146" s="64"/>
      <c r="I1146" s="64"/>
      <c r="J1146" s="64"/>
      <c r="K1146" s="64"/>
      <c r="L1146" s="64"/>
      <c r="M1146" s="64"/>
      <c r="N1146" s="64"/>
      <c r="O1146" s="64"/>
      <c r="P1146" s="64"/>
      <c r="Q1146" s="64"/>
      <c r="R1146" s="64"/>
      <c r="S1146" s="28"/>
    </row>
    <row r="1147" spans="1:19" x14ac:dyDescent="0.25">
      <c r="A1147" s="63"/>
      <c r="B1147" s="64"/>
      <c r="C1147" s="64"/>
      <c r="D1147" s="64"/>
      <c r="E1147" s="64"/>
      <c r="F1147" s="64"/>
      <c r="G1147" s="64"/>
      <c r="H1147" s="64"/>
      <c r="I1147" s="64"/>
      <c r="J1147" s="64"/>
      <c r="K1147" s="64"/>
      <c r="L1147" s="64"/>
      <c r="M1147" s="64"/>
      <c r="N1147" s="64"/>
      <c r="O1147" s="64"/>
      <c r="P1147" s="64"/>
      <c r="Q1147" s="64"/>
      <c r="R1147" s="64"/>
      <c r="S1147" s="64"/>
    </row>
    <row r="1148" spans="1:19" x14ac:dyDescent="0.25">
      <c r="A1148" s="63"/>
      <c r="B1148" s="64"/>
      <c r="C1148" s="64"/>
      <c r="D1148" s="64"/>
      <c r="E1148" s="64"/>
      <c r="F1148" s="64"/>
      <c r="G1148" s="64"/>
      <c r="H1148" s="64"/>
      <c r="I1148" s="64"/>
      <c r="J1148" s="64"/>
      <c r="K1148" s="64"/>
      <c r="L1148" s="64"/>
      <c r="M1148" s="64"/>
      <c r="N1148" s="64"/>
      <c r="O1148" s="64"/>
      <c r="P1148" s="64"/>
      <c r="Q1148" s="64"/>
      <c r="R1148" s="64"/>
      <c r="S1148" s="64"/>
    </row>
    <row r="1149" spans="1:19" x14ac:dyDescent="0.25">
      <c r="A1149" s="63"/>
      <c r="B1149" s="64"/>
      <c r="C1149" s="64"/>
      <c r="D1149" s="64"/>
      <c r="E1149" s="64"/>
      <c r="F1149" s="64"/>
      <c r="G1149" s="64"/>
      <c r="H1149" s="64"/>
      <c r="I1149" s="64"/>
      <c r="J1149" s="64"/>
      <c r="K1149" s="64"/>
      <c r="L1149" s="64"/>
      <c r="M1149" s="64"/>
      <c r="N1149" s="64"/>
      <c r="O1149" s="64"/>
      <c r="P1149" s="64"/>
      <c r="Q1149" s="64"/>
      <c r="R1149" s="64"/>
      <c r="S1149" s="64"/>
    </row>
    <row r="1150" spans="1:19" x14ac:dyDescent="0.25">
      <c r="A1150" s="63"/>
      <c r="B1150" s="64"/>
      <c r="C1150" s="64"/>
      <c r="D1150" s="64"/>
      <c r="E1150" s="64"/>
      <c r="F1150" s="64"/>
      <c r="G1150" s="64"/>
      <c r="H1150" s="64"/>
      <c r="I1150" s="64"/>
      <c r="J1150" s="64"/>
      <c r="K1150" s="64"/>
      <c r="L1150" s="64"/>
      <c r="M1150" s="64"/>
      <c r="N1150" s="64"/>
      <c r="O1150" s="64"/>
      <c r="P1150" s="64"/>
      <c r="Q1150" s="64"/>
      <c r="R1150" s="64"/>
      <c r="S1150" s="64"/>
    </row>
    <row r="1151" spans="1:19" x14ac:dyDescent="0.25">
      <c r="A1151" s="63"/>
      <c r="B1151" s="64"/>
      <c r="C1151" s="64"/>
      <c r="D1151" s="64"/>
      <c r="E1151" s="64"/>
      <c r="F1151" s="64"/>
      <c r="G1151" s="64"/>
      <c r="H1151" s="64"/>
      <c r="I1151" s="64"/>
      <c r="J1151" s="64"/>
      <c r="K1151" s="64"/>
      <c r="L1151" s="64"/>
      <c r="M1151" s="64"/>
      <c r="N1151" s="64"/>
      <c r="O1151" s="64"/>
      <c r="P1151" s="64"/>
      <c r="Q1151" s="64"/>
      <c r="R1151" s="64"/>
      <c r="S1151" s="64"/>
    </row>
    <row r="1152" spans="1:19" x14ac:dyDescent="0.25">
      <c r="A1152" s="63"/>
      <c r="B1152" s="64"/>
      <c r="C1152" s="64"/>
      <c r="D1152" s="64"/>
      <c r="E1152" s="64"/>
      <c r="F1152" s="64"/>
      <c r="G1152" s="64"/>
      <c r="H1152" s="64"/>
      <c r="I1152" s="64"/>
      <c r="J1152" s="64"/>
      <c r="K1152" s="64"/>
      <c r="L1152" s="64"/>
      <c r="M1152" s="64"/>
      <c r="N1152" s="64"/>
      <c r="O1152" s="64"/>
      <c r="P1152" s="64"/>
      <c r="Q1152" s="64"/>
      <c r="R1152" s="64"/>
      <c r="S1152" s="64"/>
    </row>
    <row r="1153" spans="1:19" x14ac:dyDescent="0.25">
      <c r="A1153" s="63"/>
      <c r="B1153" s="64"/>
      <c r="C1153" s="64"/>
      <c r="D1153" s="64"/>
      <c r="E1153" s="64"/>
      <c r="F1153" s="64"/>
      <c r="G1153" s="64"/>
      <c r="H1153" s="64"/>
      <c r="I1153" s="64"/>
      <c r="J1153" s="64"/>
      <c r="K1153" s="64"/>
      <c r="L1153" s="64"/>
      <c r="M1153" s="64"/>
      <c r="N1153" s="64"/>
      <c r="O1153" s="64"/>
      <c r="P1153" s="64"/>
      <c r="Q1153" s="64"/>
      <c r="R1153" s="64"/>
      <c r="S1153" s="64"/>
    </row>
    <row r="1154" spans="1:19" x14ac:dyDescent="0.25">
      <c r="A1154" s="63"/>
      <c r="B1154" s="64"/>
      <c r="C1154" s="64"/>
      <c r="D1154" s="64"/>
      <c r="E1154" s="64"/>
      <c r="F1154" s="64"/>
      <c r="G1154" s="64"/>
      <c r="H1154" s="64"/>
      <c r="I1154" s="64"/>
      <c r="J1154" s="64"/>
      <c r="K1154" s="64"/>
      <c r="L1154" s="64"/>
      <c r="M1154" s="64"/>
      <c r="N1154" s="64"/>
      <c r="O1154" s="64"/>
      <c r="P1154" s="64"/>
      <c r="Q1154" s="64"/>
      <c r="R1154" s="64"/>
      <c r="S1154" s="64"/>
    </row>
    <row r="1155" spans="1:19" x14ac:dyDescent="0.25">
      <c r="A1155" s="63"/>
      <c r="B1155" s="64"/>
      <c r="C1155" s="64"/>
      <c r="D1155" s="64"/>
      <c r="E1155" s="64"/>
      <c r="F1155" s="64"/>
      <c r="G1155" s="64"/>
      <c r="H1155" s="64"/>
      <c r="I1155" s="64"/>
      <c r="J1155" s="64"/>
      <c r="K1155" s="64"/>
      <c r="L1155" s="64"/>
      <c r="M1155" s="64"/>
      <c r="N1155" s="64"/>
      <c r="O1155" s="64"/>
      <c r="P1155" s="64"/>
      <c r="Q1155" s="64"/>
      <c r="R1155" s="64"/>
      <c r="S1155" s="64"/>
    </row>
    <row r="1156" spans="1:19" x14ac:dyDescent="0.25">
      <c r="A1156" s="63"/>
      <c r="B1156" s="64"/>
      <c r="C1156" s="64"/>
      <c r="D1156" s="64"/>
      <c r="E1156" s="64"/>
      <c r="F1156" s="64"/>
      <c r="G1156" s="64"/>
      <c r="H1156" s="64"/>
      <c r="I1156" s="64"/>
      <c r="J1156" s="64"/>
      <c r="K1156" s="64"/>
      <c r="L1156" s="64"/>
      <c r="M1156" s="64"/>
      <c r="N1156" s="64"/>
      <c r="O1156" s="64"/>
      <c r="P1156" s="64"/>
      <c r="Q1156" s="64"/>
      <c r="R1156" s="64"/>
      <c r="S1156" s="64"/>
    </row>
    <row r="1157" spans="1:19" x14ac:dyDescent="0.25">
      <c r="A1157" s="63"/>
      <c r="B1157" s="64"/>
      <c r="C1157" s="64"/>
      <c r="D1157" s="64"/>
      <c r="E1157" s="64"/>
      <c r="F1157" s="64"/>
      <c r="G1157" s="64"/>
      <c r="H1157" s="64"/>
      <c r="I1157" s="64"/>
      <c r="J1157" s="64"/>
      <c r="K1157" s="64"/>
      <c r="L1157" s="64"/>
      <c r="M1157" s="64"/>
      <c r="N1157" s="64"/>
      <c r="O1157" s="64"/>
      <c r="P1157" s="64"/>
      <c r="Q1157" s="64"/>
      <c r="R1157" s="64"/>
      <c r="S1157" s="64"/>
    </row>
    <row r="1158" spans="1:19" x14ac:dyDescent="0.25">
      <c r="A1158" s="63"/>
      <c r="B1158" s="64"/>
      <c r="C1158" s="64"/>
      <c r="D1158" s="64"/>
      <c r="E1158" s="64"/>
      <c r="F1158" s="64"/>
      <c r="G1158" s="64"/>
      <c r="H1158" s="64"/>
      <c r="I1158" s="64"/>
      <c r="J1158" s="64"/>
      <c r="K1158" s="64"/>
      <c r="L1158" s="64"/>
      <c r="M1158" s="64"/>
      <c r="N1158" s="64"/>
      <c r="O1158" s="64"/>
      <c r="P1158" s="64"/>
      <c r="Q1158" s="64"/>
      <c r="R1158" s="64"/>
      <c r="S1158" s="64"/>
    </row>
    <row r="1159" spans="1:19" x14ac:dyDescent="0.25">
      <c r="A1159" s="63"/>
      <c r="B1159" s="64"/>
      <c r="C1159" s="64"/>
      <c r="D1159" s="64"/>
      <c r="E1159" s="64"/>
      <c r="F1159" s="64"/>
      <c r="G1159" s="64"/>
      <c r="H1159" s="64"/>
      <c r="I1159" s="64"/>
      <c r="J1159" s="64"/>
      <c r="K1159" s="64"/>
      <c r="L1159" s="64"/>
      <c r="M1159" s="64"/>
      <c r="N1159" s="64"/>
      <c r="O1159" s="64"/>
      <c r="P1159" s="64"/>
      <c r="Q1159" s="64"/>
      <c r="R1159" s="64"/>
      <c r="S1159" s="64"/>
    </row>
    <row r="1160" spans="1:19" x14ac:dyDescent="0.25">
      <c r="A1160" s="63"/>
      <c r="B1160" s="64"/>
      <c r="C1160" s="64"/>
      <c r="D1160" s="64"/>
      <c r="E1160" s="64"/>
      <c r="F1160" s="64"/>
      <c r="G1160" s="64"/>
      <c r="H1160" s="64"/>
      <c r="I1160" s="64"/>
      <c r="J1160" s="64"/>
      <c r="K1160" s="64"/>
      <c r="L1160" s="64"/>
      <c r="M1160" s="64"/>
      <c r="N1160" s="64"/>
      <c r="O1160" s="64"/>
      <c r="P1160" s="64"/>
      <c r="Q1160" s="64"/>
      <c r="R1160" s="64"/>
      <c r="S1160" s="64"/>
    </row>
    <row r="1161" spans="1:19" x14ac:dyDescent="0.25">
      <c r="A1161" s="63"/>
      <c r="B1161" s="64"/>
      <c r="C1161" s="64"/>
      <c r="D1161" s="64"/>
      <c r="E1161" s="64"/>
      <c r="F1161" s="64"/>
      <c r="G1161" s="64"/>
      <c r="H1161" s="64"/>
      <c r="I1161" s="64"/>
      <c r="J1161" s="64"/>
      <c r="K1161" s="64"/>
      <c r="L1161" s="64"/>
      <c r="M1161" s="64"/>
      <c r="N1161" s="64"/>
      <c r="O1161" s="64"/>
      <c r="P1161" s="64"/>
      <c r="Q1161" s="64"/>
      <c r="R1161" s="64"/>
      <c r="S1161" s="64"/>
    </row>
    <row r="1162" spans="1:19" x14ac:dyDescent="0.25">
      <c r="A1162" s="63"/>
      <c r="B1162" s="64"/>
      <c r="C1162" s="64"/>
      <c r="D1162" s="64"/>
      <c r="E1162" s="64"/>
      <c r="F1162" s="64"/>
      <c r="G1162" s="64"/>
      <c r="H1162" s="64"/>
      <c r="I1162" s="64"/>
      <c r="J1162" s="64"/>
      <c r="K1162" s="64"/>
      <c r="L1162" s="64"/>
      <c r="M1162" s="64"/>
      <c r="N1162" s="64"/>
      <c r="O1162" s="64"/>
      <c r="P1162" s="64"/>
      <c r="Q1162" s="64"/>
      <c r="R1162" s="64"/>
      <c r="S1162" s="64"/>
    </row>
    <row r="1163" spans="1:19" x14ac:dyDescent="0.25">
      <c r="A1163" s="63"/>
      <c r="B1163" s="64"/>
      <c r="C1163" s="64"/>
      <c r="D1163" s="64"/>
      <c r="E1163" s="64"/>
      <c r="F1163" s="64"/>
      <c r="G1163" s="64"/>
      <c r="H1163" s="64"/>
      <c r="I1163" s="64"/>
      <c r="J1163" s="64"/>
      <c r="K1163" s="64"/>
      <c r="L1163" s="64"/>
      <c r="M1163" s="64"/>
      <c r="N1163" s="64"/>
      <c r="O1163" s="64"/>
      <c r="P1163" s="64"/>
      <c r="Q1163" s="64"/>
      <c r="R1163" s="64"/>
      <c r="S1163" s="64"/>
    </row>
    <row r="1164" spans="1:19" x14ac:dyDescent="0.25">
      <c r="A1164" s="63"/>
      <c r="B1164" s="64"/>
      <c r="C1164" s="64"/>
      <c r="D1164" s="64"/>
      <c r="E1164" s="64"/>
      <c r="F1164" s="64"/>
      <c r="G1164" s="64"/>
      <c r="H1164" s="64"/>
      <c r="I1164" s="64"/>
      <c r="J1164" s="64"/>
      <c r="K1164" s="64"/>
      <c r="L1164" s="64"/>
      <c r="M1164" s="64"/>
      <c r="N1164" s="64"/>
      <c r="O1164" s="64"/>
      <c r="P1164" s="64"/>
      <c r="Q1164" s="64"/>
      <c r="R1164" s="64"/>
      <c r="S1164" s="64"/>
    </row>
    <row r="1165" spans="1:19" x14ac:dyDescent="0.25">
      <c r="A1165" s="63"/>
      <c r="B1165" s="64"/>
      <c r="C1165" s="64"/>
      <c r="D1165" s="64"/>
      <c r="E1165" s="64"/>
      <c r="F1165" s="64"/>
      <c r="G1165" s="64"/>
      <c r="H1165" s="64"/>
      <c r="I1165" s="64"/>
      <c r="J1165" s="64"/>
      <c r="K1165" s="64"/>
      <c r="L1165" s="64"/>
      <c r="M1165" s="64"/>
      <c r="N1165" s="64"/>
      <c r="O1165" s="64"/>
      <c r="P1165" s="64"/>
      <c r="Q1165" s="64"/>
      <c r="R1165" s="64"/>
      <c r="S1165" s="64"/>
    </row>
    <row r="1166" spans="1:19" x14ac:dyDescent="0.25">
      <c r="A1166" s="63"/>
      <c r="B1166" s="64"/>
      <c r="C1166" s="64"/>
      <c r="D1166" s="64"/>
      <c r="E1166" s="64"/>
      <c r="F1166" s="64"/>
      <c r="G1166" s="64"/>
      <c r="H1166" s="64"/>
      <c r="I1166" s="64"/>
      <c r="J1166" s="64"/>
      <c r="K1166" s="64"/>
      <c r="L1166" s="64"/>
      <c r="M1166" s="64"/>
      <c r="N1166" s="64"/>
      <c r="O1166" s="64"/>
      <c r="P1166" s="64"/>
      <c r="Q1166" s="64"/>
      <c r="R1166" s="64"/>
      <c r="S1166" s="64"/>
    </row>
    <row r="1167" spans="1:19" x14ac:dyDescent="0.25">
      <c r="A1167" s="63"/>
      <c r="B1167" s="64"/>
      <c r="C1167" s="64"/>
      <c r="D1167" s="64"/>
      <c r="E1167" s="64"/>
      <c r="F1167" s="64"/>
      <c r="G1167" s="64"/>
      <c r="H1167" s="64"/>
      <c r="I1167" s="64"/>
      <c r="J1167" s="64"/>
      <c r="K1167" s="64"/>
      <c r="L1167" s="64"/>
      <c r="M1167" s="64"/>
      <c r="N1167" s="64"/>
      <c r="O1167" s="64"/>
      <c r="P1167" s="64"/>
      <c r="Q1167" s="64"/>
      <c r="R1167" s="64"/>
      <c r="S1167" s="64"/>
    </row>
    <row r="1168" spans="1:19" x14ac:dyDescent="0.25">
      <c r="A1168" s="63"/>
      <c r="B1168" s="64"/>
      <c r="C1168" s="64"/>
      <c r="D1168" s="64"/>
      <c r="E1168" s="64"/>
      <c r="F1168" s="64"/>
      <c r="G1168" s="64"/>
      <c r="H1168" s="64"/>
      <c r="I1168" s="64"/>
      <c r="J1168" s="64"/>
      <c r="K1168" s="64"/>
      <c r="L1168" s="64"/>
      <c r="M1168" s="64"/>
      <c r="N1168" s="64"/>
      <c r="O1168" s="64"/>
      <c r="P1168" s="64"/>
      <c r="Q1168" s="64"/>
      <c r="R1168" s="64"/>
      <c r="S1168" s="64"/>
    </row>
    <row r="1169" spans="1:19" x14ac:dyDescent="0.25">
      <c r="A1169" s="63"/>
      <c r="B1169" s="64"/>
      <c r="C1169" s="64"/>
      <c r="D1169" s="64"/>
      <c r="E1169" s="64"/>
      <c r="F1169" s="64"/>
      <c r="G1169" s="64"/>
      <c r="H1169" s="64"/>
      <c r="I1169" s="64"/>
      <c r="J1169" s="64"/>
      <c r="K1169" s="64"/>
      <c r="L1169" s="64"/>
      <c r="M1169" s="64"/>
      <c r="N1169" s="64"/>
      <c r="O1169" s="64"/>
      <c r="P1169" s="64"/>
      <c r="Q1169" s="64"/>
      <c r="R1169" s="64"/>
      <c r="S1169" s="64"/>
    </row>
    <row r="1170" spans="1:19" x14ac:dyDescent="0.25">
      <c r="A1170" s="63"/>
      <c r="B1170" s="64"/>
      <c r="C1170" s="64"/>
      <c r="D1170" s="64"/>
      <c r="E1170" s="64"/>
      <c r="F1170" s="64"/>
      <c r="G1170" s="64"/>
      <c r="H1170" s="64"/>
      <c r="I1170" s="64"/>
      <c r="J1170" s="64"/>
      <c r="K1170" s="64"/>
      <c r="L1170" s="64"/>
      <c r="M1170" s="64"/>
      <c r="N1170" s="64"/>
      <c r="O1170" s="64"/>
      <c r="P1170" s="64"/>
      <c r="Q1170" s="64"/>
      <c r="R1170" s="64"/>
      <c r="S1170" s="64"/>
    </row>
    <row r="1171" spans="1:19" x14ac:dyDescent="0.25">
      <c r="A1171" s="63"/>
      <c r="B1171" s="64"/>
      <c r="C1171" s="64"/>
      <c r="D1171" s="64"/>
      <c r="E1171" s="64"/>
      <c r="F1171" s="64"/>
      <c r="G1171" s="64"/>
      <c r="H1171" s="64"/>
      <c r="I1171" s="64"/>
      <c r="J1171" s="64"/>
      <c r="K1171" s="64"/>
      <c r="L1171" s="64"/>
      <c r="M1171" s="64"/>
      <c r="N1171" s="64"/>
      <c r="O1171" s="64"/>
      <c r="P1171" s="64"/>
      <c r="Q1171" s="64"/>
      <c r="R1171" s="64"/>
      <c r="S1171" s="64"/>
    </row>
    <row r="1172" spans="1:19" x14ac:dyDescent="0.25">
      <c r="A1172" s="63"/>
      <c r="B1172" s="64"/>
      <c r="C1172" s="64"/>
      <c r="D1172" s="64"/>
      <c r="E1172" s="64"/>
      <c r="F1172" s="64"/>
      <c r="G1172" s="64"/>
      <c r="H1172" s="64"/>
      <c r="I1172" s="64"/>
      <c r="J1172" s="64"/>
      <c r="K1172" s="64"/>
      <c r="L1172" s="64"/>
      <c r="M1172" s="64"/>
      <c r="N1172" s="64"/>
      <c r="O1172" s="64"/>
      <c r="P1172" s="64"/>
      <c r="Q1172" s="64"/>
      <c r="R1172" s="64"/>
      <c r="S1172" s="64"/>
    </row>
    <row r="1173" spans="1:19" x14ac:dyDescent="0.25">
      <c r="A1173" s="63"/>
      <c r="B1173" s="64"/>
      <c r="C1173" s="64"/>
      <c r="D1173" s="64"/>
      <c r="E1173" s="64"/>
      <c r="F1173" s="64"/>
      <c r="G1173" s="64"/>
      <c r="H1173" s="64"/>
      <c r="I1173" s="64"/>
      <c r="J1173" s="64"/>
      <c r="K1173" s="64"/>
      <c r="L1173" s="64"/>
      <c r="M1173" s="64"/>
      <c r="N1173" s="64"/>
      <c r="O1173" s="64"/>
      <c r="P1173" s="64"/>
      <c r="Q1173" s="64"/>
      <c r="R1173" s="64"/>
      <c r="S1173" s="64"/>
    </row>
    <row r="1174" spans="1:19" x14ac:dyDescent="0.25">
      <c r="A1174" s="63"/>
      <c r="B1174" s="64"/>
      <c r="C1174" s="64"/>
      <c r="D1174" s="64"/>
      <c r="E1174" s="64"/>
      <c r="F1174" s="64"/>
      <c r="G1174" s="64"/>
      <c r="H1174" s="64"/>
      <c r="I1174" s="64"/>
      <c r="J1174" s="64"/>
      <c r="K1174" s="64"/>
      <c r="L1174" s="64"/>
      <c r="M1174" s="64"/>
      <c r="N1174" s="64"/>
      <c r="O1174" s="64"/>
      <c r="P1174" s="64"/>
      <c r="Q1174" s="64"/>
      <c r="R1174" s="64"/>
      <c r="S1174" s="64"/>
    </row>
    <row r="1175" spans="1:19" x14ac:dyDescent="0.25">
      <c r="A1175" s="63"/>
      <c r="B1175" s="64"/>
      <c r="C1175" s="64"/>
      <c r="D1175" s="64"/>
      <c r="E1175" s="64"/>
      <c r="F1175" s="64"/>
      <c r="G1175" s="64"/>
      <c r="H1175" s="64"/>
      <c r="I1175" s="64"/>
      <c r="J1175" s="64"/>
      <c r="K1175" s="64"/>
      <c r="L1175" s="64"/>
      <c r="M1175" s="64"/>
      <c r="N1175" s="64"/>
      <c r="O1175" s="64"/>
      <c r="P1175" s="64"/>
      <c r="Q1175" s="64"/>
      <c r="R1175" s="64"/>
      <c r="S1175" s="64"/>
    </row>
    <row r="1176" spans="1:19" x14ac:dyDescent="0.25">
      <c r="A1176" s="63"/>
      <c r="B1176" s="64"/>
      <c r="C1176" s="64"/>
      <c r="D1176" s="64"/>
      <c r="E1176" s="64"/>
      <c r="F1176" s="64"/>
      <c r="G1176" s="64"/>
      <c r="H1176" s="64"/>
      <c r="I1176" s="64"/>
      <c r="J1176" s="64"/>
      <c r="K1176" s="64"/>
      <c r="L1176" s="64"/>
      <c r="M1176" s="64"/>
      <c r="N1176" s="64"/>
      <c r="O1176" s="64"/>
      <c r="P1176" s="64"/>
      <c r="Q1176" s="64"/>
      <c r="R1176" s="64"/>
      <c r="S1176" s="64"/>
    </row>
    <row r="1177" spans="1:19" x14ac:dyDescent="0.25">
      <c r="A1177" s="63"/>
      <c r="B1177" s="64"/>
      <c r="C1177" s="64"/>
      <c r="D1177" s="64"/>
      <c r="E1177" s="64"/>
      <c r="F1177" s="64"/>
      <c r="G1177" s="64"/>
      <c r="H1177" s="64"/>
      <c r="I1177" s="64"/>
      <c r="J1177" s="64"/>
      <c r="K1177" s="64"/>
      <c r="L1177" s="64"/>
      <c r="M1177" s="64"/>
      <c r="N1177" s="64"/>
      <c r="O1177" s="64"/>
      <c r="P1177" s="64"/>
      <c r="Q1177" s="64"/>
      <c r="R1177" s="64"/>
      <c r="S1177" s="64"/>
    </row>
    <row r="1178" spans="1:19" x14ac:dyDescent="0.25">
      <c r="A1178" s="63"/>
      <c r="B1178" s="64"/>
      <c r="C1178" s="64"/>
      <c r="D1178" s="64"/>
      <c r="E1178" s="64"/>
      <c r="F1178" s="64"/>
      <c r="G1178" s="64"/>
      <c r="H1178" s="64"/>
      <c r="I1178" s="64"/>
      <c r="J1178" s="64"/>
      <c r="K1178" s="64"/>
      <c r="L1178" s="64"/>
      <c r="M1178" s="64"/>
      <c r="N1178" s="64"/>
      <c r="O1178" s="64"/>
      <c r="P1178" s="64"/>
      <c r="Q1178" s="64"/>
      <c r="R1178" s="64"/>
      <c r="S1178" s="64"/>
    </row>
    <row r="1179" spans="1:19" x14ac:dyDescent="0.25">
      <c r="A1179" s="63"/>
      <c r="B1179" s="64"/>
      <c r="C1179" s="64"/>
      <c r="D1179" s="64"/>
      <c r="E1179" s="64"/>
      <c r="F1179" s="64"/>
      <c r="G1179" s="64"/>
      <c r="H1179" s="64"/>
      <c r="I1179" s="64"/>
      <c r="J1179" s="64"/>
      <c r="K1179" s="64"/>
      <c r="L1179" s="64"/>
      <c r="M1179" s="64"/>
      <c r="N1179" s="64"/>
      <c r="O1179" s="64"/>
      <c r="P1179" s="64"/>
      <c r="Q1179" s="64"/>
      <c r="R1179" s="64"/>
      <c r="S1179" s="64"/>
    </row>
    <row r="1180" spans="1:19" x14ac:dyDescent="0.25">
      <c r="A1180" s="63"/>
      <c r="B1180" s="64"/>
      <c r="C1180" s="64"/>
      <c r="D1180" s="64"/>
      <c r="E1180" s="64"/>
      <c r="F1180" s="64"/>
      <c r="G1180" s="64"/>
      <c r="H1180" s="64"/>
      <c r="I1180" s="64"/>
      <c r="J1180" s="64"/>
      <c r="K1180" s="64"/>
      <c r="L1180" s="64"/>
      <c r="M1180" s="64"/>
      <c r="N1180" s="64"/>
      <c r="O1180" s="64"/>
      <c r="P1180" s="64"/>
      <c r="Q1180" s="64"/>
      <c r="R1180" s="64"/>
      <c r="S1180" s="64"/>
    </row>
    <row r="1181" spans="1:19" x14ac:dyDescent="0.25">
      <c r="A1181" s="63"/>
      <c r="B1181" s="64"/>
      <c r="C1181" s="64"/>
      <c r="D1181" s="64"/>
      <c r="E1181" s="64"/>
      <c r="F1181" s="64"/>
      <c r="G1181" s="64"/>
      <c r="H1181" s="64"/>
      <c r="I1181" s="64"/>
      <c r="J1181" s="64"/>
      <c r="K1181" s="64"/>
      <c r="L1181" s="64"/>
      <c r="M1181" s="64"/>
      <c r="N1181" s="64"/>
      <c r="O1181" s="64"/>
      <c r="P1181" s="64"/>
      <c r="Q1181" s="64"/>
      <c r="R1181" s="64"/>
      <c r="S1181" s="64"/>
    </row>
    <row r="1182" spans="1:19" x14ac:dyDescent="0.25">
      <c r="A1182" s="63"/>
      <c r="B1182" s="64"/>
      <c r="C1182" s="64"/>
      <c r="D1182" s="64"/>
      <c r="E1182" s="64"/>
      <c r="F1182" s="64"/>
      <c r="G1182" s="64"/>
      <c r="H1182" s="64"/>
      <c r="I1182" s="64"/>
      <c r="J1182" s="64"/>
      <c r="K1182" s="64"/>
      <c r="L1182" s="64"/>
      <c r="M1182" s="64"/>
      <c r="N1182" s="64"/>
      <c r="O1182" s="64"/>
      <c r="P1182" s="64"/>
      <c r="Q1182" s="64"/>
      <c r="R1182" s="64"/>
      <c r="S1182" s="64"/>
    </row>
    <row r="1183" spans="1:19" x14ac:dyDescent="0.25">
      <c r="A1183" s="63"/>
      <c r="B1183" s="64"/>
      <c r="C1183" s="64"/>
      <c r="D1183" s="64"/>
      <c r="E1183" s="64"/>
      <c r="F1183" s="64"/>
      <c r="G1183" s="64"/>
      <c r="H1183" s="64"/>
      <c r="I1183" s="64"/>
      <c r="J1183" s="64"/>
      <c r="K1183" s="64"/>
      <c r="L1183" s="64"/>
      <c r="M1183" s="64"/>
      <c r="N1183" s="64"/>
      <c r="O1183" s="64"/>
      <c r="P1183" s="64"/>
      <c r="Q1183" s="64"/>
      <c r="R1183" s="64"/>
      <c r="S1183" s="64"/>
    </row>
    <row r="1184" spans="1:19" x14ac:dyDescent="0.25">
      <c r="A1184" s="63"/>
      <c r="B1184" s="64"/>
      <c r="C1184" s="64"/>
      <c r="D1184" s="64"/>
      <c r="E1184" s="64"/>
      <c r="F1184" s="64"/>
      <c r="G1184" s="64"/>
      <c r="H1184" s="64"/>
      <c r="I1184" s="64"/>
      <c r="J1184" s="64"/>
      <c r="K1184" s="64"/>
      <c r="L1184" s="64"/>
      <c r="M1184" s="64"/>
      <c r="N1184" s="64"/>
      <c r="O1184" s="64"/>
      <c r="P1184" s="64"/>
      <c r="Q1184" s="64"/>
      <c r="R1184" s="64"/>
      <c r="S1184" s="64"/>
    </row>
    <row r="1185" spans="1:19" x14ac:dyDescent="0.25">
      <c r="A1185" s="63"/>
      <c r="B1185" s="64"/>
      <c r="C1185" s="64"/>
      <c r="D1185" s="64"/>
      <c r="E1185" s="64"/>
      <c r="F1185" s="64"/>
      <c r="G1185" s="64"/>
      <c r="H1185" s="64"/>
      <c r="I1185" s="64"/>
      <c r="J1185" s="64"/>
      <c r="K1185" s="64"/>
      <c r="L1185" s="64"/>
      <c r="M1185" s="64"/>
      <c r="N1185" s="64"/>
      <c r="O1185" s="64"/>
      <c r="P1185" s="64"/>
      <c r="Q1185" s="64"/>
      <c r="R1185" s="64"/>
      <c r="S1185" s="64"/>
    </row>
    <row r="1186" spans="1:19" x14ac:dyDescent="0.25">
      <c r="A1186" s="63"/>
      <c r="B1186" s="64"/>
      <c r="C1186" s="64"/>
      <c r="D1186" s="64"/>
      <c r="E1186" s="64"/>
      <c r="F1186" s="64"/>
      <c r="G1186" s="64"/>
      <c r="H1186" s="64"/>
      <c r="I1186" s="64"/>
      <c r="J1186" s="64"/>
      <c r="K1186" s="64"/>
      <c r="L1186" s="64"/>
      <c r="M1186" s="64"/>
      <c r="N1186" s="64"/>
      <c r="O1186" s="64"/>
      <c r="P1186" s="64"/>
      <c r="Q1186" s="64"/>
      <c r="R1186" s="64"/>
      <c r="S1186" s="64"/>
    </row>
    <row r="1187" spans="1:19" x14ac:dyDescent="0.25">
      <c r="A1187" s="63"/>
      <c r="B1187" s="64"/>
      <c r="C1187" s="64"/>
      <c r="D1187" s="64"/>
      <c r="E1187" s="64"/>
      <c r="F1187" s="64"/>
      <c r="G1187" s="64"/>
      <c r="H1187" s="64"/>
      <c r="I1187" s="64"/>
      <c r="J1187" s="64"/>
      <c r="K1187" s="64"/>
      <c r="L1187" s="64"/>
      <c r="M1187" s="64"/>
      <c r="N1187" s="64"/>
      <c r="O1187" s="64"/>
      <c r="P1187" s="64"/>
      <c r="Q1187" s="64"/>
      <c r="R1187" s="64"/>
      <c r="S1187" s="64"/>
    </row>
    <row r="1188" spans="1:19" x14ac:dyDescent="0.25">
      <c r="A1188" s="63"/>
      <c r="B1188" s="64"/>
      <c r="C1188" s="64"/>
      <c r="D1188" s="64"/>
      <c r="E1188" s="64"/>
      <c r="F1188" s="64"/>
      <c r="G1188" s="64"/>
      <c r="H1188" s="64"/>
      <c r="I1188" s="64"/>
      <c r="J1188" s="64"/>
      <c r="K1188" s="64"/>
      <c r="L1188" s="64"/>
      <c r="M1188" s="64"/>
      <c r="N1188" s="64"/>
      <c r="O1188" s="64"/>
      <c r="P1188" s="64"/>
      <c r="Q1188" s="64"/>
      <c r="R1188" s="64"/>
      <c r="S1188" s="64"/>
    </row>
    <row r="1189" spans="1:19" x14ac:dyDescent="0.25">
      <c r="A1189" s="63"/>
      <c r="B1189" s="64"/>
      <c r="C1189" s="64"/>
      <c r="D1189" s="64"/>
      <c r="E1189" s="64"/>
      <c r="F1189" s="64"/>
      <c r="G1189" s="64"/>
      <c r="H1189" s="64"/>
      <c r="I1189" s="64"/>
      <c r="J1189" s="64"/>
      <c r="K1189" s="64"/>
      <c r="L1189" s="64"/>
      <c r="M1189" s="64"/>
      <c r="N1189" s="64"/>
      <c r="O1189" s="64"/>
      <c r="P1189" s="64"/>
      <c r="Q1189" s="64"/>
      <c r="R1189" s="64"/>
      <c r="S1189" s="64"/>
    </row>
    <row r="1190" spans="1:19" x14ac:dyDescent="0.25">
      <c r="A1190" s="63"/>
      <c r="B1190" s="64"/>
      <c r="C1190" s="64"/>
      <c r="D1190" s="64"/>
      <c r="E1190" s="64"/>
      <c r="F1190" s="64"/>
      <c r="G1190" s="64"/>
      <c r="H1190" s="64"/>
      <c r="I1190" s="64"/>
      <c r="J1190" s="64"/>
      <c r="K1190" s="64"/>
      <c r="L1190" s="64"/>
      <c r="M1190" s="64"/>
      <c r="N1190" s="64"/>
      <c r="O1190" s="64"/>
      <c r="P1190" s="64"/>
      <c r="Q1190" s="64"/>
      <c r="R1190" s="64"/>
      <c r="S1190" s="64"/>
    </row>
    <row r="1191" spans="1:19" x14ac:dyDescent="0.25">
      <c r="A1191" s="63"/>
      <c r="B1191" s="64"/>
      <c r="C1191" s="64"/>
      <c r="D1191" s="64"/>
      <c r="E1191" s="64"/>
      <c r="F1191" s="64"/>
      <c r="G1191" s="64"/>
      <c r="H1191" s="64"/>
      <c r="I1191" s="64"/>
      <c r="J1191" s="64"/>
      <c r="K1191" s="64"/>
      <c r="L1191" s="64"/>
      <c r="M1191" s="64"/>
      <c r="N1191" s="64"/>
      <c r="O1191" s="64"/>
      <c r="P1191" s="64"/>
      <c r="Q1191" s="64"/>
      <c r="R1191" s="64"/>
      <c r="S1191" s="64"/>
    </row>
    <row r="1192" spans="1:19" x14ac:dyDescent="0.25">
      <c r="A1192" s="63"/>
      <c r="B1192" s="64"/>
      <c r="C1192" s="64"/>
      <c r="D1192" s="64"/>
      <c r="E1192" s="64"/>
      <c r="F1192" s="64"/>
      <c r="G1192" s="64"/>
      <c r="H1192" s="64"/>
      <c r="I1192" s="64"/>
      <c r="J1192" s="64"/>
      <c r="K1192" s="64"/>
      <c r="L1192" s="64"/>
      <c r="M1192" s="64"/>
      <c r="N1192" s="64"/>
      <c r="O1192" s="64"/>
      <c r="P1192" s="64"/>
      <c r="Q1192" s="64"/>
      <c r="R1192" s="64"/>
      <c r="S1192" s="64"/>
    </row>
    <row r="1193" spans="1:19" x14ac:dyDescent="0.25">
      <c r="A1193" s="63"/>
      <c r="B1193" s="64"/>
      <c r="C1193" s="64"/>
      <c r="D1193" s="64"/>
      <c r="E1193" s="64"/>
      <c r="F1193" s="64"/>
      <c r="G1193" s="64"/>
      <c r="H1193" s="64"/>
      <c r="I1193" s="64"/>
      <c r="J1193" s="64"/>
      <c r="K1193" s="64"/>
      <c r="L1193" s="64"/>
      <c r="M1193" s="64"/>
      <c r="N1193" s="64"/>
      <c r="O1193" s="64"/>
      <c r="P1193" s="64"/>
      <c r="Q1193" s="64"/>
      <c r="R1193" s="64"/>
      <c r="S1193" s="64"/>
    </row>
    <row r="1194" spans="1:19" x14ac:dyDescent="0.25">
      <c r="A1194" s="63"/>
      <c r="B1194" s="64"/>
      <c r="C1194" s="64"/>
      <c r="D1194" s="64"/>
      <c r="E1194" s="64"/>
      <c r="F1194" s="64"/>
      <c r="G1194" s="64"/>
      <c r="H1194" s="64"/>
      <c r="I1194" s="64"/>
      <c r="J1194" s="64"/>
      <c r="K1194" s="64"/>
      <c r="L1194" s="64"/>
      <c r="M1194" s="64"/>
      <c r="N1194" s="64"/>
      <c r="O1194" s="64"/>
      <c r="P1194" s="64"/>
      <c r="Q1194" s="64"/>
      <c r="R1194" s="64"/>
      <c r="S1194" s="64"/>
    </row>
    <row r="1195" spans="1:19" x14ac:dyDescent="0.25">
      <c r="A1195" s="63"/>
      <c r="B1195" s="64"/>
      <c r="C1195" s="64"/>
      <c r="D1195" s="64"/>
      <c r="E1195" s="64"/>
      <c r="F1195" s="64"/>
      <c r="G1195" s="64"/>
      <c r="H1195" s="64"/>
      <c r="I1195" s="64"/>
      <c r="J1195" s="64"/>
      <c r="K1195" s="64"/>
      <c r="L1195" s="64"/>
      <c r="M1195" s="64"/>
      <c r="N1195" s="64"/>
      <c r="O1195" s="64"/>
      <c r="P1195" s="64"/>
      <c r="Q1195" s="64"/>
      <c r="R1195" s="64"/>
      <c r="S1195" s="64"/>
    </row>
    <row r="1196" spans="1:19" x14ac:dyDescent="0.25">
      <c r="A1196" s="63"/>
      <c r="B1196" s="64"/>
      <c r="C1196" s="64"/>
      <c r="D1196" s="64"/>
      <c r="E1196" s="64"/>
      <c r="F1196" s="64"/>
      <c r="G1196" s="64"/>
      <c r="H1196" s="64"/>
      <c r="I1196" s="64"/>
      <c r="J1196" s="64"/>
      <c r="K1196" s="64"/>
      <c r="L1196" s="64"/>
      <c r="M1196" s="64"/>
      <c r="N1196" s="64"/>
      <c r="O1196" s="64"/>
      <c r="P1196" s="64"/>
      <c r="Q1196" s="64"/>
      <c r="R1196" s="64"/>
      <c r="S1196" s="64"/>
    </row>
    <row r="1197" spans="1:19" x14ac:dyDescent="0.25">
      <c r="A1197" s="63"/>
      <c r="B1197" s="64"/>
      <c r="C1197" s="64"/>
      <c r="D1197" s="64"/>
      <c r="E1197" s="64"/>
      <c r="F1197" s="64"/>
      <c r="G1197" s="64"/>
      <c r="H1197" s="64"/>
      <c r="I1197" s="64"/>
      <c r="J1197" s="64"/>
      <c r="K1197" s="64"/>
      <c r="L1197" s="64"/>
      <c r="M1197" s="64"/>
      <c r="N1197" s="64"/>
      <c r="O1197" s="64"/>
      <c r="P1197" s="64"/>
      <c r="Q1197" s="64"/>
      <c r="R1197" s="64"/>
      <c r="S1197" s="64"/>
    </row>
    <row r="1198" spans="1:19" x14ac:dyDescent="0.25">
      <c r="A1198" s="63"/>
      <c r="B1198" s="64"/>
      <c r="C1198" s="64"/>
      <c r="D1198" s="64"/>
      <c r="E1198" s="64"/>
      <c r="F1198" s="64"/>
      <c r="G1198" s="64"/>
      <c r="H1198" s="64"/>
      <c r="I1198" s="64"/>
      <c r="J1198" s="64"/>
      <c r="K1198" s="64"/>
      <c r="L1198" s="64"/>
      <c r="M1198" s="64"/>
      <c r="N1198" s="64"/>
      <c r="O1198" s="64"/>
      <c r="P1198" s="64"/>
      <c r="Q1198" s="64"/>
      <c r="R1198" s="64"/>
      <c r="S1198" s="64"/>
    </row>
    <row r="1199" spans="1:19" x14ac:dyDescent="0.25">
      <c r="A1199" s="63"/>
      <c r="B1199" s="64"/>
      <c r="C1199" s="64"/>
      <c r="D1199" s="64"/>
      <c r="E1199" s="64"/>
      <c r="F1199" s="64"/>
      <c r="G1199" s="64"/>
      <c r="H1199" s="64"/>
      <c r="I1199" s="64"/>
      <c r="J1199" s="64"/>
      <c r="K1199" s="64"/>
      <c r="L1199" s="64"/>
      <c r="M1199" s="64"/>
      <c r="N1199" s="64"/>
      <c r="O1199" s="64"/>
      <c r="P1199" s="64"/>
      <c r="Q1199" s="64"/>
      <c r="R1199" s="64"/>
      <c r="S1199" s="64"/>
    </row>
    <row r="1200" spans="1:19" x14ac:dyDescent="0.25">
      <c r="A1200" s="63"/>
      <c r="B1200" s="64"/>
      <c r="C1200" s="64"/>
      <c r="D1200" s="64"/>
      <c r="E1200" s="64"/>
      <c r="F1200" s="64"/>
      <c r="G1200" s="64"/>
      <c r="H1200" s="64"/>
      <c r="I1200" s="64"/>
      <c r="J1200" s="64"/>
      <c r="K1200" s="64"/>
      <c r="L1200" s="64"/>
      <c r="M1200" s="64"/>
      <c r="N1200" s="64"/>
      <c r="O1200" s="64"/>
      <c r="P1200" s="64"/>
      <c r="Q1200" s="64"/>
      <c r="R1200" s="64"/>
      <c r="S1200" s="64"/>
    </row>
    <row r="1201" spans="1:19" x14ac:dyDescent="0.25">
      <c r="A1201" s="63"/>
      <c r="B1201" s="64"/>
      <c r="C1201" s="64"/>
      <c r="D1201" s="64"/>
      <c r="E1201" s="64"/>
      <c r="F1201" s="64"/>
      <c r="G1201" s="64"/>
      <c r="H1201" s="64"/>
      <c r="I1201" s="64"/>
      <c r="J1201" s="64"/>
      <c r="K1201" s="64"/>
      <c r="L1201" s="64"/>
      <c r="M1201" s="64"/>
      <c r="N1201" s="64"/>
      <c r="O1201" s="64"/>
      <c r="P1201" s="64"/>
      <c r="Q1201" s="64"/>
      <c r="R1201" s="64"/>
      <c r="S1201" s="64"/>
    </row>
    <row r="1202" spans="1:19" x14ac:dyDescent="0.25">
      <c r="A1202" s="63"/>
      <c r="B1202" s="64"/>
      <c r="C1202" s="64"/>
      <c r="D1202" s="64"/>
      <c r="E1202" s="64"/>
      <c r="F1202" s="64"/>
      <c r="G1202" s="64"/>
      <c r="H1202" s="64"/>
      <c r="I1202" s="64"/>
      <c r="J1202" s="64"/>
      <c r="K1202" s="64"/>
      <c r="L1202" s="64"/>
      <c r="M1202" s="64"/>
      <c r="N1202" s="64"/>
      <c r="O1202" s="64"/>
      <c r="P1202" s="64"/>
      <c r="Q1202" s="64"/>
      <c r="R1202" s="64"/>
      <c r="S1202" s="64"/>
    </row>
    <row r="1203" spans="1:19" x14ac:dyDescent="0.25">
      <c r="A1203" s="63"/>
      <c r="B1203" s="64"/>
      <c r="C1203" s="64"/>
      <c r="D1203" s="64"/>
      <c r="E1203" s="64"/>
      <c r="F1203" s="64"/>
      <c r="G1203" s="64"/>
      <c r="H1203" s="64"/>
      <c r="I1203" s="64"/>
      <c r="J1203" s="64"/>
      <c r="K1203" s="64"/>
      <c r="L1203" s="64"/>
      <c r="M1203" s="64"/>
      <c r="N1203" s="64"/>
      <c r="O1203" s="64"/>
      <c r="P1203" s="64"/>
      <c r="Q1203" s="64"/>
      <c r="R1203" s="64"/>
      <c r="S1203" s="64"/>
    </row>
    <row r="1204" spans="1:19" x14ac:dyDescent="0.25">
      <c r="A1204" s="63"/>
      <c r="B1204" s="64"/>
      <c r="C1204" s="64"/>
      <c r="D1204" s="64"/>
      <c r="E1204" s="64"/>
      <c r="F1204" s="64"/>
      <c r="G1204" s="64"/>
      <c r="H1204" s="64"/>
      <c r="I1204" s="64"/>
      <c r="J1204" s="64"/>
      <c r="K1204" s="64"/>
      <c r="L1204" s="64"/>
      <c r="M1204" s="64"/>
      <c r="N1204" s="64"/>
      <c r="O1204" s="64"/>
      <c r="P1204" s="64"/>
      <c r="Q1204" s="64"/>
      <c r="R1204" s="64"/>
      <c r="S1204" s="64"/>
    </row>
    <row r="1205" spans="1:19" x14ac:dyDescent="0.25">
      <c r="A1205" s="63"/>
      <c r="B1205" s="64"/>
      <c r="C1205" s="64"/>
      <c r="D1205" s="64"/>
      <c r="E1205" s="64"/>
      <c r="F1205" s="64"/>
      <c r="G1205" s="64"/>
      <c r="H1205" s="64"/>
      <c r="I1205" s="64"/>
      <c r="J1205" s="64"/>
      <c r="K1205" s="64"/>
      <c r="L1205" s="64"/>
      <c r="M1205" s="64"/>
      <c r="N1205" s="64"/>
      <c r="O1205" s="64"/>
      <c r="P1205" s="64"/>
      <c r="Q1205" s="64"/>
      <c r="R1205" s="64"/>
      <c r="S1205" s="64"/>
    </row>
    <row r="1206" spans="1:19" x14ac:dyDescent="0.25">
      <c r="A1206" s="63"/>
      <c r="B1206" s="64"/>
      <c r="C1206" s="64"/>
      <c r="D1206" s="64"/>
      <c r="E1206" s="64"/>
      <c r="F1206" s="64"/>
      <c r="G1206" s="64"/>
      <c r="H1206" s="64"/>
      <c r="I1206" s="64"/>
      <c r="J1206" s="64"/>
      <c r="K1206" s="64"/>
      <c r="L1206" s="64"/>
      <c r="M1206" s="64"/>
      <c r="N1206" s="64"/>
      <c r="O1206" s="64"/>
      <c r="P1206" s="64"/>
      <c r="Q1206" s="64"/>
      <c r="R1206" s="64"/>
      <c r="S1206" s="64"/>
    </row>
    <row r="1207" spans="1:19" x14ac:dyDescent="0.25">
      <c r="A1207" s="63"/>
      <c r="B1207" s="64"/>
      <c r="C1207" s="64"/>
      <c r="D1207" s="64"/>
      <c r="E1207" s="64"/>
      <c r="F1207" s="64"/>
      <c r="G1207" s="64"/>
      <c r="H1207" s="64"/>
      <c r="I1207" s="64"/>
      <c r="J1207" s="64"/>
      <c r="K1207" s="64"/>
      <c r="L1207" s="64"/>
      <c r="M1207" s="64"/>
      <c r="N1207" s="64"/>
      <c r="O1207" s="64"/>
      <c r="P1207" s="64"/>
      <c r="Q1207" s="64"/>
      <c r="R1207" s="64"/>
      <c r="S1207" s="64"/>
    </row>
    <row r="1208" spans="1:19" x14ac:dyDescent="0.25">
      <c r="A1208" s="63"/>
      <c r="B1208" s="64"/>
      <c r="C1208" s="64"/>
      <c r="D1208" s="64"/>
      <c r="E1208" s="64"/>
      <c r="F1208" s="64"/>
      <c r="G1208" s="64"/>
      <c r="H1208" s="64"/>
      <c r="I1208" s="64"/>
      <c r="J1208" s="64"/>
      <c r="K1208" s="64"/>
      <c r="L1208" s="64"/>
      <c r="M1208" s="64"/>
      <c r="N1208" s="64"/>
      <c r="O1208" s="64"/>
      <c r="P1208" s="64"/>
      <c r="Q1208" s="64"/>
      <c r="R1208" s="64"/>
      <c r="S1208" s="64"/>
    </row>
    <row r="1209" spans="1:19" x14ac:dyDescent="0.25">
      <c r="A1209" s="63"/>
      <c r="B1209" s="64"/>
      <c r="C1209" s="64"/>
      <c r="D1209" s="64"/>
      <c r="E1209" s="64"/>
      <c r="F1209" s="64"/>
      <c r="G1209" s="64"/>
      <c r="H1209" s="64"/>
      <c r="I1209" s="64"/>
      <c r="J1209" s="64"/>
      <c r="K1209" s="64"/>
      <c r="L1209" s="64"/>
      <c r="M1209" s="64"/>
      <c r="N1209" s="64"/>
      <c r="O1209" s="64"/>
      <c r="P1209" s="64"/>
      <c r="Q1209" s="64"/>
      <c r="R1209" s="64"/>
      <c r="S1209" s="64"/>
    </row>
    <row r="1210" spans="1:19" x14ac:dyDescent="0.25">
      <c r="A1210" s="63"/>
      <c r="B1210" s="64"/>
      <c r="C1210" s="64"/>
      <c r="D1210" s="64"/>
      <c r="E1210" s="64"/>
      <c r="F1210" s="64"/>
      <c r="G1210" s="64"/>
      <c r="H1210" s="64"/>
      <c r="I1210" s="64"/>
      <c r="J1210" s="64"/>
      <c r="K1210" s="64"/>
      <c r="L1210" s="64"/>
      <c r="M1210" s="64"/>
      <c r="N1210" s="64"/>
      <c r="O1210" s="64"/>
      <c r="P1210" s="64"/>
      <c r="Q1210" s="64"/>
      <c r="R1210" s="64"/>
      <c r="S1210" s="64"/>
    </row>
    <row r="1211" spans="1:19" x14ac:dyDescent="0.25">
      <c r="A1211" s="63"/>
      <c r="B1211" s="64"/>
      <c r="C1211" s="64"/>
      <c r="D1211" s="64"/>
      <c r="E1211" s="64"/>
      <c r="F1211" s="64"/>
      <c r="G1211" s="64"/>
      <c r="H1211" s="64"/>
      <c r="I1211" s="64"/>
      <c r="J1211" s="64"/>
      <c r="K1211" s="64"/>
      <c r="L1211" s="64"/>
      <c r="M1211" s="64"/>
      <c r="N1211" s="64"/>
      <c r="O1211" s="64"/>
      <c r="P1211" s="64"/>
      <c r="Q1211" s="64"/>
      <c r="R1211" s="64"/>
      <c r="S1211" s="64"/>
    </row>
    <row r="1212" spans="1:19" x14ac:dyDescent="0.25">
      <c r="A1212" s="63"/>
      <c r="B1212" s="64"/>
      <c r="C1212" s="64"/>
      <c r="D1212" s="64"/>
      <c r="E1212" s="64"/>
      <c r="F1212" s="64"/>
      <c r="G1212" s="64"/>
      <c r="H1212" s="64"/>
      <c r="I1212" s="64"/>
      <c r="J1212" s="64"/>
      <c r="K1212" s="64"/>
      <c r="L1212" s="64"/>
      <c r="M1212" s="64"/>
      <c r="N1212" s="64"/>
      <c r="O1212" s="64"/>
      <c r="P1212" s="64"/>
      <c r="Q1212" s="64"/>
      <c r="R1212" s="64"/>
      <c r="S1212" s="64"/>
    </row>
    <row r="1213" spans="1:19" x14ac:dyDescent="0.25">
      <c r="A1213" s="63"/>
      <c r="B1213" s="64"/>
      <c r="C1213" s="64"/>
      <c r="D1213" s="64"/>
      <c r="E1213" s="64"/>
      <c r="F1213" s="64"/>
      <c r="G1213" s="64"/>
      <c r="H1213" s="64"/>
      <c r="I1213" s="64"/>
      <c r="J1213" s="64"/>
      <c r="K1213" s="64"/>
      <c r="L1213" s="64"/>
      <c r="M1213" s="64"/>
      <c r="N1213" s="64"/>
      <c r="O1213" s="64"/>
      <c r="P1213" s="64"/>
      <c r="Q1213" s="64"/>
      <c r="R1213" s="64"/>
      <c r="S1213" s="64"/>
    </row>
    <row r="1214" spans="1:19" x14ac:dyDescent="0.25">
      <c r="A1214" s="63"/>
      <c r="B1214" s="64"/>
      <c r="C1214" s="64"/>
      <c r="D1214" s="64"/>
      <c r="E1214" s="64"/>
      <c r="F1214" s="64"/>
      <c r="G1214" s="64"/>
      <c r="H1214" s="64"/>
      <c r="I1214" s="64"/>
      <c r="J1214" s="64"/>
      <c r="K1214" s="64"/>
      <c r="L1214" s="64"/>
      <c r="M1214" s="64"/>
      <c r="N1214" s="64"/>
      <c r="O1214" s="64"/>
      <c r="P1214" s="64"/>
      <c r="Q1214" s="64"/>
      <c r="R1214" s="64"/>
      <c r="S1214" s="64"/>
    </row>
    <row r="1215" spans="1:19" x14ac:dyDescent="0.25">
      <c r="A1215" s="63"/>
      <c r="B1215" s="64"/>
      <c r="C1215" s="64"/>
      <c r="D1215" s="64"/>
      <c r="E1215" s="64"/>
      <c r="F1215" s="64"/>
      <c r="G1215" s="64"/>
      <c r="H1215" s="64"/>
      <c r="I1215" s="64"/>
      <c r="J1215" s="64"/>
      <c r="K1215" s="64"/>
      <c r="L1215" s="64"/>
      <c r="M1215" s="64"/>
      <c r="N1215" s="64"/>
      <c r="O1215" s="64"/>
      <c r="P1215" s="64"/>
      <c r="Q1215" s="64"/>
      <c r="R1215" s="64"/>
      <c r="S1215" s="64"/>
    </row>
    <row r="1216" spans="1:19" x14ac:dyDescent="0.25">
      <c r="A1216" s="63"/>
      <c r="B1216" s="64"/>
      <c r="C1216" s="64"/>
      <c r="D1216" s="64"/>
      <c r="E1216" s="64"/>
      <c r="F1216" s="64"/>
      <c r="G1216" s="64"/>
      <c r="H1216" s="64"/>
      <c r="I1216" s="64"/>
      <c r="J1216" s="64"/>
      <c r="K1216" s="64"/>
      <c r="L1216" s="64"/>
      <c r="M1216" s="64"/>
      <c r="N1216" s="64"/>
      <c r="O1216" s="64"/>
      <c r="P1216" s="64"/>
      <c r="Q1216" s="64"/>
      <c r="R1216" s="64"/>
      <c r="S1216" s="64"/>
    </row>
    <row r="1217" spans="1:19" x14ac:dyDescent="0.25">
      <c r="A1217" s="63"/>
      <c r="B1217" s="64"/>
      <c r="C1217" s="64"/>
      <c r="D1217" s="64"/>
      <c r="E1217" s="64"/>
      <c r="F1217" s="64"/>
      <c r="G1217" s="64"/>
      <c r="H1217" s="64"/>
      <c r="I1217" s="64"/>
      <c r="J1217" s="64"/>
      <c r="K1217" s="64"/>
      <c r="L1217" s="64"/>
      <c r="M1217" s="64"/>
      <c r="N1217" s="64"/>
      <c r="O1217" s="64"/>
      <c r="P1217" s="64"/>
      <c r="Q1217" s="64"/>
      <c r="R1217" s="64"/>
      <c r="S1217" s="64"/>
    </row>
    <row r="1218" spans="1:19" x14ac:dyDescent="0.25">
      <c r="A1218" s="63"/>
      <c r="B1218" s="64"/>
      <c r="C1218" s="64"/>
      <c r="D1218" s="64"/>
      <c r="E1218" s="64"/>
      <c r="F1218" s="64"/>
      <c r="G1218" s="64"/>
      <c r="H1218" s="64"/>
      <c r="I1218" s="64"/>
      <c r="J1218" s="64"/>
      <c r="K1218" s="64"/>
      <c r="L1218" s="64"/>
      <c r="M1218" s="64"/>
      <c r="N1218" s="64"/>
      <c r="O1218" s="64"/>
      <c r="P1218" s="64"/>
      <c r="Q1218" s="64"/>
      <c r="R1218" s="64"/>
      <c r="S1218" s="64"/>
    </row>
    <row r="1219" spans="1:19" x14ac:dyDescent="0.25">
      <c r="A1219" s="63"/>
      <c r="B1219" s="64"/>
      <c r="C1219" s="64"/>
      <c r="D1219" s="64"/>
      <c r="E1219" s="64"/>
      <c r="F1219" s="64"/>
      <c r="G1219" s="64"/>
      <c r="H1219" s="64"/>
      <c r="I1219" s="64"/>
      <c r="J1219" s="64"/>
      <c r="K1219" s="64"/>
      <c r="L1219" s="64"/>
      <c r="M1219" s="64"/>
      <c r="N1219" s="64"/>
      <c r="O1219" s="64"/>
      <c r="P1219" s="64"/>
      <c r="Q1219" s="64"/>
      <c r="R1219" s="64"/>
      <c r="S1219" s="64"/>
    </row>
    <row r="1220" spans="1:19" x14ac:dyDescent="0.25">
      <c r="A1220" s="63"/>
      <c r="B1220" s="64"/>
      <c r="C1220" s="64"/>
      <c r="D1220" s="64"/>
      <c r="E1220" s="64"/>
      <c r="F1220" s="64"/>
      <c r="G1220" s="64"/>
      <c r="H1220" s="64"/>
      <c r="I1220" s="64"/>
      <c r="J1220" s="64"/>
      <c r="K1220" s="64"/>
      <c r="L1220" s="64"/>
      <c r="M1220" s="64"/>
      <c r="N1220" s="64"/>
      <c r="O1220" s="64"/>
      <c r="P1220" s="64"/>
      <c r="Q1220" s="64"/>
      <c r="R1220" s="64"/>
      <c r="S1220" s="64"/>
    </row>
    <row r="1221" spans="1:19" x14ac:dyDescent="0.25">
      <c r="A1221" s="63"/>
      <c r="B1221" s="64"/>
      <c r="C1221" s="64"/>
      <c r="D1221" s="64"/>
      <c r="E1221" s="64"/>
      <c r="F1221" s="64"/>
      <c r="G1221" s="64"/>
      <c r="H1221" s="64"/>
      <c r="I1221" s="64"/>
      <c r="J1221" s="64"/>
      <c r="K1221" s="64"/>
      <c r="L1221" s="64"/>
      <c r="M1221" s="64"/>
      <c r="N1221" s="64"/>
      <c r="O1221" s="64"/>
      <c r="P1221" s="64"/>
      <c r="Q1221" s="64"/>
      <c r="R1221" s="64"/>
      <c r="S1221" s="64"/>
    </row>
    <row r="1222" spans="1:19" x14ac:dyDescent="0.25">
      <c r="A1222" s="63"/>
      <c r="B1222" s="64"/>
      <c r="C1222" s="64"/>
      <c r="D1222" s="64"/>
      <c r="E1222" s="64"/>
      <c r="F1222" s="64"/>
      <c r="G1222" s="64"/>
      <c r="H1222" s="64"/>
      <c r="I1222" s="64"/>
      <c r="J1222" s="64"/>
      <c r="K1222" s="64"/>
      <c r="L1222" s="64"/>
      <c r="M1222" s="64"/>
      <c r="N1222" s="64"/>
      <c r="O1222" s="64"/>
      <c r="P1222" s="64"/>
      <c r="Q1222" s="64"/>
      <c r="R1222" s="64"/>
      <c r="S1222" s="64"/>
    </row>
    <row r="1223" spans="1:19" x14ac:dyDescent="0.25">
      <c r="A1223" s="63"/>
      <c r="B1223" s="64"/>
      <c r="C1223" s="64"/>
      <c r="D1223" s="64"/>
      <c r="E1223" s="64"/>
      <c r="F1223" s="64"/>
      <c r="G1223" s="64"/>
      <c r="H1223" s="64"/>
      <c r="I1223" s="64"/>
      <c r="J1223" s="64"/>
      <c r="K1223" s="64"/>
      <c r="L1223" s="64"/>
      <c r="M1223" s="64"/>
      <c r="N1223" s="64"/>
      <c r="O1223" s="64"/>
      <c r="P1223" s="64"/>
      <c r="Q1223" s="64"/>
      <c r="R1223" s="64"/>
      <c r="S1223" s="64"/>
    </row>
    <row r="1224" spans="1:19" x14ac:dyDescent="0.25">
      <c r="A1224" s="63"/>
      <c r="B1224" s="64"/>
      <c r="C1224" s="64"/>
      <c r="D1224" s="64"/>
      <c r="E1224" s="64"/>
      <c r="F1224" s="64"/>
      <c r="G1224" s="64"/>
      <c r="H1224" s="64"/>
      <c r="I1224" s="64"/>
      <c r="J1224" s="64"/>
      <c r="K1224" s="64"/>
      <c r="L1224" s="64"/>
      <c r="M1224" s="64"/>
      <c r="N1224" s="64"/>
      <c r="O1224" s="64"/>
      <c r="P1224" s="64"/>
      <c r="Q1224" s="64"/>
      <c r="R1224" s="64"/>
      <c r="S1224" s="64"/>
    </row>
    <row r="1225" spans="1:19" x14ac:dyDescent="0.25">
      <c r="A1225" s="63"/>
      <c r="B1225" s="64"/>
      <c r="C1225" s="64"/>
      <c r="D1225" s="64"/>
      <c r="E1225" s="64"/>
      <c r="F1225" s="64"/>
      <c r="G1225" s="64"/>
      <c r="H1225" s="64"/>
      <c r="I1225" s="64"/>
      <c r="J1225" s="64"/>
      <c r="K1225" s="64"/>
      <c r="L1225" s="64"/>
      <c r="M1225" s="64"/>
      <c r="N1225" s="64"/>
      <c r="O1225" s="64"/>
      <c r="P1225" s="64"/>
      <c r="Q1225" s="64"/>
      <c r="R1225" s="64"/>
      <c r="S1225" s="64"/>
    </row>
    <row r="1226" spans="1:19" x14ac:dyDescent="0.25">
      <c r="A1226" s="63"/>
      <c r="B1226" s="64"/>
      <c r="C1226" s="64"/>
      <c r="D1226" s="64"/>
      <c r="E1226" s="64"/>
      <c r="F1226" s="64"/>
      <c r="G1226" s="64"/>
      <c r="H1226" s="64"/>
      <c r="I1226" s="64"/>
      <c r="J1226" s="64"/>
      <c r="K1226" s="64"/>
      <c r="L1226" s="64"/>
      <c r="M1226" s="64"/>
      <c r="N1226" s="64"/>
      <c r="O1226" s="64"/>
      <c r="P1226" s="64"/>
      <c r="Q1226" s="64"/>
      <c r="R1226" s="64"/>
      <c r="S1226" s="64"/>
    </row>
    <row r="1227" spans="1:19" x14ac:dyDescent="0.25">
      <c r="A1227" s="63"/>
      <c r="B1227" s="64"/>
      <c r="C1227" s="64"/>
      <c r="D1227" s="64"/>
      <c r="E1227" s="64"/>
      <c r="F1227" s="64"/>
      <c r="G1227" s="64"/>
      <c r="H1227" s="64"/>
      <c r="I1227" s="64"/>
      <c r="J1227" s="64"/>
      <c r="K1227" s="64"/>
      <c r="L1227" s="64"/>
      <c r="M1227" s="64"/>
      <c r="N1227" s="64"/>
      <c r="O1227" s="64"/>
      <c r="P1227" s="64"/>
      <c r="Q1227" s="64"/>
      <c r="R1227" s="64"/>
      <c r="S1227" s="64"/>
    </row>
    <row r="1228" spans="1:19" x14ac:dyDescent="0.25">
      <c r="A1228" s="63"/>
      <c r="B1228" s="64"/>
      <c r="C1228" s="64"/>
      <c r="D1228" s="64"/>
      <c r="E1228" s="64"/>
      <c r="F1228" s="64"/>
      <c r="G1228" s="64"/>
      <c r="H1228" s="64"/>
      <c r="I1228" s="64"/>
      <c r="J1228" s="64"/>
      <c r="K1228" s="64"/>
      <c r="L1228" s="64"/>
      <c r="M1228" s="64"/>
      <c r="N1228" s="64"/>
      <c r="O1228" s="64"/>
      <c r="P1228" s="64"/>
      <c r="Q1228" s="64"/>
      <c r="R1228" s="64"/>
      <c r="S1228" s="64"/>
    </row>
    <row r="1229" spans="1:19" x14ac:dyDescent="0.25">
      <c r="A1229" s="63"/>
      <c r="B1229" s="64"/>
      <c r="C1229" s="64"/>
      <c r="D1229" s="64"/>
      <c r="E1229" s="64"/>
      <c r="F1229" s="64"/>
      <c r="G1229" s="64"/>
      <c r="H1229" s="64"/>
      <c r="I1229" s="64"/>
      <c r="J1229" s="64"/>
      <c r="K1229" s="64"/>
      <c r="L1229" s="64"/>
      <c r="M1229" s="64"/>
      <c r="N1229" s="64"/>
      <c r="O1229" s="64"/>
      <c r="P1229" s="64"/>
      <c r="Q1229" s="64"/>
      <c r="R1229" s="64"/>
      <c r="S1229" s="64"/>
    </row>
    <row r="1230" spans="1:19" x14ac:dyDescent="0.25">
      <c r="A1230" s="63"/>
      <c r="B1230" s="64"/>
      <c r="C1230" s="64"/>
      <c r="D1230" s="64"/>
      <c r="E1230" s="64"/>
      <c r="F1230" s="64"/>
      <c r="G1230" s="64"/>
      <c r="H1230" s="64"/>
      <c r="I1230" s="64"/>
      <c r="J1230" s="64"/>
      <c r="K1230" s="64"/>
      <c r="L1230" s="64"/>
      <c r="M1230" s="64"/>
      <c r="N1230" s="64"/>
      <c r="O1230" s="64"/>
      <c r="P1230" s="64"/>
      <c r="Q1230" s="64"/>
      <c r="R1230" s="64"/>
      <c r="S1230" s="64"/>
    </row>
    <row r="1231" spans="1:19" x14ac:dyDescent="0.25">
      <c r="A1231" s="63"/>
      <c r="B1231" s="64"/>
      <c r="C1231" s="64"/>
      <c r="D1231" s="64"/>
      <c r="E1231" s="64"/>
      <c r="F1231" s="64"/>
      <c r="G1231" s="64"/>
      <c r="H1231" s="64"/>
      <c r="I1231" s="64"/>
      <c r="J1231" s="64"/>
      <c r="K1231" s="64"/>
      <c r="L1231" s="64"/>
      <c r="M1231" s="64"/>
      <c r="N1231" s="64"/>
      <c r="O1231" s="64"/>
      <c r="P1231" s="64"/>
      <c r="Q1231" s="64"/>
      <c r="R1231" s="64"/>
      <c r="S1231" s="64"/>
    </row>
    <row r="1232" spans="1:19" x14ac:dyDescent="0.25">
      <c r="A1232" s="63"/>
      <c r="B1232" s="64"/>
      <c r="C1232" s="64"/>
      <c r="D1232" s="64"/>
      <c r="E1232" s="64"/>
      <c r="F1232" s="64"/>
      <c r="G1232" s="64"/>
      <c r="H1232" s="64"/>
      <c r="I1232" s="64"/>
      <c r="J1232" s="64"/>
      <c r="K1232" s="64"/>
      <c r="L1232" s="64"/>
      <c r="M1232" s="64"/>
      <c r="N1232" s="64"/>
      <c r="O1232" s="64"/>
      <c r="P1232" s="64"/>
      <c r="Q1232" s="64"/>
      <c r="R1232" s="64"/>
      <c r="S1232" s="64"/>
    </row>
    <row r="1233" spans="1:19" x14ac:dyDescent="0.25">
      <c r="A1233" s="63"/>
      <c r="B1233" s="64"/>
      <c r="C1233" s="64"/>
      <c r="D1233" s="64"/>
      <c r="E1233" s="64"/>
      <c r="F1233" s="64"/>
      <c r="G1233" s="64"/>
      <c r="H1233" s="64"/>
      <c r="I1233" s="64"/>
      <c r="J1233" s="64"/>
      <c r="K1233" s="64"/>
      <c r="L1233" s="64"/>
      <c r="M1233" s="64"/>
      <c r="N1233" s="64"/>
      <c r="O1233" s="64"/>
      <c r="P1233" s="64"/>
      <c r="Q1233" s="64"/>
      <c r="R1233" s="64"/>
      <c r="S1233" s="64"/>
    </row>
    <row r="1234" spans="1:19" x14ac:dyDescent="0.25">
      <c r="A1234" s="63"/>
      <c r="B1234" s="64"/>
      <c r="C1234" s="64"/>
      <c r="D1234" s="64"/>
      <c r="E1234" s="64"/>
      <c r="F1234" s="64"/>
      <c r="G1234" s="64"/>
      <c r="H1234" s="64"/>
      <c r="I1234" s="64"/>
      <c r="J1234" s="64"/>
      <c r="K1234" s="64"/>
      <c r="L1234" s="64"/>
      <c r="M1234" s="64"/>
      <c r="N1234" s="64"/>
      <c r="O1234" s="64"/>
      <c r="P1234" s="64"/>
      <c r="Q1234" s="64"/>
      <c r="R1234" s="64"/>
      <c r="S1234" s="64"/>
    </row>
    <row r="1235" spans="1:19" x14ac:dyDescent="0.25">
      <c r="A1235" s="63"/>
      <c r="B1235" s="64"/>
      <c r="C1235" s="64"/>
      <c r="D1235" s="64"/>
      <c r="E1235" s="64"/>
      <c r="F1235" s="64"/>
      <c r="G1235" s="64"/>
      <c r="H1235" s="64"/>
      <c r="I1235" s="64"/>
      <c r="J1235" s="64"/>
      <c r="K1235" s="64"/>
      <c r="L1235" s="64"/>
      <c r="M1235" s="64"/>
      <c r="N1235" s="64"/>
      <c r="O1235" s="64"/>
      <c r="P1235" s="64"/>
      <c r="Q1235" s="64"/>
      <c r="R1235" s="64"/>
      <c r="S1235" s="64"/>
    </row>
    <row r="1236" spans="1:19" x14ac:dyDescent="0.25">
      <c r="A1236" s="63"/>
      <c r="B1236" s="64"/>
      <c r="C1236" s="64"/>
      <c r="D1236" s="64"/>
      <c r="E1236" s="64"/>
      <c r="F1236" s="64"/>
      <c r="G1236" s="64"/>
      <c r="H1236" s="64"/>
      <c r="I1236" s="64"/>
      <c r="J1236" s="64"/>
      <c r="K1236" s="64"/>
      <c r="L1236" s="64"/>
      <c r="M1236" s="64"/>
      <c r="N1236" s="64"/>
      <c r="O1236" s="64"/>
      <c r="P1236" s="64"/>
      <c r="Q1236" s="64"/>
      <c r="R1236" s="64"/>
      <c r="S1236" s="64"/>
    </row>
    <row r="1237" spans="1:19" x14ac:dyDescent="0.25">
      <c r="A1237" s="63"/>
      <c r="B1237" s="64"/>
      <c r="C1237" s="64"/>
      <c r="D1237" s="64"/>
      <c r="E1237" s="64"/>
      <c r="F1237" s="64"/>
      <c r="G1237" s="64"/>
      <c r="H1237" s="64"/>
      <c r="I1237" s="64"/>
      <c r="J1237" s="64"/>
      <c r="K1237" s="64"/>
      <c r="L1237" s="64"/>
      <c r="M1237" s="64"/>
      <c r="N1237" s="64"/>
      <c r="O1237" s="64"/>
      <c r="P1237" s="64"/>
      <c r="Q1237" s="64"/>
      <c r="R1237" s="64"/>
      <c r="S1237" s="64"/>
    </row>
    <row r="1238" spans="1:19" x14ac:dyDescent="0.25">
      <c r="A1238" s="63"/>
      <c r="B1238" s="64"/>
      <c r="C1238" s="64"/>
      <c r="D1238" s="64"/>
      <c r="E1238" s="64"/>
      <c r="F1238" s="64"/>
      <c r="G1238" s="64"/>
      <c r="H1238" s="64"/>
      <c r="I1238" s="64"/>
      <c r="J1238" s="64"/>
      <c r="K1238" s="64"/>
      <c r="L1238" s="64"/>
      <c r="M1238" s="64"/>
      <c r="N1238" s="64"/>
      <c r="O1238" s="64"/>
      <c r="P1238" s="64"/>
      <c r="Q1238" s="64"/>
      <c r="R1238" s="64"/>
      <c r="S1238" s="64"/>
    </row>
    <row r="1239" spans="1:19" x14ac:dyDescent="0.25">
      <c r="A1239" s="63"/>
      <c r="B1239" s="64"/>
      <c r="C1239" s="64"/>
      <c r="D1239" s="64"/>
      <c r="E1239" s="64"/>
      <c r="F1239" s="64"/>
      <c r="G1239" s="64"/>
      <c r="H1239" s="64"/>
      <c r="I1239" s="64"/>
      <c r="J1239" s="64"/>
      <c r="K1239" s="64"/>
      <c r="L1239" s="64"/>
      <c r="M1239" s="64"/>
      <c r="N1239" s="64"/>
      <c r="O1239" s="64"/>
      <c r="P1239" s="64"/>
      <c r="Q1239" s="64"/>
      <c r="R1239" s="64"/>
      <c r="S1239" s="64"/>
    </row>
    <row r="1240" spans="1:19" x14ac:dyDescent="0.25">
      <c r="A1240" s="63"/>
      <c r="B1240" s="64"/>
      <c r="C1240" s="64"/>
      <c r="D1240" s="64"/>
      <c r="E1240" s="64"/>
      <c r="F1240" s="64"/>
      <c r="G1240" s="64"/>
      <c r="H1240" s="64"/>
      <c r="I1240" s="64"/>
      <c r="J1240" s="64"/>
      <c r="K1240" s="64"/>
      <c r="L1240" s="64"/>
      <c r="M1240" s="64"/>
      <c r="N1240" s="64"/>
      <c r="O1240" s="64"/>
      <c r="P1240" s="64"/>
      <c r="Q1240" s="64"/>
      <c r="R1240" s="64"/>
      <c r="S1240" s="64"/>
    </row>
    <row r="1241" spans="1:19" x14ac:dyDescent="0.25">
      <c r="A1241" s="63"/>
      <c r="B1241" s="64"/>
      <c r="C1241" s="64"/>
      <c r="D1241" s="64"/>
      <c r="E1241" s="64"/>
      <c r="F1241" s="64"/>
      <c r="G1241" s="64"/>
      <c r="H1241" s="64"/>
      <c r="I1241" s="64"/>
      <c r="J1241" s="64"/>
      <c r="K1241" s="64"/>
      <c r="L1241" s="64"/>
      <c r="M1241" s="64"/>
      <c r="N1241" s="64"/>
      <c r="O1241" s="64"/>
      <c r="P1241" s="64"/>
      <c r="Q1241" s="64"/>
      <c r="R1241" s="64"/>
      <c r="S1241" s="64"/>
    </row>
    <row r="1242" spans="1:19" x14ac:dyDescent="0.25">
      <c r="A1242" s="63"/>
      <c r="B1242" s="64"/>
      <c r="C1242" s="64"/>
      <c r="D1242" s="64"/>
      <c r="E1242" s="64"/>
      <c r="F1242" s="64"/>
      <c r="G1242" s="64"/>
      <c r="H1242" s="64"/>
      <c r="I1242" s="64"/>
      <c r="J1242" s="64"/>
      <c r="K1242" s="64"/>
      <c r="L1242" s="64"/>
      <c r="M1242" s="64"/>
      <c r="N1242" s="64"/>
      <c r="O1242" s="64"/>
      <c r="P1242" s="64"/>
      <c r="Q1242" s="64"/>
      <c r="R1242" s="64"/>
      <c r="S1242" s="64"/>
    </row>
    <row r="1243" spans="1:19" x14ac:dyDescent="0.25">
      <c r="A1243" s="63"/>
      <c r="B1243" s="64"/>
      <c r="C1243" s="64"/>
      <c r="D1243" s="64"/>
      <c r="E1243" s="64"/>
      <c r="F1243" s="64"/>
      <c r="G1243" s="64"/>
      <c r="H1243" s="64"/>
      <c r="I1243" s="64"/>
      <c r="J1243" s="64"/>
      <c r="K1243" s="64"/>
      <c r="L1243" s="64"/>
      <c r="M1243" s="64"/>
      <c r="N1243" s="64"/>
      <c r="O1243" s="64"/>
      <c r="P1243" s="64"/>
      <c r="Q1243" s="64"/>
      <c r="R1243" s="64"/>
      <c r="S1243" s="64"/>
    </row>
    <row r="1244" spans="1:19" x14ac:dyDescent="0.25">
      <c r="A1244" s="63"/>
      <c r="B1244" s="64"/>
      <c r="C1244" s="64"/>
      <c r="D1244" s="64"/>
      <c r="E1244" s="64"/>
      <c r="F1244" s="64"/>
      <c r="G1244" s="64"/>
      <c r="H1244" s="64"/>
      <c r="I1244" s="64"/>
      <c r="J1244" s="64"/>
      <c r="K1244" s="64"/>
      <c r="L1244" s="64"/>
      <c r="M1244" s="64"/>
      <c r="N1244" s="64"/>
      <c r="O1244" s="64"/>
      <c r="P1244" s="64"/>
      <c r="Q1244" s="64"/>
      <c r="R1244" s="64"/>
      <c r="S1244" s="64"/>
    </row>
    <row r="1245" spans="1:19" x14ac:dyDescent="0.25">
      <c r="A1245" s="63"/>
      <c r="B1245" s="64"/>
      <c r="C1245" s="64"/>
      <c r="D1245" s="64"/>
      <c r="E1245" s="64"/>
      <c r="F1245" s="64"/>
      <c r="G1245" s="64"/>
      <c r="H1245" s="64"/>
      <c r="I1245" s="64"/>
      <c r="J1245" s="64"/>
      <c r="K1245" s="64"/>
      <c r="L1245" s="64"/>
      <c r="M1245" s="64"/>
      <c r="N1245" s="64"/>
      <c r="O1245" s="64"/>
      <c r="P1245" s="64"/>
      <c r="Q1245" s="64"/>
      <c r="R1245" s="64"/>
      <c r="S1245" s="64"/>
    </row>
    <row r="1246" spans="1:19" x14ac:dyDescent="0.25">
      <c r="A1246" s="63"/>
      <c r="B1246" s="64"/>
      <c r="C1246" s="64"/>
      <c r="D1246" s="64"/>
      <c r="E1246" s="64"/>
      <c r="F1246" s="64"/>
      <c r="G1246" s="64"/>
      <c r="H1246" s="64"/>
      <c r="I1246" s="64"/>
      <c r="J1246" s="64"/>
      <c r="K1246" s="64"/>
      <c r="L1246" s="64"/>
      <c r="M1246" s="64"/>
      <c r="N1246" s="64"/>
      <c r="O1246" s="64"/>
      <c r="P1246" s="64"/>
      <c r="Q1246" s="64"/>
      <c r="R1246" s="64"/>
      <c r="S1246" s="64"/>
    </row>
    <row r="1247" spans="1:19" x14ac:dyDescent="0.25">
      <c r="A1247" s="63"/>
      <c r="B1247" s="64"/>
      <c r="C1247" s="64"/>
      <c r="D1247" s="64"/>
      <c r="E1247" s="64"/>
      <c r="F1247" s="64"/>
      <c r="G1247" s="64"/>
      <c r="H1247" s="64"/>
      <c r="I1247" s="64"/>
      <c r="J1247" s="64"/>
      <c r="K1247" s="64"/>
      <c r="L1247" s="64"/>
      <c r="M1247" s="64"/>
      <c r="N1247" s="64"/>
      <c r="O1247" s="64"/>
      <c r="P1247" s="64"/>
      <c r="Q1247" s="64"/>
      <c r="R1247" s="64"/>
      <c r="S1247" s="64"/>
    </row>
    <row r="1248" spans="1:19" x14ac:dyDescent="0.25">
      <c r="A1248" s="63"/>
      <c r="B1248" s="64"/>
      <c r="C1248" s="64"/>
      <c r="D1248" s="64"/>
      <c r="E1248" s="64"/>
      <c r="F1248" s="64"/>
      <c r="G1248" s="64"/>
      <c r="H1248" s="64"/>
      <c r="I1248" s="64"/>
      <c r="J1248" s="64"/>
      <c r="K1248" s="64"/>
      <c r="L1248" s="64"/>
      <c r="M1248" s="64"/>
      <c r="N1248" s="64"/>
      <c r="O1248" s="64"/>
      <c r="P1248" s="64"/>
      <c r="Q1248" s="64"/>
      <c r="R1248" s="64"/>
      <c r="S1248" s="64"/>
    </row>
    <row r="1249" spans="1:19" x14ac:dyDescent="0.25">
      <c r="A1249" s="63"/>
      <c r="B1249" s="64"/>
      <c r="C1249" s="64"/>
      <c r="D1249" s="64"/>
      <c r="E1249" s="64"/>
      <c r="F1249" s="64"/>
      <c r="G1249" s="64"/>
      <c r="H1249" s="64"/>
      <c r="I1249" s="64"/>
      <c r="J1249" s="64"/>
      <c r="K1249" s="64"/>
      <c r="L1249" s="64"/>
      <c r="M1249" s="64"/>
      <c r="N1249" s="64"/>
      <c r="O1249" s="64"/>
      <c r="P1249" s="64"/>
      <c r="Q1249" s="64"/>
      <c r="R1249" s="64"/>
      <c r="S1249" s="64"/>
    </row>
    <row r="1250" spans="1:19" x14ac:dyDescent="0.25">
      <c r="A1250" s="63"/>
      <c r="B1250" s="64"/>
      <c r="C1250" s="64"/>
      <c r="D1250" s="64"/>
      <c r="E1250" s="64"/>
      <c r="F1250" s="64"/>
      <c r="G1250" s="64"/>
      <c r="H1250" s="64"/>
      <c r="I1250" s="64"/>
      <c r="J1250" s="64"/>
      <c r="K1250" s="64"/>
      <c r="L1250" s="64"/>
      <c r="M1250" s="64"/>
      <c r="N1250" s="64"/>
      <c r="O1250" s="64"/>
      <c r="P1250" s="64"/>
      <c r="Q1250" s="64"/>
      <c r="R1250" s="64"/>
      <c r="S1250" s="64"/>
    </row>
    <row r="1251" spans="1:19" x14ac:dyDescent="0.25">
      <c r="A1251" s="63"/>
      <c r="B1251" s="64"/>
      <c r="C1251" s="64"/>
      <c r="D1251" s="64"/>
      <c r="E1251" s="64"/>
      <c r="F1251" s="64"/>
      <c r="G1251" s="64"/>
      <c r="H1251" s="64"/>
      <c r="I1251" s="64"/>
      <c r="J1251" s="64"/>
      <c r="K1251" s="64"/>
      <c r="L1251" s="64"/>
      <c r="M1251" s="64"/>
      <c r="N1251" s="64"/>
      <c r="O1251" s="64"/>
      <c r="P1251" s="64"/>
      <c r="Q1251" s="64"/>
      <c r="R1251" s="64"/>
      <c r="S1251" s="64"/>
    </row>
    <row r="1252" spans="1:19" x14ac:dyDescent="0.25">
      <c r="A1252" s="63"/>
      <c r="B1252" s="64"/>
      <c r="C1252" s="64"/>
      <c r="D1252" s="64"/>
      <c r="E1252" s="64"/>
      <c r="F1252" s="64"/>
      <c r="G1252" s="64"/>
      <c r="H1252" s="64"/>
      <c r="I1252" s="64"/>
      <c r="J1252" s="64"/>
      <c r="K1252" s="64"/>
      <c r="L1252" s="64"/>
      <c r="M1252" s="64"/>
      <c r="N1252" s="64"/>
      <c r="O1252" s="64"/>
      <c r="P1252" s="64"/>
      <c r="Q1252" s="64"/>
      <c r="R1252" s="64"/>
      <c r="S1252" s="64"/>
    </row>
    <row r="1253" spans="1:19" x14ac:dyDescent="0.25">
      <c r="A1253" s="63"/>
      <c r="B1253" s="64"/>
      <c r="C1253" s="64"/>
      <c r="D1253" s="64"/>
      <c r="E1253" s="64"/>
      <c r="F1253" s="64"/>
      <c r="G1253" s="64"/>
      <c r="H1253" s="64"/>
      <c r="I1253" s="64"/>
      <c r="J1253" s="64"/>
      <c r="K1253" s="64"/>
      <c r="L1253" s="64"/>
      <c r="M1253" s="64"/>
      <c r="N1253" s="64"/>
      <c r="O1253" s="64"/>
      <c r="P1253" s="64"/>
      <c r="Q1253" s="64"/>
      <c r="R1253" s="64"/>
      <c r="S1253" s="64"/>
    </row>
    <row r="1254" spans="1:19" x14ac:dyDescent="0.25">
      <c r="A1254" s="63"/>
      <c r="B1254" s="64"/>
      <c r="C1254" s="64"/>
      <c r="D1254" s="64"/>
      <c r="E1254" s="64"/>
      <c r="F1254" s="64"/>
      <c r="G1254" s="64"/>
      <c r="H1254" s="64"/>
      <c r="I1254" s="64"/>
      <c r="J1254" s="64"/>
      <c r="K1254" s="64"/>
      <c r="L1254" s="64"/>
      <c r="M1254" s="64"/>
      <c r="N1254" s="64"/>
      <c r="O1254" s="64"/>
      <c r="P1254" s="64"/>
      <c r="Q1254" s="64"/>
      <c r="R1254" s="64"/>
      <c r="S1254" s="64"/>
    </row>
    <row r="1255" spans="1:19" x14ac:dyDescent="0.25">
      <c r="A1255" s="63"/>
      <c r="B1255" s="64"/>
      <c r="C1255" s="64"/>
      <c r="D1255" s="64"/>
      <c r="E1255" s="64"/>
      <c r="F1255" s="64"/>
      <c r="G1255" s="64"/>
      <c r="H1255" s="64"/>
      <c r="I1255" s="64"/>
      <c r="J1255" s="64"/>
      <c r="K1255" s="64"/>
      <c r="L1255" s="64"/>
      <c r="M1255" s="64"/>
      <c r="N1255" s="64"/>
      <c r="O1255" s="64"/>
      <c r="P1255" s="64"/>
      <c r="Q1255" s="64"/>
      <c r="R1255" s="64"/>
      <c r="S1255" s="64"/>
    </row>
    <row r="1256" spans="1:19" x14ac:dyDescent="0.25">
      <c r="A1256" s="63"/>
      <c r="B1256" s="64"/>
      <c r="C1256" s="64"/>
      <c r="D1256" s="64"/>
      <c r="E1256" s="64"/>
      <c r="F1256" s="64"/>
      <c r="G1256" s="64"/>
      <c r="H1256" s="64"/>
      <c r="I1256" s="64"/>
      <c r="J1256" s="64"/>
      <c r="K1256" s="64"/>
      <c r="L1256" s="64"/>
      <c r="M1256" s="64"/>
      <c r="N1256" s="64"/>
      <c r="O1256" s="64"/>
      <c r="P1256" s="64"/>
      <c r="Q1256" s="64"/>
      <c r="R1256" s="64"/>
      <c r="S1256" s="64"/>
    </row>
    <row r="1257" spans="1:19" x14ac:dyDescent="0.25">
      <c r="A1257" s="63"/>
      <c r="B1257" s="64"/>
      <c r="C1257" s="64"/>
      <c r="D1257" s="64"/>
      <c r="E1257" s="64"/>
      <c r="F1257" s="64"/>
      <c r="G1257" s="64"/>
      <c r="H1257" s="64"/>
      <c r="I1257" s="64"/>
      <c r="J1257" s="64"/>
      <c r="K1257" s="64"/>
      <c r="L1257" s="64"/>
      <c r="M1257" s="64"/>
      <c r="N1257" s="64"/>
      <c r="O1257" s="64"/>
      <c r="P1257" s="64"/>
      <c r="Q1257" s="64"/>
      <c r="R1257" s="64"/>
      <c r="S1257" s="64"/>
    </row>
    <row r="1258" spans="1:19" x14ac:dyDescent="0.25">
      <c r="A1258" s="63"/>
      <c r="B1258" s="64"/>
      <c r="C1258" s="64"/>
      <c r="D1258" s="64"/>
      <c r="E1258" s="64"/>
      <c r="F1258" s="64"/>
      <c r="G1258" s="64"/>
      <c r="H1258" s="64"/>
      <c r="I1258" s="64"/>
      <c r="J1258" s="64"/>
      <c r="K1258" s="64"/>
      <c r="L1258" s="64"/>
      <c r="M1258" s="64"/>
      <c r="N1258" s="64"/>
      <c r="O1258" s="64"/>
      <c r="P1258" s="64"/>
      <c r="Q1258" s="64"/>
      <c r="R1258" s="64"/>
      <c r="S1258" s="64"/>
    </row>
    <row r="1259" spans="1:19" x14ac:dyDescent="0.25">
      <c r="A1259" s="63"/>
      <c r="B1259" s="64"/>
      <c r="C1259" s="64"/>
      <c r="D1259" s="64"/>
      <c r="E1259" s="64"/>
      <c r="F1259" s="64"/>
      <c r="G1259" s="64"/>
      <c r="H1259" s="64"/>
      <c r="I1259" s="64"/>
      <c r="J1259" s="64"/>
      <c r="K1259" s="64"/>
      <c r="L1259" s="64"/>
      <c r="M1259" s="64"/>
      <c r="N1259" s="64"/>
      <c r="O1259" s="64"/>
      <c r="P1259" s="64"/>
      <c r="Q1259" s="64"/>
      <c r="R1259" s="64"/>
      <c r="S1259" s="64"/>
    </row>
    <row r="1260" spans="1:19" x14ac:dyDescent="0.25">
      <c r="A1260" s="63"/>
      <c r="B1260" s="64"/>
      <c r="C1260" s="64"/>
      <c r="D1260" s="64"/>
      <c r="E1260" s="64"/>
      <c r="F1260" s="64"/>
      <c r="G1260" s="64"/>
      <c r="H1260" s="64"/>
      <c r="I1260" s="64"/>
      <c r="J1260" s="64"/>
      <c r="K1260" s="64"/>
      <c r="L1260" s="64"/>
      <c r="M1260" s="64"/>
      <c r="N1260" s="64"/>
      <c r="O1260" s="64"/>
      <c r="P1260" s="64"/>
      <c r="Q1260" s="64"/>
      <c r="R1260" s="64"/>
      <c r="S1260" s="64"/>
    </row>
    <row r="1261" spans="1:19" x14ac:dyDescent="0.25">
      <c r="A1261" s="63"/>
      <c r="B1261" s="64"/>
      <c r="C1261" s="64"/>
      <c r="D1261" s="64"/>
      <c r="E1261" s="64"/>
      <c r="F1261" s="64"/>
      <c r="G1261" s="64"/>
      <c r="H1261" s="64"/>
      <c r="I1261" s="64"/>
      <c r="J1261" s="64"/>
      <c r="K1261" s="64"/>
      <c r="L1261" s="64"/>
      <c r="M1261" s="64"/>
      <c r="N1261" s="64"/>
      <c r="O1261" s="64"/>
      <c r="P1261" s="64"/>
      <c r="Q1261" s="64"/>
      <c r="R1261" s="64"/>
      <c r="S1261" s="64"/>
    </row>
    <row r="1262" spans="1:19" x14ac:dyDescent="0.25">
      <c r="A1262" s="63"/>
      <c r="B1262" s="64"/>
      <c r="C1262" s="64"/>
      <c r="D1262" s="64"/>
      <c r="E1262" s="64"/>
      <c r="F1262" s="64"/>
      <c r="G1262" s="64"/>
      <c r="H1262" s="64"/>
      <c r="I1262" s="64"/>
      <c r="J1262" s="64"/>
      <c r="K1262" s="64"/>
      <c r="L1262" s="64"/>
      <c r="M1262" s="64"/>
      <c r="N1262" s="64"/>
      <c r="O1262" s="64"/>
      <c r="P1262" s="64"/>
      <c r="Q1262" s="64"/>
      <c r="R1262" s="64"/>
      <c r="S1262" s="64"/>
    </row>
    <row r="1263" spans="1:19" x14ac:dyDescent="0.25">
      <c r="A1263" s="63"/>
      <c r="B1263" s="64"/>
      <c r="C1263" s="64"/>
      <c r="D1263" s="64"/>
      <c r="E1263" s="64"/>
      <c r="F1263" s="64"/>
      <c r="G1263" s="64"/>
      <c r="H1263" s="64"/>
      <c r="I1263" s="64"/>
      <c r="J1263" s="64"/>
      <c r="K1263" s="64"/>
      <c r="L1263" s="64"/>
      <c r="M1263" s="64"/>
      <c r="N1263" s="64"/>
      <c r="O1263" s="64"/>
      <c r="P1263" s="64"/>
      <c r="Q1263" s="64"/>
      <c r="R1263" s="64"/>
      <c r="S1263" s="64"/>
    </row>
    <row r="1264" spans="1:19" x14ac:dyDescent="0.25">
      <c r="A1264" s="63"/>
      <c r="B1264" s="64"/>
      <c r="C1264" s="64"/>
      <c r="D1264" s="64"/>
      <c r="E1264" s="64"/>
      <c r="F1264" s="64"/>
      <c r="G1264" s="64"/>
      <c r="H1264" s="64"/>
      <c r="I1264" s="64"/>
      <c r="J1264" s="64"/>
      <c r="K1264" s="64"/>
      <c r="L1264" s="64"/>
      <c r="M1264" s="64"/>
      <c r="N1264" s="64"/>
      <c r="O1264" s="64"/>
      <c r="P1264" s="64"/>
      <c r="Q1264" s="64"/>
      <c r="R1264" s="64"/>
      <c r="S1264" s="64"/>
    </row>
    <row r="1265" spans="1:19" x14ac:dyDescent="0.25">
      <c r="A1265" s="63"/>
      <c r="B1265" s="64"/>
      <c r="C1265" s="64"/>
      <c r="D1265" s="64"/>
      <c r="E1265" s="64"/>
      <c r="F1265" s="64"/>
      <c r="G1265" s="64"/>
      <c r="H1265" s="64"/>
      <c r="I1265" s="64"/>
      <c r="J1265" s="64"/>
      <c r="K1265" s="64"/>
      <c r="L1265" s="64"/>
      <c r="M1265" s="64"/>
      <c r="N1265" s="64"/>
      <c r="O1265" s="64"/>
      <c r="P1265" s="64"/>
      <c r="Q1265" s="64"/>
      <c r="R1265" s="64"/>
      <c r="S1265" s="64"/>
    </row>
    <row r="1266" spans="1:19" x14ac:dyDescent="0.25">
      <c r="A1266" s="63"/>
      <c r="B1266" s="64"/>
      <c r="C1266" s="64"/>
      <c r="D1266" s="64"/>
      <c r="E1266" s="64"/>
      <c r="F1266" s="64"/>
      <c r="G1266" s="64"/>
      <c r="H1266" s="64"/>
      <c r="I1266" s="64"/>
      <c r="J1266" s="64"/>
      <c r="K1266" s="64"/>
      <c r="L1266" s="64"/>
      <c r="M1266" s="64"/>
      <c r="N1266" s="64"/>
      <c r="O1266" s="64"/>
      <c r="P1266" s="64"/>
      <c r="Q1266" s="64"/>
      <c r="R1266" s="64"/>
      <c r="S1266" s="64"/>
    </row>
    <row r="1267" spans="1:19" x14ac:dyDescent="0.25">
      <c r="A1267" s="63"/>
      <c r="B1267" s="64"/>
      <c r="C1267" s="64"/>
      <c r="D1267" s="64"/>
      <c r="E1267" s="64"/>
      <c r="F1267" s="64"/>
      <c r="G1267" s="64"/>
      <c r="H1267" s="64"/>
      <c r="I1267" s="64"/>
      <c r="J1267" s="64"/>
      <c r="K1267" s="64"/>
      <c r="L1267" s="64"/>
      <c r="M1267" s="64"/>
      <c r="N1267" s="64"/>
      <c r="O1267" s="64"/>
      <c r="P1267" s="64"/>
      <c r="Q1267" s="64"/>
      <c r="R1267" s="64"/>
      <c r="S1267" s="64"/>
    </row>
    <row r="1268" spans="1:19" x14ac:dyDescent="0.25">
      <c r="A1268" s="63"/>
      <c r="B1268" s="64"/>
      <c r="C1268" s="64"/>
      <c r="D1268" s="64"/>
      <c r="E1268" s="64"/>
      <c r="F1268" s="64"/>
      <c r="G1268" s="64"/>
      <c r="H1268" s="64"/>
      <c r="I1268" s="64"/>
      <c r="J1268" s="64"/>
      <c r="K1268" s="64"/>
      <c r="L1268" s="64"/>
      <c r="M1268" s="64"/>
      <c r="N1268" s="64"/>
      <c r="O1268" s="64"/>
      <c r="P1268" s="64"/>
      <c r="Q1268" s="64"/>
      <c r="R1268" s="64"/>
      <c r="S1268" s="64"/>
    </row>
    <row r="1269" spans="1:19" x14ac:dyDescent="0.25">
      <c r="A1269" s="63"/>
      <c r="B1269" s="64"/>
      <c r="C1269" s="64"/>
      <c r="D1269" s="64"/>
      <c r="E1269" s="64"/>
      <c r="F1269" s="64"/>
      <c r="G1269" s="64"/>
      <c r="H1269" s="64"/>
      <c r="I1269" s="64"/>
      <c r="J1269" s="64"/>
      <c r="K1269" s="64"/>
      <c r="L1269" s="64"/>
      <c r="M1269" s="64"/>
      <c r="N1269" s="64"/>
      <c r="O1269" s="64"/>
      <c r="P1269" s="64"/>
      <c r="Q1269" s="64"/>
      <c r="R1269" s="64"/>
      <c r="S1269" s="64"/>
    </row>
    <row r="1270" spans="1:19" x14ac:dyDescent="0.25">
      <c r="A1270" s="63"/>
      <c r="B1270" s="64"/>
      <c r="C1270" s="64"/>
      <c r="D1270" s="64"/>
      <c r="E1270" s="64"/>
      <c r="F1270" s="64"/>
      <c r="G1270" s="64"/>
      <c r="H1270" s="64"/>
      <c r="I1270" s="64"/>
      <c r="J1270" s="64"/>
      <c r="K1270" s="64"/>
      <c r="L1270" s="64"/>
      <c r="M1270" s="64"/>
      <c r="N1270" s="64"/>
      <c r="O1270" s="64"/>
      <c r="P1270" s="64"/>
      <c r="Q1270" s="64"/>
      <c r="R1270" s="64"/>
      <c r="S1270" s="64"/>
    </row>
    <row r="1271" spans="1:19" x14ac:dyDescent="0.25">
      <c r="A1271" s="63"/>
      <c r="B1271" s="64"/>
      <c r="C1271" s="64"/>
      <c r="D1271" s="64"/>
      <c r="E1271" s="64"/>
      <c r="F1271" s="64"/>
      <c r="G1271" s="64"/>
      <c r="H1271" s="64"/>
      <c r="I1271" s="64"/>
      <c r="J1271" s="64"/>
      <c r="K1271" s="64"/>
      <c r="L1271" s="64"/>
      <c r="M1271" s="64"/>
      <c r="N1271" s="64"/>
      <c r="O1271" s="64"/>
      <c r="P1271" s="64"/>
      <c r="Q1271" s="64"/>
      <c r="R1271" s="64"/>
      <c r="S1271" s="64"/>
    </row>
    <row r="1272" spans="1:19" x14ac:dyDescent="0.25">
      <c r="A1272" s="63"/>
      <c r="B1272" s="64"/>
      <c r="C1272" s="64"/>
      <c r="D1272" s="64"/>
      <c r="E1272" s="64"/>
      <c r="F1272" s="64"/>
      <c r="G1272" s="64"/>
      <c r="H1272" s="64"/>
      <c r="I1272" s="64"/>
      <c r="J1272" s="64"/>
      <c r="K1272" s="64"/>
      <c r="L1272" s="64"/>
      <c r="M1272" s="64"/>
      <c r="N1272" s="64"/>
      <c r="O1272" s="64"/>
      <c r="P1272" s="64"/>
      <c r="Q1272" s="64"/>
      <c r="R1272" s="64"/>
      <c r="S1272" s="64"/>
    </row>
    <row r="1273" spans="1:19" x14ac:dyDescent="0.25">
      <c r="A1273" s="63"/>
      <c r="B1273" s="64"/>
      <c r="C1273" s="64"/>
      <c r="D1273" s="64"/>
      <c r="E1273" s="64"/>
      <c r="F1273" s="64"/>
      <c r="G1273" s="64"/>
      <c r="H1273" s="64"/>
      <c r="I1273" s="64"/>
      <c r="J1273" s="64"/>
      <c r="K1273" s="64"/>
      <c r="L1273" s="64"/>
      <c r="M1273" s="64"/>
      <c r="N1273" s="64"/>
      <c r="O1273" s="64"/>
      <c r="P1273" s="64"/>
      <c r="Q1273" s="64"/>
      <c r="R1273" s="64"/>
      <c r="S1273" s="64"/>
    </row>
    <row r="1274" spans="1:19" x14ac:dyDescent="0.25">
      <c r="A1274" s="63"/>
      <c r="B1274" s="64"/>
      <c r="C1274" s="64"/>
      <c r="D1274" s="64"/>
      <c r="E1274" s="64"/>
      <c r="F1274" s="64"/>
      <c r="G1274" s="64"/>
      <c r="H1274" s="64"/>
      <c r="I1274" s="64"/>
      <c r="J1274" s="64"/>
      <c r="K1274" s="64"/>
      <c r="L1274" s="64"/>
      <c r="M1274" s="64"/>
      <c r="N1274" s="64"/>
      <c r="O1274" s="64"/>
      <c r="P1274" s="64"/>
      <c r="Q1274" s="64"/>
      <c r="R1274" s="64"/>
      <c r="S1274" s="64"/>
    </row>
    <row r="1275" spans="1:19" x14ac:dyDescent="0.25">
      <c r="A1275" s="63"/>
      <c r="B1275" s="64"/>
      <c r="C1275" s="64"/>
      <c r="D1275" s="64"/>
      <c r="E1275" s="64"/>
      <c r="F1275" s="64"/>
      <c r="G1275" s="64"/>
      <c r="H1275" s="64"/>
      <c r="I1275" s="64"/>
      <c r="J1275" s="64"/>
      <c r="K1275" s="64"/>
      <c r="L1275" s="64"/>
      <c r="M1275" s="64"/>
      <c r="N1275" s="64"/>
      <c r="O1275" s="64"/>
      <c r="P1275" s="64"/>
      <c r="Q1275" s="64"/>
      <c r="R1275" s="64"/>
      <c r="S1275" s="64"/>
    </row>
    <row r="1276" spans="1:19" x14ac:dyDescent="0.25">
      <c r="A1276" s="63"/>
      <c r="B1276" s="64"/>
      <c r="C1276" s="64"/>
      <c r="D1276" s="64"/>
      <c r="E1276" s="64"/>
      <c r="F1276" s="64"/>
      <c r="G1276" s="64"/>
      <c r="H1276" s="64"/>
      <c r="I1276" s="64"/>
      <c r="J1276" s="64"/>
      <c r="K1276" s="64"/>
      <c r="L1276" s="64"/>
      <c r="M1276" s="64"/>
      <c r="N1276" s="64"/>
      <c r="O1276" s="64"/>
      <c r="P1276" s="64"/>
      <c r="Q1276" s="64"/>
      <c r="R1276" s="64"/>
      <c r="S1276" s="64"/>
    </row>
    <row r="1277" spans="1:19" x14ac:dyDescent="0.25">
      <c r="A1277" s="63"/>
      <c r="B1277" s="64"/>
      <c r="C1277" s="64"/>
      <c r="D1277" s="64"/>
      <c r="E1277" s="64"/>
      <c r="F1277" s="64"/>
      <c r="G1277" s="64"/>
      <c r="H1277" s="64"/>
      <c r="I1277" s="64"/>
      <c r="J1277" s="64"/>
      <c r="K1277" s="64"/>
      <c r="L1277" s="64"/>
      <c r="M1277" s="64"/>
      <c r="N1277" s="64"/>
      <c r="O1277" s="64"/>
      <c r="P1277" s="64"/>
      <c r="Q1277" s="64"/>
      <c r="R1277" s="64"/>
      <c r="S1277" s="64"/>
    </row>
    <row r="1278" spans="1:19" x14ac:dyDescent="0.25">
      <c r="A1278" s="63"/>
      <c r="B1278" s="64"/>
      <c r="C1278" s="64"/>
      <c r="D1278" s="64"/>
      <c r="E1278" s="64"/>
      <c r="F1278" s="64"/>
      <c r="G1278" s="64"/>
      <c r="H1278" s="64"/>
      <c r="I1278" s="64"/>
      <c r="J1278" s="64"/>
      <c r="K1278" s="64"/>
      <c r="L1278" s="64"/>
      <c r="M1278" s="64"/>
      <c r="N1278" s="64"/>
      <c r="O1278" s="64"/>
      <c r="P1278" s="64"/>
      <c r="Q1278" s="64"/>
      <c r="R1278" s="64"/>
      <c r="S1278" s="64"/>
    </row>
    <row r="1279" spans="1:19" x14ac:dyDescent="0.25">
      <c r="A1279" s="63"/>
      <c r="B1279" s="64"/>
      <c r="C1279" s="64"/>
      <c r="D1279" s="64"/>
      <c r="E1279" s="64"/>
      <c r="F1279" s="64"/>
      <c r="G1279" s="64"/>
      <c r="H1279" s="64"/>
      <c r="I1279" s="64"/>
      <c r="J1279" s="64"/>
      <c r="K1279" s="64"/>
      <c r="L1279" s="64"/>
      <c r="M1279" s="64"/>
      <c r="N1279" s="64"/>
      <c r="O1279" s="64"/>
      <c r="P1279" s="64"/>
      <c r="Q1279" s="64"/>
      <c r="R1279" s="64"/>
      <c r="S1279" s="64"/>
    </row>
    <row r="1280" spans="1:19" x14ac:dyDescent="0.25">
      <c r="A1280" s="63"/>
      <c r="B1280" s="64"/>
      <c r="C1280" s="64"/>
      <c r="D1280" s="64"/>
      <c r="E1280" s="64"/>
      <c r="F1280" s="64"/>
      <c r="G1280" s="64"/>
      <c r="H1280" s="64"/>
      <c r="I1280" s="64"/>
      <c r="J1280" s="64"/>
      <c r="K1280" s="64"/>
      <c r="L1280" s="64"/>
      <c r="M1280" s="64"/>
      <c r="N1280" s="64"/>
      <c r="O1280" s="64"/>
      <c r="P1280" s="64"/>
      <c r="Q1280" s="64"/>
      <c r="R1280" s="64"/>
      <c r="S1280" s="64"/>
    </row>
    <row r="1281" spans="1:19" x14ac:dyDescent="0.25">
      <c r="A1281" s="63"/>
      <c r="B1281" s="64"/>
      <c r="C1281" s="64"/>
      <c r="D1281" s="64"/>
      <c r="E1281" s="64"/>
      <c r="F1281" s="64"/>
      <c r="G1281" s="64"/>
      <c r="H1281" s="64"/>
      <c r="I1281" s="64"/>
      <c r="J1281" s="64"/>
      <c r="K1281" s="64"/>
      <c r="L1281" s="64"/>
      <c r="M1281" s="64"/>
      <c r="N1281" s="64"/>
      <c r="O1281" s="64"/>
      <c r="P1281" s="64"/>
      <c r="Q1281" s="64"/>
      <c r="R1281" s="64"/>
      <c r="S1281" s="64"/>
    </row>
    <row r="1282" spans="1:19" x14ac:dyDescent="0.25">
      <c r="A1282" s="63"/>
      <c r="B1282" s="64"/>
      <c r="C1282" s="64"/>
      <c r="D1282" s="64"/>
      <c r="E1282" s="64"/>
      <c r="F1282" s="64"/>
      <c r="G1282" s="64"/>
      <c r="H1282" s="64"/>
      <c r="I1282" s="64"/>
      <c r="J1282" s="64"/>
      <c r="K1282" s="64"/>
      <c r="L1282" s="64"/>
      <c r="M1282" s="64"/>
      <c r="N1282" s="64"/>
      <c r="O1282" s="64"/>
      <c r="P1282" s="64"/>
      <c r="Q1282" s="64"/>
      <c r="R1282" s="64"/>
      <c r="S1282" s="64"/>
    </row>
    <row r="1283" spans="1:19" x14ac:dyDescent="0.25">
      <c r="A1283" s="63"/>
      <c r="B1283" s="64"/>
      <c r="C1283" s="64"/>
      <c r="D1283" s="64"/>
      <c r="E1283" s="64"/>
      <c r="F1283" s="64"/>
      <c r="G1283" s="64"/>
      <c r="H1283" s="64"/>
      <c r="I1283" s="64"/>
      <c r="J1283" s="64"/>
      <c r="K1283" s="64"/>
      <c r="L1283" s="64"/>
      <c r="M1283" s="64"/>
      <c r="N1283" s="64"/>
      <c r="O1283" s="64"/>
      <c r="P1283" s="64"/>
      <c r="Q1283" s="64"/>
      <c r="R1283" s="64"/>
      <c r="S1283" s="64"/>
    </row>
    <row r="1284" spans="1:19" x14ac:dyDescent="0.25">
      <c r="A1284" s="63"/>
      <c r="B1284" s="64"/>
      <c r="C1284" s="64"/>
      <c r="D1284" s="64"/>
      <c r="E1284" s="64"/>
      <c r="F1284" s="64"/>
      <c r="G1284" s="64"/>
      <c r="H1284" s="64"/>
      <c r="I1284" s="64"/>
      <c r="J1284" s="64"/>
      <c r="K1284" s="64"/>
      <c r="L1284" s="64"/>
      <c r="M1284" s="64"/>
      <c r="N1284" s="64"/>
      <c r="O1284" s="64"/>
      <c r="P1284" s="64"/>
      <c r="Q1284" s="64"/>
      <c r="R1284" s="64"/>
      <c r="S1284" s="64"/>
    </row>
    <row r="1285" spans="1:19" x14ac:dyDescent="0.25">
      <c r="A1285" s="63"/>
      <c r="B1285" s="64"/>
      <c r="C1285" s="64"/>
      <c r="D1285" s="64"/>
      <c r="E1285" s="64"/>
      <c r="F1285" s="64"/>
      <c r="G1285" s="64"/>
      <c r="H1285" s="64"/>
      <c r="I1285" s="64"/>
      <c r="J1285" s="64"/>
      <c r="K1285" s="64"/>
      <c r="L1285" s="64"/>
      <c r="M1285" s="64"/>
      <c r="N1285" s="64"/>
      <c r="O1285" s="64"/>
      <c r="P1285" s="64"/>
      <c r="Q1285" s="64"/>
      <c r="R1285" s="64"/>
      <c r="S1285" s="64"/>
    </row>
    <row r="1286" spans="1:19" x14ac:dyDescent="0.25">
      <c r="A1286" s="63"/>
      <c r="B1286" s="64"/>
      <c r="C1286" s="64"/>
      <c r="D1286" s="64"/>
      <c r="E1286" s="64"/>
      <c r="F1286" s="64"/>
      <c r="G1286" s="64"/>
      <c r="H1286" s="64"/>
      <c r="I1286" s="64"/>
      <c r="J1286" s="64"/>
      <c r="K1286" s="64"/>
      <c r="L1286" s="64"/>
      <c r="M1286" s="64"/>
      <c r="N1286" s="64"/>
      <c r="O1286" s="64"/>
      <c r="P1286" s="64"/>
      <c r="Q1286" s="64"/>
      <c r="R1286" s="64"/>
      <c r="S1286" s="64"/>
    </row>
    <row r="1287" spans="1:19" x14ac:dyDescent="0.25">
      <c r="A1287" s="63"/>
      <c r="B1287" s="64"/>
      <c r="C1287" s="64"/>
      <c r="D1287" s="64"/>
      <c r="E1287" s="64"/>
      <c r="F1287" s="64"/>
      <c r="G1287" s="64"/>
      <c r="H1287" s="64"/>
      <c r="I1287" s="64"/>
      <c r="J1287" s="64"/>
      <c r="K1287" s="64"/>
      <c r="L1287" s="64"/>
      <c r="M1287" s="64"/>
      <c r="N1287" s="64"/>
      <c r="O1287" s="64"/>
      <c r="P1287" s="64"/>
      <c r="Q1287" s="64"/>
      <c r="R1287" s="64"/>
      <c r="S1287" s="64"/>
    </row>
    <row r="1288" spans="1:19" x14ac:dyDescent="0.25">
      <c r="A1288" s="63"/>
      <c r="B1288" s="64"/>
      <c r="C1288" s="64"/>
      <c r="D1288" s="64"/>
      <c r="E1288" s="64"/>
      <c r="F1288" s="64"/>
      <c r="G1288" s="64"/>
      <c r="H1288" s="64"/>
      <c r="I1288" s="64"/>
      <c r="J1288" s="64"/>
      <c r="K1288" s="64"/>
      <c r="L1288" s="64"/>
      <c r="M1288" s="64"/>
      <c r="N1288" s="64"/>
      <c r="O1288" s="64"/>
      <c r="P1288" s="64"/>
      <c r="Q1288" s="64"/>
      <c r="R1288" s="64"/>
      <c r="S1288" s="64"/>
    </row>
    <row r="1289" spans="1:19" x14ac:dyDescent="0.25">
      <c r="A1289" s="63"/>
      <c r="B1289" s="64"/>
      <c r="C1289" s="64"/>
      <c r="D1289" s="64"/>
      <c r="E1289" s="64"/>
      <c r="F1289" s="64"/>
      <c r="G1289" s="64"/>
      <c r="H1289" s="64"/>
      <c r="I1289" s="64"/>
      <c r="J1289" s="64"/>
      <c r="K1289" s="64"/>
      <c r="L1289" s="64"/>
      <c r="M1289" s="64"/>
      <c r="N1289" s="64"/>
      <c r="O1289" s="64"/>
      <c r="P1289" s="64"/>
      <c r="Q1289" s="64"/>
      <c r="R1289" s="64"/>
      <c r="S1289" s="64"/>
    </row>
    <row r="1290" spans="1:19" x14ac:dyDescent="0.25">
      <c r="A1290" s="63"/>
      <c r="B1290" s="64"/>
      <c r="C1290" s="64"/>
      <c r="D1290" s="64"/>
      <c r="E1290" s="64"/>
      <c r="F1290" s="64"/>
      <c r="G1290" s="64"/>
      <c r="H1290" s="64"/>
      <c r="I1290" s="64"/>
      <c r="J1290" s="64"/>
      <c r="K1290" s="64"/>
      <c r="L1290" s="64"/>
      <c r="M1290" s="64"/>
      <c r="N1290" s="64"/>
      <c r="O1290" s="64"/>
      <c r="P1290" s="64"/>
      <c r="Q1290" s="64"/>
      <c r="R1290" s="64"/>
      <c r="S1290" s="64"/>
    </row>
    <row r="1291" spans="1:19" x14ac:dyDescent="0.25">
      <c r="A1291" s="63"/>
      <c r="B1291" s="64"/>
      <c r="C1291" s="64"/>
      <c r="D1291" s="64"/>
      <c r="E1291" s="64"/>
      <c r="F1291" s="64"/>
      <c r="G1291" s="64"/>
      <c r="H1291" s="64"/>
      <c r="I1291" s="64"/>
      <c r="J1291" s="64"/>
      <c r="K1291" s="64"/>
      <c r="L1291" s="64"/>
      <c r="M1291" s="64"/>
      <c r="N1291" s="64"/>
      <c r="O1291" s="64"/>
      <c r="P1291" s="64"/>
      <c r="Q1291" s="64"/>
      <c r="R1291" s="64"/>
      <c r="S1291" s="64"/>
    </row>
    <row r="1292" spans="1:19" x14ac:dyDescent="0.25">
      <c r="A1292" s="63"/>
      <c r="B1292" s="64"/>
      <c r="C1292" s="64"/>
      <c r="D1292" s="64"/>
      <c r="E1292" s="64"/>
      <c r="F1292" s="64"/>
      <c r="G1292" s="64"/>
      <c r="H1292" s="64"/>
      <c r="I1292" s="64"/>
      <c r="J1292" s="64"/>
      <c r="K1292" s="64"/>
      <c r="L1292" s="64"/>
      <c r="M1292" s="64"/>
      <c r="N1292" s="64"/>
      <c r="O1292" s="64"/>
      <c r="P1292" s="64"/>
      <c r="Q1292" s="64"/>
      <c r="R1292" s="64"/>
      <c r="S1292" s="64"/>
    </row>
    <row r="1293" spans="1:19" x14ac:dyDescent="0.25">
      <c r="A1293" s="63"/>
      <c r="B1293" s="64"/>
      <c r="C1293" s="64"/>
      <c r="D1293" s="64"/>
      <c r="E1293" s="64"/>
      <c r="F1293" s="64"/>
      <c r="G1293" s="64"/>
      <c r="H1293" s="64"/>
      <c r="I1293" s="64"/>
      <c r="J1293" s="64"/>
      <c r="K1293" s="64"/>
      <c r="L1293" s="64"/>
      <c r="M1293" s="64"/>
      <c r="N1293" s="64"/>
      <c r="O1293" s="64"/>
      <c r="P1293" s="64"/>
      <c r="Q1293" s="64"/>
      <c r="R1293" s="64"/>
      <c r="S1293" s="64"/>
    </row>
    <row r="1294" spans="1:19" x14ac:dyDescent="0.25">
      <c r="A1294" s="63"/>
      <c r="B1294" s="64"/>
      <c r="C1294" s="64"/>
      <c r="D1294" s="64"/>
      <c r="E1294" s="64"/>
      <c r="F1294" s="64"/>
      <c r="G1294" s="64"/>
      <c r="H1294" s="64"/>
      <c r="I1294" s="64"/>
      <c r="J1294" s="64"/>
      <c r="K1294" s="64"/>
      <c r="L1294" s="64"/>
      <c r="M1294" s="64"/>
      <c r="N1294" s="64"/>
      <c r="O1294" s="64"/>
      <c r="P1294" s="64"/>
      <c r="Q1294" s="64"/>
      <c r="R1294" s="64"/>
      <c r="S1294" s="64"/>
    </row>
    <row r="1295" spans="1:19" x14ac:dyDescent="0.25">
      <c r="A1295" s="63"/>
      <c r="B1295" s="64"/>
      <c r="C1295" s="64"/>
      <c r="D1295" s="64"/>
      <c r="E1295" s="64"/>
      <c r="F1295" s="64"/>
      <c r="G1295" s="64"/>
      <c r="H1295" s="64"/>
      <c r="I1295" s="64"/>
      <c r="J1295" s="64"/>
      <c r="K1295" s="64"/>
      <c r="L1295" s="64"/>
      <c r="M1295" s="64"/>
      <c r="N1295" s="64"/>
      <c r="O1295" s="64"/>
      <c r="P1295" s="64"/>
      <c r="Q1295" s="64"/>
      <c r="R1295" s="64"/>
      <c r="S1295" s="64"/>
    </row>
    <row r="1296" spans="1:19" x14ac:dyDescent="0.25">
      <c r="A1296" s="63"/>
      <c r="B1296" s="64"/>
      <c r="C1296" s="64"/>
      <c r="D1296" s="64"/>
      <c r="E1296" s="64"/>
      <c r="F1296" s="64"/>
      <c r="G1296" s="64"/>
      <c r="H1296" s="64"/>
      <c r="I1296" s="64"/>
      <c r="J1296" s="64"/>
      <c r="K1296" s="64"/>
      <c r="L1296" s="64"/>
      <c r="M1296" s="64"/>
      <c r="N1296" s="64"/>
      <c r="O1296" s="64"/>
      <c r="P1296" s="64"/>
      <c r="Q1296" s="64"/>
      <c r="R1296" s="64"/>
      <c r="S1296" s="64"/>
    </row>
    <row r="1297" spans="1:19" x14ac:dyDescent="0.25">
      <c r="A1297" s="63"/>
      <c r="B1297" s="64"/>
      <c r="C1297" s="64"/>
      <c r="D1297" s="64"/>
      <c r="E1297" s="64"/>
      <c r="F1297" s="64"/>
      <c r="G1297" s="64"/>
      <c r="H1297" s="64"/>
      <c r="I1297" s="64"/>
      <c r="J1297" s="64"/>
      <c r="K1297" s="64"/>
      <c r="L1297" s="64"/>
      <c r="M1297" s="64"/>
      <c r="N1297" s="64"/>
      <c r="O1297" s="64"/>
      <c r="P1297" s="64"/>
      <c r="Q1297" s="64"/>
      <c r="R1297" s="64"/>
      <c r="S1297" s="64"/>
    </row>
    <row r="1298" spans="1:19" x14ac:dyDescent="0.25">
      <c r="A1298" s="63"/>
      <c r="B1298" s="64"/>
      <c r="C1298" s="64"/>
      <c r="D1298" s="64"/>
      <c r="E1298" s="64"/>
      <c r="F1298" s="64"/>
      <c r="G1298" s="64"/>
      <c r="H1298" s="64"/>
      <c r="I1298" s="64"/>
      <c r="J1298" s="64"/>
      <c r="K1298" s="64"/>
      <c r="L1298" s="64"/>
      <c r="M1298" s="64"/>
      <c r="N1298" s="64"/>
      <c r="O1298" s="64"/>
      <c r="P1298" s="64"/>
      <c r="Q1298" s="64"/>
      <c r="R1298" s="64"/>
      <c r="S1298" s="64"/>
    </row>
    <row r="1299" spans="1:19" x14ac:dyDescent="0.25">
      <c r="A1299" s="63"/>
      <c r="B1299" s="64"/>
      <c r="C1299" s="64"/>
      <c r="D1299" s="64"/>
      <c r="E1299" s="64"/>
      <c r="F1299" s="64"/>
      <c r="G1299" s="64"/>
      <c r="H1299" s="64"/>
      <c r="I1299" s="64"/>
      <c r="J1299" s="64"/>
      <c r="K1299" s="64"/>
      <c r="L1299" s="64"/>
      <c r="M1299" s="64"/>
      <c r="N1299" s="64"/>
      <c r="O1299" s="64"/>
      <c r="P1299" s="64"/>
      <c r="Q1299" s="64"/>
      <c r="R1299" s="64"/>
      <c r="S1299" s="64"/>
    </row>
    <row r="1300" spans="1:19" x14ac:dyDescent="0.25">
      <c r="A1300" s="63"/>
      <c r="B1300" s="64"/>
      <c r="C1300" s="64"/>
      <c r="D1300" s="64"/>
      <c r="E1300" s="64"/>
      <c r="F1300" s="64"/>
      <c r="G1300" s="64"/>
      <c r="H1300" s="64"/>
      <c r="I1300" s="64"/>
      <c r="J1300" s="64"/>
      <c r="K1300" s="64"/>
      <c r="L1300" s="64"/>
      <c r="M1300" s="64"/>
      <c r="N1300" s="64"/>
      <c r="O1300" s="64"/>
      <c r="P1300" s="64"/>
      <c r="Q1300" s="64"/>
      <c r="R1300" s="64"/>
      <c r="S1300" s="64"/>
    </row>
    <row r="1301" spans="1:19" x14ac:dyDescent="0.25">
      <c r="A1301" s="63"/>
      <c r="B1301" s="64"/>
      <c r="C1301" s="64"/>
      <c r="D1301" s="64"/>
      <c r="E1301" s="64"/>
      <c r="F1301" s="64"/>
      <c r="G1301" s="64"/>
      <c r="H1301" s="64"/>
      <c r="I1301" s="64"/>
      <c r="J1301" s="64"/>
      <c r="K1301" s="64"/>
      <c r="L1301" s="64"/>
      <c r="M1301" s="64"/>
      <c r="N1301" s="64"/>
      <c r="O1301" s="64"/>
      <c r="P1301" s="64"/>
      <c r="Q1301" s="64"/>
      <c r="R1301" s="64"/>
      <c r="S1301" s="64"/>
    </row>
    <row r="1302" spans="1:19" x14ac:dyDescent="0.25">
      <c r="A1302" s="63"/>
      <c r="B1302" s="64"/>
      <c r="C1302" s="64"/>
      <c r="D1302" s="64"/>
      <c r="E1302" s="64"/>
      <c r="F1302" s="64"/>
      <c r="G1302" s="64"/>
      <c r="H1302" s="64"/>
      <c r="I1302" s="64"/>
      <c r="J1302" s="64"/>
      <c r="K1302" s="64"/>
      <c r="L1302" s="64"/>
      <c r="M1302" s="64"/>
      <c r="N1302" s="64"/>
      <c r="O1302" s="64"/>
      <c r="P1302" s="64"/>
      <c r="Q1302" s="64"/>
      <c r="R1302" s="64"/>
      <c r="S1302" s="64"/>
    </row>
    <row r="1303" spans="1:19" x14ac:dyDescent="0.25">
      <c r="A1303" s="63"/>
      <c r="B1303" s="64"/>
      <c r="C1303" s="64"/>
      <c r="D1303" s="64"/>
      <c r="E1303" s="64"/>
      <c r="F1303" s="64"/>
      <c r="G1303" s="64"/>
      <c r="H1303" s="64"/>
      <c r="I1303" s="64"/>
      <c r="J1303" s="64"/>
      <c r="K1303" s="64"/>
      <c r="L1303" s="64"/>
      <c r="M1303" s="64"/>
      <c r="N1303" s="64"/>
      <c r="O1303" s="64"/>
      <c r="P1303" s="64"/>
      <c r="Q1303" s="64"/>
      <c r="R1303" s="64"/>
      <c r="S1303" s="64"/>
    </row>
    <row r="1304" spans="1:19" x14ac:dyDescent="0.25">
      <c r="A1304" s="63"/>
      <c r="B1304" s="64"/>
      <c r="C1304" s="64"/>
      <c r="D1304" s="64"/>
      <c r="E1304" s="64"/>
      <c r="F1304" s="64"/>
      <c r="G1304" s="64"/>
      <c r="H1304" s="64"/>
      <c r="I1304" s="64"/>
      <c r="J1304" s="64"/>
      <c r="K1304" s="64"/>
      <c r="L1304" s="64"/>
      <c r="M1304" s="64"/>
      <c r="N1304" s="64"/>
      <c r="O1304" s="64"/>
      <c r="P1304" s="64"/>
      <c r="Q1304" s="64"/>
      <c r="R1304" s="64"/>
      <c r="S1304" s="64"/>
    </row>
    <row r="1305" spans="1:19" x14ac:dyDescent="0.25">
      <c r="A1305" s="63"/>
      <c r="B1305" s="64"/>
      <c r="C1305" s="64"/>
      <c r="D1305" s="64"/>
      <c r="E1305" s="64"/>
      <c r="F1305" s="64"/>
      <c r="G1305" s="64"/>
      <c r="H1305" s="64"/>
      <c r="I1305" s="64"/>
      <c r="J1305" s="64"/>
      <c r="K1305" s="64"/>
      <c r="L1305" s="64"/>
      <c r="M1305" s="64"/>
      <c r="N1305" s="64"/>
      <c r="O1305" s="64"/>
      <c r="P1305" s="64"/>
      <c r="Q1305" s="64"/>
      <c r="R1305" s="64"/>
      <c r="S1305" s="64"/>
    </row>
    <row r="1306" spans="1:19" x14ac:dyDescent="0.25">
      <c r="A1306" s="63"/>
      <c r="B1306" s="64"/>
      <c r="C1306" s="64"/>
      <c r="D1306" s="64"/>
      <c r="E1306" s="64"/>
      <c r="F1306" s="64"/>
      <c r="G1306" s="64"/>
      <c r="H1306" s="64"/>
      <c r="I1306" s="64"/>
      <c r="J1306" s="64"/>
      <c r="K1306" s="64"/>
      <c r="L1306" s="64"/>
      <c r="M1306" s="64"/>
      <c r="N1306" s="64"/>
      <c r="O1306" s="64"/>
      <c r="P1306" s="64"/>
      <c r="Q1306" s="64"/>
      <c r="R1306" s="64"/>
      <c r="S1306" s="64"/>
    </row>
    <row r="1307" spans="1:19" x14ac:dyDescent="0.25">
      <c r="A1307" s="63"/>
      <c r="B1307" s="64"/>
      <c r="C1307" s="64"/>
      <c r="D1307" s="64"/>
      <c r="E1307" s="64"/>
      <c r="F1307" s="64"/>
      <c r="G1307" s="64"/>
      <c r="H1307" s="64"/>
      <c r="I1307" s="64"/>
      <c r="J1307" s="64"/>
      <c r="K1307" s="64"/>
      <c r="L1307" s="64"/>
      <c r="M1307" s="64"/>
      <c r="N1307" s="64"/>
      <c r="O1307" s="64"/>
      <c r="P1307" s="64"/>
      <c r="Q1307" s="64"/>
      <c r="R1307" s="64"/>
      <c r="S1307" s="64"/>
    </row>
    <row r="1308" spans="1:19" x14ac:dyDescent="0.25">
      <c r="A1308" s="63"/>
      <c r="B1308" s="64"/>
      <c r="C1308" s="64"/>
      <c r="D1308" s="64"/>
      <c r="E1308" s="64"/>
      <c r="F1308" s="64"/>
      <c r="G1308" s="64"/>
      <c r="H1308" s="64"/>
      <c r="I1308" s="64"/>
      <c r="J1308" s="64"/>
      <c r="K1308" s="64"/>
      <c r="L1308" s="64"/>
      <c r="M1308" s="64"/>
      <c r="N1308" s="64"/>
      <c r="O1308" s="64"/>
      <c r="P1308" s="64"/>
      <c r="Q1308" s="64"/>
      <c r="R1308" s="64"/>
      <c r="S1308" s="64"/>
    </row>
    <row r="1309" spans="1:19" x14ac:dyDescent="0.25">
      <c r="A1309" s="63"/>
      <c r="B1309" s="64"/>
      <c r="C1309" s="64"/>
      <c r="D1309" s="64"/>
      <c r="E1309" s="64"/>
      <c r="F1309" s="64"/>
      <c r="G1309" s="64"/>
      <c r="H1309" s="64"/>
      <c r="I1309" s="64"/>
      <c r="J1309" s="64"/>
      <c r="K1309" s="64"/>
      <c r="L1309" s="64"/>
      <c r="M1309" s="64"/>
      <c r="N1309" s="64"/>
      <c r="O1309" s="64"/>
      <c r="P1309" s="64"/>
      <c r="Q1309" s="64"/>
      <c r="R1309" s="64"/>
      <c r="S1309" s="64"/>
    </row>
    <row r="1310" spans="1:19" x14ac:dyDescent="0.25">
      <c r="A1310" s="63"/>
      <c r="B1310" s="64"/>
      <c r="C1310" s="64"/>
      <c r="D1310" s="64"/>
      <c r="E1310" s="64"/>
      <c r="F1310" s="64"/>
      <c r="G1310" s="64"/>
      <c r="H1310" s="64"/>
      <c r="I1310" s="64"/>
      <c r="J1310" s="64"/>
      <c r="K1310" s="64"/>
      <c r="L1310" s="64"/>
      <c r="M1310" s="64"/>
      <c r="N1310" s="64"/>
      <c r="O1310" s="64"/>
      <c r="P1310" s="64"/>
      <c r="Q1310" s="64"/>
      <c r="R1310" s="64"/>
      <c r="S1310" s="64"/>
    </row>
    <row r="1311" spans="1:19" x14ac:dyDescent="0.25">
      <c r="A1311" s="63"/>
      <c r="B1311" s="64"/>
      <c r="C1311" s="64"/>
      <c r="D1311" s="64"/>
      <c r="E1311" s="64"/>
      <c r="F1311" s="64"/>
      <c r="G1311" s="64"/>
      <c r="H1311" s="64"/>
      <c r="I1311" s="64"/>
      <c r="J1311" s="64"/>
      <c r="K1311" s="64"/>
      <c r="L1311" s="64"/>
      <c r="M1311" s="64"/>
      <c r="N1311" s="64"/>
      <c r="O1311" s="64"/>
      <c r="P1311" s="64"/>
      <c r="Q1311" s="64"/>
      <c r="R1311" s="64"/>
      <c r="S1311" s="64"/>
    </row>
    <row r="1312" spans="1:19" x14ac:dyDescent="0.25">
      <c r="A1312" s="63"/>
      <c r="B1312" s="64"/>
      <c r="C1312" s="64"/>
      <c r="D1312" s="64"/>
      <c r="E1312" s="64"/>
      <c r="F1312" s="64"/>
      <c r="G1312" s="64"/>
      <c r="H1312" s="64"/>
      <c r="I1312" s="64"/>
      <c r="J1312" s="64"/>
      <c r="K1312" s="64"/>
      <c r="L1312" s="64"/>
      <c r="M1312" s="64"/>
      <c r="N1312" s="64"/>
      <c r="O1312" s="64"/>
      <c r="P1312" s="64"/>
      <c r="Q1312" s="64"/>
      <c r="R1312" s="64"/>
      <c r="S1312" s="64"/>
    </row>
    <row r="1313" spans="1:19" x14ac:dyDescent="0.25">
      <c r="A1313" s="63"/>
      <c r="B1313" s="64"/>
      <c r="C1313" s="64"/>
      <c r="D1313" s="64"/>
      <c r="E1313" s="64"/>
      <c r="F1313" s="64"/>
      <c r="G1313" s="64"/>
      <c r="H1313" s="64"/>
      <c r="I1313" s="64"/>
      <c r="J1313" s="64"/>
      <c r="K1313" s="64"/>
      <c r="L1313" s="64"/>
      <c r="M1313" s="64"/>
      <c r="N1313" s="64"/>
      <c r="O1313" s="64"/>
      <c r="P1313" s="64"/>
      <c r="Q1313" s="64"/>
      <c r="R1313" s="64"/>
      <c r="S1313" s="64"/>
    </row>
    <row r="1314" spans="1:19" x14ac:dyDescent="0.25">
      <c r="A1314" s="63"/>
      <c r="B1314" s="64"/>
      <c r="C1314" s="64"/>
      <c r="D1314" s="64"/>
      <c r="E1314" s="64"/>
      <c r="F1314" s="64"/>
      <c r="G1314" s="64"/>
      <c r="H1314" s="64"/>
      <c r="I1314" s="64"/>
      <c r="J1314" s="64"/>
      <c r="K1314" s="64"/>
      <c r="L1314" s="64"/>
      <c r="M1314" s="64"/>
      <c r="N1314" s="64"/>
      <c r="O1314" s="64"/>
      <c r="P1314" s="64"/>
      <c r="Q1314" s="64"/>
      <c r="R1314" s="64"/>
      <c r="S1314" s="64"/>
    </row>
    <row r="1315" spans="1:19" x14ac:dyDescent="0.25">
      <c r="A1315" s="63"/>
      <c r="B1315" s="64"/>
      <c r="C1315" s="64"/>
      <c r="D1315" s="64"/>
      <c r="E1315" s="64"/>
      <c r="F1315" s="64"/>
      <c r="G1315" s="64"/>
      <c r="H1315" s="64"/>
      <c r="I1315" s="64"/>
      <c r="J1315" s="64"/>
      <c r="K1315" s="64"/>
      <c r="L1315" s="64"/>
      <c r="M1315" s="64"/>
      <c r="N1315" s="64"/>
      <c r="O1315" s="64"/>
      <c r="P1315" s="64"/>
      <c r="Q1315" s="64"/>
      <c r="R1315" s="64"/>
      <c r="S1315" s="64"/>
    </row>
    <row r="1316" spans="1:19" x14ac:dyDescent="0.25">
      <c r="A1316" s="63"/>
      <c r="B1316" s="64"/>
      <c r="C1316" s="64"/>
      <c r="D1316" s="64"/>
      <c r="E1316" s="64"/>
      <c r="F1316" s="64"/>
      <c r="G1316" s="64"/>
      <c r="H1316" s="64"/>
      <c r="I1316" s="64"/>
      <c r="J1316" s="64"/>
      <c r="K1316" s="64"/>
      <c r="L1316" s="64"/>
      <c r="M1316" s="64"/>
      <c r="N1316" s="64"/>
      <c r="O1316" s="64"/>
      <c r="P1316" s="64"/>
      <c r="Q1316" s="64"/>
      <c r="R1316" s="64"/>
      <c r="S1316" s="64"/>
    </row>
    <row r="1317" spans="1:19" x14ac:dyDescent="0.25">
      <c r="A1317" s="63"/>
      <c r="B1317" s="64"/>
      <c r="C1317" s="64"/>
      <c r="D1317" s="64"/>
      <c r="E1317" s="64"/>
      <c r="F1317" s="64"/>
      <c r="G1317" s="64"/>
      <c r="H1317" s="64"/>
      <c r="I1317" s="64"/>
      <c r="J1317" s="64"/>
      <c r="K1317" s="64"/>
      <c r="L1317" s="64"/>
      <c r="M1317" s="64"/>
      <c r="N1317" s="64"/>
      <c r="O1317" s="64"/>
      <c r="P1317" s="64"/>
      <c r="Q1317" s="64"/>
      <c r="R1317" s="64"/>
      <c r="S1317" s="64"/>
    </row>
    <row r="1318" spans="1:19" x14ac:dyDescent="0.25">
      <c r="A1318" s="63"/>
      <c r="B1318" s="64"/>
      <c r="C1318" s="64"/>
      <c r="D1318" s="64"/>
      <c r="E1318" s="64"/>
      <c r="F1318" s="64"/>
      <c r="G1318" s="64"/>
      <c r="H1318" s="64"/>
      <c r="I1318" s="64"/>
      <c r="J1318" s="64"/>
      <c r="K1318" s="64"/>
      <c r="L1318" s="64"/>
      <c r="M1318" s="64"/>
      <c r="N1318" s="64"/>
      <c r="O1318" s="64"/>
      <c r="P1318" s="64"/>
      <c r="Q1318" s="64"/>
      <c r="R1318" s="64"/>
      <c r="S1318" s="64"/>
    </row>
    <row r="1319" spans="1:19" x14ac:dyDescent="0.25">
      <c r="A1319" s="63"/>
      <c r="B1319" s="64"/>
      <c r="C1319" s="64"/>
      <c r="D1319" s="64"/>
      <c r="E1319" s="64"/>
      <c r="F1319" s="64"/>
      <c r="G1319" s="64"/>
      <c r="H1319" s="64"/>
      <c r="I1319" s="64"/>
      <c r="J1319" s="64"/>
      <c r="K1319" s="64"/>
      <c r="L1319" s="64"/>
      <c r="M1319" s="64"/>
      <c r="N1319" s="64"/>
      <c r="O1319" s="64"/>
      <c r="P1319" s="64"/>
      <c r="Q1319" s="64"/>
      <c r="R1319" s="64"/>
      <c r="S1319" s="64"/>
    </row>
    <row r="1320" spans="1:19" x14ac:dyDescent="0.25">
      <c r="A1320" s="63"/>
      <c r="B1320" s="64"/>
      <c r="C1320" s="64"/>
      <c r="D1320" s="64"/>
      <c r="E1320" s="64"/>
      <c r="F1320" s="64"/>
      <c r="G1320" s="64"/>
      <c r="H1320" s="64"/>
      <c r="I1320" s="64"/>
      <c r="J1320" s="64"/>
      <c r="K1320" s="64"/>
      <c r="L1320" s="64"/>
      <c r="M1320" s="64"/>
      <c r="N1320" s="64"/>
      <c r="O1320" s="64"/>
      <c r="P1320" s="64"/>
      <c r="Q1320" s="64"/>
      <c r="R1320" s="64"/>
      <c r="S1320" s="64"/>
    </row>
    <row r="1321" spans="1:19" x14ac:dyDescent="0.25">
      <c r="A1321" s="63"/>
      <c r="B1321" s="64"/>
      <c r="C1321" s="64"/>
      <c r="D1321" s="64"/>
      <c r="E1321" s="64"/>
      <c r="F1321" s="64"/>
      <c r="G1321" s="64"/>
      <c r="H1321" s="64"/>
      <c r="I1321" s="64"/>
      <c r="J1321" s="64"/>
      <c r="K1321" s="64"/>
      <c r="L1321" s="64"/>
      <c r="M1321" s="64"/>
      <c r="N1321" s="64"/>
      <c r="O1321" s="64"/>
      <c r="P1321" s="64"/>
      <c r="Q1321" s="64"/>
      <c r="R1321" s="64"/>
      <c r="S1321" s="64"/>
    </row>
    <row r="1322" spans="1:19" x14ac:dyDescent="0.25">
      <c r="A1322" s="63"/>
      <c r="B1322" s="64"/>
      <c r="C1322" s="64"/>
      <c r="D1322" s="64"/>
      <c r="E1322" s="64"/>
      <c r="F1322" s="64"/>
      <c r="G1322" s="64"/>
      <c r="H1322" s="64"/>
      <c r="I1322" s="64"/>
      <c r="J1322" s="64"/>
      <c r="K1322" s="64"/>
      <c r="L1322" s="64"/>
      <c r="M1322" s="64"/>
      <c r="N1322" s="64"/>
      <c r="O1322" s="64"/>
      <c r="P1322" s="64"/>
      <c r="Q1322" s="64"/>
      <c r="R1322" s="64"/>
      <c r="S1322" s="64"/>
    </row>
    <row r="1323" spans="1:19" x14ac:dyDescent="0.25">
      <c r="A1323" s="63"/>
      <c r="B1323" s="64"/>
      <c r="C1323" s="64"/>
      <c r="D1323" s="64"/>
      <c r="E1323" s="64"/>
      <c r="F1323" s="64"/>
      <c r="G1323" s="64"/>
      <c r="H1323" s="64"/>
      <c r="I1323" s="64"/>
      <c r="J1323" s="64"/>
      <c r="K1323" s="64"/>
      <c r="L1323" s="64"/>
      <c r="M1323" s="64"/>
      <c r="N1323" s="64"/>
      <c r="O1323" s="64"/>
      <c r="P1323" s="64"/>
      <c r="Q1323" s="64"/>
      <c r="R1323" s="64"/>
      <c r="S1323" s="64"/>
    </row>
    <row r="1324" spans="1:19" x14ac:dyDescent="0.25">
      <c r="A1324" s="63"/>
      <c r="B1324" s="64"/>
      <c r="C1324" s="64"/>
      <c r="D1324" s="64"/>
      <c r="E1324" s="64"/>
      <c r="F1324" s="64"/>
      <c r="G1324" s="64"/>
      <c r="H1324" s="64"/>
      <c r="I1324" s="64"/>
      <c r="J1324" s="64"/>
      <c r="K1324" s="64"/>
      <c r="L1324" s="64"/>
      <c r="M1324" s="64"/>
      <c r="N1324" s="64"/>
      <c r="O1324" s="64"/>
      <c r="P1324" s="64"/>
      <c r="Q1324" s="64"/>
      <c r="R1324" s="64"/>
      <c r="S1324" s="64"/>
    </row>
    <row r="1325" spans="1:19" x14ac:dyDescent="0.25">
      <c r="A1325" s="63"/>
      <c r="B1325" s="64"/>
      <c r="C1325" s="64"/>
      <c r="D1325" s="64"/>
      <c r="E1325" s="64"/>
      <c r="F1325" s="64"/>
      <c r="G1325" s="64"/>
      <c r="H1325" s="64"/>
      <c r="I1325" s="64"/>
      <c r="J1325" s="64"/>
      <c r="K1325" s="64"/>
      <c r="L1325" s="64"/>
      <c r="M1325" s="64"/>
      <c r="N1325" s="64"/>
      <c r="O1325" s="64"/>
      <c r="P1325" s="64"/>
      <c r="Q1325" s="64"/>
      <c r="R1325" s="64"/>
      <c r="S1325" s="64"/>
    </row>
    <row r="1326" spans="1:19" x14ac:dyDescent="0.25">
      <c r="A1326" s="63"/>
      <c r="B1326" s="64"/>
      <c r="C1326" s="64"/>
      <c r="D1326" s="64"/>
      <c r="E1326" s="64"/>
      <c r="F1326" s="64"/>
      <c r="G1326" s="64"/>
      <c r="H1326" s="64"/>
      <c r="I1326" s="64"/>
      <c r="J1326" s="64"/>
      <c r="K1326" s="64"/>
      <c r="L1326" s="64"/>
      <c r="M1326" s="64"/>
      <c r="N1326" s="64"/>
      <c r="O1326" s="64"/>
      <c r="P1326" s="64"/>
      <c r="Q1326" s="64"/>
      <c r="R1326" s="64"/>
      <c r="S1326" s="64"/>
    </row>
    <row r="1327" spans="1:19" x14ac:dyDescent="0.25">
      <c r="A1327" s="63"/>
      <c r="B1327" s="64"/>
      <c r="C1327" s="64"/>
      <c r="D1327" s="64"/>
      <c r="E1327" s="64"/>
      <c r="F1327" s="64"/>
      <c r="G1327" s="64"/>
      <c r="H1327" s="64"/>
      <c r="I1327" s="64"/>
      <c r="J1327" s="64"/>
      <c r="K1327" s="64"/>
      <c r="L1327" s="64"/>
      <c r="M1327" s="64"/>
      <c r="N1327" s="64"/>
      <c r="O1327" s="64"/>
      <c r="P1327" s="64"/>
      <c r="Q1327" s="64"/>
      <c r="R1327" s="64"/>
      <c r="S1327" s="64"/>
    </row>
    <row r="1328" spans="1:19" x14ac:dyDescent="0.25">
      <c r="A1328" s="63"/>
      <c r="B1328" s="64"/>
      <c r="C1328" s="64"/>
      <c r="D1328" s="64"/>
      <c r="E1328" s="64"/>
      <c r="F1328" s="64"/>
      <c r="G1328" s="64"/>
      <c r="H1328" s="64"/>
      <c r="I1328" s="64"/>
      <c r="J1328" s="64"/>
      <c r="K1328" s="64"/>
      <c r="L1328" s="64"/>
      <c r="M1328" s="64"/>
      <c r="N1328" s="64"/>
      <c r="O1328" s="64"/>
      <c r="P1328" s="64"/>
      <c r="Q1328" s="64"/>
      <c r="R1328" s="64"/>
      <c r="S1328" s="64"/>
    </row>
    <row r="1329" spans="1:19" x14ac:dyDescent="0.25">
      <c r="A1329" s="63"/>
      <c r="B1329" s="64"/>
      <c r="C1329" s="64"/>
      <c r="D1329" s="64"/>
      <c r="E1329" s="64"/>
      <c r="F1329" s="64"/>
      <c r="G1329" s="64"/>
      <c r="H1329" s="64"/>
      <c r="I1329" s="64"/>
      <c r="J1329" s="64"/>
      <c r="K1329" s="64"/>
      <c r="L1329" s="64"/>
      <c r="M1329" s="64"/>
      <c r="N1329" s="64"/>
      <c r="O1329" s="64"/>
      <c r="P1329" s="64"/>
      <c r="Q1329" s="64"/>
      <c r="R1329" s="64"/>
      <c r="S1329" s="64"/>
    </row>
    <row r="1330" spans="1:19" x14ac:dyDescent="0.25">
      <c r="A1330" s="63"/>
      <c r="B1330" s="64"/>
      <c r="C1330" s="64"/>
      <c r="D1330" s="64"/>
      <c r="E1330" s="64"/>
      <c r="F1330" s="64"/>
      <c r="G1330" s="64"/>
      <c r="H1330" s="64"/>
      <c r="I1330" s="64"/>
      <c r="J1330" s="64"/>
      <c r="K1330" s="64"/>
      <c r="L1330" s="64"/>
      <c r="M1330" s="64"/>
      <c r="N1330" s="64"/>
      <c r="O1330" s="64"/>
      <c r="P1330" s="64"/>
      <c r="Q1330" s="64"/>
      <c r="R1330" s="64"/>
      <c r="S1330" s="64"/>
    </row>
    <row r="1331" spans="1:19" x14ac:dyDescent="0.25">
      <c r="A1331" s="63"/>
      <c r="B1331" s="64"/>
      <c r="C1331" s="64"/>
      <c r="D1331" s="64"/>
      <c r="E1331" s="64"/>
      <c r="F1331" s="64"/>
      <c r="G1331" s="64"/>
      <c r="H1331" s="64"/>
      <c r="I1331" s="64"/>
      <c r="J1331" s="64"/>
      <c r="K1331" s="64"/>
      <c r="L1331" s="64"/>
      <c r="M1331" s="64"/>
      <c r="N1331" s="64"/>
      <c r="O1331" s="64"/>
      <c r="P1331" s="64"/>
      <c r="Q1331" s="64"/>
      <c r="R1331" s="64"/>
      <c r="S1331" s="64"/>
    </row>
    <row r="1332" spans="1:19" x14ac:dyDescent="0.25">
      <c r="A1332" s="63"/>
      <c r="B1332" s="64"/>
      <c r="C1332" s="64"/>
      <c r="D1332" s="64"/>
      <c r="E1332" s="64"/>
      <c r="F1332" s="64"/>
      <c r="G1332" s="64"/>
      <c r="H1332" s="64"/>
      <c r="I1332" s="64"/>
      <c r="J1332" s="64"/>
      <c r="K1332" s="64"/>
      <c r="L1332" s="64"/>
      <c r="M1332" s="64"/>
      <c r="N1332" s="64"/>
      <c r="O1332" s="64"/>
      <c r="P1332" s="64"/>
      <c r="Q1332" s="64"/>
      <c r="R1332" s="64"/>
      <c r="S1332" s="64"/>
    </row>
    <row r="1333" spans="1:19" x14ac:dyDescent="0.25">
      <c r="A1333" s="63"/>
      <c r="B1333" s="64"/>
      <c r="C1333" s="64"/>
      <c r="D1333" s="64"/>
      <c r="E1333" s="64"/>
      <c r="F1333" s="64"/>
      <c r="G1333" s="64"/>
      <c r="H1333" s="64"/>
      <c r="I1333" s="64"/>
      <c r="J1333" s="64"/>
      <c r="K1333" s="64"/>
      <c r="L1333" s="64"/>
      <c r="M1333" s="64"/>
      <c r="N1333" s="64"/>
      <c r="O1333" s="64"/>
      <c r="P1333" s="64"/>
      <c r="Q1333" s="64"/>
      <c r="R1333" s="64"/>
      <c r="S1333" s="64"/>
    </row>
    <row r="1334" spans="1:19" x14ac:dyDescent="0.25">
      <c r="A1334" s="63"/>
      <c r="B1334" s="64"/>
      <c r="C1334" s="64"/>
      <c r="D1334" s="64"/>
      <c r="E1334" s="64"/>
      <c r="F1334" s="64"/>
      <c r="G1334" s="64"/>
      <c r="H1334" s="64"/>
      <c r="I1334" s="64"/>
      <c r="J1334" s="64"/>
      <c r="K1334" s="64"/>
      <c r="L1334" s="64"/>
      <c r="M1334" s="64"/>
      <c r="N1334" s="64"/>
      <c r="O1334" s="64"/>
      <c r="P1334" s="64"/>
      <c r="Q1334" s="64"/>
      <c r="R1334" s="64"/>
      <c r="S1334" s="64"/>
    </row>
    <row r="1335" spans="1:19" x14ac:dyDescent="0.25">
      <c r="A1335" s="63"/>
      <c r="B1335" s="64"/>
      <c r="C1335" s="64"/>
      <c r="D1335" s="64"/>
      <c r="E1335" s="64"/>
      <c r="F1335" s="64"/>
      <c r="G1335" s="64"/>
      <c r="H1335" s="64"/>
      <c r="I1335" s="64"/>
      <c r="J1335" s="64"/>
      <c r="K1335" s="64"/>
      <c r="L1335" s="64"/>
      <c r="M1335" s="64"/>
      <c r="N1335" s="64"/>
      <c r="O1335" s="64"/>
      <c r="P1335" s="64"/>
      <c r="Q1335" s="64"/>
      <c r="R1335" s="64"/>
      <c r="S1335" s="64"/>
    </row>
    <row r="1336" spans="1:19" x14ac:dyDescent="0.25">
      <c r="A1336" s="63"/>
      <c r="B1336" s="64"/>
      <c r="C1336" s="64"/>
      <c r="D1336" s="64"/>
      <c r="E1336" s="64"/>
      <c r="F1336" s="64"/>
      <c r="G1336" s="64"/>
      <c r="H1336" s="64"/>
      <c r="I1336" s="64"/>
      <c r="J1336" s="64"/>
      <c r="K1336" s="64"/>
      <c r="L1336" s="64"/>
      <c r="M1336" s="64"/>
      <c r="N1336" s="64"/>
      <c r="O1336" s="64"/>
      <c r="P1336" s="64"/>
      <c r="Q1336" s="64"/>
      <c r="R1336" s="64"/>
      <c r="S1336" s="64"/>
    </row>
    <row r="1337" spans="1:19" x14ac:dyDescent="0.25">
      <c r="A1337" s="63"/>
      <c r="B1337" s="64"/>
      <c r="C1337" s="64"/>
      <c r="D1337" s="64"/>
      <c r="E1337" s="64"/>
      <c r="F1337" s="64"/>
      <c r="G1337" s="64"/>
      <c r="H1337" s="64"/>
      <c r="I1337" s="64"/>
      <c r="J1337" s="64"/>
      <c r="K1337" s="64"/>
      <c r="L1337" s="64"/>
      <c r="M1337" s="64"/>
      <c r="N1337" s="64"/>
      <c r="O1337" s="64"/>
      <c r="P1337" s="64"/>
      <c r="Q1337" s="64"/>
      <c r="R1337" s="64"/>
      <c r="S1337" s="64"/>
    </row>
    <row r="1338" spans="1:19" x14ac:dyDescent="0.25">
      <c r="A1338" s="63"/>
      <c r="B1338" s="64"/>
      <c r="C1338" s="64"/>
      <c r="D1338" s="64"/>
      <c r="E1338" s="64"/>
      <c r="F1338" s="64"/>
      <c r="G1338" s="64"/>
      <c r="H1338" s="64"/>
      <c r="I1338" s="64"/>
      <c r="J1338" s="64"/>
      <c r="K1338" s="64"/>
      <c r="L1338" s="64"/>
      <c r="M1338" s="64"/>
      <c r="N1338" s="64"/>
      <c r="O1338" s="64"/>
      <c r="P1338" s="64"/>
      <c r="Q1338" s="64"/>
      <c r="R1338" s="64"/>
      <c r="S1338" s="64"/>
    </row>
    <row r="1339" spans="1:19" x14ac:dyDescent="0.25">
      <c r="A1339" s="63"/>
      <c r="B1339" s="64"/>
      <c r="C1339" s="64"/>
      <c r="D1339" s="64"/>
      <c r="E1339" s="64"/>
      <c r="F1339" s="64"/>
      <c r="G1339" s="64"/>
      <c r="H1339" s="64"/>
      <c r="I1339" s="64"/>
      <c r="J1339" s="64"/>
      <c r="K1339" s="64"/>
      <c r="L1339" s="64"/>
      <c r="M1339" s="64"/>
      <c r="N1339" s="64"/>
      <c r="O1339" s="64"/>
      <c r="P1339" s="64"/>
      <c r="Q1339" s="64"/>
      <c r="R1339" s="64"/>
      <c r="S1339" s="64"/>
    </row>
    <row r="1340" spans="1:19" x14ac:dyDescent="0.25">
      <c r="A1340" s="63"/>
      <c r="B1340" s="64"/>
      <c r="C1340" s="64"/>
      <c r="D1340" s="64"/>
      <c r="E1340" s="64"/>
      <c r="F1340" s="64"/>
      <c r="G1340" s="64"/>
      <c r="H1340" s="64"/>
      <c r="I1340" s="64"/>
      <c r="J1340" s="64"/>
      <c r="K1340" s="64"/>
      <c r="L1340" s="64"/>
      <c r="M1340" s="64"/>
      <c r="N1340" s="64"/>
      <c r="O1340" s="64"/>
      <c r="P1340" s="64"/>
      <c r="Q1340" s="64"/>
      <c r="R1340" s="64"/>
      <c r="S1340" s="64"/>
    </row>
    <row r="1341" spans="1:19" x14ac:dyDescent="0.25">
      <c r="A1341" s="63"/>
      <c r="B1341" s="64"/>
      <c r="C1341" s="64"/>
      <c r="D1341" s="64"/>
      <c r="E1341" s="64"/>
      <c r="F1341" s="64"/>
      <c r="G1341" s="64"/>
      <c r="H1341" s="64"/>
      <c r="I1341" s="64"/>
      <c r="J1341" s="64"/>
      <c r="K1341" s="64"/>
      <c r="L1341" s="64"/>
      <c r="M1341" s="64"/>
      <c r="N1341" s="64"/>
      <c r="O1341" s="64"/>
      <c r="P1341" s="64"/>
      <c r="Q1341" s="64"/>
      <c r="R1341" s="64"/>
      <c r="S1341" s="64"/>
    </row>
    <row r="1342" spans="1:19" x14ac:dyDescent="0.25">
      <c r="A1342" s="63"/>
      <c r="B1342" s="64"/>
      <c r="C1342" s="64"/>
      <c r="D1342" s="64"/>
      <c r="E1342" s="64"/>
      <c r="F1342" s="64"/>
      <c r="G1342" s="64"/>
      <c r="H1342" s="64"/>
      <c r="I1342" s="64"/>
      <c r="J1342" s="64"/>
      <c r="K1342" s="64"/>
      <c r="L1342" s="64"/>
      <c r="M1342" s="64"/>
      <c r="N1342" s="64"/>
      <c r="O1342" s="64"/>
      <c r="P1342" s="64"/>
      <c r="Q1342" s="64"/>
      <c r="R1342" s="64"/>
      <c r="S1342" s="64"/>
    </row>
    <row r="1343" spans="1:19" x14ac:dyDescent="0.25">
      <c r="A1343" s="63"/>
      <c r="B1343" s="64"/>
      <c r="C1343" s="64"/>
      <c r="D1343" s="64"/>
      <c r="E1343" s="64"/>
      <c r="F1343" s="64"/>
      <c r="G1343" s="64"/>
      <c r="H1343" s="64"/>
      <c r="I1343" s="64"/>
      <c r="J1343" s="64"/>
      <c r="K1343" s="64"/>
      <c r="L1343" s="64"/>
      <c r="M1343" s="64"/>
      <c r="N1343" s="64"/>
      <c r="O1343" s="64"/>
      <c r="P1343" s="64"/>
      <c r="Q1343" s="64"/>
      <c r="R1343" s="64"/>
      <c r="S1343" s="64"/>
    </row>
    <row r="1344" spans="1:19" x14ac:dyDescent="0.25">
      <c r="A1344" s="63"/>
      <c r="B1344" s="64"/>
      <c r="C1344" s="64"/>
      <c r="D1344" s="64"/>
      <c r="E1344" s="64"/>
      <c r="F1344" s="64"/>
      <c r="G1344" s="64"/>
      <c r="H1344" s="64"/>
      <c r="I1344" s="64"/>
      <c r="J1344" s="64"/>
      <c r="K1344" s="64"/>
      <c r="L1344" s="64"/>
      <c r="M1344" s="64"/>
      <c r="N1344" s="64"/>
      <c r="O1344" s="64"/>
      <c r="P1344" s="64"/>
      <c r="Q1344" s="64"/>
      <c r="R1344" s="64"/>
      <c r="S1344" s="64"/>
    </row>
    <row r="1345" spans="1:19" x14ac:dyDescent="0.25">
      <c r="A1345" s="63"/>
      <c r="B1345" s="64"/>
      <c r="C1345" s="64"/>
      <c r="D1345" s="64"/>
      <c r="E1345" s="64"/>
      <c r="F1345" s="64"/>
      <c r="G1345" s="64"/>
      <c r="H1345" s="64"/>
      <c r="I1345" s="64"/>
      <c r="J1345" s="64"/>
      <c r="K1345" s="64"/>
      <c r="L1345" s="64"/>
      <c r="M1345" s="64"/>
      <c r="N1345" s="64"/>
      <c r="O1345" s="64"/>
      <c r="P1345" s="64"/>
      <c r="Q1345" s="64"/>
      <c r="R1345" s="64"/>
      <c r="S1345" s="64"/>
    </row>
    <row r="1346" spans="1:19" x14ac:dyDescent="0.25">
      <c r="A1346" s="63"/>
      <c r="B1346" s="64"/>
      <c r="C1346" s="64"/>
      <c r="D1346" s="64"/>
      <c r="E1346" s="64"/>
      <c r="F1346" s="64"/>
      <c r="G1346" s="64"/>
      <c r="H1346" s="64"/>
      <c r="I1346" s="64"/>
      <c r="J1346" s="64"/>
      <c r="K1346" s="64"/>
      <c r="L1346" s="64"/>
      <c r="M1346" s="64"/>
      <c r="N1346" s="64"/>
      <c r="O1346" s="64"/>
      <c r="P1346" s="64"/>
      <c r="Q1346" s="64"/>
      <c r="R1346" s="64"/>
      <c r="S1346" s="64"/>
    </row>
    <row r="1347" spans="1:19" x14ac:dyDescent="0.25">
      <c r="A1347" s="63"/>
      <c r="B1347" s="64"/>
      <c r="C1347" s="64"/>
      <c r="D1347" s="64"/>
      <c r="E1347" s="64"/>
      <c r="F1347" s="64"/>
      <c r="G1347" s="64"/>
      <c r="H1347" s="64"/>
      <c r="I1347" s="64"/>
      <c r="J1347" s="64"/>
      <c r="K1347" s="64"/>
      <c r="L1347" s="64"/>
      <c r="M1347" s="64"/>
      <c r="N1347" s="64"/>
      <c r="O1347" s="64"/>
      <c r="P1347" s="64"/>
      <c r="Q1347" s="64"/>
      <c r="R1347" s="64"/>
      <c r="S1347" s="64"/>
    </row>
    <row r="1348" spans="1:19" x14ac:dyDescent="0.25">
      <c r="A1348" s="63"/>
      <c r="B1348" s="64"/>
      <c r="C1348" s="64"/>
      <c r="D1348" s="64"/>
      <c r="E1348" s="64"/>
      <c r="F1348" s="64"/>
      <c r="G1348" s="64"/>
      <c r="H1348" s="64"/>
      <c r="I1348" s="64"/>
      <c r="J1348" s="64"/>
      <c r="K1348" s="64"/>
      <c r="L1348" s="64"/>
      <c r="M1348" s="64"/>
      <c r="N1348" s="64"/>
      <c r="O1348" s="64"/>
      <c r="P1348" s="64"/>
      <c r="Q1348" s="64"/>
      <c r="R1348" s="64"/>
      <c r="S1348" s="64"/>
    </row>
    <row r="1349" spans="1:19" x14ac:dyDescent="0.25">
      <c r="A1349" s="63"/>
      <c r="B1349" s="64"/>
      <c r="C1349" s="64"/>
      <c r="D1349" s="64"/>
      <c r="E1349" s="64"/>
      <c r="F1349" s="64"/>
      <c r="G1349" s="64"/>
      <c r="H1349" s="64"/>
      <c r="I1349" s="64"/>
      <c r="J1349" s="64"/>
      <c r="K1349" s="64"/>
      <c r="L1349" s="64"/>
      <c r="M1349" s="64"/>
      <c r="N1349" s="64"/>
      <c r="O1349" s="64"/>
      <c r="P1349" s="64"/>
      <c r="Q1349" s="64"/>
      <c r="R1349" s="64"/>
      <c r="S1349" s="64"/>
    </row>
    <row r="1350" spans="1:19" x14ac:dyDescent="0.25">
      <c r="A1350" s="63"/>
      <c r="B1350" s="64"/>
      <c r="C1350" s="64"/>
      <c r="D1350" s="64"/>
      <c r="E1350" s="64"/>
      <c r="F1350" s="64"/>
      <c r="G1350" s="64"/>
      <c r="H1350" s="64"/>
      <c r="I1350" s="64"/>
      <c r="J1350" s="64"/>
      <c r="K1350" s="64"/>
      <c r="L1350" s="64"/>
      <c r="M1350" s="64"/>
      <c r="N1350" s="64"/>
      <c r="O1350" s="64"/>
      <c r="P1350" s="64"/>
      <c r="Q1350" s="64"/>
      <c r="R1350" s="64"/>
      <c r="S1350" s="64"/>
    </row>
    <row r="1351" spans="1:19" x14ac:dyDescent="0.25">
      <c r="A1351" s="63"/>
      <c r="B1351" s="64"/>
      <c r="C1351" s="64"/>
      <c r="D1351" s="64"/>
      <c r="E1351" s="64"/>
      <c r="F1351" s="64"/>
      <c r="G1351" s="64"/>
      <c r="H1351" s="64"/>
      <c r="I1351" s="64"/>
      <c r="J1351" s="64"/>
      <c r="K1351" s="64"/>
      <c r="L1351" s="64"/>
      <c r="M1351" s="64"/>
      <c r="N1351" s="64"/>
      <c r="O1351" s="64"/>
      <c r="P1351" s="64"/>
      <c r="Q1351" s="64"/>
      <c r="R1351" s="64"/>
      <c r="S1351" s="64"/>
    </row>
    <row r="1352" spans="1:19" x14ac:dyDescent="0.25">
      <c r="A1352" s="63"/>
      <c r="B1352" s="64"/>
      <c r="C1352" s="64"/>
      <c r="D1352" s="64"/>
      <c r="E1352" s="64"/>
      <c r="F1352" s="64"/>
      <c r="G1352" s="64"/>
      <c r="H1352" s="64"/>
      <c r="I1352" s="64"/>
      <c r="J1352" s="64"/>
      <c r="K1352" s="64"/>
      <c r="L1352" s="64"/>
      <c r="M1352" s="64"/>
      <c r="N1352" s="64"/>
      <c r="O1352" s="64"/>
      <c r="P1352" s="64"/>
      <c r="Q1352" s="64"/>
      <c r="R1352" s="64"/>
      <c r="S1352" s="64"/>
    </row>
    <row r="1353" spans="1:19" x14ac:dyDescent="0.25">
      <c r="A1353" s="63"/>
      <c r="B1353" s="64"/>
      <c r="C1353" s="64"/>
      <c r="D1353" s="64"/>
      <c r="E1353" s="64"/>
      <c r="F1353" s="64"/>
      <c r="G1353" s="64"/>
      <c r="H1353" s="64"/>
      <c r="I1353" s="64"/>
      <c r="J1353" s="64"/>
      <c r="K1353" s="64"/>
      <c r="L1353" s="64"/>
      <c r="M1353" s="64"/>
      <c r="N1353" s="64"/>
      <c r="O1353" s="64"/>
      <c r="P1353" s="64"/>
      <c r="Q1353" s="64"/>
      <c r="R1353" s="64"/>
      <c r="S1353" s="64"/>
    </row>
    <row r="1354" spans="1:19" x14ac:dyDescent="0.25">
      <c r="A1354" s="63"/>
      <c r="B1354" s="64"/>
      <c r="C1354" s="64"/>
      <c r="D1354" s="64"/>
      <c r="E1354" s="64"/>
      <c r="F1354" s="64"/>
      <c r="G1354" s="64"/>
      <c r="H1354" s="64"/>
      <c r="I1354" s="64"/>
      <c r="J1354" s="64"/>
      <c r="K1354" s="64"/>
      <c r="L1354" s="64"/>
      <c r="M1354" s="64"/>
      <c r="N1354" s="64"/>
      <c r="O1354" s="64"/>
      <c r="P1354" s="64"/>
      <c r="Q1354" s="64"/>
      <c r="R1354" s="64"/>
      <c r="S1354" s="64"/>
    </row>
    <row r="1355" spans="1:19" x14ac:dyDescent="0.25">
      <c r="A1355" s="63"/>
      <c r="B1355" s="64"/>
      <c r="C1355" s="64"/>
      <c r="D1355" s="64"/>
      <c r="E1355" s="64"/>
      <c r="F1355" s="64"/>
      <c r="G1355" s="64"/>
      <c r="H1355" s="64"/>
      <c r="I1355" s="64"/>
      <c r="J1355" s="64"/>
      <c r="K1355" s="64"/>
      <c r="L1355" s="64"/>
      <c r="M1355" s="64"/>
      <c r="N1355" s="64"/>
      <c r="O1355" s="64"/>
      <c r="P1355" s="64"/>
      <c r="Q1355" s="64"/>
      <c r="R1355" s="64"/>
      <c r="S1355" s="64"/>
    </row>
    <row r="1356" spans="1:19" x14ac:dyDescent="0.25">
      <c r="A1356" s="63"/>
      <c r="B1356" s="64"/>
      <c r="C1356" s="64"/>
      <c r="D1356" s="64"/>
      <c r="E1356" s="64"/>
      <c r="F1356" s="64"/>
      <c r="G1356" s="64"/>
      <c r="H1356" s="64"/>
      <c r="I1356" s="64"/>
      <c r="J1356" s="64"/>
      <c r="K1356" s="64"/>
      <c r="L1356" s="64"/>
      <c r="M1356" s="64"/>
      <c r="N1356" s="64"/>
      <c r="O1356" s="64"/>
      <c r="P1356" s="64"/>
      <c r="Q1356" s="64"/>
      <c r="R1356" s="64"/>
      <c r="S1356" s="64"/>
    </row>
    <row r="1357" spans="1:19" x14ac:dyDescent="0.25">
      <c r="A1357" s="63"/>
      <c r="B1357" s="64"/>
      <c r="C1357" s="64"/>
      <c r="D1357" s="64"/>
      <c r="E1357" s="64"/>
      <c r="F1357" s="64"/>
      <c r="G1357" s="64"/>
      <c r="H1357" s="64"/>
      <c r="I1357" s="64"/>
      <c r="J1357" s="64"/>
      <c r="K1357" s="64"/>
      <c r="L1357" s="64"/>
      <c r="M1357" s="64"/>
      <c r="N1357" s="64"/>
      <c r="O1357" s="64"/>
      <c r="P1357" s="64"/>
      <c r="Q1357" s="64"/>
      <c r="R1357" s="64"/>
      <c r="S1357" s="64"/>
    </row>
    <row r="1358" spans="1:19" x14ac:dyDescent="0.25">
      <c r="A1358" s="63"/>
      <c r="B1358" s="64"/>
      <c r="C1358" s="64"/>
      <c r="D1358" s="64"/>
      <c r="E1358" s="64"/>
      <c r="F1358" s="64"/>
      <c r="G1358" s="64"/>
      <c r="H1358" s="64"/>
      <c r="I1358" s="64"/>
      <c r="J1358" s="64"/>
      <c r="K1358" s="64"/>
      <c r="L1358" s="64"/>
      <c r="M1358" s="64"/>
      <c r="N1358" s="64"/>
      <c r="O1358" s="64"/>
      <c r="P1358" s="64"/>
      <c r="Q1358" s="64"/>
      <c r="R1358" s="64"/>
      <c r="S1358" s="64"/>
    </row>
    <row r="1359" spans="1:19" x14ac:dyDescent="0.25">
      <c r="A1359" s="63"/>
      <c r="B1359" s="64"/>
      <c r="C1359" s="64"/>
      <c r="D1359" s="64"/>
      <c r="E1359" s="64"/>
      <c r="F1359" s="64"/>
      <c r="G1359" s="64"/>
      <c r="H1359" s="64"/>
      <c r="I1359" s="64"/>
      <c r="J1359" s="64"/>
      <c r="K1359" s="64"/>
      <c r="L1359" s="64"/>
      <c r="M1359" s="64"/>
      <c r="N1359" s="64"/>
      <c r="O1359" s="64"/>
      <c r="P1359" s="64"/>
      <c r="Q1359" s="64"/>
      <c r="R1359" s="64"/>
      <c r="S1359" s="64"/>
    </row>
    <row r="1360" spans="1:19" x14ac:dyDescent="0.25">
      <c r="A1360" s="63"/>
      <c r="B1360" s="64"/>
      <c r="C1360" s="64"/>
      <c r="D1360" s="64"/>
      <c r="E1360" s="64"/>
      <c r="F1360" s="64"/>
      <c r="G1360" s="64"/>
      <c r="H1360" s="64"/>
      <c r="I1360" s="64"/>
      <c r="J1360" s="64"/>
      <c r="K1360" s="64"/>
      <c r="L1360" s="64"/>
      <c r="M1360" s="64"/>
      <c r="N1360" s="64"/>
      <c r="O1360" s="64"/>
      <c r="P1360" s="64"/>
      <c r="Q1360" s="64"/>
      <c r="R1360" s="64"/>
      <c r="S1360" s="64"/>
    </row>
    <row r="1361" spans="1:19" x14ac:dyDescent="0.25">
      <c r="A1361" s="63"/>
      <c r="B1361" s="64"/>
      <c r="C1361" s="64"/>
      <c r="D1361" s="64"/>
      <c r="E1361" s="64"/>
      <c r="F1361" s="64"/>
      <c r="G1361" s="64"/>
      <c r="H1361" s="64"/>
      <c r="I1361" s="64"/>
      <c r="J1361" s="64"/>
      <c r="K1361" s="64"/>
      <c r="L1361" s="64"/>
      <c r="M1361" s="64"/>
      <c r="N1361" s="64"/>
      <c r="O1361" s="64"/>
      <c r="P1361" s="64"/>
      <c r="Q1361" s="64"/>
      <c r="R1361" s="64"/>
      <c r="S1361" s="64"/>
    </row>
    <row r="1362" spans="1:19" x14ac:dyDescent="0.25">
      <c r="A1362" s="63"/>
      <c r="B1362" s="64"/>
      <c r="C1362" s="64"/>
      <c r="D1362" s="64"/>
      <c r="E1362" s="64"/>
      <c r="F1362" s="64"/>
      <c r="G1362" s="64"/>
      <c r="H1362" s="64"/>
      <c r="I1362" s="64"/>
      <c r="J1362" s="64"/>
      <c r="K1362" s="64"/>
      <c r="L1362" s="64"/>
      <c r="M1362" s="64"/>
      <c r="N1362" s="64"/>
      <c r="O1362" s="64"/>
      <c r="P1362" s="64"/>
      <c r="Q1362" s="64"/>
      <c r="R1362" s="64"/>
      <c r="S1362" s="64"/>
    </row>
    <row r="1363" spans="1:19" x14ac:dyDescent="0.25">
      <c r="A1363" s="63"/>
      <c r="B1363" s="64"/>
      <c r="C1363" s="64"/>
      <c r="D1363" s="64"/>
      <c r="E1363" s="64"/>
      <c r="F1363" s="64"/>
      <c r="G1363" s="64"/>
      <c r="H1363" s="64"/>
      <c r="I1363" s="64"/>
      <c r="J1363" s="64"/>
      <c r="K1363" s="64"/>
      <c r="L1363" s="64"/>
      <c r="M1363" s="64"/>
      <c r="N1363" s="64"/>
      <c r="O1363" s="64"/>
      <c r="P1363" s="64"/>
      <c r="Q1363" s="64"/>
      <c r="R1363" s="64"/>
      <c r="S1363" s="64"/>
    </row>
    <row r="1364" spans="1:19" x14ac:dyDescent="0.25">
      <c r="A1364" s="63"/>
      <c r="B1364" s="64"/>
      <c r="C1364" s="64"/>
      <c r="D1364" s="64"/>
      <c r="E1364" s="64"/>
      <c r="F1364" s="64"/>
      <c r="G1364" s="64"/>
      <c r="H1364" s="64"/>
      <c r="I1364" s="64"/>
      <c r="J1364" s="64"/>
      <c r="K1364" s="64"/>
      <c r="L1364" s="64"/>
      <c r="M1364" s="64"/>
      <c r="N1364" s="64"/>
      <c r="O1364" s="64"/>
      <c r="P1364" s="64"/>
      <c r="Q1364" s="64"/>
      <c r="R1364" s="64"/>
      <c r="S1364" s="64"/>
    </row>
    <row r="1365" spans="1:19" x14ac:dyDescent="0.25">
      <c r="A1365" s="63"/>
      <c r="B1365" s="64"/>
      <c r="C1365" s="64"/>
      <c r="D1365" s="64"/>
      <c r="E1365" s="64"/>
      <c r="F1365" s="64"/>
      <c r="G1365" s="64"/>
      <c r="H1365" s="64"/>
      <c r="I1365" s="64"/>
      <c r="J1365" s="64"/>
      <c r="K1365" s="64"/>
      <c r="L1365" s="64"/>
      <c r="M1365" s="64"/>
      <c r="N1365" s="64"/>
      <c r="O1365" s="64"/>
      <c r="P1365" s="64"/>
      <c r="Q1365" s="64"/>
      <c r="R1365" s="64"/>
      <c r="S1365" s="64"/>
    </row>
    <row r="1366" spans="1:19" x14ac:dyDescent="0.25">
      <c r="A1366" s="63"/>
      <c r="B1366" s="64"/>
      <c r="C1366" s="64"/>
      <c r="D1366" s="64"/>
      <c r="E1366" s="64"/>
      <c r="F1366" s="64"/>
      <c r="G1366" s="64"/>
      <c r="H1366" s="64"/>
      <c r="I1366" s="64"/>
      <c r="J1366" s="64"/>
      <c r="K1366" s="64"/>
      <c r="L1366" s="64"/>
      <c r="M1366" s="64"/>
      <c r="N1366" s="64"/>
      <c r="O1366" s="64"/>
      <c r="P1366" s="64"/>
      <c r="Q1366" s="64"/>
      <c r="R1366" s="64"/>
      <c r="S1366" s="64"/>
    </row>
    <row r="1367" spans="1:19" x14ac:dyDescent="0.25">
      <c r="A1367" s="63"/>
      <c r="B1367" s="64"/>
      <c r="C1367" s="64"/>
      <c r="D1367" s="64"/>
      <c r="E1367" s="64"/>
      <c r="F1367" s="64"/>
      <c r="G1367" s="64"/>
      <c r="H1367" s="64"/>
      <c r="I1367" s="64"/>
      <c r="J1367" s="64"/>
      <c r="K1367" s="64"/>
      <c r="L1367" s="64"/>
      <c r="M1367" s="64"/>
      <c r="N1367" s="64"/>
      <c r="O1367" s="64"/>
      <c r="P1367" s="64"/>
      <c r="Q1367" s="64"/>
      <c r="R1367" s="64"/>
      <c r="S1367" s="64"/>
    </row>
    <row r="1368" spans="1:19" x14ac:dyDescent="0.25">
      <c r="A1368" s="63"/>
      <c r="B1368" s="64"/>
      <c r="C1368" s="64"/>
      <c r="D1368" s="64"/>
      <c r="E1368" s="64"/>
      <c r="F1368" s="64"/>
      <c r="G1368" s="64"/>
      <c r="H1368" s="64"/>
      <c r="I1368" s="64"/>
      <c r="J1368" s="64"/>
      <c r="K1368" s="64"/>
      <c r="L1368" s="64"/>
      <c r="M1368" s="64"/>
      <c r="N1368" s="64"/>
      <c r="O1368" s="64"/>
      <c r="P1368" s="64"/>
      <c r="Q1368" s="64"/>
      <c r="R1368" s="64"/>
      <c r="S1368" s="64"/>
    </row>
    <row r="1369" spans="1:19" x14ac:dyDescent="0.25">
      <c r="A1369" s="63"/>
      <c r="B1369" s="64"/>
      <c r="C1369" s="64"/>
      <c r="D1369" s="64"/>
      <c r="E1369" s="64"/>
      <c r="F1369" s="64"/>
      <c r="G1369" s="64"/>
      <c r="H1369" s="64"/>
      <c r="I1369" s="64"/>
      <c r="J1369" s="64"/>
      <c r="K1369" s="64"/>
      <c r="L1369" s="64"/>
      <c r="M1369" s="64"/>
      <c r="N1369" s="64"/>
      <c r="O1369" s="64"/>
      <c r="P1369" s="64"/>
      <c r="Q1369" s="64"/>
      <c r="R1369" s="64"/>
      <c r="S1369" s="64"/>
    </row>
    <row r="1370" spans="1:19" x14ac:dyDescent="0.25">
      <c r="A1370" s="63"/>
      <c r="B1370" s="64"/>
      <c r="C1370" s="64"/>
      <c r="D1370" s="64"/>
      <c r="E1370" s="64"/>
      <c r="F1370" s="64"/>
      <c r="G1370" s="64"/>
      <c r="H1370" s="64"/>
      <c r="I1370" s="64"/>
      <c r="J1370" s="64"/>
      <c r="K1370" s="64"/>
      <c r="L1370" s="64"/>
      <c r="M1370" s="64"/>
      <c r="N1370" s="64"/>
      <c r="O1370" s="64"/>
      <c r="P1370" s="64"/>
      <c r="Q1370" s="64"/>
      <c r="R1370" s="64"/>
      <c r="S1370" s="64"/>
    </row>
    <row r="1371" spans="1:19" x14ac:dyDescent="0.25">
      <c r="A1371" s="63"/>
      <c r="B1371" s="64"/>
      <c r="C1371" s="64"/>
      <c r="D1371" s="64"/>
      <c r="E1371" s="64"/>
      <c r="F1371" s="64"/>
      <c r="G1371" s="64"/>
      <c r="H1371" s="64"/>
      <c r="I1371" s="64"/>
      <c r="J1371" s="64"/>
      <c r="K1371" s="64"/>
      <c r="L1371" s="64"/>
      <c r="M1371" s="64"/>
      <c r="N1371" s="64"/>
      <c r="O1371" s="64"/>
      <c r="P1371" s="64"/>
      <c r="Q1371" s="64"/>
      <c r="R1371" s="64"/>
      <c r="S1371" s="64"/>
    </row>
    <row r="1372" spans="1:19" x14ac:dyDescent="0.25">
      <c r="A1372" s="63"/>
      <c r="B1372" s="64"/>
      <c r="C1372" s="64"/>
      <c r="D1372" s="64"/>
      <c r="E1372" s="64"/>
      <c r="F1372" s="64"/>
      <c r="G1372" s="64"/>
      <c r="H1372" s="64"/>
      <c r="I1372" s="64"/>
      <c r="J1372" s="64"/>
      <c r="K1372" s="64"/>
      <c r="L1372" s="64"/>
      <c r="M1372" s="64"/>
      <c r="N1372" s="64"/>
      <c r="O1372" s="64"/>
      <c r="P1372" s="64"/>
      <c r="Q1372" s="64"/>
      <c r="R1372" s="64"/>
      <c r="S1372" s="64"/>
    </row>
    <row r="1373" spans="1:19" x14ac:dyDescent="0.25">
      <c r="A1373" s="63"/>
      <c r="B1373" s="64"/>
      <c r="C1373" s="64"/>
      <c r="D1373" s="64"/>
      <c r="E1373" s="64"/>
      <c r="F1373" s="64"/>
      <c r="G1373" s="64"/>
      <c r="H1373" s="64"/>
      <c r="I1373" s="64"/>
      <c r="J1373" s="64"/>
      <c r="K1373" s="64"/>
      <c r="L1373" s="64"/>
      <c r="M1373" s="64"/>
      <c r="N1373" s="64"/>
      <c r="O1373" s="64"/>
      <c r="P1373" s="64"/>
      <c r="Q1373" s="64"/>
      <c r="R1373" s="64"/>
      <c r="S1373" s="64"/>
    </row>
    <row r="1374" spans="1:19" x14ac:dyDescent="0.25">
      <c r="A1374" s="63"/>
      <c r="B1374" s="64"/>
      <c r="C1374" s="64"/>
      <c r="D1374" s="64"/>
      <c r="E1374" s="64"/>
      <c r="F1374" s="64"/>
      <c r="G1374" s="64"/>
      <c r="H1374" s="64"/>
      <c r="I1374" s="64"/>
      <c r="J1374" s="64"/>
      <c r="K1374" s="64"/>
      <c r="L1374" s="64"/>
      <c r="M1374" s="64"/>
      <c r="N1374" s="64"/>
      <c r="O1374" s="64"/>
      <c r="P1374" s="64"/>
      <c r="Q1374" s="64"/>
      <c r="R1374" s="64"/>
      <c r="S1374" s="64"/>
    </row>
    <row r="1375" spans="1:19" x14ac:dyDescent="0.25">
      <c r="A1375" s="63"/>
      <c r="B1375" s="64"/>
      <c r="C1375" s="64"/>
      <c r="D1375" s="64"/>
      <c r="E1375" s="64"/>
      <c r="F1375" s="64"/>
      <c r="G1375" s="64"/>
      <c r="H1375" s="64"/>
      <c r="I1375" s="64"/>
      <c r="J1375" s="64"/>
      <c r="K1375" s="64"/>
      <c r="L1375" s="64"/>
      <c r="M1375" s="64"/>
      <c r="N1375" s="64"/>
      <c r="O1375" s="64"/>
      <c r="P1375" s="64"/>
      <c r="Q1375" s="64"/>
      <c r="R1375" s="64"/>
      <c r="S1375" s="64"/>
    </row>
    <row r="1376" spans="1:19" x14ac:dyDescent="0.25">
      <c r="A1376" s="63"/>
      <c r="B1376" s="64"/>
      <c r="C1376" s="64"/>
      <c r="D1376" s="64"/>
      <c r="E1376" s="64"/>
      <c r="F1376" s="64"/>
      <c r="G1376" s="64"/>
      <c r="H1376" s="64"/>
      <c r="I1376" s="64"/>
      <c r="J1376" s="64"/>
      <c r="K1376" s="64"/>
      <c r="L1376" s="64"/>
      <c r="M1376" s="64"/>
      <c r="N1376" s="64"/>
      <c r="O1376" s="64"/>
      <c r="P1376" s="64"/>
      <c r="Q1376" s="64"/>
      <c r="R1376" s="64"/>
      <c r="S1376" s="64"/>
    </row>
    <row r="1377" spans="1:19" x14ac:dyDescent="0.25">
      <c r="A1377" s="63"/>
      <c r="B1377" s="64"/>
      <c r="C1377" s="64"/>
      <c r="D1377" s="64"/>
      <c r="E1377" s="64"/>
      <c r="F1377" s="64"/>
      <c r="G1377" s="64"/>
      <c r="H1377" s="64"/>
      <c r="I1377" s="64"/>
      <c r="J1377" s="64"/>
      <c r="K1377" s="64"/>
      <c r="L1377" s="64"/>
      <c r="M1377" s="64"/>
      <c r="N1377" s="64"/>
      <c r="O1377" s="64"/>
      <c r="P1377" s="64"/>
      <c r="Q1377" s="64"/>
      <c r="R1377" s="64"/>
      <c r="S1377" s="64"/>
    </row>
    <row r="1378" spans="1:19" x14ac:dyDescent="0.25">
      <c r="A1378" s="63"/>
      <c r="B1378" s="64"/>
      <c r="C1378" s="64"/>
      <c r="D1378" s="64"/>
      <c r="E1378" s="64"/>
      <c r="F1378" s="64"/>
      <c r="G1378" s="64"/>
      <c r="H1378" s="64"/>
      <c r="I1378" s="64"/>
      <c r="J1378" s="64"/>
      <c r="K1378" s="64"/>
      <c r="L1378" s="64"/>
      <c r="M1378" s="64"/>
      <c r="N1378" s="64"/>
      <c r="O1378" s="64"/>
      <c r="P1378" s="64"/>
      <c r="Q1378" s="64"/>
      <c r="R1378" s="64"/>
      <c r="S1378" s="64"/>
    </row>
    <row r="1379" spans="1:19" x14ac:dyDescent="0.25">
      <c r="A1379" s="63"/>
      <c r="B1379" s="64"/>
      <c r="C1379" s="64"/>
      <c r="D1379" s="64"/>
      <c r="E1379" s="64"/>
      <c r="F1379" s="64"/>
      <c r="G1379" s="64"/>
      <c r="H1379" s="64"/>
      <c r="I1379" s="64"/>
      <c r="J1379" s="64"/>
      <c r="K1379" s="64"/>
      <c r="L1379" s="64"/>
      <c r="M1379" s="64"/>
      <c r="N1379" s="64"/>
      <c r="O1379" s="64"/>
      <c r="P1379" s="64"/>
      <c r="Q1379" s="64"/>
      <c r="R1379" s="64"/>
      <c r="S1379" s="64"/>
    </row>
    <row r="1380" spans="1:19" x14ac:dyDescent="0.25">
      <c r="A1380" s="63"/>
      <c r="B1380" s="64"/>
      <c r="C1380" s="64"/>
      <c r="D1380" s="64"/>
      <c r="E1380" s="64"/>
      <c r="F1380" s="64"/>
      <c r="G1380" s="64"/>
      <c r="H1380" s="64"/>
      <c r="I1380" s="64"/>
      <c r="J1380" s="64"/>
      <c r="K1380" s="64"/>
      <c r="L1380" s="64"/>
      <c r="M1380" s="64"/>
      <c r="N1380" s="64"/>
      <c r="O1380" s="64"/>
      <c r="P1380" s="64"/>
      <c r="Q1380" s="64"/>
      <c r="R1380" s="64"/>
      <c r="S1380" s="64"/>
    </row>
    <row r="1381" spans="1:19" x14ac:dyDescent="0.25">
      <c r="A1381" s="63"/>
      <c r="B1381" s="64"/>
      <c r="C1381" s="64"/>
      <c r="D1381" s="64"/>
      <c r="E1381" s="64"/>
      <c r="F1381" s="64"/>
      <c r="G1381" s="64"/>
      <c r="H1381" s="64"/>
      <c r="I1381" s="64"/>
      <c r="J1381" s="64"/>
      <c r="K1381" s="64"/>
      <c r="L1381" s="64"/>
      <c r="M1381" s="64"/>
      <c r="N1381" s="64"/>
      <c r="O1381" s="64"/>
      <c r="P1381" s="64"/>
      <c r="Q1381" s="64"/>
      <c r="R1381" s="64"/>
      <c r="S1381" s="64"/>
    </row>
    <row r="1382" spans="1:19" x14ac:dyDescent="0.25">
      <c r="A1382" s="63"/>
      <c r="B1382" s="64"/>
      <c r="C1382" s="64"/>
      <c r="D1382" s="64"/>
      <c r="E1382" s="64"/>
      <c r="F1382" s="64"/>
      <c r="G1382" s="64"/>
      <c r="H1382" s="64"/>
      <c r="I1382" s="64"/>
      <c r="J1382" s="64"/>
      <c r="K1382" s="64"/>
      <c r="L1382" s="64"/>
      <c r="M1382" s="64"/>
      <c r="N1382" s="64"/>
      <c r="O1382" s="64"/>
      <c r="P1382" s="64"/>
      <c r="Q1382" s="64"/>
      <c r="R1382" s="64"/>
      <c r="S1382" s="64"/>
    </row>
    <row r="1383" spans="1:19" x14ac:dyDescent="0.25">
      <c r="A1383" s="63"/>
      <c r="B1383" s="64"/>
      <c r="C1383" s="64"/>
      <c r="D1383" s="64"/>
      <c r="E1383" s="64"/>
      <c r="F1383" s="64"/>
      <c r="G1383" s="64"/>
      <c r="H1383" s="64"/>
      <c r="I1383" s="64"/>
      <c r="J1383" s="64"/>
      <c r="K1383" s="64"/>
      <c r="L1383" s="64"/>
      <c r="M1383" s="64"/>
      <c r="N1383" s="64"/>
      <c r="O1383" s="64"/>
      <c r="P1383" s="64"/>
      <c r="Q1383" s="64"/>
      <c r="R1383" s="64"/>
      <c r="S1383" s="64"/>
    </row>
    <row r="1384" spans="1:19" x14ac:dyDescent="0.25">
      <c r="A1384" s="63"/>
      <c r="B1384" s="64"/>
      <c r="C1384" s="64"/>
      <c r="D1384" s="64"/>
      <c r="E1384" s="64"/>
      <c r="F1384" s="64"/>
      <c r="G1384" s="64"/>
      <c r="H1384" s="64"/>
      <c r="I1384" s="64"/>
      <c r="J1384" s="64"/>
      <c r="K1384" s="64"/>
      <c r="L1384" s="64"/>
      <c r="M1384" s="64"/>
      <c r="N1384" s="64"/>
      <c r="O1384" s="64"/>
      <c r="P1384" s="64"/>
      <c r="Q1384" s="64"/>
      <c r="R1384" s="64"/>
      <c r="S1384" s="64"/>
    </row>
    <row r="1385" spans="1:19" x14ac:dyDescent="0.25">
      <c r="A1385" s="63"/>
      <c r="B1385" s="64"/>
      <c r="C1385" s="64"/>
      <c r="D1385" s="64"/>
      <c r="E1385" s="64"/>
      <c r="F1385" s="64"/>
      <c r="G1385" s="64"/>
      <c r="H1385" s="64"/>
      <c r="I1385" s="64"/>
      <c r="J1385" s="64"/>
      <c r="K1385" s="64"/>
      <c r="L1385" s="64"/>
      <c r="M1385" s="64"/>
      <c r="N1385" s="64"/>
      <c r="O1385" s="64"/>
      <c r="P1385" s="64"/>
      <c r="Q1385" s="64"/>
      <c r="R1385" s="64"/>
      <c r="S1385" s="64"/>
    </row>
    <row r="1386" spans="1:19" x14ac:dyDescent="0.25">
      <c r="A1386" s="63"/>
      <c r="B1386" s="64"/>
      <c r="C1386" s="64"/>
      <c r="D1386" s="64"/>
      <c r="E1386" s="64"/>
      <c r="F1386" s="64"/>
      <c r="G1386" s="64"/>
      <c r="H1386" s="64"/>
      <c r="I1386" s="64"/>
      <c r="J1386" s="64"/>
      <c r="K1386" s="64"/>
      <c r="L1386" s="64"/>
      <c r="M1386" s="64"/>
      <c r="N1386" s="64"/>
      <c r="O1386" s="64"/>
      <c r="P1386" s="64"/>
      <c r="Q1386" s="64"/>
      <c r="R1386" s="64"/>
      <c r="S1386" s="64"/>
    </row>
    <row r="1387" spans="1:19" x14ac:dyDescent="0.25">
      <c r="A1387" s="63"/>
      <c r="B1387" s="64"/>
      <c r="C1387" s="64"/>
      <c r="D1387" s="64"/>
      <c r="E1387" s="64"/>
      <c r="F1387" s="64"/>
      <c r="G1387" s="64"/>
      <c r="H1387" s="64"/>
      <c r="I1387" s="64"/>
      <c r="J1387" s="64"/>
      <c r="K1387" s="64"/>
      <c r="L1387" s="64"/>
      <c r="M1387" s="64"/>
      <c r="N1387" s="64"/>
      <c r="O1387" s="64"/>
      <c r="P1387" s="64"/>
      <c r="Q1387" s="64"/>
      <c r="R1387" s="64"/>
      <c r="S1387" s="64"/>
    </row>
    <row r="1388" spans="1:19" x14ac:dyDescent="0.25">
      <c r="A1388" s="63"/>
      <c r="B1388" s="64"/>
      <c r="C1388" s="64"/>
      <c r="D1388" s="64"/>
      <c r="E1388" s="64"/>
      <c r="F1388" s="64"/>
      <c r="G1388" s="64"/>
      <c r="H1388" s="64"/>
      <c r="I1388" s="64"/>
      <c r="J1388" s="64"/>
      <c r="K1388" s="64"/>
      <c r="L1388" s="64"/>
      <c r="M1388" s="64"/>
      <c r="N1388" s="64"/>
      <c r="O1388" s="64"/>
      <c r="P1388" s="64"/>
      <c r="Q1388" s="64"/>
      <c r="R1388" s="64"/>
      <c r="S1388" s="64"/>
    </row>
    <row r="1389" spans="1:19" x14ac:dyDescent="0.25">
      <c r="A1389" s="63"/>
      <c r="B1389" s="64"/>
      <c r="C1389" s="64"/>
      <c r="D1389" s="64"/>
      <c r="E1389" s="64"/>
      <c r="F1389" s="64"/>
      <c r="G1389" s="64"/>
      <c r="H1389" s="64"/>
      <c r="I1389" s="64"/>
      <c r="J1389" s="64"/>
      <c r="K1389" s="64"/>
      <c r="L1389" s="64"/>
      <c r="M1389" s="64"/>
      <c r="N1389" s="64"/>
      <c r="O1389" s="64"/>
      <c r="P1389" s="64"/>
      <c r="Q1389" s="64"/>
      <c r="R1389" s="64"/>
      <c r="S1389" s="64"/>
    </row>
    <row r="1390" spans="1:19" x14ac:dyDescent="0.25">
      <c r="A1390" s="63"/>
      <c r="B1390" s="64"/>
      <c r="C1390" s="64"/>
      <c r="D1390" s="64"/>
      <c r="E1390" s="64"/>
      <c r="F1390" s="64"/>
      <c r="G1390" s="64"/>
      <c r="H1390" s="64"/>
      <c r="I1390" s="64"/>
      <c r="J1390" s="64"/>
      <c r="K1390" s="64"/>
      <c r="L1390" s="64"/>
      <c r="M1390" s="64"/>
      <c r="N1390" s="64"/>
      <c r="O1390" s="64"/>
      <c r="P1390" s="64"/>
      <c r="Q1390" s="64"/>
      <c r="R1390" s="64"/>
      <c r="S1390" s="64"/>
    </row>
    <row r="1391" spans="1:19" x14ac:dyDescent="0.25">
      <c r="A1391" s="63"/>
      <c r="B1391" s="64"/>
      <c r="C1391" s="64"/>
      <c r="D1391" s="64"/>
      <c r="E1391" s="64"/>
      <c r="F1391" s="64"/>
      <c r="G1391" s="64"/>
      <c r="H1391" s="64"/>
      <c r="I1391" s="64"/>
      <c r="J1391" s="64"/>
      <c r="K1391" s="64"/>
      <c r="L1391" s="64"/>
      <c r="M1391" s="64"/>
      <c r="N1391" s="64"/>
      <c r="O1391" s="64"/>
      <c r="P1391" s="64"/>
      <c r="Q1391" s="64"/>
      <c r="R1391" s="64"/>
      <c r="S1391" s="64"/>
    </row>
    <row r="1392" spans="1:19" x14ac:dyDescent="0.25">
      <c r="A1392" s="63"/>
      <c r="B1392" s="64"/>
      <c r="C1392" s="64"/>
      <c r="D1392" s="64"/>
      <c r="E1392" s="64"/>
      <c r="F1392" s="64"/>
      <c r="G1392" s="64"/>
      <c r="H1392" s="64"/>
      <c r="I1392" s="64"/>
      <c r="J1392" s="64"/>
      <c r="K1392" s="64"/>
      <c r="L1392" s="64"/>
      <c r="M1392" s="64"/>
      <c r="N1392" s="64"/>
      <c r="O1392" s="64"/>
      <c r="P1392" s="64"/>
      <c r="Q1392" s="64"/>
      <c r="R1392" s="64"/>
      <c r="S1392" s="64"/>
    </row>
    <row r="1393" spans="1:19" x14ac:dyDescent="0.25">
      <c r="A1393" s="63"/>
      <c r="B1393" s="64"/>
      <c r="C1393" s="64"/>
      <c r="D1393" s="64"/>
      <c r="E1393" s="64"/>
      <c r="F1393" s="64"/>
      <c r="G1393" s="64"/>
      <c r="H1393" s="64"/>
      <c r="I1393" s="64"/>
      <c r="J1393" s="64"/>
      <c r="K1393" s="64"/>
      <c r="L1393" s="64"/>
      <c r="M1393" s="64"/>
      <c r="N1393" s="64"/>
      <c r="O1393" s="64"/>
      <c r="P1393" s="64"/>
      <c r="Q1393" s="64"/>
      <c r="R1393" s="64"/>
      <c r="S1393" s="64"/>
    </row>
    <row r="1394" spans="1:19" x14ac:dyDescent="0.25">
      <c r="A1394" s="63"/>
      <c r="B1394" s="64"/>
      <c r="C1394" s="64"/>
      <c r="D1394" s="64"/>
      <c r="E1394" s="64"/>
      <c r="F1394" s="64"/>
      <c r="G1394" s="64"/>
      <c r="H1394" s="64"/>
      <c r="I1394" s="64"/>
      <c r="J1394" s="64"/>
      <c r="K1394" s="64"/>
      <c r="L1394" s="64"/>
      <c r="M1394" s="64"/>
      <c r="N1394" s="64"/>
      <c r="O1394" s="64"/>
      <c r="P1394" s="64"/>
      <c r="Q1394" s="64"/>
      <c r="R1394" s="64"/>
      <c r="S1394" s="64"/>
    </row>
    <row r="1395" spans="1:19" x14ac:dyDescent="0.25">
      <c r="A1395" s="63"/>
      <c r="B1395" s="64"/>
      <c r="C1395" s="64"/>
      <c r="D1395" s="64"/>
      <c r="E1395" s="64"/>
      <c r="F1395" s="64"/>
      <c r="G1395" s="64"/>
      <c r="H1395" s="64"/>
      <c r="I1395" s="64"/>
      <c r="J1395" s="64"/>
      <c r="K1395" s="64"/>
      <c r="L1395" s="64"/>
      <c r="M1395" s="64"/>
      <c r="N1395" s="64"/>
      <c r="O1395" s="64"/>
      <c r="P1395" s="64"/>
      <c r="Q1395" s="64"/>
      <c r="R1395" s="64"/>
      <c r="S1395" s="64"/>
    </row>
    <row r="1396" spans="1:19" x14ac:dyDescent="0.25">
      <c r="A1396" s="63"/>
      <c r="B1396" s="64"/>
      <c r="C1396" s="64"/>
      <c r="D1396" s="64"/>
      <c r="E1396" s="64"/>
      <c r="F1396" s="64"/>
      <c r="G1396" s="64"/>
      <c r="H1396" s="64"/>
      <c r="I1396" s="64"/>
      <c r="J1396" s="64"/>
      <c r="K1396" s="64"/>
      <c r="L1396" s="64"/>
      <c r="M1396" s="64"/>
      <c r="N1396" s="64"/>
      <c r="O1396" s="64"/>
      <c r="P1396" s="64"/>
      <c r="Q1396" s="64"/>
      <c r="R1396" s="64"/>
      <c r="S1396" s="64"/>
    </row>
    <row r="1397" spans="1:19" x14ac:dyDescent="0.25">
      <c r="A1397" s="63"/>
      <c r="B1397" s="64"/>
      <c r="C1397" s="64"/>
      <c r="D1397" s="64"/>
      <c r="E1397" s="64"/>
      <c r="F1397" s="64"/>
      <c r="G1397" s="64"/>
      <c r="H1397" s="64"/>
      <c r="I1397" s="64"/>
      <c r="J1397" s="64"/>
      <c r="K1397" s="64"/>
      <c r="L1397" s="64"/>
      <c r="M1397" s="64"/>
      <c r="N1397" s="64"/>
      <c r="O1397" s="64"/>
      <c r="P1397" s="64"/>
      <c r="Q1397" s="64"/>
      <c r="R1397" s="64"/>
      <c r="S1397" s="64"/>
    </row>
    <row r="1398" spans="1:19" x14ac:dyDescent="0.25">
      <c r="A1398" s="63"/>
      <c r="B1398" s="64"/>
      <c r="C1398" s="64"/>
      <c r="D1398" s="64"/>
      <c r="E1398" s="64"/>
      <c r="F1398" s="64"/>
      <c r="G1398" s="64"/>
      <c r="H1398" s="64"/>
      <c r="I1398" s="64"/>
      <c r="J1398" s="64"/>
      <c r="K1398" s="64"/>
      <c r="L1398" s="64"/>
      <c r="M1398" s="64"/>
      <c r="N1398" s="64"/>
      <c r="O1398" s="64"/>
      <c r="P1398" s="64"/>
      <c r="Q1398" s="64"/>
      <c r="R1398" s="64"/>
      <c r="S1398" s="64"/>
    </row>
    <row r="1399" spans="1:19" x14ac:dyDescent="0.25">
      <c r="A1399" s="63"/>
      <c r="B1399" s="64"/>
      <c r="C1399" s="64"/>
      <c r="D1399" s="64"/>
      <c r="E1399" s="64"/>
      <c r="F1399" s="64"/>
      <c r="G1399" s="64"/>
      <c r="H1399" s="64"/>
      <c r="I1399" s="64"/>
      <c r="J1399" s="64"/>
      <c r="K1399" s="64"/>
      <c r="L1399" s="64"/>
      <c r="M1399" s="64"/>
      <c r="N1399" s="64"/>
      <c r="O1399" s="64"/>
      <c r="P1399" s="64"/>
      <c r="Q1399" s="64"/>
      <c r="R1399" s="64"/>
      <c r="S1399" s="64"/>
    </row>
    <row r="1400" spans="1:19" x14ac:dyDescent="0.25">
      <c r="A1400" s="63"/>
      <c r="B1400" s="64"/>
      <c r="C1400" s="64"/>
      <c r="D1400" s="64"/>
      <c r="E1400" s="64"/>
      <c r="F1400" s="64"/>
      <c r="G1400" s="64"/>
      <c r="H1400" s="64"/>
      <c r="I1400" s="64"/>
      <c r="J1400" s="64"/>
      <c r="K1400" s="64"/>
      <c r="L1400" s="64"/>
      <c r="M1400" s="64"/>
      <c r="N1400" s="64"/>
      <c r="O1400" s="64"/>
      <c r="P1400" s="64"/>
      <c r="Q1400" s="64"/>
      <c r="R1400" s="64"/>
      <c r="S1400" s="64"/>
    </row>
    <row r="1401" spans="1:19" x14ac:dyDescent="0.25">
      <c r="A1401" s="63"/>
      <c r="B1401" s="64"/>
      <c r="C1401" s="64"/>
      <c r="D1401" s="64"/>
      <c r="E1401" s="64"/>
      <c r="F1401" s="64"/>
      <c r="G1401" s="64"/>
      <c r="H1401" s="64"/>
      <c r="I1401" s="64"/>
      <c r="J1401" s="64"/>
      <c r="K1401" s="64"/>
      <c r="L1401" s="64"/>
      <c r="M1401" s="64"/>
      <c r="N1401" s="64"/>
      <c r="O1401" s="64"/>
      <c r="P1401" s="64"/>
      <c r="Q1401" s="64"/>
      <c r="R1401" s="64"/>
      <c r="S1401" s="64"/>
    </row>
    <row r="1402" spans="1:19" x14ac:dyDescent="0.25">
      <c r="A1402" s="63"/>
      <c r="B1402" s="64"/>
      <c r="C1402" s="64"/>
      <c r="D1402" s="64"/>
      <c r="E1402" s="64"/>
      <c r="F1402" s="64"/>
      <c r="G1402" s="64"/>
      <c r="H1402" s="64"/>
      <c r="I1402" s="64"/>
      <c r="J1402" s="64"/>
      <c r="K1402" s="64"/>
      <c r="L1402" s="64"/>
      <c r="M1402" s="64"/>
      <c r="N1402" s="64"/>
      <c r="O1402" s="64"/>
      <c r="P1402" s="64"/>
      <c r="Q1402" s="64"/>
      <c r="R1402" s="64"/>
      <c r="S1402" s="64"/>
    </row>
    <row r="1403" spans="1:19" x14ac:dyDescent="0.25">
      <c r="A1403" s="63"/>
      <c r="B1403" s="64"/>
      <c r="C1403" s="64"/>
      <c r="D1403" s="64"/>
      <c r="E1403" s="64"/>
      <c r="F1403" s="64"/>
      <c r="G1403" s="64"/>
      <c r="H1403" s="64"/>
      <c r="I1403" s="64"/>
      <c r="J1403" s="64"/>
      <c r="K1403" s="64"/>
      <c r="L1403" s="64"/>
      <c r="M1403" s="64"/>
      <c r="N1403" s="64"/>
      <c r="O1403" s="64"/>
      <c r="P1403" s="64"/>
      <c r="Q1403" s="64"/>
      <c r="R1403" s="64"/>
      <c r="S1403" s="64"/>
    </row>
    <row r="1404" spans="1:19" x14ac:dyDescent="0.25">
      <c r="A1404" s="63"/>
      <c r="B1404" s="64"/>
      <c r="C1404" s="64"/>
      <c r="D1404" s="64"/>
      <c r="E1404" s="64"/>
      <c r="F1404" s="64"/>
      <c r="G1404" s="64"/>
      <c r="H1404" s="64"/>
      <c r="I1404" s="64"/>
      <c r="J1404" s="64"/>
      <c r="K1404" s="64"/>
      <c r="L1404" s="64"/>
      <c r="M1404" s="64"/>
      <c r="N1404" s="64"/>
      <c r="O1404" s="64"/>
      <c r="P1404" s="64"/>
      <c r="Q1404" s="64"/>
      <c r="R1404" s="64"/>
      <c r="S1404" s="64"/>
    </row>
    <row r="1405" spans="1:19" x14ac:dyDescent="0.25">
      <c r="A1405" s="63"/>
      <c r="B1405" s="64"/>
      <c r="C1405" s="64"/>
      <c r="D1405" s="64"/>
      <c r="E1405" s="64"/>
      <c r="F1405" s="64"/>
      <c r="G1405" s="64"/>
      <c r="H1405" s="64"/>
      <c r="I1405" s="64"/>
      <c r="J1405" s="64"/>
      <c r="K1405" s="64"/>
      <c r="L1405" s="64"/>
      <c r="M1405" s="64"/>
      <c r="N1405" s="64"/>
      <c r="O1405" s="64"/>
      <c r="P1405" s="64"/>
      <c r="Q1405" s="64"/>
      <c r="R1405" s="64"/>
      <c r="S1405" s="64"/>
    </row>
    <row r="1406" spans="1:19" x14ac:dyDescent="0.25">
      <c r="A1406" s="63"/>
      <c r="B1406" s="64"/>
      <c r="C1406" s="64"/>
      <c r="D1406" s="64"/>
      <c r="E1406" s="64"/>
      <c r="F1406" s="64"/>
      <c r="G1406" s="64"/>
      <c r="H1406" s="64"/>
      <c r="I1406" s="64"/>
      <c r="J1406" s="64"/>
      <c r="K1406" s="64"/>
      <c r="L1406" s="64"/>
      <c r="M1406" s="64"/>
      <c r="N1406" s="64"/>
      <c r="O1406" s="64"/>
      <c r="P1406" s="64"/>
      <c r="Q1406" s="64"/>
      <c r="R1406" s="64"/>
      <c r="S1406" s="64"/>
    </row>
    <row r="1407" spans="1:19" x14ac:dyDescent="0.25">
      <c r="A1407" s="63"/>
      <c r="B1407" s="64"/>
      <c r="C1407" s="64"/>
      <c r="D1407" s="64"/>
      <c r="E1407" s="64"/>
      <c r="F1407" s="64"/>
      <c r="G1407" s="64"/>
      <c r="H1407" s="64"/>
      <c r="I1407" s="64"/>
      <c r="J1407" s="64"/>
      <c r="K1407" s="64"/>
      <c r="L1407" s="64"/>
      <c r="M1407" s="64"/>
      <c r="N1407" s="64"/>
      <c r="O1407" s="64"/>
      <c r="P1407" s="64"/>
      <c r="Q1407" s="64"/>
      <c r="R1407" s="64"/>
      <c r="S1407" s="64"/>
    </row>
    <row r="1408" spans="1:19" x14ac:dyDescent="0.25">
      <c r="A1408" s="63"/>
      <c r="B1408" s="64"/>
      <c r="C1408" s="64"/>
      <c r="D1408" s="64"/>
      <c r="E1408" s="64"/>
      <c r="F1408" s="64"/>
      <c r="G1408" s="64"/>
      <c r="H1408" s="64"/>
      <c r="I1408" s="64"/>
      <c r="J1408" s="64"/>
      <c r="K1408" s="64"/>
      <c r="L1408" s="64"/>
      <c r="M1408" s="64"/>
      <c r="N1408" s="64"/>
      <c r="O1408" s="64"/>
      <c r="P1408" s="64"/>
      <c r="Q1408" s="64"/>
      <c r="R1408" s="64"/>
      <c r="S1408" s="64"/>
    </row>
    <row r="1409" spans="1:19" x14ac:dyDescent="0.25">
      <c r="A1409" s="63"/>
      <c r="B1409" s="64"/>
      <c r="C1409" s="64"/>
      <c r="D1409" s="64"/>
      <c r="E1409" s="64"/>
      <c r="F1409" s="64"/>
      <c r="G1409" s="64"/>
      <c r="H1409" s="64"/>
      <c r="I1409" s="64"/>
      <c r="J1409" s="64"/>
      <c r="K1409" s="64"/>
      <c r="L1409" s="64"/>
      <c r="M1409" s="64"/>
      <c r="N1409" s="64"/>
      <c r="O1409" s="64"/>
      <c r="P1409" s="64"/>
      <c r="Q1409" s="64"/>
      <c r="R1409" s="64"/>
      <c r="S1409" s="64"/>
    </row>
    <row r="1410" spans="1:19" x14ac:dyDescent="0.25">
      <c r="A1410" s="63"/>
      <c r="B1410" s="64"/>
      <c r="C1410" s="64"/>
      <c r="D1410" s="64"/>
      <c r="E1410" s="64"/>
      <c r="F1410" s="64"/>
      <c r="G1410" s="64"/>
      <c r="H1410" s="64"/>
      <c r="I1410" s="64"/>
      <c r="J1410" s="64"/>
      <c r="K1410" s="64"/>
      <c r="L1410" s="64"/>
      <c r="M1410" s="64"/>
      <c r="N1410" s="64"/>
      <c r="O1410" s="64"/>
      <c r="P1410" s="64"/>
      <c r="Q1410" s="64"/>
      <c r="R1410" s="64"/>
      <c r="S1410" s="64"/>
    </row>
    <row r="1411" spans="1:19" x14ac:dyDescent="0.25">
      <c r="A1411" s="63"/>
      <c r="B1411" s="64"/>
      <c r="C1411" s="64"/>
      <c r="D1411" s="64"/>
      <c r="E1411" s="64"/>
      <c r="F1411" s="64"/>
      <c r="G1411" s="64"/>
      <c r="H1411" s="64"/>
      <c r="I1411" s="64"/>
      <c r="J1411" s="64"/>
      <c r="K1411" s="64"/>
      <c r="L1411" s="64"/>
      <c r="M1411" s="64"/>
      <c r="N1411" s="64"/>
      <c r="O1411" s="64"/>
      <c r="P1411" s="64"/>
      <c r="Q1411" s="64"/>
      <c r="R1411" s="64"/>
      <c r="S1411" s="64"/>
    </row>
    <row r="1412" spans="1:19" x14ac:dyDescent="0.25">
      <c r="A1412" s="63"/>
      <c r="B1412" s="64"/>
      <c r="C1412" s="64"/>
      <c r="D1412" s="64"/>
      <c r="E1412" s="64"/>
      <c r="F1412" s="64"/>
      <c r="G1412" s="64"/>
      <c r="H1412" s="64"/>
      <c r="I1412" s="64"/>
      <c r="J1412" s="64"/>
      <c r="K1412" s="64"/>
      <c r="L1412" s="64"/>
      <c r="M1412" s="64"/>
      <c r="N1412" s="64"/>
      <c r="O1412" s="64"/>
      <c r="P1412" s="64"/>
      <c r="Q1412" s="64"/>
      <c r="R1412" s="64"/>
      <c r="S1412" s="64"/>
    </row>
    <row r="1413" spans="1:19" x14ac:dyDescent="0.25">
      <c r="A1413" s="63"/>
      <c r="B1413" s="64"/>
      <c r="C1413" s="64"/>
      <c r="D1413" s="64"/>
      <c r="E1413" s="64"/>
      <c r="F1413" s="64"/>
      <c r="G1413" s="64"/>
      <c r="H1413" s="64"/>
      <c r="I1413" s="64"/>
      <c r="J1413" s="64"/>
      <c r="K1413" s="64"/>
      <c r="L1413" s="64"/>
      <c r="M1413" s="64"/>
      <c r="N1413" s="64"/>
      <c r="O1413" s="64"/>
      <c r="P1413" s="64"/>
      <c r="Q1413" s="64"/>
      <c r="R1413" s="64"/>
      <c r="S1413" s="64"/>
    </row>
    <row r="1414" spans="1:19" x14ac:dyDescent="0.25">
      <c r="A1414" s="63"/>
      <c r="B1414" s="64"/>
      <c r="C1414" s="64"/>
      <c r="D1414" s="64"/>
      <c r="E1414" s="64"/>
      <c r="F1414" s="64"/>
      <c r="G1414" s="64"/>
      <c r="H1414" s="64"/>
      <c r="I1414" s="64"/>
      <c r="J1414" s="64"/>
      <c r="K1414" s="64"/>
      <c r="L1414" s="64"/>
      <c r="M1414" s="64"/>
      <c r="N1414" s="64"/>
      <c r="O1414" s="64"/>
      <c r="P1414" s="64"/>
      <c r="Q1414" s="64"/>
      <c r="R1414" s="64"/>
      <c r="S1414" s="64"/>
    </row>
    <row r="1415" spans="1:19" x14ac:dyDescent="0.25">
      <c r="A1415" s="63"/>
      <c r="B1415" s="64"/>
      <c r="C1415" s="64"/>
      <c r="D1415" s="64"/>
      <c r="E1415" s="64"/>
      <c r="F1415" s="64"/>
      <c r="G1415" s="64"/>
      <c r="H1415" s="64"/>
      <c r="I1415" s="64"/>
      <c r="J1415" s="64"/>
      <c r="K1415" s="64"/>
      <c r="L1415" s="64"/>
      <c r="M1415" s="64"/>
      <c r="N1415" s="64"/>
      <c r="O1415" s="64"/>
      <c r="P1415" s="64"/>
      <c r="Q1415" s="64"/>
      <c r="R1415" s="64"/>
      <c r="S1415" s="64"/>
    </row>
    <row r="1416" spans="1:19" x14ac:dyDescent="0.25">
      <c r="A1416" s="63"/>
      <c r="B1416" s="64"/>
      <c r="C1416" s="64"/>
      <c r="D1416" s="64"/>
      <c r="E1416" s="64"/>
      <c r="F1416" s="64"/>
      <c r="G1416" s="64"/>
      <c r="H1416" s="64"/>
      <c r="I1416" s="64"/>
      <c r="J1416" s="64"/>
      <c r="K1416" s="64"/>
      <c r="L1416" s="64"/>
      <c r="M1416" s="64"/>
      <c r="N1416" s="64"/>
      <c r="O1416" s="64"/>
      <c r="P1416" s="64"/>
      <c r="Q1416" s="64"/>
      <c r="R1416" s="64"/>
      <c r="S1416" s="64"/>
    </row>
    <row r="1417" spans="1:19" x14ac:dyDescent="0.25">
      <c r="A1417" s="63"/>
      <c r="B1417" s="64"/>
      <c r="C1417" s="64"/>
      <c r="D1417" s="64"/>
      <c r="E1417" s="64"/>
      <c r="F1417" s="64"/>
      <c r="G1417" s="64"/>
      <c r="H1417" s="64"/>
      <c r="I1417" s="64"/>
      <c r="J1417" s="64"/>
      <c r="K1417" s="64"/>
      <c r="L1417" s="64"/>
      <c r="M1417" s="64"/>
      <c r="N1417" s="64"/>
      <c r="O1417" s="64"/>
      <c r="P1417" s="64"/>
      <c r="Q1417" s="64"/>
      <c r="R1417" s="64"/>
      <c r="S1417" s="64"/>
    </row>
    <row r="1418" spans="1:19" x14ac:dyDescent="0.25">
      <c r="A1418" s="63"/>
      <c r="B1418" s="64"/>
      <c r="C1418" s="64"/>
      <c r="D1418" s="64"/>
      <c r="E1418" s="64"/>
      <c r="F1418" s="64"/>
      <c r="G1418" s="64"/>
      <c r="H1418" s="64"/>
      <c r="I1418" s="64"/>
      <c r="J1418" s="64"/>
      <c r="K1418" s="64"/>
      <c r="L1418" s="64"/>
      <c r="M1418" s="64"/>
      <c r="N1418" s="64"/>
      <c r="O1418" s="64"/>
      <c r="P1418" s="64"/>
      <c r="Q1418" s="64"/>
      <c r="R1418" s="64"/>
      <c r="S1418" s="64"/>
    </row>
    <row r="1419" spans="1:19" x14ac:dyDescent="0.25">
      <c r="A1419" s="63"/>
      <c r="B1419" s="64"/>
      <c r="C1419" s="64"/>
      <c r="D1419" s="64"/>
      <c r="E1419" s="64"/>
      <c r="F1419" s="64"/>
      <c r="G1419" s="64"/>
      <c r="H1419" s="64"/>
      <c r="I1419" s="64"/>
      <c r="J1419" s="64"/>
      <c r="K1419" s="64"/>
      <c r="L1419" s="64"/>
      <c r="M1419" s="64"/>
      <c r="N1419" s="64"/>
      <c r="O1419" s="64"/>
      <c r="P1419" s="64"/>
      <c r="Q1419" s="64"/>
      <c r="R1419" s="64"/>
      <c r="S1419" s="64"/>
    </row>
    <row r="1420" spans="1:19" x14ac:dyDescent="0.25">
      <c r="A1420" s="63"/>
      <c r="B1420" s="64"/>
      <c r="C1420" s="64"/>
      <c r="D1420" s="64"/>
      <c r="E1420" s="64"/>
      <c r="F1420" s="64"/>
      <c r="G1420" s="64"/>
      <c r="H1420" s="64"/>
      <c r="I1420" s="64"/>
      <c r="J1420" s="64"/>
      <c r="K1420" s="64"/>
      <c r="L1420" s="64"/>
      <c r="M1420" s="64"/>
      <c r="N1420" s="64"/>
      <c r="O1420" s="64"/>
      <c r="P1420" s="64"/>
      <c r="Q1420" s="64"/>
      <c r="R1420" s="64"/>
      <c r="S1420" s="64"/>
    </row>
    <row r="1421" spans="1:19" x14ac:dyDescent="0.25">
      <c r="A1421" s="63"/>
      <c r="B1421" s="64"/>
      <c r="C1421" s="64"/>
      <c r="D1421" s="64"/>
      <c r="E1421" s="64"/>
      <c r="F1421" s="64"/>
      <c r="G1421" s="64"/>
      <c r="H1421" s="64"/>
      <c r="I1421" s="64"/>
      <c r="J1421" s="64"/>
      <c r="K1421" s="64"/>
      <c r="L1421" s="64"/>
      <c r="M1421" s="64"/>
      <c r="N1421" s="64"/>
      <c r="O1421" s="64"/>
      <c r="P1421" s="64"/>
      <c r="Q1421" s="64"/>
      <c r="R1421" s="64"/>
      <c r="S1421" s="64"/>
    </row>
    <row r="1422" spans="1:19" x14ac:dyDescent="0.25">
      <c r="A1422" s="63"/>
      <c r="B1422" s="64"/>
      <c r="C1422" s="64"/>
      <c r="D1422" s="64"/>
      <c r="E1422" s="64"/>
      <c r="F1422" s="64"/>
      <c r="G1422" s="64"/>
      <c r="H1422" s="64"/>
      <c r="I1422" s="64"/>
      <c r="J1422" s="64"/>
      <c r="K1422" s="64"/>
      <c r="L1422" s="64"/>
      <c r="M1422" s="64"/>
      <c r="N1422" s="64"/>
      <c r="O1422" s="64"/>
      <c r="P1422" s="64"/>
      <c r="Q1422" s="64"/>
      <c r="R1422" s="64"/>
      <c r="S1422" s="64"/>
    </row>
    <row r="1423" spans="1:19" x14ac:dyDescent="0.25">
      <c r="A1423" s="63"/>
      <c r="B1423" s="64"/>
      <c r="C1423" s="64"/>
      <c r="D1423" s="64"/>
      <c r="E1423" s="64"/>
      <c r="F1423" s="64"/>
      <c r="G1423" s="64"/>
      <c r="H1423" s="64"/>
      <c r="I1423" s="64"/>
      <c r="J1423" s="64"/>
      <c r="K1423" s="64"/>
      <c r="L1423" s="64"/>
      <c r="M1423" s="64"/>
      <c r="N1423" s="64"/>
      <c r="O1423" s="64"/>
      <c r="P1423" s="64"/>
      <c r="Q1423" s="64"/>
      <c r="R1423" s="64"/>
      <c r="S1423" s="64"/>
    </row>
    <row r="1424" spans="1:19" x14ac:dyDescent="0.25">
      <c r="A1424" s="63"/>
      <c r="B1424" s="64"/>
      <c r="C1424" s="64"/>
      <c r="D1424" s="64"/>
      <c r="E1424" s="64"/>
      <c r="F1424" s="64"/>
      <c r="G1424" s="64"/>
      <c r="H1424" s="64"/>
      <c r="I1424" s="64"/>
      <c r="J1424" s="64"/>
      <c r="K1424" s="64"/>
      <c r="L1424" s="64"/>
      <c r="M1424" s="64"/>
      <c r="N1424" s="64"/>
      <c r="O1424" s="64"/>
      <c r="P1424" s="64"/>
      <c r="Q1424" s="64"/>
      <c r="R1424" s="64"/>
      <c r="S1424" s="64"/>
    </row>
    <row r="1425" spans="1:19" x14ac:dyDescent="0.25">
      <c r="A1425" s="63"/>
      <c r="B1425" s="64"/>
      <c r="C1425" s="64"/>
      <c r="D1425" s="64"/>
      <c r="E1425" s="64"/>
      <c r="F1425" s="64"/>
      <c r="G1425" s="64"/>
      <c r="H1425" s="64"/>
      <c r="I1425" s="64"/>
      <c r="J1425" s="64"/>
      <c r="K1425" s="64"/>
      <c r="L1425" s="64"/>
      <c r="M1425" s="64"/>
      <c r="N1425" s="64"/>
      <c r="O1425" s="64"/>
      <c r="P1425" s="64"/>
      <c r="Q1425" s="64"/>
      <c r="R1425" s="64"/>
      <c r="S1425" s="64"/>
    </row>
    <row r="1426" spans="1:19" x14ac:dyDescent="0.25">
      <c r="A1426" s="63"/>
      <c r="B1426" s="64"/>
      <c r="C1426" s="64"/>
      <c r="D1426" s="64"/>
      <c r="E1426" s="64"/>
      <c r="F1426" s="64"/>
      <c r="G1426" s="64"/>
      <c r="H1426" s="64"/>
      <c r="I1426" s="64"/>
      <c r="J1426" s="64"/>
      <c r="K1426" s="64"/>
      <c r="L1426" s="64"/>
      <c r="M1426" s="64"/>
      <c r="N1426" s="64"/>
      <c r="O1426" s="64"/>
      <c r="P1426" s="64"/>
      <c r="Q1426" s="64"/>
      <c r="R1426" s="64"/>
      <c r="S1426" s="64"/>
    </row>
    <row r="1427" spans="1:19" x14ac:dyDescent="0.25">
      <c r="A1427" s="63"/>
      <c r="B1427" s="64"/>
      <c r="C1427" s="64"/>
      <c r="D1427" s="64"/>
      <c r="E1427" s="64"/>
      <c r="F1427" s="64"/>
      <c r="G1427" s="64"/>
      <c r="H1427" s="64"/>
      <c r="I1427" s="64"/>
      <c r="J1427" s="64"/>
      <c r="K1427" s="64"/>
      <c r="L1427" s="64"/>
      <c r="M1427" s="64"/>
      <c r="N1427" s="64"/>
      <c r="O1427" s="64"/>
      <c r="P1427" s="64"/>
      <c r="Q1427" s="64"/>
      <c r="R1427" s="64"/>
      <c r="S1427" s="64"/>
    </row>
    <row r="1428" spans="1:19" x14ac:dyDescent="0.25">
      <c r="A1428" s="63"/>
      <c r="B1428" s="64"/>
      <c r="C1428" s="64"/>
      <c r="D1428" s="64"/>
      <c r="E1428" s="64"/>
      <c r="F1428" s="64"/>
      <c r="G1428" s="64"/>
      <c r="H1428" s="64"/>
      <c r="I1428" s="64"/>
      <c r="J1428" s="64"/>
      <c r="K1428" s="64"/>
      <c r="L1428" s="64"/>
      <c r="M1428" s="64"/>
      <c r="N1428" s="64"/>
      <c r="O1428" s="64"/>
      <c r="P1428" s="64"/>
      <c r="Q1428" s="64"/>
      <c r="R1428" s="64"/>
      <c r="S1428" s="64"/>
    </row>
    <row r="1429" spans="1:19" x14ac:dyDescent="0.25">
      <c r="A1429" s="63"/>
      <c r="B1429" s="64"/>
      <c r="C1429" s="64"/>
      <c r="D1429" s="64"/>
      <c r="E1429" s="64"/>
      <c r="F1429" s="64"/>
      <c r="G1429" s="64"/>
      <c r="H1429" s="64"/>
      <c r="I1429" s="64"/>
      <c r="J1429" s="64"/>
      <c r="K1429" s="64"/>
      <c r="L1429" s="64"/>
      <c r="M1429" s="64"/>
      <c r="N1429" s="64"/>
      <c r="O1429" s="64"/>
      <c r="P1429" s="64"/>
      <c r="Q1429" s="64"/>
      <c r="R1429" s="64"/>
      <c r="S1429" s="64"/>
    </row>
    <row r="1430" spans="1:19" x14ac:dyDescent="0.25">
      <c r="A1430" s="63"/>
      <c r="B1430" s="64"/>
      <c r="C1430" s="64"/>
      <c r="D1430" s="64"/>
      <c r="E1430" s="64"/>
      <c r="F1430" s="64"/>
      <c r="G1430" s="64"/>
      <c r="H1430" s="64"/>
      <c r="I1430" s="64"/>
      <c r="J1430" s="64"/>
      <c r="K1430" s="64"/>
      <c r="L1430" s="64"/>
      <c r="M1430" s="64"/>
      <c r="N1430" s="64"/>
      <c r="O1430" s="64"/>
      <c r="P1430" s="64"/>
      <c r="Q1430" s="64"/>
      <c r="R1430" s="64"/>
      <c r="S1430" s="64"/>
    </row>
    <row r="1431" spans="1:19" x14ac:dyDescent="0.25">
      <c r="A1431" s="63"/>
      <c r="B1431" s="64"/>
      <c r="C1431" s="64"/>
      <c r="D1431" s="64"/>
      <c r="E1431" s="64"/>
      <c r="F1431" s="64"/>
      <c r="G1431" s="64"/>
      <c r="H1431" s="64"/>
      <c r="I1431" s="64"/>
      <c r="J1431" s="64"/>
      <c r="K1431" s="64"/>
      <c r="L1431" s="64"/>
      <c r="M1431" s="64"/>
      <c r="N1431" s="64"/>
      <c r="O1431" s="64"/>
      <c r="P1431" s="64"/>
      <c r="Q1431" s="64"/>
      <c r="R1431" s="64"/>
      <c r="S1431" s="64"/>
    </row>
    <row r="1432" spans="1:19" x14ac:dyDescent="0.25">
      <c r="A1432" s="63"/>
      <c r="B1432" s="64"/>
      <c r="C1432" s="64"/>
      <c r="D1432" s="64"/>
      <c r="E1432" s="64"/>
      <c r="F1432" s="64"/>
      <c r="G1432" s="64"/>
      <c r="H1432" s="64"/>
      <c r="I1432" s="64"/>
      <c r="J1432" s="64"/>
      <c r="K1432" s="64"/>
      <c r="L1432" s="64"/>
      <c r="M1432" s="64"/>
      <c r="N1432" s="64"/>
      <c r="O1432" s="64"/>
      <c r="P1432" s="64"/>
      <c r="Q1432" s="64"/>
      <c r="R1432" s="64"/>
      <c r="S1432" s="64"/>
    </row>
    <row r="1433" spans="1:19" x14ac:dyDescent="0.25">
      <c r="A1433" s="63"/>
      <c r="B1433" s="64"/>
      <c r="C1433" s="64"/>
      <c r="D1433" s="64"/>
      <c r="E1433" s="64"/>
      <c r="F1433" s="64"/>
      <c r="G1433" s="64"/>
      <c r="H1433" s="64"/>
      <c r="I1433" s="64"/>
      <c r="J1433" s="64"/>
      <c r="K1433" s="64"/>
      <c r="L1433" s="64"/>
      <c r="M1433" s="64"/>
      <c r="N1433" s="64"/>
      <c r="O1433" s="64"/>
      <c r="P1433" s="64"/>
      <c r="Q1433" s="64"/>
      <c r="R1433" s="64"/>
      <c r="S1433" s="64"/>
    </row>
    <row r="1434" spans="1:19" x14ac:dyDescent="0.25">
      <c r="A1434" s="63"/>
      <c r="B1434" s="64"/>
      <c r="C1434" s="64"/>
      <c r="D1434" s="64"/>
      <c r="E1434" s="64"/>
      <c r="F1434" s="64"/>
      <c r="G1434" s="64"/>
      <c r="H1434" s="64"/>
      <c r="I1434" s="64"/>
      <c r="J1434" s="64"/>
      <c r="K1434" s="64"/>
      <c r="L1434" s="64"/>
      <c r="M1434" s="64"/>
      <c r="N1434" s="64"/>
      <c r="O1434" s="64"/>
      <c r="P1434" s="64"/>
      <c r="Q1434" s="64"/>
      <c r="R1434" s="64"/>
      <c r="S1434" s="64"/>
    </row>
    <row r="1435" spans="1:19" x14ac:dyDescent="0.25">
      <c r="A1435" s="63"/>
      <c r="B1435" s="64"/>
      <c r="C1435" s="64"/>
      <c r="D1435" s="64"/>
      <c r="E1435" s="64"/>
      <c r="F1435" s="64"/>
      <c r="G1435" s="64"/>
      <c r="H1435" s="64"/>
      <c r="I1435" s="64"/>
      <c r="J1435" s="64"/>
      <c r="K1435" s="64"/>
      <c r="L1435" s="64"/>
      <c r="M1435" s="64"/>
      <c r="N1435" s="64"/>
      <c r="O1435" s="64"/>
      <c r="P1435" s="64"/>
      <c r="Q1435" s="64"/>
      <c r="R1435" s="64"/>
      <c r="S1435" s="64"/>
    </row>
    <row r="1436" spans="1:19" x14ac:dyDescent="0.25">
      <c r="A1436" s="63"/>
      <c r="B1436" s="64"/>
      <c r="C1436" s="64"/>
      <c r="D1436" s="64"/>
      <c r="E1436" s="64"/>
      <c r="F1436" s="64"/>
      <c r="G1436" s="64"/>
      <c r="H1436" s="64"/>
      <c r="I1436" s="64"/>
      <c r="J1436" s="64"/>
      <c r="K1436" s="64"/>
      <c r="L1436" s="64"/>
      <c r="M1436" s="64"/>
      <c r="N1436" s="64"/>
      <c r="O1436" s="64"/>
      <c r="P1436" s="64"/>
      <c r="Q1436" s="64"/>
      <c r="R1436" s="64"/>
      <c r="S1436" s="64"/>
    </row>
    <row r="1437" spans="1:19" x14ac:dyDescent="0.25">
      <c r="A1437" s="63"/>
      <c r="B1437" s="64"/>
      <c r="C1437" s="64"/>
      <c r="D1437" s="64"/>
      <c r="E1437" s="64"/>
      <c r="F1437" s="64"/>
      <c r="G1437" s="64"/>
      <c r="H1437" s="64"/>
      <c r="I1437" s="64"/>
      <c r="J1437" s="64"/>
      <c r="K1437" s="64"/>
      <c r="L1437" s="64"/>
      <c r="M1437" s="64"/>
      <c r="N1437" s="64"/>
      <c r="O1437" s="64"/>
      <c r="P1437" s="64"/>
      <c r="Q1437" s="64"/>
      <c r="R1437" s="64"/>
      <c r="S1437" s="64"/>
    </row>
    <row r="1438" spans="1:19" x14ac:dyDescent="0.25">
      <c r="A1438" s="63"/>
      <c r="B1438" s="64"/>
      <c r="C1438" s="64"/>
      <c r="D1438" s="64"/>
      <c r="E1438" s="64"/>
      <c r="F1438" s="64"/>
      <c r="G1438" s="64"/>
      <c r="H1438" s="64"/>
      <c r="I1438" s="64"/>
      <c r="J1438" s="64"/>
      <c r="K1438" s="64"/>
      <c r="L1438" s="64"/>
      <c r="M1438" s="64"/>
      <c r="N1438" s="64"/>
      <c r="O1438" s="64"/>
      <c r="P1438" s="64"/>
      <c r="Q1438" s="64"/>
      <c r="R1438" s="64"/>
      <c r="S1438" s="64"/>
    </row>
    <row r="1439" spans="1:19" x14ac:dyDescent="0.25">
      <c r="A1439" s="63"/>
      <c r="B1439" s="64"/>
      <c r="C1439" s="64"/>
      <c r="D1439" s="64"/>
      <c r="E1439" s="64"/>
      <c r="F1439" s="64"/>
      <c r="G1439" s="64"/>
      <c r="H1439" s="64"/>
      <c r="I1439" s="64"/>
      <c r="J1439" s="64"/>
      <c r="K1439" s="64"/>
      <c r="L1439" s="64"/>
      <c r="M1439" s="64"/>
      <c r="N1439" s="64"/>
      <c r="O1439" s="64"/>
      <c r="P1439" s="64"/>
      <c r="Q1439" s="64"/>
      <c r="R1439" s="64"/>
      <c r="S1439" s="64"/>
    </row>
    <row r="1440" spans="1:19" x14ac:dyDescent="0.25">
      <c r="A1440" s="63"/>
      <c r="B1440" s="64"/>
      <c r="C1440" s="64"/>
      <c r="D1440" s="64"/>
      <c r="E1440" s="64"/>
      <c r="F1440" s="64"/>
      <c r="G1440" s="64"/>
      <c r="H1440" s="64"/>
      <c r="I1440" s="64"/>
      <c r="J1440" s="64"/>
      <c r="K1440" s="64"/>
      <c r="L1440" s="64"/>
      <c r="M1440" s="64"/>
      <c r="N1440" s="64"/>
      <c r="O1440" s="64"/>
      <c r="P1440" s="64"/>
      <c r="Q1440" s="64"/>
      <c r="R1440" s="64"/>
      <c r="S1440" s="64"/>
    </row>
    <row r="1441" spans="1:19" x14ac:dyDescent="0.25">
      <c r="A1441" s="63"/>
      <c r="B1441" s="64"/>
      <c r="C1441" s="64"/>
      <c r="D1441" s="64"/>
      <c r="E1441" s="64"/>
      <c r="F1441" s="64"/>
      <c r="G1441" s="64"/>
      <c r="H1441" s="64"/>
      <c r="I1441" s="64"/>
      <c r="J1441" s="64"/>
      <c r="K1441" s="64"/>
      <c r="L1441" s="64"/>
      <c r="M1441" s="64"/>
      <c r="N1441" s="64"/>
      <c r="O1441" s="64"/>
      <c r="P1441" s="64"/>
      <c r="Q1441" s="64"/>
      <c r="R1441" s="64"/>
      <c r="S1441" s="64"/>
    </row>
    <row r="1442" spans="1:19" x14ac:dyDescent="0.25">
      <c r="A1442" s="63"/>
      <c r="B1442" s="64"/>
      <c r="C1442" s="64"/>
      <c r="D1442" s="64"/>
      <c r="E1442" s="64"/>
      <c r="F1442" s="64"/>
      <c r="G1442" s="64"/>
      <c r="H1442" s="64"/>
      <c r="I1442" s="64"/>
      <c r="J1442" s="64"/>
      <c r="K1442" s="64"/>
      <c r="L1442" s="64"/>
      <c r="M1442" s="64"/>
      <c r="N1442" s="64"/>
      <c r="O1442" s="64"/>
      <c r="P1442" s="64"/>
      <c r="Q1442" s="64"/>
      <c r="R1442" s="64"/>
      <c r="S1442" s="64"/>
    </row>
    <row r="1443" spans="1:19" x14ac:dyDescent="0.25">
      <c r="A1443" s="63"/>
      <c r="B1443" s="64"/>
      <c r="C1443" s="64"/>
      <c r="D1443" s="64"/>
      <c r="E1443" s="64"/>
      <c r="F1443" s="64"/>
      <c r="G1443" s="64"/>
      <c r="H1443" s="64"/>
      <c r="I1443" s="64"/>
      <c r="J1443" s="64"/>
      <c r="K1443" s="64"/>
      <c r="L1443" s="64"/>
      <c r="M1443" s="64"/>
      <c r="N1443" s="64"/>
      <c r="O1443" s="64"/>
      <c r="P1443" s="64"/>
      <c r="Q1443" s="64"/>
      <c r="R1443" s="64"/>
      <c r="S1443" s="64"/>
    </row>
    <row r="1444" spans="1:19" x14ac:dyDescent="0.25">
      <c r="A1444" s="63"/>
      <c r="B1444" s="64"/>
      <c r="C1444" s="64"/>
      <c r="D1444" s="64"/>
      <c r="E1444" s="64"/>
      <c r="F1444" s="64"/>
      <c r="G1444" s="64"/>
      <c r="H1444" s="64"/>
      <c r="I1444" s="64"/>
      <c r="J1444" s="64"/>
      <c r="K1444" s="64"/>
      <c r="L1444" s="64"/>
      <c r="M1444" s="64"/>
      <c r="N1444" s="64"/>
      <c r="O1444" s="64"/>
      <c r="P1444" s="64"/>
      <c r="Q1444" s="64"/>
      <c r="R1444" s="64"/>
      <c r="S1444" s="64"/>
    </row>
    <row r="1445" spans="1:19" x14ac:dyDescent="0.25">
      <c r="A1445" s="63"/>
      <c r="B1445" s="64"/>
      <c r="C1445" s="64"/>
      <c r="D1445" s="64"/>
      <c r="E1445" s="64"/>
      <c r="F1445" s="64"/>
      <c r="G1445" s="64"/>
      <c r="H1445" s="64"/>
      <c r="I1445" s="64"/>
      <c r="J1445" s="64"/>
      <c r="K1445" s="64"/>
      <c r="L1445" s="64"/>
      <c r="M1445" s="64"/>
      <c r="N1445" s="64"/>
      <c r="O1445" s="64"/>
      <c r="P1445" s="64"/>
      <c r="Q1445" s="64"/>
      <c r="R1445" s="64"/>
      <c r="S1445" s="64"/>
    </row>
    <row r="1446" spans="1:19" x14ac:dyDescent="0.25">
      <c r="A1446" s="63"/>
      <c r="B1446" s="64"/>
      <c r="C1446" s="64"/>
      <c r="D1446" s="64"/>
      <c r="E1446" s="64"/>
      <c r="F1446" s="64"/>
      <c r="G1446" s="64"/>
      <c r="H1446" s="64"/>
      <c r="I1446" s="64"/>
      <c r="J1446" s="64"/>
      <c r="K1446" s="64"/>
      <c r="L1446" s="64"/>
      <c r="M1446" s="64"/>
      <c r="N1446" s="64"/>
      <c r="O1446" s="64"/>
      <c r="P1446" s="64"/>
      <c r="Q1446" s="64"/>
      <c r="R1446" s="64"/>
      <c r="S1446" s="64"/>
    </row>
    <row r="1447" spans="1:19" x14ac:dyDescent="0.25">
      <c r="A1447" s="63"/>
      <c r="B1447" s="64"/>
      <c r="C1447" s="64"/>
      <c r="D1447" s="64"/>
      <c r="E1447" s="64"/>
      <c r="F1447" s="64"/>
      <c r="G1447" s="64"/>
      <c r="H1447" s="64"/>
      <c r="I1447" s="64"/>
      <c r="J1447" s="64"/>
      <c r="K1447" s="64"/>
      <c r="L1447" s="64"/>
      <c r="M1447" s="64"/>
      <c r="N1447" s="64"/>
      <c r="O1447" s="64"/>
      <c r="P1447" s="64"/>
      <c r="Q1447" s="64"/>
      <c r="R1447" s="64"/>
      <c r="S1447" s="64"/>
    </row>
    <row r="1448" spans="1:19" x14ac:dyDescent="0.25">
      <c r="A1448" s="63"/>
      <c r="B1448" s="64"/>
      <c r="C1448" s="64"/>
      <c r="D1448" s="64"/>
      <c r="E1448" s="64"/>
      <c r="F1448" s="64"/>
      <c r="G1448" s="64"/>
      <c r="H1448" s="64"/>
      <c r="I1448" s="64"/>
      <c r="J1448" s="64"/>
      <c r="K1448" s="64"/>
      <c r="L1448" s="64"/>
      <c r="M1448" s="64"/>
      <c r="N1448" s="64"/>
      <c r="O1448" s="64"/>
      <c r="P1448" s="64"/>
      <c r="Q1448" s="64"/>
      <c r="R1448" s="64"/>
      <c r="S1448" s="64"/>
    </row>
    <row r="1449" spans="1:19" x14ac:dyDescent="0.25">
      <c r="A1449" s="63"/>
      <c r="B1449" s="64"/>
      <c r="C1449" s="64"/>
      <c r="D1449" s="64"/>
      <c r="E1449" s="64"/>
      <c r="F1449" s="64"/>
      <c r="G1449" s="64"/>
      <c r="H1449" s="64"/>
      <c r="I1449" s="64"/>
      <c r="J1449" s="64"/>
      <c r="K1449" s="64"/>
      <c r="L1449" s="64"/>
      <c r="M1449" s="64"/>
      <c r="N1449" s="64"/>
      <c r="O1449" s="64"/>
      <c r="P1449" s="64"/>
      <c r="Q1449" s="64"/>
      <c r="R1449" s="64"/>
      <c r="S1449" s="64"/>
    </row>
    <row r="1450" spans="1:19" x14ac:dyDescent="0.25">
      <c r="A1450" s="63"/>
      <c r="B1450" s="64"/>
      <c r="C1450" s="64"/>
      <c r="D1450" s="64"/>
      <c r="E1450" s="64"/>
      <c r="F1450" s="64"/>
      <c r="G1450" s="64"/>
      <c r="H1450" s="64"/>
      <c r="I1450" s="64"/>
      <c r="J1450" s="64"/>
      <c r="K1450" s="64"/>
      <c r="L1450" s="64"/>
      <c r="M1450" s="64"/>
      <c r="N1450" s="64"/>
      <c r="O1450" s="64"/>
      <c r="P1450" s="64"/>
      <c r="Q1450" s="64"/>
      <c r="R1450" s="64"/>
      <c r="S1450" s="64"/>
    </row>
    <row r="1451" spans="1:19" x14ac:dyDescent="0.25">
      <c r="A1451" s="63"/>
      <c r="B1451" s="64"/>
      <c r="C1451" s="64"/>
      <c r="D1451" s="64"/>
      <c r="E1451" s="64"/>
      <c r="F1451" s="64"/>
      <c r="G1451" s="64"/>
      <c r="H1451" s="64"/>
      <c r="I1451" s="64"/>
      <c r="J1451" s="64"/>
      <c r="K1451" s="64"/>
      <c r="L1451" s="64"/>
      <c r="M1451" s="64"/>
      <c r="N1451" s="64"/>
      <c r="O1451" s="64"/>
      <c r="P1451" s="64"/>
      <c r="Q1451" s="64"/>
      <c r="R1451" s="64"/>
      <c r="S1451" s="64"/>
    </row>
    <row r="1452" spans="1:19" x14ac:dyDescent="0.25">
      <c r="A1452" s="63"/>
      <c r="B1452" s="64"/>
      <c r="C1452" s="64"/>
      <c r="D1452" s="64"/>
      <c r="E1452" s="64"/>
      <c r="F1452" s="64"/>
      <c r="G1452" s="64"/>
      <c r="H1452" s="64"/>
      <c r="I1452" s="64"/>
      <c r="J1452" s="64"/>
      <c r="K1452" s="64"/>
      <c r="L1452" s="64"/>
      <c r="M1452" s="64"/>
      <c r="N1452" s="64"/>
      <c r="O1452" s="64"/>
      <c r="P1452" s="64"/>
      <c r="Q1452" s="64"/>
      <c r="R1452" s="64"/>
      <c r="S1452" s="64"/>
    </row>
    <row r="1453" spans="1:19" x14ac:dyDescent="0.25">
      <c r="A1453" s="63"/>
      <c r="B1453" s="64"/>
      <c r="C1453" s="64"/>
      <c r="D1453" s="64"/>
      <c r="E1453" s="64"/>
      <c r="F1453" s="64"/>
      <c r="G1453" s="64"/>
      <c r="H1453" s="64"/>
      <c r="I1453" s="64"/>
      <c r="J1453" s="64"/>
      <c r="K1453" s="64"/>
      <c r="L1453" s="64"/>
      <c r="M1453" s="64"/>
      <c r="N1453" s="64"/>
      <c r="O1453" s="64"/>
      <c r="P1453" s="64"/>
      <c r="Q1453" s="64"/>
      <c r="R1453" s="64"/>
      <c r="S1453" s="64"/>
    </row>
    <row r="1454" spans="1:19" x14ac:dyDescent="0.25">
      <c r="A1454" s="63"/>
      <c r="B1454" s="64"/>
      <c r="C1454" s="64"/>
      <c r="D1454" s="64"/>
      <c r="E1454" s="64"/>
      <c r="F1454" s="64"/>
      <c r="G1454" s="64"/>
      <c r="H1454" s="64"/>
      <c r="I1454" s="64"/>
      <c r="J1454" s="64"/>
      <c r="K1454" s="64"/>
      <c r="L1454" s="64"/>
      <c r="M1454" s="64"/>
      <c r="N1454" s="64"/>
      <c r="O1454" s="64"/>
      <c r="P1454" s="64"/>
      <c r="Q1454" s="64"/>
      <c r="R1454" s="64"/>
      <c r="S1454" s="64"/>
    </row>
    <row r="1455" spans="1:19" x14ac:dyDescent="0.25">
      <c r="A1455" s="63"/>
      <c r="B1455" s="64"/>
      <c r="C1455" s="64"/>
      <c r="D1455" s="64"/>
      <c r="E1455" s="64"/>
      <c r="F1455" s="64"/>
      <c r="G1455" s="64"/>
      <c r="H1455" s="64"/>
      <c r="I1455" s="64"/>
      <c r="J1455" s="64"/>
      <c r="K1455" s="64"/>
      <c r="L1455" s="64"/>
      <c r="M1455" s="64"/>
      <c r="N1455" s="64"/>
      <c r="O1455" s="64"/>
      <c r="P1455" s="64"/>
      <c r="Q1455" s="64"/>
      <c r="R1455" s="64"/>
      <c r="S1455" s="64"/>
    </row>
    <row r="1456" spans="1:19" x14ac:dyDescent="0.25">
      <c r="A1456" s="63"/>
      <c r="B1456" s="64"/>
      <c r="C1456" s="64"/>
      <c r="D1456" s="64"/>
      <c r="E1456" s="64"/>
      <c r="F1456" s="64"/>
      <c r="G1456" s="64"/>
      <c r="H1456" s="64"/>
      <c r="I1456" s="64"/>
      <c r="J1456" s="64"/>
      <c r="K1456" s="64"/>
      <c r="L1456" s="64"/>
      <c r="M1456" s="64"/>
      <c r="N1456" s="64"/>
      <c r="O1456" s="64"/>
      <c r="P1456" s="64"/>
      <c r="Q1456" s="64"/>
      <c r="R1456" s="64"/>
      <c r="S1456" s="64"/>
    </row>
    <row r="1457" spans="1:19" x14ac:dyDescent="0.25">
      <c r="A1457" s="63"/>
      <c r="B1457" s="64"/>
      <c r="C1457" s="64"/>
      <c r="D1457" s="64"/>
      <c r="E1457" s="64"/>
      <c r="F1457" s="64"/>
      <c r="G1457" s="64"/>
      <c r="H1457" s="64"/>
      <c r="I1457" s="64"/>
      <c r="J1457" s="64"/>
      <c r="K1457" s="64"/>
      <c r="L1457" s="64"/>
      <c r="M1457" s="64"/>
      <c r="N1457" s="64"/>
      <c r="O1457" s="64"/>
      <c r="P1457" s="64"/>
      <c r="Q1457" s="64"/>
      <c r="R1457" s="64"/>
      <c r="S1457" s="64"/>
    </row>
    <row r="1458" spans="1:19" x14ac:dyDescent="0.25">
      <c r="A1458" s="63"/>
      <c r="B1458" s="64"/>
      <c r="C1458" s="64"/>
      <c r="D1458" s="64"/>
      <c r="E1458" s="64"/>
      <c r="F1458" s="64"/>
      <c r="G1458" s="64"/>
      <c r="H1458" s="64"/>
      <c r="I1458" s="64"/>
      <c r="J1458" s="64"/>
      <c r="K1458" s="64"/>
      <c r="L1458" s="64"/>
      <c r="M1458" s="64"/>
      <c r="N1458" s="64"/>
      <c r="O1458" s="64"/>
      <c r="P1458" s="64"/>
      <c r="Q1458" s="64"/>
      <c r="R1458" s="64"/>
      <c r="S1458" s="64"/>
    </row>
    <row r="1459" spans="1:19" x14ac:dyDescent="0.25">
      <c r="A1459" s="63"/>
      <c r="B1459" s="64"/>
      <c r="C1459" s="64"/>
      <c r="D1459" s="64"/>
      <c r="E1459" s="64"/>
      <c r="F1459" s="64"/>
      <c r="G1459" s="64"/>
      <c r="H1459" s="64"/>
      <c r="I1459" s="64"/>
      <c r="J1459" s="64"/>
      <c r="K1459" s="64"/>
      <c r="L1459" s="64"/>
      <c r="M1459" s="64"/>
      <c r="N1459" s="64"/>
      <c r="O1459" s="64"/>
      <c r="P1459" s="64"/>
      <c r="Q1459" s="64"/>
      <c r="R1459" s="64"/>
      <c r="S1459" s="64"/>
    </row>
    <row r="1460" spans="1:19" x14ac:dyDescent="0.25">
      <c r="A1460" s="63"/>
      <c r="B1460" s="64"/>
      <c r="C1460" s="64"/>
      <c r="D1460" s="64"/>
      <c r="E1460" s="64"/>
      <c r="F1460" s="64"/>
      <c r="G1460" s="64"/>
      <c r="H1460" s="64"/>
      <c r="I1460" s="64"/>
      <c r="J1460" s="64"/>
      <c r="K1460" s="64"/>
      <c r="L1460" s="64"/>
      <c r="M1460" s="64"/>
      <c r="N1460" s="64"/>
      <c r="O1460" s="64"/>
      <c r="P1460" s="64"/>
      <c r="Q1460" s="64"/>
      <c r="R1460" s="64"/>
      <c r="S1460" s="64"/>
    </row>
    <row r="1461" spans="1:19" x14ac:dyDescent="0.25">
      <c r="A1461" s="63"/>
      <c r="B1461" s="64"/>
      <c r="C1461" s="64"/>
      <c r="D1461" s="64"/>
      <c r="E1461" s="64"/>
      <c r="F1461" s="64"/>
      <c r="G1461" s="64"/>
      <c r="H1461" s="64"/>
      <c r="I1461" s="64"/>
      <c r="J1461" s="64"/>
      <c r="K1461" s="64"/>
      <c r="L1461" s="64"/>
      <c r="M1461" s="64"/>
      <c r="N1461" s="64"/>
      <c r="O1461" s="64"/>
      <c r="P1461" s="64"/>
      <c r="Q1461" s="64"/>
      <c r="R1461" s="64"/>
      <c r="S1461" s="64"/>
    </row>
    <row r="1462" spans="1:19" x14ac:dyDescent="0.25">
      <c r="A1462" s="63"/>
      <c r="B1462" s="64"/>
      <c r="C1462" s="64"/>
      <c r="D1462" s="64"/>
      <c r="E1462" s="64"/>
      <c r="F1462" s="64"/>
      <c r="G1462" s="64"/>
      <c r="H1462" s="64"/>
      <c r="I1462" s="64"/>
      <c r="J1462" s="64"/>
      <c r="K1462" s="64"/>
      <c r="L1462" s="64"/>
      <c r="M1462" s="64"/>
      <c r="N1462" s="64"/>
      <c r="O1462" s="64"/>
      <c r="P1462" s="64"/>
      <c r="Q1462" s="64"/>
      <c r="R1462" s="64"/>
      <c r="S1462" s="64"/>
    </row>
    <row r="1463" spans="1:19" x14ac:dyDescent="0.25">
      <c r="A1463" s="63"/>
      <c r="B1463" s="64"/>
      <c r="C1463" s="64"/>
      <c r="D1463" s="64"/>
      <c r="E1463" s="64"/>
      <c r="F1463" s="64"/>
      <c r="G1463" s="64"/>
      <c r="H1463" s="64"/>
      <c r="I1463" s="64"/>
      <c r="J1463" s="64"/>
      <c r="K1463" s="64"/>
      <c r="L1463" s="64"/>
      <c r="M1463" s="64"/>
      <c r="N1463" s="64"/>
      <c r="O1463" s="64"/>
      <c r="P1463" s="64"/>
      <c r="Q1463" s="64"/>
      <c r="R1463" s="64"/>
      <c r="S1463" s="64"/>
    </row>
    <row r="1464" spans="1:19" x14ac:dyDescent="0.25">
      <c r="A1464" s="63"/>
      <c r="B1464" s="64"/>
      <c r="C1464" s="64"/>
      <c r="D1464" s="64"/>
      <c r="E1464" s="64"/>
      <c r="F1464" s="64"/>
      <c r="G1464" s="64"/>
      <c r="H1464" s="64"/>
      <c r="I1464" s="64"/>
      <c r="J1464" s="64"/>
      <c r="K1464" s="64"/>
      <c r="L1464" s="64"/>
      <c r="M1464" s="64"/>
      <c r="N1464" s="64"/>
      <c r="O1464" s="64"/>
      <c r="P1464" s="64"/>
      <c r="Q1464" s="64"/>
      <c r="R1464" s="64"/>
      <c r="S1464" s="64"/>
    </row>
    <row r="1465" spans="1:19" x14ac:dyDescent="0.25">
      <c r="A1465" s="63"/>
      <c r="B1465" s="64"/>
      <c r="C1465" s="64"/>
      <c r="D1465" s="64"/>
      <c r="E1465" s="64"/>
      <c r="F1465" s="64"/>
      <c r="G1465" s="64"/>
      <c r="H1465" s="64"/>
      <c r="I1465" s="64"/>
      <c r="J1465" s="64"/>
      <c r="K1465" s="64"/>
      <c r="L1465" s="64"/>
      <c r="M1465" s="64"/>
      <c r="N1465" s="64"/>
      <c r="O1465" s="64"/>
      <c r="P1465" s="64"/>
      <c r="Q1465" s="64"/>
      <c r="R1465" s="64"/>
      <c r="S1465" s="64"/>
    </row>
    <row r="1466" spans="1:19" x14ac:dyDescent="0.25">
      <c r="A1466" s="63"/>
      <c r="B1466" s="64"/>
      <c r="C1466" s="64"/>
      <c r="D1466" s="64"/>
      <c r="E1466" s="64"/>
      <c r="F1466" s="64"/>
      <c r="G1466" s="64"/>
      <c r="H1466" s="64"/>
      <c r="I1466" s="64"/>
      <c r="J1466" s="64"/>
      <c r="K1466" s="64"/>
      <c r="L1466" s="64"/>
      <c r="M1466" s="64"/>
      <c r="N1466" s="64"/>
      <c r="O1466" s="64"/>
      <c r="P1466" s="64"/>
      <c r="Q1466" s="64"/>
      <c r="R1466" s="64"/>
      <c r="S1466" s="64"/>
    </row>
    <row r="1467" spans="1:19" x14ac:dyDescent="0.25">
      <c r="A1467" s="63"/>
      <c r="B1467" s="64"/>
      <c r="C1467" s="64"/>
      <c r="D1467" s="64"/>
      <c r="E1467" s="64"/>
      <c r="F1467" s="64"/>
      <c r="G1467" s="64"/>
      <c r="H1467" s="64"/>
      <c r="I1467" s="64"/>
      <c r="J1467" s="64"/>
      <c r="K1467" s="64"/>
      <c r="L1467" s="64"/>
      <c r="M1467" s="64"/>
      <c r="N1467" s="64"/>
      <c r="O1467" s="64"/>
      <c r="P1467" s="64"/>
      <c r="Q1467" s="64"/>
      <c r="R1467" s="64"/>
      <c r="S1467" s="64"/>
    </row>
    <row r="1468" spans="1:19" x14ac:dyDescent="0.25">
      <c r="A1468" s="63"/>
      <c r="B1468" s="64"/>
      <c r="C1468" s="64"/>
      <c r="D1468" s="64"/>
      <c r="E1468" s="64"/>
      <c r="F1468" s="64"/>
      <c r="G1468" s="64"/>
      <c r="H1468" s="64"/>
      <c r="I1468" s="64"/>
      <c r="J1468" s="64"/>
      <c r="K1468" s="64"/>
      <c r="L1468" s="64"/>
      <c r="M1468" s="64"/>
      <c r="N1468" s="64"/>
      <c r="O1468" s="64"/>
      <c r="P1468" s="64"/>
      <c r="Q1468" s="64"/>
      <c r="R1468" s="64"/>
      <c r="S1468" s="64"/>
    </row>
    <row r="1469" spans="1:19" x14ac:dyDescent="0.25">
      <c r="A1469" s="63"/>
      <c r="B1469" s="64"/>
      <c r="C1469" s="64"/>
      <c r="D1469" s="64"/>
      <c r="E1469" s="64"/>
      <c r="F1469" s="64"/>
      <c r="G1469" s="64"/>
      <c r="H1469" s="64"/>
      <c r="I1469" s="64"/>
      <c r="J1469" s="64"/>
      <c r="K1469" s="64"/>
      <c r="L1469" s="64"/>
      <c r="M1469" s="64"/>
      <c r="N1469" s="64"/>
      <c r="O1469" s="64"/>
      <c r="P1469" s="64"/>
      <c r="Q1469" s="64"/>
      <c r="R1469" s="64"/>
      <c r="S1469" s="64"/>
    </row>
    <row r="1470" spans="1:19" x14ac:dyDescent="0.25">
      <c r="A1470" s="63"/>
      <c r="B1470" s="64"/>
      <c r="C1470" s="64"/>
      <c r="D1470" s="64"/>
      <c r="E1470" s="64"/>
      <c r="F1470" s="64"/>
      <c r="G1470" s="64"/>
      <c r="H1470" s="64"/>
      <c r="I1470" s="64"/>
      <c r="J1470" s="64"/>
      <c r="K1470" s="64"/>
      <c r="L1470" s="64"/>
      <c r="M1470" s="64"/>
      <c r="N1470" s="64"/>
      <c r="O1470" s="64"/>
      <c r="P1470" s="64"/>
      <c r="Q1470" s="64"/>
      <c r="R1470" s="64"/>
      <c r="S1470" s="64"/>
    </row>
    <row r="1471" spans="1:19" x14ac:dyDescent="0.25">
      <c r="A1471" s="63"/>
      <c r="B1471" s="64"/>
      <c r="C1471" s="64"/>
      <c r="D1471" s="64"/>
      <c r="E1471" s="64"/>
      <c r="F1471" s="64"/>
      <c r="G1471" s="64"/>
      <c r="H1471" s="64"/>
      <c r="I1471" s="64"/>
      <c r="J1471" s="64"/>
      <c r="K1471" s="64"/>
      <c r="L1471" s="64"/>
      <c r="M1471" s="64"/>
      <c r="N1471" s="64"/>
      <c r="O1471" s="64"/>
      <c r="P1471" s="64"/>
      <c r="Q1471" s="64"/>
      <c r="R1471" s="64"/>
      <c r="S1471" s="64"/>
    </row>
    <row r="1472" spans="1:19" x14ac:dyDescent="0.25">
      <c r="A1472" s="63"/>
      <c r="B1472" s="64"/>
      <c r="C1472" s="64"/>
      <c r="D1472" s="64"/>
      <c r="E1472" s="64"/>
      <c r="F1472" s="64"/>
      <c r="G1472" s="64"/>
      <c r="H1472" s="64"/>
      <c r="I1472" s="64"/>
      <c r="J1472" s="64"/>
      <c r="K1472" s="64"/>
      <c r="L1472" s="64"/>
      <c r="M1472" s="64"/>
      <c r="N1472" s="64"/>
      <c r="O1472" s="64"/>
      <c r="P1472" s="64"/>
      <c r="Q1472" s="64"/>
      <c r="R1472" s="64"/>
      <c r="S1472" s="64"/>
    </row>
    <row r="1473" spans="1:19" x14ac:dyDescent="0.25">
      <c r="A1473" s="63"/>
      <c r="B1473" s="64"/>
      <c r="C1473" s="64"/>
      <c r="D1473" s="64"/>
      <c r="E1473" s="64"/>
      <c r="F1473" s="64"/>
      <c r="G1473" s="64"/>
      <c r="H1473" s="64"/>
      <c r="I1473" s="64"/>
      <c r="J1473" s="64"/>
      <c r="K1473" s="64"/>
      <c r="L1473" s="64"/>
      <c r="M1473" s="64"/>
      <c r="N1473" s="64"/>
      <c r="O1473" s="64"/>
      <c r="P1473" s="64"/>
      <c r="Q1473" s="64"/>
      <c r="R1473" s="64"/>
      <c r="S1473" s="64"/>
    </row>
    <row r="1474" spans="1:19" x14ac:dyDescent="0.25">
      <c r="A1474" s="63"/>
      <c r="B1474" s="64"/>
      <c r="C1474" s="64"/>
      <c r="D1474" s="64"/>
      <c r="E1474" s="64"/>
      <c r="F1474" s="64"/>
      <c r="G1474" s="64"/>
      <c r="H1474" s="64"/>
      <c r="I1474" s="64"/>
      <c r="J1474" s="64"/>
      <c r="K1474" s="64"/>
      <c r="L1474" s="64"/>
      <c r="M1474" s="64"/>
      <c r="N1474" s="64"/>
      <c r="O1474" s="64"/>
      <c r="P1474" s="64"/>
      <c r="Q1474" s="64"/>
      <c r="R1474" s="64"/>
      <c r="S1474" s="64"/>
    </row>
    <row r="1475" spans="1:19" x14ac:dyDescent="0.25">
      <c r="A1475" s="63"/>
      <c r="B1475" s="64"/>
      <c r="C1475" s="64"/>
      <c r="D1475" s="64"/>
      <c r="E1475" s="64"/>
      <c r="F1475" s="64"/>
      <c r="G1475" s="64"/>
      <c r="H1475" s="64"/>
      <c r="I1475" s="64"/>
      <c r="J1475" s="64"/>
      <c r="K1475" s="64"/>
      <c r="L1475" s="64"/>
      <c r="M1475" s="64"/>
      <c r="N1475" s="64"/>
      <c r="O1475" s="64"/>
      <c r="P1475" s="64"/>
      <c r="Q1475" s="64"/>
      <c r="R1475" s="64"/>
      <c r="S1475" s="64"/>
    </row>
    <row r="1476" spans="1:19" x14ac:dyDescent="0.25">
      <c r="A1476" s="63"/>
      <c r="B1476" s="64"/>
      <c r="C1476" s="64"/>
      <c r="D1476" s="64"/>
      <c r="E1476" s="64"/>
      <c r="F1476" s="64"/>
      <c r="G1476" s="64"/>
      <c r="H1476" s="64"/>
      <c r="I1476" s="64"/>
      <c r="J1476" s="64"/>
      <c r="K1476" s="64"/>
      <c r="L1476" s="64"/>
      <c r="M1476" s="64"/>
      <c r="N1476" s="64"/>
      <c r="O1476" s="64"/>
      <c r="P1476" s="64"/>
      <c r="Q1476" s="64"/>
      <c r="R1476" s="64"/>
      <c r="S1476" s="64"/>
    </row>
    <row r="1477" spans="1:19" x14ac:dyDescent="0.25">
      <c r="A1477" s="63"/>
      <c r="B1477" s="64"/>
      <c r="C1477" s="64"/>
      <c r="D1477" s="64"/>
      <c r="E1477" s="64"/>
      <c r="F1477" s="64"/>
      <c r="G1477" s="64"/>
      <c r="H1477" s="64"/>
      <c r="I1477" s="64"/>
      <c r="J1477" s="64"/>
      <c r="K1477" s="64"/>
      <c r="L1477" s="64"/>
      <c r="M1477" s="64"/>
      <c r="N1477" s="64"/>
      <c r="O1477" s="64"/>
      <c r="P1477" s="64"/>
      <c r="Q1477" s="64"/>
      <c r="R1477" s="64"/>
      <c r="S1477" s="64"/>
    </row>
    <row r="1478" spans="1:19" x14ac:dyDescent="0.25">
      <c r="A1478" s="63"/>
      <c r="B1478" s="64"/>
      <c r="C1478" s="64"/>
      <c r="D1478" s="64"/>
      <c r="E1478" s="64"/>
      <c r="F1478" s="64"/>
      <c r="G1478" s="64"/>
      <c r="H1478" s="64"/>
      <c r="I1478" s="64"/>
      <c r="J1478" s="64"/>
      <c r="K1478" s="64"/>
      <c r="L1478" s="64"/>
      <c r="M1478" s="64"/>
      <c r="N1478" s="64"/>
      <c r="O1478" s="64"/>
      <c r="P1478" s="64"/>
      <c r="Q1478" s="64"/>
      <c r="R1478" s="64"/>
      <c r="S1478" s="64"/>
    </row>
    <row r="1479" spans="1:19" x14ac:dyDescent="0.25">
      <c r="A1479" s="63"/>
      <c r="B1479" s="64"/>
      <c r="C1479" s="64"/>
      <c r="D1479" s="64"/>
      <c r="E1479" s="64"/>
      <c r="F1479" s="64"/>
      <c r="G1479" s="64"/>
      <c r="H1479" s="64"/>
      <c r="I1479" s="64"/>
      <c r="J1479" s="64"/>
      <c r="K1479" s="64"/>
      <c r="L1479" s="64"/>
      <c r="M1479" s="64"/>
      <c r="N1479" s="64"/>
      <c r="O1479" s="64"/>
      <c r="P1479" s="64"/>
      <c r="Q1479" s="64"/>
      <c r="R1479" s="64"/>
      <c r="S1479" s="64"/>
    </row>
    <row r="1480" spans="1:19" x14ac:dyDescent="0.25">
      <c r="A1480" s="63"/>
      <c r="B1480" s="64"/>
      <c r="C1480" s="64"/>
      <c r="D1480" s="64"/>
      <c r="E1480" s="64"/>
      <c r="F1480" s="64"/>
      <c r="G1480" s="64"/>
      <c r="H1480" s="64"/>
      <c r="I1480" s="64"/>
      <c r="J1480" s="64"/>
      <c r="K1480" s="64"/>
      <c r="L1480" s="64"/>
      <c r="M1480" s="64"/>
      <c r="N1480" s="64"/>
      <c r="O1480" s="64"/>
      <c r="P1480" s="64"/>
      <c r="Q1480" s="64"/>
      <c r="R1480" s="64"/>
      <c r="S1480" s="64"/>
    </row>
    <row r="1481" spans="1:19" x14ac:dyDescent="0.25">
      <c r="A1481" s="63"/>
      <c r="B1481" s="64"/>
      <c r="C1481" s="64"/>
      <c r="D1481" s="64"/>
      <c r="E1481" s="64"/>
      <c r="F1481" s="64"/>
      <c r="G1481" s="64"/>
      <c r="H1481" s="64"/>
      <c r="I1481" s="64"/>
      <c r="J1481" s="64"/>
      <c r="K1481" s="64"/>
      <c r="L1481" s="64"/>
      <c r="M1481" s="64"/>
      <c r="N1481" s="64"/>
      <c r="O1481" s="64"/>
      <c r="P1481" s="64"/>
      <c r="Q1481" s="64"/>
      <c r="R1481" s="64"/>
      <c r="S1481" s="64"/>
    </row>
    <row r="1482" spans="1:19" x14ac:dyDescent="0.25">
      <c r="A1482" s="63"/>
      <c r="B1482" s="64"/>
      <c r="C1482" s="64"/>
      <c r="D1482" s="64"/>
      <c r="E1482" s="64"/>
      <c r="F1482" s="64"/>
      <c r="G1482" s="64"/>
      <c r="H1482" s="64"/>
      <c r="I1482" s="64"/>
      <c r="J1482" s="64"/>
      <c r="K1482" s="64"/>
      <c r="L1482" s="64"/>
      <c r="M1482" s="64"/>
      <c r="N1482" s="64"/>
      <c r="O1482" s="64"/>
      <c r="P1482" s="64"/>
      <c r="Q1482" s="64"/>
      <c r="R1482" s="64"/>
      <c r="S1482" s="64"/>
    </row>
    <row r="1483" spans="1:19" x14ac:dyDescent="0.25">
      <c r="A1483" s="63"/>
      <c r="B1483" s="64"/>
      <c r="C1483" s="64"/>
      <c r="D1483" s="64"/>
      <c r="E1483" s="64"/>
      <c r="F1483" s="64"/>
      <c r="G1483" s="64"/>
      <c r="H1483" s="64"/>
      <c r="I1483" s="64"/>
      <c r="J1483" s="64"/>
      <c r="K1483" s="64"/>
      <c r="L1483" s="64"/>
      <c r="M1483" s="64"/>
      <c r="N1483" s="64"/>
      <c r="O1483" s="64"/>
      <c r="P1483" s="64"/>
      <c r="Q1483" s="64"/>
      <c r="R1483" s="64"/>
      <c r="S1483" s="64"/>
    </row>
    <row r="1484" spans="1:19" x14ac:dyDescent="0.25">
      <c r="A1484" s="63"/>
      <c r="B1484" s="64"/>
      <c r="C1484" s="64"/>
      <c r="D1484" s="64"/>
      <c r="E1484" s="64"/>
      <c r="F1484" s="64"/>
      <c r="G1484" s="64"/>
      <c r="H1484" s="64"/>
      <c r="I1484" s="64"/>
      <c r="J1484" s="64"/>
      <c r="K1484" s="64"/>
      <c r="L1484" s="64"/>
      <c r="M1484" s="64"/>
      <c r="N1484" s="64"/>
      <c r="O1484" s="64"/>
      <c r="P1484" s="64"/>
      <c r="Q1484" s="64"/>
      <c r="R1484" s="64"/>
      <c r="S1484" s="64"/>
    </row>
    <row r="1485" spans="1:19" x14ac:dyDescent="0.25">
      <c r="A1485" s="63"/>
      <c r="B1485" s="64"/>
      <c r="C1485" s="64"/>
      <c r="D1485" s="64"/>
      <c r="E1485" s="64"/>
      <c r="F1485" s="64"/>
      <c r="G1485" s="64"/>
      <c r="H1485" s="64"/>
      <c r="I1485" s="64"/>
      <c r="J1485" s="64"/>
      <c r="K1485" s="64"/>
      <c r="L1485" s="64"/>
      <c r="M1485" s="64"/>
      <c r="N1485" s="64"/>
      <c r="O1485" s="64"/>
      <c r="P1485" s="64"/>
      <c r="Q1485" s="64"/>
      <c r="R1485" s="64"/>
      <c r="S1485" s="64"/>
    </row>
    <row r="1486" spans="1:19" x14ac:dyDescent="0.25">
      <c r="A1486" s="63"/>
      <c r="B1486" s="64"/>
      <c r="C1486" s="64"/>
      <c r="D1486" s="64"/>
      <c r="E1486" s="64"/>
      <c r="F1486" s="64"/>
      <c r="G1486" s="64"/>
      <c r="H1486" s="64"/>
      <c r="I1486" s="64"/>
      <c r="J1486" s="64"/>
      <c r="K1486" s="64"/>
      <c r="L1486" s="64"/>
      <c r="M1486" s="64"/>
      <c r="N1486" s="64"/>
      <c r="O1486" s="64"/>
      <c r="P1486" s="64"/>
      <c r="Q1486" s="64"/>
      <c r="R1486" s="64"/>
      <c r="S1486" s="64"/>
    </row>
    <row r="1487" spans="1:19" x14ac:dyDescent="0.25">
      <c r="A1487" s="63"/>
      <c r="B1487" s="64"/>
      <c r="C1487" s="64"/>
      <c r="D1487" s="64"/>
      <c r="E1487" s="64"/>
      <c r="F1487" s="64"/>
      <c r="G1487" s="64"/>
      <c r="H1487" s="64"/>
      <c r="I1487" s="64"/>
      <c r="J1487" s="64"/>
      <c r="K1487" s="64"/>
      <c r="L1487" s="64"/>
      <c r="M1487" s="64"/>
      <c r="N1487" s="64"/>
      <c r="O1487" s="64"/>
      <c r="P1487" s="64"/>
      <c r="Q1487" s="64"/>
      <c r="R1487" s="64"/>
      <c r="S1487" s="64"/>
    </row>
    <row r="1488" spans="1:19" x14ac:dyDescent="0.25">
      <c r="A1488" s="63"/>
      <c r="B1488" s="64"/>
      <c r="C1488" s="64"/>
      <c r="D1488" s="64"/>
      <c r="E1488" s="64"/>
      <c r="F1488" s="64"/>
      <c r="G1488" s="64"/>
      <c r="H1488" s="64"/>
      <c r="I1488" s="64"/>
      <c r="J1488" s="64"/>
      <c r="K1488" s="64"/>
      <c r="L1488" s="64"/>
      <c r="M1488" s="64"/>
      <c r="N1488" s="64"/>
      <c r="O1488" s="64"/>
      <c r="P1488" s="64"/>
      <c r="Q1488" s="64"/>
      <c r="R1488" s="64"/>
      <c r="S1488" s="64"/>
    </row>
    <row r="1489" spans="1:19" x14ac:dyDescent="0.25">
      <c r="A1489" s="63"/>
      <c r="B1489" s="64"/>
      <c r="C1489" s="64"/>
      <c r="D1489" s="64"/>
      <c r="E1489" s="64"/>
      <c r="F1489" s="64"/>
      <c r="G1489" s="64"/>
      <c r="H1489" s="64"/>
      <c r="I1489" s="64"/>
      <c r="J1489" s="64"/>
      <c r="K1489" s="64"/>
      <c r="L1489" s="64"/>
      <c r="M1489" s="64"/>
      <c r="N1489" s="64"/>
      <c r="O1489" s="64"/>
      <c r="P1489" s="64"/>
      <c r="Q1489" s="64"/>
      <c r="R1489" s="64"/>
      <c r="S1489" s="64"/>
    </row>
    <row r="1490" spans="1:19" x14ac:dyDescent="0.25">
      <c r="A1490" s="63"/>
      <c r="B1490" s="64"/>
      <c r="C1490" s="64"/>
      <c r="D1490" s="64"/>
      <c r="E1490" s="64"/>
      <c r="F1490" s="64"/>
      <c r="G1490" s="64"/>
      <c r="H1490" s="64"/>
      <c r="I1490" s="64"/>
      <c r="J1490" s="64"/>
      <c r="K1490" s="64"/>
      <c r="L1490" s="64"/>
      <c r="M1490" s="64"/>
      <c r="N1490" s="64"/>
      <c r="O1490" s="64"/>
      <c r="P1490" s="64"/>
      <c r="Q1490" s="64"/>
      <c r="R1490" s="64"/>
      <c r="S1490" s="64"/>
    </row>
    <row r="1491" spans="1:19" x14ac:dyDescent="0.25">
      <c r="A1491" s="63"/>
      <c r="B1491" s="64"/>
      <c r="C1491" s="64"/>
      <c r="D1491" s="64"/>
      <c r="E1491" s="64"/>
      <c r="F1491" s="64"/>
      <c r="G1491" s="64"/>
      <c r="H1491" s="64"/>
      <c r="I1491" s="64"/>
      <c r="J1491" s="64"/>
      <c r="K1491" s="64"/>
      <c r="L1491" s="64"/>
      <c r="M1491" s="64"/>
      <c r="N1491" s="64"/>
      <c r="O1491" s="64"/>
      <c r="P1491" s="64"/>
      <c r="Q1491" s="64"/>
      <c r="R1491" s="64"/>
      <c r="S1491" s="64"/>
    </row>
    <row r="1492" spans="1:19" x14ac:dyDescent="0.25">
      <c r="A1492" s="63"/>
      <c r="B1492" s="64"/>
      <c r="C1492" s="64"/>
      <c r="D1492" s="64"/>
      <c r="E1492" s="64"/>
      <c r="F1492" s="64"/>
      <c r="G1492" s="64"/>
      <c r="H1492" s="64"/>
      <c r="I1492" s="64"/>
      <c r="J1492" s="64"/>
      <c r="K1492" s="64"/>
      <c r="L1492" s="64"/>
      <c r="M1492" s="64"/>
      <c r="N1492" s="64"/>
      <c r="O1492" s="64"/>
      <c r="P1492" s="64"/>
      <c r="Q1492" s="64"/>
      <c r="R1492" s="64"/>
      <c r="S1492" s="64"/>
    </row>
    <row r="1493" spans="1:19" x14ac:dyDescent="0.25">
      <c r="A1493" s="63"/>
      <c r="B1493" s="64"/>
      <c r="C1493" s="64"/>
      <c r="D1493" s="64"/>
      <c r="E1493" s="64"/>
      <c r="F1493" s="64"/>
      <c r="G1493" s="64"/>
      <c r="H1493" s="64"/>
      <c r="I1493" s="64"/>
      <c r="J1493" s="64"/>
      <c r="K1493" s="64"/>
      <c r="L1493" s="64"/>
      <c r="M1493" s="64"/>
      <c r="N1493" s="64"/>
      <c r="O1493" s="64"/>
      <c r="P1493" s="64"/>
      <c r="Q1493" s="64"/>
      <c r="R1493" s="64"/>
      <c r="S1493" s="64"/>
    </row>
    <row r="1494" spans="1:19" x14ac:dyDescent="0.25">
      <c r="A1494" s="63"/>
      <c r="B1494" s="64"/>
      <c r="C1494" s="64"/>
      <c r="D1494" s="64"/>
      <c r="E1494" s="64"/>
      <c r="F1494" s="64"/>
      <c r="G1494" s="64"/>
      <c r="H1494" s="64"/>
      <c r="I1494" s="64"/>
      <c r="J1494" s="64"/>
      <c r="K1494" s="64"/>
      <c r="L1494" s="64"/>
      <c r="M1494" s="64"/>
      <c r="N1494" s="64"/>
      <c r="O1494" s="64"/>
      <c r="P1494" s="64"/>
      <c r="Q1494" s="64"/>
      <c r="R1494" s="64"/>
      <c r="S1494" s="64"/>
    </row>
    <row r="1495" spans="1:19" x14ac:dyDescent="0.25">
      <c r="A1495" s="63"/>
      <c r="B1495" s="64"/>
      <c r="C1495" s="64"/>
      <c r="D1495" s="64"/>
      <c r="E1495" s="64"/>
      <c r="F1495" s="64"/>
      <c r="G1495" s="64"/>
      <c r="H1495" s="64"/>
      <c r="I1495" s="64"/>
      <c r="J1495" s="64"/>
      <c r="K1495" s="64"/>
      <c r="L1495" s="64"/>
      <c r="M1495" s="64"/>
      <c r="N1495" s="64"/>
      <c r="O1495" s="64"/>
      <c r="P1495" s="64"/>
      <c r="Q1495" s="64"/>
      <c r="R1495" s="64"/>
      <c r="S1495" s="64"/>
    </row>
    <row r="1496" spans="1:19" x14ac:dyDescent="0.25">
      <c r="A1496" s="63"/>
      <c r="B1496" s="64"/>
      <c r="C1496" s="64"/>
      <c r="D1496" s="64"/>
      <c r="E1496" s="64"/>
      <c r="F1496" s="64"/>
      <c r="G1496" s="64"/>
      <c r="H1496" s="64"/>
      <c r="I1496" s="64"/>
      <c r="J1496" s="64"/>
      <c r="K1496" s="64"/>
      <c r="L1496" s="64"/>
      <c r="M1496" s="64"/>
      <c r="N1496" s="64"/>
      <c r="O1496" s="64"/>
      <c r="P1496" s="64"/>
      <c r="Q1496" s="64"/>
      <c r="R1496" s="64"/>
      <c r="S1496" s="64"/>
    </row>
    <row r="1497" spans="1:19" x14ac:dyDescent="0.25">
      <c r="A1497" s="63"/>
      <c r="B1497" s="64"/>
      <c r="C1497" s="64"/>
      <c r="D1497" s="64"/>
      <c r="E1497" s="64"/>
      <c r="F1497" s="64"/>
      <c r="G1497" s="64"/>
      <c r="H1497" s="64"/>
      <c r="I1497" s="64"/>
      <c r="J1497" s="64"/>
      <c r="K1497" s="64"/>
      <c r="L1497" s="64"/>
      <c r="M1497" s="64"/>
      <c r="N1497" s="64"/>
      <c r="O1497" s="64"/>
      <c r="P1497" s="64"/>
      <c r="Q1497" s="64"/>
      <c r="R1497" s="64"/>
      <c r="S1497" s="64"/>
    </row>
    <row r="1498" spans="1:19" x14ac:dyDescent="0.25">
      <c r="A1498" s="63"/>
      <c r="B1498" s="64"/>
      <c r="C1498" s="64"/>
      <c r="D1498" s="64"/>
      <c r="E1498" s="64"/>
      <c r="F1498" s="64"/>
      <c r="G1498" s="64"/>
      <c r="H1498" s="64"/>
      <c r="I1498" s="64"/>
      <c r="J1498" s="64"/>
      <c r="K1498" s="64"/>
      <c r="L1498" s="64"/>
      <c r="M1498" s="64"/>
      <c r="N1498" s="64"/>
      <c r="O1498" s="64"/>
      <c r="P1498" s="64"/>
      <c r="Q1498" s="64"/>
      <c r="R1498" s="64"/>
      <c r="S1498" s="64"/>
    </row>
    <row r="1499" spans="1:19" x14ac:dyDescent="0.25">
      <c r="A1499" s="63"/>
      <c r="B1499" s="64"/>
      <c r="C1499" s="64"/>
      <c r="D1499" s="64"/>
      <c r="E1499" s="64"/>
      <c r="F1499" s="64"/>
      <c r="G1499" s="64"/>
      <c r="H1499" s="64"/>
      <c r="I1499" s="64"/>
      <c r="J1499" s="64"/>
      <c r="K1499" s="64"/>
      <c r="L1499" s="64"/>
      <c r="M1499" s="64"/>
      <c r="N1499" s="64"/>
      <c r="O1499" s="64"/>
      <c r="P1499" s="64"/>
      <c r="Q1499" s="64"/>
      <c r="R1499" s="64"/>
      <c r="S1499" s="64"/>
    </row>
    <row r="1500" spans="1:19" x14ac:dyDescent="0.25">
      <c r="A1500" s="63"/>
      <c r="B1500" s="64"/>
      <c r="C1500" s="64"/>
      <c r="D1500" s="64"/>
      <c r="E1500" s="64"/>
      <c r="F1500" s="64"/>
      <c r="G1500" s="64"/>
      <c r="H1500" s="64"/>
      <c r="I1500" s="64"/>
      <c r="J1500" s="64"/>
      <c r="K1500" s="64"/>
      <c r="L1500" s="64"/>
      <c r="M1500" s="64"/>
      <c r="N1500" s="64"/>
      <c r="O1500" s="64"/>
      <c r="P1500" s="64"/>
      <c r="Q1500" s="64"/>
      <c r="R1500" s="64"/>
      <c r="S1500" s="64"/>
    </row>
    <row r="1501" spans="1:19" x14ac:dyDescent="0.25">
      <c r="A1501" s="63"/>
      <c r="B1501" s="64"/>
      <c r="C1501" s="64"/>
      <c r="D1501" s="64"/>
      <c r="E1501" s="64"/>
      <c r="F1501" s="64"/>
      <c r="G1501" s="64"/>
      <c r="H1501" s="64"/>
      <c r="I1501" s="64"/>
      <c r="J1501" s="64"/>
      <c r="K1501" s="64"/>
      <c r="L1501" s="64"/>
      <c r="M1501" s="64"/>
      <c r="N1501" s="64"/>
      <c r="O1501" s="64"/>
      <c r="P1501" s="64"/>
      <c r="Q1501" s="64"/>
      <c r="R1501" s="64"/>
      <c r="S1501" s="64"/>
    </row>
    <row r="1502" spans="1:19" x14ac:dyDescent="0.25">
      <c r="A1502" s="63"/>
      <c r="B1502" s="64"/>
      <c r="C1502" s="64"/>
      <c r="D1502" s="64"/>
      <c r="E1502" s="64"/>
      <c r="F1502" s="64"/>
      <c r="G1502" s="64"/>
      <c r="H1502" s="64"/>
      <c r="I1502" s="64"/>
      <c r="J1502" s="64"/>
      <c r="K1502" s="64"/>
      <c r="L1502" s="64"/>
      <c r="M1502" s="64"/>
      <c r="N1502" s="64"/>
      <c r="O1502" s="64"/>
      <c r="P1502" s="64"/>
      <c r="Q1502" s="64"/>
      <c r="R1502" s="64"/>
      <c r="S1502" s="64"/>
    </row>
    <row r="1503" spans="1:19" x14ac:dyDescent="0.25">
      <c r="A1503" s="63"/>
      <c r="B1503" s="64"/>
      <c r="C1503" s="64"/>
      <c r="D1503" s="64"/>
      <c r="E1503" s="64"/>
      <c r="F1503" s="64"/>
      <c r="G1503" s="64"/>
      <c r="H1503" s="64"/>
      <c r="I1503" s="64"/>
      <c r="J1503" s="64"/>
      <c r="K1503" s="64"/>
      <c r="L1503" s="64"/>
      <c r="M1503" s="64"/>
      <c r="N1503" s="64"/>
      <c r="O1503" s="64"/>
      <c r="P1503" s="64"/>
      <c r="Q1503" s="64"/>
      <c r="R1503" s="64"/>
      <c r="S1503" s="64"/>
    </row>
    <row r="1504" spans="1:19" x14ac:dyDescent="0.25">
      <c r="A1504" s="63"/>
      <c r="B1504" s="64"/>
      <c r="C1504" s="64"/>
      <c r="D1504" s="64"/>
      <c r="E1504" s="64"/>
      <c r="F1504" s="64"/>
      <c r="G1504" s="64"/>
      <c r="H1504" s="64"/>
      <c r="I1504" s="64"/>
      <c r="J1504" s="64"/>
      <c r="K1504" s="64"/>
      <c r="L1504" s="64"/>
      <c r="M1504" s="64"/>
      <c r="N1504" s="64"/>
      <c r="O1504" s="64"/>
      <c r="P1504" s="64"/>
      <c r="Q1504" s="64"/>
      <c r="R1504" s="64"/>
      <c r="S1504" s="64"/>
    </row>
    <row r="1505" spans="1:19" x14ac:dyDescent="0.25">
      <c r="A1505" s="63"/>
      <c r="B1505" s="64"/>
      <c r="C1505" s="64"/>
      <c r="D1505" s="64"/>
      <c r="E1505" s="64"/>
      <c r="F1505" s="64"/>
      <c r="G1505" s="64"/>
      <c r="H1505" s="64"/>
      <c r="I1505" s="64"/>
      <c r="J1505" s="64"/>
      <c r="K1505" s="64"/>
      <c r="L1505" s="64"/>
      <c r="M1505" s="64"/>
      <c r="N1505" s="64"/>
      <c r="O1505" s="64"/>
      <c r="P1505" s="64"/>
      <c r="Q1505" s="64"/>
      <c r="R1505" s="64"/>
      <c r="S1505" s="64"/>
    </row>
    <row r="1506" spans="1:19" x14ac:dyDescent="0.25">
      <c r="A1506" s="63"/>
      <c r="B1506" s="64"/>
      <c r="C1506" s="64"/>
      <c r="D1506" s="64"/>
      <c r="E1506" s="64"/>
      <c r="F1506" s="64"/>
      <c r="G1506" s="64"/>
      <c r="H1506" s="64"/>
      <c r="I1506" s="64"/>
      <c r="J1506" s="64"/>
      <c r="K1506" s="64"/>
      <c r="L1506" s="64"/>
      <c r="M1506" s="64"/>
      <c r="N1506" s="64"/>
      <c r="O1506" s="64"/>
      <c r="P1506" s="64"/>
      <c r="Q1506" s="64"/>
      <c r="R1506" s="64"/>
      <c r="S1506" s="64"/>
    </row>
    <row r="1507" spans="1:19" x14ac:dyDescent="0.25">
      <c r="A1507" s="63"/>
      <c r="B1507" s="64"/>
      <c r="C1507" s="64"/>
      <c r="D1507" s="64"/>
      <c r="E1507" s="64"/>
      <c r="F1507" s="64"/>
      <c r="G1507" s="64"/>
      <c r="H1507" s="64"/>
      <c r="I1507" s="64"/>
      <c r="J1507" s="64"/>
      <c r="K1507" s="64"/>
      <c r="L1507" s="64"/>
      <c r="M1507" s="64"/>
      <c r="N1507" s="64"/>
      <c r="O1507" s="64"/>
      <c r="P1507" s="64"/>
      <c r="Q1507" s="64"/>
      <c r="R1507" s="64"/>
      <c r="S1507" s="64"/>
    </row>
    <row r="1508" spans="1:19" x14ac:dyDescent="0.25">
      <c r="A1508" s="63"/>
      <c r="B1508" s="64"/>
      <c r="C1508" s="64"/>
      <c r="D1508" s="64"/>
      <c r="E1508" s="64"/>
      <c r="F1508" s="64"/>
      <c r="G1508" s="64"/>
      <c r="H1508" s="64"/>
      <c r="I1508" s="64"/>
      <c r="J1508" s="64"/>
      <c r="K1508" s="64"/>
      <c r="L1508" s="64"/>
      <c r="M1508" s="64"/>
      <c r="N1508" s="64"/>
      <c r="O1508" s="64"/>
      <c r="P1508" s="64"/>
      <c r="Q1508" s="64"/>
      <c r="R1508" s="64"/>
      <c r="S1508" s="64"/>
    </row>
    <row r="1509" spans="1:19" x14ac:dyDescent="0.25">
      <c r="A1509" s="63"/>
      <c r="B1509" s="64"/>
      <c r="C1509" s="64"/>
      <c r="D1509" s="64"/>
      <c r="E1509" s="64"/>
      <c r="F1509" s="64"/>
      <c r="G1509" s="64"/>
      <c r="H1509" s="64"/>
      <c r="I1509" s="64"/>
      <c r="J1509" s="64"/>
      <c r="K1509" s="64"/>
      <c r="L1509" s="64"/>
      <c r="M1509" s="64"/>
      <c r="N1509" s="64"/>
      <c r="O1509" s="64"/>
      <c r="P1509" s="64"/>
      <c r="Q1509" s="64"/>
      <c r="R1509" s="64"/>
      <c r="S1509" s="64"/>
    </row>
    <row r="1510" spans="1:19" x14ac:dyDescent="0.25">
      <c r="A1510" s="63"/>
      <c r="B1510" s="64"/>
      <c r="C1510" s="64"/>
      <c r="D1510" s="64"/>
      <c r="E1510" s="64"/>
      <c r="F1510" s="64"/>
      <c r="G1510" s="64"/>
      <c r="H1510" s="64"/>
      <c r="I1510" s="64"/>
      <c r="J1510" s="64"/>
      <c r="K1510" s="64"/>
      <c r="L1510" s="64"/>
      <c r="M1510" s="64"/>
      <c r="N1510" s="64"/>
      <c r="O1510" s="64"/>
      <c r="P1510" s="64"/>
      <c r="Q1510" s="64"/>
      <c r="R1510" s="64"/>
      <c r="S1510" s="64"/>
    </row>
    <row r="1511" spans="1:19" x14ac:dyDescent="0.25">
      <c r="A1511" s="63"/>
      <c r="B1511" s="64"/>
      <c r="C1511" s="64"/>
      <c r="D1511" s="64"/>
      <c r="E1511" s="64"/>
      <c r="F1511" s="64"/>
      <c r="G1511" s="64"/>
      <c r="H1511" s="64"/>
      <c r="I1511" s="64"/>
      <c r="J1511" s="64"/>
      <c r="K1511" s="64"/>
      <c r="L1511" s="64"/>
      <c r="M1511" s="64"/>
      <c r="N1511" s="64"/>
      <c r="O1511" s="64"/>
      <c r="P1511" s="64"/>
      <c r="Q1511" s="64"/>
      <c r="R1511" s="64"/>
      <c r="S1511" s="64"/>
    </row>
    <row r="1512" spans="1:19" x14ac:dyDescent="0.25">
      <c r="A1512" s="63"/>
      <c r="B1512" s="64"/>
      <c r="C1512" s="64"/>
      <c r="D1512" s="64"/>
      <c r="E1512" s="64"/>
      <c r="F1512" s="64"/>
      <c r="G1512" s="64"/>
      <c r="H1512" s="64"/>
      <c r="I1512" s="64"/>
      <c r="J1512" s="64"/>
      <c r="K1512" s="64"/>
      <c r="L1512" s="64"/>
      <c r="M1512" s="64"/>
      <c r="N1512" s="64"/>
      <c r="O1512" s="64"/>
      <c r="P1512" s="64"/>
      <c r="Q1512" s="64"/>
      <c r="R1512" s="64"/>
      <c r="S1512" s="64"/>
    </row>
    <row r="1513" spans="1:19" x14ac:dyDescent="0.25">
      <c r="A1513" s="63"/>
      <c r="B1513" s="64"/>
      <c r="C1513" s="64"/>
      <c r="D1513" s="64"/>
      <c r="E1513" s="64"/>
      <c r="F1513" s="64"/>
      <c r="G1513" s="64"/>
      <c r="H1513" s="64"/>
      <c r="I1513" s="64"/>
      <c r="J1513" s="64"/>
      <c r="K1513" s="64"/>
      <c r="L1513" s="64"/>
      <c r="M1513" s="64"/>
      <c r="N1513" s="64"/>
      <c r="O1513" s="64"/>
      <c r="P1513" s="64"/>
      <c r="Q1513" s="64"/>
      <c r="R1513" s="64"/>
      <c r="S1513" s="64"/>
    </row>
    <row r="1514" spans="1:19" x14ac:dyDescent="0.25">
      <c r="A1514" s="63"/>
      <c r="B1514" s="64"/>
      <c r="C1514" s="64"/>
      <c r="D1514" s="64"/>
      <c r="E1514" s="64"/>
      <c r="F1514" s="64"/>
      <c r="G1514" s="64"/>
      <c r="H1514" s="64"/>
      <c r="I1514" s="64"/>
      <c r="J1514" s="64"/>
      <c r="K1514" s="64"/>
      <c r="L1514" s="64"/>
      <c r="M1514" s="64"/>
      <c r="N1514" s="64"/>
      <c r="O1514" s="64"/>
      <c r="P1514" s="64"/>
      <c r="Q1514" s="64"/>
      <c r="R1514" s="64"/>
      <c r="S1514" s="64"/>
    </row>
    <row r="1515" spans="1:19" x14ac:dyDescent="0.25">
      <c r="A1515" s="63"/>
      <c r="B1515" s="64"/>
      <c r="C1515" s="64"/>
      <c r="D1515" s="64"/>
      <c r="E1515" s="64"/>
      <c r="F1515" s="64"/>
      <c r="G1515" s="64"/>
      <c r="H1515" s="64"/>
      <c r="I1515" s="64"/>
      <c r="J1515" s="64"/>
      <c r="K1515" s="64"/>
      <c r="L1515" s="64"/>
      <c r="M1515" s="64"/>
      <c r="N1515" s="64"/>
      <c r="O1515" s="64"/>
      <c r="P1515" s="64"/>
      <c r="Q1515" s="64"/>
      <c r="R1515" s="64"/>
      <c r="S1515" s="64"/>
    </row>
    <row r="1516" spans="1:19" x14ac:dyDescent="0.25">
      <c r="A1516" s="63"/>
      <c r="B1516" s="64"/>
      <c r="C1516" s="64"/>
      <c r="D1516" s="64"/>
      <c r="E1516" s="64"/>
      <c r="F1516" s="64"/>
      <c r="G1516" s="64"/>
      <c r="H1516" s="64"/>
      <c r="I1516" s="64"/>
      <c r="J1516" s="64"/>
      <c r="K1516" s="64"/>
      <c r="L1516" s="64"/>
      <c r="M1516" s="64"/>
      <c r="N1516" s="64"/>
      <c r="O1516" s="64"/>
      <c r="P1516" s="64"/>
      <c r="Q1516" s="64"/>
      <c r="R1516" s="64"/>
      <c r="S1516" s="64"/>
    </row>
    <row r="1517" spans="1:19" x14ac:dyDescent="0.25">
      <c r="A1517" s="63"/>
      <c r="B1517" s="64"/>
      <c r="C1517" s="64"/>
      <c r="D1517" s="64"/>
      <c r="E1517" s="64"/>
      <c r="F1517" s="64"/>
      <c r="G1517" s="64"/>
      <c r="H1517" s="64"/>
      <c r="I1517" s="64"/>
      <c r="J1517" s="64"/>
      <c r="K1517" s="64"/>
      <c r="L1517" s="64"/>
      <c r="M1517" s="64"/>
      <c r="N1517" s="64"/>
      <c r="O1517" s="64"/>
      <c r="P1517" s="64"/>
      <c r="Q1517" s="64"/>
      <c r="R1517" s="64"/>
      <c r="S1517" s="64"/>
    </row>
    <row r="1518" spans="1:19" x14ac:dyDescent="0.25">
      <c r="A1518" s="63"/>
      <c r="B1518" s="64"/>
      <c r="C1518" s="64"/>
      <c r="D1518" s="64"/>
      <c r="E1518" s="64"/>
      <c r="F1518" s="64"/>
      <c r="G1518" s="64"/>
      <c r="H1518" s="64"/>
      <c r="I1518" s="64"/>
      <c r="J1518" s="64"/>
      <c r="K1518" s="64"/>
      <c r="L1518" s="64"/>
      <c r="M1518" s="64"/>
      <c r="N1518" s="64"/>
      <c r="O1518" s="64"/>
      <c r="P1518" s="64"/>
      <c r="Q1518" s="64"/>
      <c r="R1518" s="64"/>
      <c r="S1518" s="64"/>
    </row>
    <row r="1519" spans="1:19" x14ac:dyDescent="0.25">
      <c r="A1519" s="63"/>
      <c r="B1519" s="64"/>
      <c r="C1519" s="64"/>
      <c r="D1519" s="64"/>
      <c r="E1519" s="64"/>
      <c r="F1519" s="64"/>
      <c r="G1519" s="64"/>
      <c r="H1519" s="64"/>
      <c r="I1519" s="64"/>
      <c r="J1519" s="64"/>
      <c r="K1519" s="64"/>
      <c r="L1519" s="64"/>
      <c r="M1519" s="64"/>
      <c r="N1519" s="64"/>
      <c r="O1519" s="64"/>
      <c r="P1519" s="64"/>
      <c r="Q1519" s="64"/>
      <c r="R1519" s="64"/>
      <c r="S1519" s="64"/>
    </row>
    <row r="1520" spans="1:19" x14ac:dyDescent="0.25">
      <c r="A1520" s="63"/>
      <c r="B1520" s="64"/>
      <c r="C1520" s="64"/>
      <c r="D1520" s="64"/>
      <c r="E1520" s="64"/>
      <c r="F1520" s="64"/>
      <c r="G1520" s="64"/>
      <c r="H1520" s="64"/>
      <c r="I1520" s="64"/>
      <c r="J1520" s="64"/>
      <c r="K1520" s="64"/>
      <c r="L1520" s="64"/>
      <c r="M1520" s="64"/>
      <c r="N1520" s="64"/>
      <c r="O1520" s="64"/>
      <c r="P1520" s="64"/>
      <c r="Q1520" s="64"/>
      <c r="R1520" s="64"/>
      <c r="S1520" s="64"/>
    </row>
    <row r="1521" spans="1:19" x14ac:dyDescent="0.25">
      <c r="A1521" s="63"/>
      <c r="B1521" s="64"/>
      <c r="C1521" s="64"/>
      <c r="D1521" s="64"/>
      <c r="E1521" s="64"/>
      <c r="F1521" s="64"/>
      <c r="G1521" s="64"/>
      <c r="H1521" s="64"/>
      <c r="I1521" s="64"/>
      <c r="J1521" s="64"/>
      <c r="K1521" s="64"/>
      <c r="L1521" s="64"/>
      <c r="M1521" s="64"/>
      <c r="N1521" s="64"/>
      <c r="O1521" s="64"/>
      <c r="P1521" s="64"/>
      <c r="Q1521" s="64"/>
      <c r="R1521" s="64"/>
      <c r="S1521" s="64"/>
    </row>
    <row r="1522" spans="1:19" x14ac:dyDescent="0.25">
      <c r="A1522" s="63"/>
      <c r="B1522" s="64"/>
      <c r="C1522" s="64"/>
      <c r="D1522" s="64"/>
      <c r="E1522" s="64"/>
      <c r="F1522" s="64"/>
      <c r="G1522" s="64"/>
      <c r="H1522" s="64"/>
      <c r="I1522" s="64"/>
      <c r="J1522" s="64"/>
      <c r="K1522" s="64"/>
      <c r="L1522" s="64"/>
      <c r="M1522" s="64"/>
      <c r="N1522" s="64"/>
      <c r="O1522" s="64"/>
      <c r="P1522" s="64"/>
      <c r="Q1522" s="64"/>
      <c r="R1522" s="64"/>
      <c r="S1522" s="64"/>
    </row>
    <row r="1523" spans="1:19" x14ac:dyDescent="0.25">
      <c r="A1523" s="63"/>
      <c r="B1523" s="64"/>
      <c r="C1523" s="64"/>
      <c r="D1523" s="64"/>
      <c r="E1523" s="64"/>
      <c r="F1523" s="64"/>
      <c r="G1523" s="64"/>
      <c r="H1523" s="64"/>
      <c r="I1523" s="64"/>
      <c r="J1523" s="64"/>
      <c r="K1523" s="64"/>
      <c r="L1523" s="64"/>
      <c r="M1523" s="64"/>
      <c r="N1523" s="64"/>
      <c r="O1523" s="64"/>
      <c r="P1523" s="64"/>
      <c r="Q1523" s="64"/>
      <c r="R1523" s="64"/>
      <c r="S1523" s="64"/>
    </row>
    <row r="1524" spans="1:19" x14ac:dyDescent="0.25">
      <c r="A1524" s="63"/>
      <c r="B1524" s="64"/>
      <c r="C1524" s="64"/>
      <c r="D1524" s="64"/>
      <c r="E1524" s="64"/>
      <c r="F1524" s="64"/>
      <c r="G1524" s="64"/>
      <c r="H1524" s="64"/>
      <c r="I1524" s="64"/>
      <c r="J1524" s="64"/>
      <c r="K1524" s="64"/>
      <c r="L1524" s="64"/>
      <c r="M1524" s="64"/>
      <c r="N1524" s="64"/>
      <c r="O1524" s="64"/>
      <c r="P1524" s="64"/>
      <c r="Q1524" s="64"/>
      <c r="R1524" s="64"/>
      <c r="S1524" s="64"/>
    </row>
    <row r="1525" spans="1:19" x14ac:dyDescent="0.25">
      <c r="A1525" s="63"/>
      <c r="B1525" s="64"/>
      <c r="C1525" s="64"/>
      <c r="D1525" s="64"/>
      <c r="E1525" s="64"/>
      <c r="F1525" s="64"/>
      <c r="G1525" s="64"/>
      <c r="H1525" s="64"/>
      <c r="I1525" s="64"/>
      <c r="J1525" s="64"/>
      <c r="K1525" s="64"/>
      <c r="L1525" s="64"/>
      <c r="M1525" s="64"/>
      <c r="N1525" s="64"/>
      <c r="O1525" s="64"/>
      <c r="P1525" s="64"/>
      <c r="Q1525" s="64"/>
      <c r="R1525" s="64"/>
      <c r="S1525" s="64"/>
    </row>
    <row r="1526" spans="1:19" x14ac:dyDescent="0.25">
      <c r="A1526" s="63"/>
      <c r="B1526" s="64"/>
      <c r="C1526" s="64"/>
      <c r="D1526" s="64"/>
      <c r="E1526" s="64"/>
      <c r="F1526" s="64"/>
      <c r="G1526" s="64"/>
      <c r="H1526" s="64"/>
      <c r="I1526" s="64"/>
      <c r="J1526" s="64"/>
      <c r="K1526" s="64"/>
      <c r="L1526" s="64"/>
      <c r="M1526" s="64"/>
      <c r="N1526" s="64"/>
      <c r="O1526" s="64"/>
      <c r="P1526" s="64"/>
      <c r="Q1526" s="64"/>
      <c r="R1526" s="64"/>
      <c r="S1526" s="64"/>
    </row>
    <row r="1527" spans="1:19" x14ac:dyDescent="0.25">
      <c r="A1527" s="63"/>
      <c r="B1527" s="64"/>
      <c r="C1527" s="64"/>
      <c r="D1527" s="64"/>
      <c r="E1527" s="64"/>
      <c r="F1527" s="64"/>
      <c r="G1527" s="64"/>
      <c r="H1527" s="64"/>
      <c r="I1527" s="64"/>
      <c r="J1527" s="64"/>
      <c r="K1527" s="64"/>
      <c r="L1527" s="64"/>
      <c r="M1527" s="64"/>
      <c r="N1527" s="64"/>
      <c r="O1527" s="64"/>
      <c r="P1527" s="64"/>
      <c r="Q1527" s="64"/>
      <c r="R1527" s="64"/>
      <c r="S1527" s="64"/>
    </row>
    <row r="1528" spans="1:19" x14ac:dyDescent="0.25">
      <c r="A1528" s="63"/>
      <c r="B1528" s="64"/>
      <c r="C1528" s="64"/>
      <c r="D1528" s="64"/>
      <c r="E1528" s="64"/>
      <c r="F1528" s="64"/>
      <c r="G1528" s="64"/>
      <c r="H1528" s="64"/>
      <c r="I1528" s="64"/>
      <c r="J1528" s="64"/>
      <c r="K1528" s="64"/>
      <c r="L1528" s="64"/>
      <c r="M1528" s="64"/>
      <c r="N1528" s="64"/>
      <c r="O1528" s="64"/>
      <c r="P1528" s="64"/>
      <c r="Q1528" s="64"/>
      <c r="R1528" s="64"/>
      <c r="S1528" s="64"/>
    </row>
    <row r="1529" spans="1:19" x14ac:dyDescent="0.25">
      <c r="A1529" s="63"/>
      <c r="B1529" s="64"/>
      <c r="C1529" s="64"/>
      <c r="D1529" s="64"/>
      <c r="E1529" s="64"/>
      <c r="F1529" s="64"/>
      <c r="G1529" s="64"/>
      <c r="H1529" s="64"/>
      <c r="I1529" s="64"/>
      <c r="J1529" s="64"/>
      <c r="K1529" s="64"/>
      <c r="L1529" s="64"/>
      <c r="M1529" s="64"/>
      <c r="N1529" s="64"/>
      <c r="O1529" s="64"/>
      <c r="P1529" s="64"/>
      <c r="Q1529" s="64"/>
      <c r="R1529" s="64"/>
      <c r="S1529" s="64"/>
    </row>
    <row r="1530" spans="1:19" x14ac:dyDescent="0.25">
      <c r="A1530" s="63"/>
      <c r="B1530" s="64"/>
      <c r="C1530" s="64"/>
      <c r="D1530" s="64"/>
      <c r="E1530" s="64"/>
      <c r="F1530" s="64"/>
      <c r="G1530" s="64"/>
      <c r="H1530" s="64"/>
      <c r="I1530" s="64"/>
      <c r="J1530" s="64"/>
      <c r="K1530" s="64"/>
      <c r="L1530" s="64"/>
      <c r="M1530" s="64"/>
      <c r="N1530" s="64"/>
      <c r="O1530" s="64"/>
      <c r="P1530" s="64"/>
      <c r="Q1530" s="64"/>
      <c r="R1530" s="64"/>
      <c r="S1530" s="64"/>
    </row>
    <row r="1531" spans="1:19" x14ac:dyDescent="0.25">
      <c r="A1531" s="63"/>
      <c r="B1531" s="64"/>
      <c r="C1531" s="64"/>
      <c r="D1531" s="64"/>
      <c r="E1531" s="64"/>
      <c r="F1531" s="64"/>
      <c r="G1531" s="64"/>
      <c r="H1531" s="64"/>
      <c r="I1531" s="64"/>
      <c r="J1531" s="64"/>
      <c r="K1531" s="64"/>
      <c r="L1531" s="64"/>
      <c r="M1531" s="64"/>
      <c r="N1531" s="64"/>
      <c r="O1531" s="64"/>
      <c r="P1531" s="64"/>
      <c r="Q1531" s="64"/>
      <c r="R1531" s="64"/>
      <c r="S1531" s="64"/>
    </row>
    <row r="1532" spans="1:19" x14ac:dyDescent="0.25">
      <c r="A1532" s="63"/>
      <c r="B1532" s="64"/>
      <c r="C1532" s="64"/>
      <c r="D1532" s="64"/>
      <c r="E1532" s="64"/>
      <c r="F1532" s="64"/>
      <c r="G1532" s="64"/>
      <c r="H1532" s="64"/>
      <c r="I1532" s="64"/>
      <c r="J1532" s="64"/>
      <c r="K1532" s="64"/>
      <c r="L1532" s="64"/>
      <c r="M1532" s="64"/>
      <c r="N1532" s="64"/>
      <c r="O1532" s="64"/>
      <c r="P1532" s="64"/>
      <c r="Q1532" s="64"/>
      <c r="R1532" s="64"/>
      <c r="S1532" s="64"/>
    </row>
    <row r="1533" spans="1:19" x14ac:dyDescent="0.25">
      <c r="A1533" s="63"/>
      <c r="B1533" s="64"/>
      <c r="C1533" s="64"/>
      <c r="D1533" s="64"/>
      <c r="E1533" s="64"/>
      <c r="F1533" s="64"/>
      <c r="G1533" s="64"/>
      <c r="H1533" s="64"/>
      <c r="I1533" s="64"/>
      <c r="J1533" s="64"/>
      <c r="K1533" s="64"/>
      <c r="L1533" s="64"/>
      <c r="M1533" s="64"/>
      <c r="N1533" s="64"/>
      <c r="O1533" s="64"/>
      <c r="P1533" s="64"/>
      <c r="Q1533" s="64"/>
      <c r="R1533" s="64"/>
      <c r="S1533" s="64"/>
    </row>
    <row r="1534" spans="1:19" x14ac:dyDescent="0.25">
      <c r="A1534" s="63"/>
      <c r="B1534" s="64"/>
      <c r="C1534" s="64"/>
      <c r="D1534" s="64"/>
      <c r="E1534" s="64"/>
      <c r="F1534" s="64"/>
      <c r="G1534" s="64"/>
      <c r="H1534" s="64"/>
      <c r="I1534" s="64"/>
      <c r="J1534" s="64"/>
      <c r="K1534" s="64"/>
      <c r="L1534" s="64"/>
      <c r="M1534" s="64"/>
      <c r="N1534" s="64"/>
      <c r="O1534" s="64"/>
      <c r="P1534" s="64"/>
      <c r="Q1534" s="64"/>
      <c r="R1534" s="64"/>
      <c r="S1534" s="64"/>
    </row>
    <row r="1535" spans="1:19" x14ac:dyDescent="0.25">
      <c r="A1535" s="63"/>
      <c r="B1535" s="64"/>
      <c r="C1535" s="64"/>
      <c r="D1535" s="64"/>
      <c r="E1535" s="64"/>
      <c r="F1535" s="64"/>
      <c r="G1535" s="64"/>
      <c r="H1535" s="64"/>
      <c r="I1535" s="64"/>
      <c r="J1535" s="64"/>
      <c r="K1535" s="64"/>
      <c r="L1535" s="64"/>
      <c r="M1535" s="64"/>
      <c r="N1535" s="64"/>
      <c r="O1535" s="64"/>
      <c r="P1535" s="64"/>
      <c r="Q1535" s="64"/>
      <c r="R1535" s="64"/>
      <c r="S1535" s="64"/>
    </row>
    <row r="1536" spans="1:19" x14ac:dyDescent="0.25">
      <c r="A1536" s="63"/>
      <c r="B1536" s="64"/>
      <c r="C1536" s="64"/>
      <c r="D1536" s="64"/>
      <c r="E1536" s="64"/>
      <c r="F1536" s="64"/>
      <c r="G1536" s="64"/>
      <c r="H1536" s="64"/>
      <c r="I1536" s="64"/>
      <c r="J1536" s="64"/>
      <c r="K1536" s="64"/>
      <c r="L1536" s="64"/>
      <c r="M1536" s="64"/>
      <c r="N1536" s="64"/>
      <c r="O1536" s="64"/>
      <c r="P1536" s="64"/>
      <c r="Q1536" s="64"/>
      <c r="R1536" s="64"/>
      <c r="S1536" s="64"/>
    </row>
    <row r="1537" spans="1:19" x14ac:dyDescent="0.25">
      <c r="A1537" s="63"/>
      <c r="B1537" s="64"/>
      <c r="C1537" s="64"/>
      <c r="D1537" s="64"/>
      <c r="E1537" s="64"/>
      <c r="F1537" s="64"/>
      <c r="G1537" s="64"/>
      <c r="H1537" s="64"/>
      <c r="I1537" s="64"/>
      <c r="J1537" s="64"/>
      <c r="K1537" s="64"/>
      <c r="L1537" s="64"/>
      <c r="M1537" s="64"/>
      <c r="N1537" s="64"/>
      <c r="O1537" s="64"/>
      <c r="P1537" s="64"/>
      <c r="Q1537" s="64"/>
      <c r="R1537" s="64"/>
      <c r="S1537" s="64"/>
    </row>
    <row r="1538" spans="1:19" x14ac:dyDescent="0.25">
      <c r="A1538" s="63"/>
      <c r="B1538" s="64"/>
      <c r="C1538" s="64"/>
      <c r="D1538" s="64"/>
      <c r="E1538" s="64"/>
      <c r="F1538" s="64"/>
      <c r="G1538" s="64"/>
      <c r="H1538" s="64"/>
      <c r="I1538" s="64"/>
      <c r="J1538" s="64"/>
      <c r="K1538" s="64"/>
      <c r="L1538" s="64"/>
      <c r="M1538" s="64"/>
      <c r="N1538" s="64"/>
      <c r="O1538" s="64"/>
      <c r="P1538" s="64"/>
      <c r="Q1538" s="64"/>
      <c r="R1538" s="64"/>
      <c r="S1538" s="64"/>
    </row>
    <row r="1539" spans="1:19" x14ac:dyDescent="0.25">
      <c r="A1539" s="63"/>
      <c r="B1539" s="64"/>
      <c r="C1539" s="64"/>
      <c r="D1539" s="64"/>
      <c r="E1539" s="64"/>
      <c r="F1539" s="64"/>
      <c r="G1539" s="64"/>
      <c r="H1539" s="64"/>
      <c r="I1539" s="64"/>
      <c r="J1539" s="64"/>
      <c r="K1539" s="64"/>
      <c r="L1539" s="64"/>
      <c r="M1539" s="64"/>
      <c r="N1539" s="64"/>
      <c r="O1539" s="64"/>
      <c r="P1539" s="64"/>
      <c r="Q1539" s="64"/>
      <c r="R1539" s="64"/>
      <c r="S1539" s="64"/>
    </row>
    <row r="1540" spans="1:19" x14ac:dyDescent="0.25">
      <c r="A1540" s="63"/>
      <c r="B1540" s="64"/>
      <c r="C1540" s="64"/>
      <c r="D1540" s="64"/>
      <c r="E1540" s="64"/>
      <c r="F1540" s="64"/>
      <c r="G1540" s="64"/>
      <c r="H1540" s="64"/>
      <c r="I1540" s="64"/>
      <c r="J1540" s="64"/>
      <c r="K1540" s="64"/>
      <c r="L1540" s="64"/>
      <c r="M1540" s="64"/>
      <c r="N1540" s="64"/>
      <c r="O1540" s="64"/>
      <c r="P1540" s="64"/>
      <c r="Q1540" s="64"/>
      <c r="R1540" s="64"/>
      <c r="S1540" s="64"/>
    </row>
    <row r="1541" spans="1:19" x14ac:dyDescent="0.25">
      <c r="A1541" s="63"/>
      <c r="B1541" s="64"/>
      <c r="C1541" s="64"/>
      <c r="D1541" s="64"/>
      <c r="E1541" s="64"/>
      <c r="F1541" s="64"/>
      <c r="G1541" s="64"/>
      <c r="H1541" s="64"/>
      <c r="I1541" s="64"/>
      <c r="J1541" s="64"/>
      <c r="K1541" s="64"/>
      <c r="L1541" s="64"/>
      <c r="M1541" s="64"/>
      <c r="N1541" s="64"/>
      <c r="O1541" s="64"/>
      <c r="P1541" s="64"/>
      <c r="Q1541" s="64"/>
      <c r="R1541" s="64"/>
      <c r="S1541" s="64"/>
    </row>
    <row r="1542" spans="1:19" x14ac:dyDescent="0.25">
      <c r="A1542" s="63"/>
      <c r="B1542" s="64"/>
      <c r="C1542" s="64"/>
      <c r="D1542" s="64"/>
      <c r="E1542" s="64"/>
      <c r="F1542" s="64"/>
      <c r="G1542" s="64"/>
      <c r="H1542" s="64"/>
      <c r="I1542" s="64"/>
      <c r="J1542" s="64"/>
      <c r="K1542" s="64"/>
      <c r="L1542" s="64"/>
      <c r="M1542" s="64"/>
      <c r="N1542" s="64"/>
      <c r="O1542" s="64"/>
      <c r="P1542" s="64"/>
      <c r="Q1542" s="64"/>
      <c r="R1542" s="64"/>
      <c r="S1542" s="64"/>
    </row>
    <row r="1543" spans="1:19" x14ac:dyDescent="0.25">
      <c r="A1543" s="63"/>
      <c r="B1543" s="64"/>
      <c r="C1543" s="64"/>
      <c r="D1543" s="64"/>
      <c r="E1543" s="64"/>
      <c r="F1543" s="64"/>
      <c r="G1543" s="64"/>
      <c r="H1543" s="64"/>
      <c r="I1543" s="64"/>
      <c r="J1543" s="64"/>
      <c r="K1543" s="64"/>
      <c r="L1543" s="64"/>
      <c r="M1543" s="64"/>
      <c r="N1543" s="64"/>
      <c r="O1543" s="64"/>
      <c r="P1543" s="64"/>
      <c r="Q1543" s="64"/>
      <c r="R1543" s="64"/>
      <c r="S1543" s="64"/>
    </row>
    <row r="1544" spans="1:19" x14ac:dyDescent="0.25">
      <c r="A1544" s="63"/>
      <c r="B1544" s="64"/>
      <c r="C1544" s="64"/>
      <c r="D1544" s="64"/>
      <c r="E1544" s="64"/>
      <c r="F1544" s="64"/>
      <c r="G1544" s="64"/>
      <c r="H1544" s="64"/>
      <c r="I1544" s="64"/>
      <c r="J1544" s="64"/>
      <c r="K1544" s="64"/>
      <c r="L1544" s="64"/>
      <c r="M1544" s="64"/>
      <c r="N1544" s="64"/>
      <c r="O1544" s="64"/>
      <c r="P1544" s="64"/>
      <c r="Q1544" s="64"/>
      <c r="R1544" s="64"/>
      <c r="S1544" s="64"/>
    </row>
    <row r="1545" spans="1:19" x14ac:dyDescent="0.25">
      <c r="A1545" s="63"/>
      <c r="B1545" s="64"/>
      <c r="C1545" s="64"/>
      <c r="D1545" s="64"/>
      <c r="E1545" s="64"/>
      <c r="F1545" s="64"/>
      <c r="G1545" s="64"/>
      <c r="H1545" s="64"/>
      <c r="I1545" s="64"/>
      <c r="J1545" s="64"/>
      <c r="K1545" s="64"/>
      <c r="L1545" s="64"/>
      <c r="M1545" s="64"/>
      <c r="N1545" s="64"/>
      <c r="O1545" s="64"/>
      <c r="P1545" s="64"/>
      <c r="Q1545" s="64"/>
      <c r="R1545" s="64"/>
      <c r="S1545" s="64"/>
    </row>
    <row r="1546" spans="1:19" x14ac:dyDescent="0.25">
      <c r="A1546" s="63"/>
      <c r="B1546" s="64"/>
      <c r="C1546" s="64"/>
      <c r="D1546" s="64"/>
      <c r="E1546" s="64"/>
      <c r="F1546" s="64"/>
      <c r="G1546" s="64"/>
      <c r="H1546" s="64"/>
      <c r="I1546" s="64"/>
      <c r="J1546" s="64"/>
      <c r="K1546" s="64"/>
      <c r="L1546" s="64"/>
      <c r="M1546" s="64"/>
      <c r="N1546" s="64"/>
      <c r="O1546" s="64"/>
      <c r="P1546" s="64"/>
      <c r="Q1546" s="64"/>
      <c r="R1546" s="64"/>
      <c r="S1546" s="64"/>
    </row>
    <row r="1547" spans="1:19" x14ac:dyDescent="0.25">
      <c r="A1547" s="63"/>
      <c r="B1547" s="64"/>
      <c r="C1547" s="64"/>
      <c r="D1547" s="64"/>
      <c r="E1547" s="64"/>
      <c r="F1547" s="64"/>
      <c r="G1547" s="64"/>
      <c r="H1547" s="64"/>
      <c r="I1547" s="64"/>
      <c r="J1547" s="64"/>
      <c r="K1547" s="64"/>
      <c r="L1547" s="64"/>
      <c r="M1547" s="64"/>
      <c r="N1547" s="64"/>
      <c r="O1547" s="64"/>
      <c r="P1547" s="64"/>
      <c r="Q1547" s="64"/>
      <c r="R1547" s="64"/>
      <c r="S1547" s="64"/>
    </row>
    <row r="1548" spans="1:19" x14ac:dyDescent="0.25">
      <c r="A1548" s="63"/>
      <c r="B1548" s="64"/>
      <c r="C1548" s="64"/>
      <c r="D1548" s="64"/>
      <c r="E1548" s="64"/>
      <c r="F1548" s="64"/>
      <c r="G1548" s="64"/>
      <c r="H1548" s="64"/>
      <c r="I1548" s="64"/>
      <c r="J1548" s="64"/>
      <c r="K1548" s="64"/>
      <c r="L1548" s="64"/>
      <c r="M1548" s="64"/>
      <c r="N1548" s="64"/>
      <c r="O1548" s="64"/>
      <c r="P1548" s="64"/>
      <c r="Q1548" s="64"/>
      <c r="R1548" s="64"/>
      <c r="S1548" s="64"/>
    </row>
    <row r="1549" spans="1:19" x14ac:dyDescent="0.25">
      <c r="A1549" s="63"/>
      <c r="B1549" s="64"/>
      <c r="C1549" s="64"/>
      <c r="D1549" s="64"/>
      <c r="E1549" s="64"/>
      <c r="F1549" s="64"/>
      <c r="G1549" s="64"/>
      <c r="H1549" s="64"/>
      <c r="I1549" s="64"/>
      <c r="J1549" s="64"/>
      <c r="K1549" s="64"/>
      <c r="L1549" s="64"/>
      <c r="M1549" s="64"/>
      <c r="N1549" s="64"/>
      <c r="O1549" s="64"/>
      <c r="P1549" s="64"/>
      <c r="Q1549" s="64"/>
      <c r="R1549" s="64"/>
      <c r="S1549" s="64"/>
    </row>
    <row r="1550" spans="1:19" x14ac:dyDescent="0.25">
      <c r="A1550" s="63"/>
      <c r="B1550" s="64"/>
      <c r="C1550" s="64"/>
      <c r="D1550" s="64"/>
      <c r="E1550" s="64"/>
      <c r="F1550" s="64"/>
      <c r="G1550" s="64"/>
      <c r="H1550" s="64"/>
      <c r="I1550" s="64"/>
      <c r="J1550" s="64"/>
      <c r="K1550" s="64"/>
      <c r="L1550" s="64"/>
      <c r="M1550" s="64"/>
      <c r="N1550" s="64"/>
      <c r="O1550" s="64"/>
      <c r="P1550" s="64"/>
      <c r="Q1550" s="64"/>
      <c r="R1550" s="64"/>
      <c r="S1550" s="64"/>
    </row>
    <row r="1551" spans="1:19" x14ac:dyDescent="0.25">
      <c r="A1551" s="63"/>
      <c r="B1551" s="64"/>
      <c r="C1551" s="64"/>
      <c r="D1551" s="64"/>
      <c r="E1551" s="64"/>
      <c r="F1551" s="64"/>
      <c r="G1551" s="64"/>
      <c r="H1551" s="64"/>
      <c r="I1551" s="64"/>
      <c r="J1551" s="64"/>
      <c r="K1551" s="64"/>
      <c r="L1551" s="64"/>
      <c r="M1551" s="64"/>
      <c r="N1551" s="64"/>
      <c r="O1551" s="64"/>
      <c r="P1551" s="64"/>
      <c r="Q1551" s="64"/>
      <c r="R1551" s="64"/>
      <c r="S1551" s="64"/>
    </row>
    <row r="1552" spans="1:19" x14ac:dyDescent="0.25">
      <c r="A1552" s="63"/>
      <c r="B1552" s="64"/>
      <c r="C1552" s="64"/>
      <c r="D1552" s="64"/>
      <c r="E1552" s="64"/>
      <c r="F1552" s="64"/>
      <c r="G1552" s="64"/>
      <c r="H1552" s="64"/>
      <c r="I1552" s="64"/>
      <c r="J1552" s="64"/>
      <c r="K1552" s="64"/>
      <c r="L1552" s="64"/>
      <c r="M1552" s="64"/>
      <c r="N1552" s="64"/>
      <c r="O1552" s="64"/>
      <c r="P1552" s="64"/>
      <c r="Q1552" s="64"/>
      <c r="R1552" s="64"/>
      <c r="S1552" s="64"/>
    </row>
    <row r="1553" spans="1:19" x14ac:dyDescent="0.25">
      <c r="A1553" s="63"/>
      <c r="B1553" s="64"/>
      <c r="C1553" s="64"/>
      <c r="D1553" s="64"/>
      <c r="E1553" s="64"/>
      <c r="F1553" s="64"/>
      <c r="G1553" s="64"/>
      <c r="H1553" s="64"/>
      <c r="I1553" s="64"/>
      <c r="J1553" s="64"/>
      <c r="K1553" s="64"/>
      <c r="L1553" s="64"/>
      <c r="M1553" s="64"/>
      <c r="N1553" s="64"/>
      <c r="O1553" s="64"/>
      <c r="P1553" s="64"/>
      <c r="Q1553" s="64"/>
      <c r="R1553" s="64"/>
      <c r="S1553" s="64"/>
    </row>
    <row r="1554" spans="1:19" x14ac:dyDescent="0.25">
      <c r="A1554" s="63"/>
      <c r="B1554" s="64"/>
      <c r="C1554" s="64"/>
      <c r="D1554" s="64"/>
      <c r="E1554" s="64"/>
      <c r="F1554" s="64"/>
      <c r="G1554" s="64"/>
      <c r="H1554" s="64"/>
      <c r="I1554" s="64"/>
      <c r="J1554" s="64"/>
      <c r="K1554" s="64"/>
      <c r="L1554" s="64"/>
      <c r="M1554" s="64"/>
      <c r="N1554" s="64"/>
      <c r="O1554" s="64"/>
      <c r="P1554" s="64"/>
      <c r="Q1554" s="64"/>
      <c r="R1554" s="64"/>
      <c r="S1554" s="64"/>
    </row>
    <row r="1555" spans="1:19" x14ac:dyDescent="0.25">
      <c r="A1555" s="63"/>
      <c r="B1555" s="64"/>
      <c r="C1555" s="64"/>
      <c r="D1555" s="64"/>
      <c r="E1555" s="64"/>
      <c r="F1555" s="64"/>
      <c r="G1555" s="64"/>
      <c r="H1555" s="64"/>
      <c r="I1555" s="64"/>
      <c r="J1555" s="64"/>
      <c r="K1555" s="64"/>
      <c r="L1555" s="64"/>
      <c r="M1555" s="64"/>
      <c r="N1555" s="64"/>
      <c r="O1555" s="64"/>
      <c r="P1555" s="64"/>
      <c r="Q1555" s="64"/>
      <c r="R1555" s="64"/>
      <c r="S1555" s="64"/>
    </row>
    <row r="1556" spans="1:19" x14ac:dyDescent="0.25">
      <c r="A1556" s="63"/>
      <c r="B1556" s="64"/>
      <c r="C1556" s="64"/>
      <c r="D1556" s="64"/>
      <c r="E1556" s="64"/>
      <c r="F1556" s="64"/>
      <c r="G1556" s="64"/>
      <c r="H1556" s="64"/>
      <c r="I1556" s="64"/>
      <c r="J1556" s="64"/>
      <c r="K1556" s="64"/>
      <c r="L1556" s="64"/>
      <c r="M1556" s="64"/>
      <c r="N1556" s="64"/>
      <c r="O1556" s="64"/>
      <c r="P1556" s="64"/>
      <c r="Q1556" s="64"/>
      <c r="R1556" s="64"/>
      <c r="S1556" s="64"/>
    </row>
    <row r="1557" spans="1:19" x14ac:dyDescent="0.25">
      <c r="A1557" s="63"/>
      <c r="B1557" s="64"/>
      <c r="C1557" s="64"/>
      <c r="D1557" s="64"/>
      <c r="E1557" s="64"/>
      <c r="F1557" s="64"/>
      <c r="G1557" s="64"/>
      <c r="H1557" s="64"/>
      <c r="I1557" s="64"/>
      <c r="J1557" s="64"/>
      <c r="K1557" s="64"/>
      <c r="L1557" s="64"/>
      <c r="M1557" s="64"/>
      <c r="N1557" s="64"/>
      <c r="O1557" s="64"/>
      <c r="P1557" s="64"/>
      <c r="Q1557" s="64"/>
      <c r="R1557" s="64"/>
      <c r="S1557" s="64"/>
    </row>
    <row r="1558" spans="1:19" x14ac:dyDescent="0.25">
      <c r="A1558" s="63"/>
      <c r="B1558" s="64"/>
      <c r="C1558" s="64"/>
      <c r="D1558" s="64"/>
      <c r="E1558" s="64"/>
      <c r="F1558" s="64"/>
      <c r="G1558" s="64"/>
      <c r="H1558" s="64"/>
      <c r="I1558" s="64"/>
      <c r="J1558" s="64"/>
      <c r="K1558" s="64"/>
      <c r="L1558" s="64"/>
      <c r="M1558" s="64"/>
      <c r="N1558" s="64"/>
      <c r="O1558" s="64"/>
      <c r="P1558" s="64"/>
      <c r="Q1558" s="64"/>
      <c r="R1558" s="64"/>
      <c r="S1558" s="64"/>
    </row>
    <row r="1559" spans="1:19" x14ac:dyDescent="0.25">
      <c r="A1559" s="63"/>
      <c r="B1559" s="64"/>
      <c r="C1559" s="64"/>
      <c r="D1559" s="64"/>
      <c r="E1559" s="64"/>
      <c r="F1559" s="64"/>
      <c r="G1559" s="64"/>
      <c r="H1559" s="64"/>
      <c r="I1559" s="64"/>
      <c r="J1559" s="64"/>
      <c r="K1559" s="64"/>
      <c r="L1559" s="64"/>
      <c r="M1559" s="64"/>
      <c r="N1559" s="64"/>
      <c r="O1559" s="64"/>
      <c r="P1559" s="64"/>
      <c r="Q1559" s="64"/>
      <c r="R1559" s="64"/>
      <c r="S1559" s="64"/>
    </row>
    <row r="1560" spans="1:19" x14ac:dyDescent="0.25">
      <c r="A1560" s="63"/>
      <c r="B1560" s="64"/>
      <c r="C1560" s="64"/>
      <c r="D1560" s="64"/>
      <c r="E1560" s="64"/>
      <c r="F1560" s="64"/>
      <c r="G1560" s="64"/>
      <c r="H1560" s="64"/>
      <c r="I1560" s="64"/>
      <c r="J1560" s="64"/>
      <c r="K1560" s="64"/>
      <c r="L1560" s="64"/>
      <c r="M1560" s="64"/>
      <c r="N1560" s="64"/>
      <c r="O1560" s="64"/>
      <c r="P1560" s="64"/>
      <c r="Q1560" s="64"/>
      <c r="R1560" s="64"/>
      <c r="S1560" s="64"/>
    </row>
    <row r="1561" spans="1:19" x14ac:dyDescent="0.25">
      <c r="A1561" s="63"/>
      <c r="B1561" s="64"/>
      <c r="C1561" s="64"/>
      <c r="D1561" s="64"/>
      <c r="E1561" s="64"/>
      <c r="F1561" s="64"/>
      <c r="G1561" s="64"/>
      <c r="H1561" s="64"/>
      <c r="I1561" s="64"/>
      <c r="J1561" s="64"/>
      <c r="K1561" s="64"/>
      <c r="L1561" s="64"/>
      <c r="M1561" s="64"/>
      <c r="N1561" s="64"/>
      <c r="O1561" s="64"/>
      <c r="P1561" s="64"/>
      <c r="Q1561" s="64"/>
      <c r="R1561" s="64"/>
      <c r="S1561" s="64"/>
    </row>
    <row r="1562" spans="1:19" x14ac:dyDescent="0.25">
      <c r="A1562" s="63"/>
      <c r="B1562" s="64"/>
      <c r="C1562" s="64"/>
      <c r="D1562" s="64"/>
      <c r="E1562" s="64"/>
      <c r="F1562" s="64"/>
      <c r="G1562" s="64"/>
      <c r="H1562" s="64"/>
      <c r="I1562" s="64"/>
      <c r="J1562" s="64"/>
      <c r="K1562" s="64"/>
      <c r="L1562" s="64"/>
      <c r="M1562" s="64"/>
      <c r="N1562" s="64"/>
      <c r="O1562" s="64"/>
      <c r="P1562" s="64"/>
      <c r="Q1562" s="64"/>
      <c r="R1562" s="64"/>
      <c r="S1562" s="64"/>
    </row>
    <row r="1563" spans="1:19" x14ac:dyDescent="0.25">
      <c r="A1563" s="63"/>
      <c r="B1563" s="64"/>
      <c r="C1563" s="64"/>
      <c r="D1563" s="64"/>
      <c r="E1563" s="64"/>
      <c r="F1563" s="64"/>
      <c r="G1563" s="64"/>
      <c r="H1563" s="64"/>
      <c r="I1563" s="64"/>
      <c r="J1563" s="64"/>
      <c r="K1563" s="64"/>
      <c r="L1563" s="64"/>
      <c r="M1563" s="64"/>
      <c r="N1563" s="64"/>
      <c r="O1563" s="64"/>
      <c r="P1563" s="64"/>
      <c r="Q1563" s="64"/>
      <c r="R1563" s="64"/>
      <c r="S1563" s="64"/>
    </row>
    <row r="1564" spans="1:19" x14ac:dyDescent="0.25">
      <c r="A1564" s="63"/>
      <c r="B1564" s="64"/>
      <c r="C1564" s="64"/>
      <c r="D1564" s="64"/>
      <c r="E1564" s="64"/>
      <c r="F1564" s="64"/>
      <c r="G1564" s="64"/>
      <c r="H1564" s="64"/>
      <c r="I1564" s="64"/>
      <c r="J1564" s="64"/>
      <c r="K1564" s="64"/>
      <c r="L1564" s="64"/>
      <c r="M1564" s="64"/>
      <c r="N1564" s="64"/>
      <c r="O1564" s="64"/>
      <c r="P1564" s="64"/>
      <c r="Q1564" s="64"/>
      <c r="R1564" s="64"/>
      <c r="S1564" s="64"/>
    </row>
    <row r="1565" spans="1:19" x14ac:dyDescent="0.25">
      <c r="A1565" s="63"/>
      <c r="B1565" s="64"/>
      <c r="C1565" s="64"/>
      <c r="D1565" s="64"/>
      <c r="E1565" s="64"/>
      <c r="F1565" s="64"/>
      <c r="G1565" s="64"/>
      <c r="H1565" s="64"/>
      <c r="I1565" s="64"/>
      <c r="J1565" s="64"/>
      <c r="K1565" s="64"/>
      <c r="L1565" s="64"/>
      <c r="M1565" s="64"/>
      <c r="N1565" s="64"/>
      <c r="O1565" s="64"/>
      <c r="P1565" s="64"/>
      <c r="Q1565" s="64"/>
      <c r="R1565" s="64"/>
      <c r="S1565" s="64"/>
    </row>
    <row r="1566" spans="1:19" x14ac:dyDescent="0.25">
      <c r="A1566" s="63"/>
      <c r="B1566" s="64"/>
      <c r="C1566" s="64"/>
      <c r="D1566" s="64"/>
      <c r="E1566" s="64"/>
      <c r="F1566" s="64"/>
      <c r="G1566" s="64"/>
      <c r="H1566" s="64"/>
      <c r="I1566" s="64"/>
      <c r="J1566" s="64"/>
      <c r="K1566" s="64"/>
      <c r="L1566" s="64"/>
      <c r="M1566" s="64"/>
      <c r="N1566" s="64"/>
      <c r="O1566" s="64"/>
      <c r="P1566" s="64"/>
      <c r="Q1566" s="64"/>
      <c r="R1566" s="64"/>
      <c r="S1566" s="64"/>
    </row>
    <row r="1567" spans="1:19" x14ac:dyDescent="0.25">
      <c r="A1567" s="63"/>
      <c r="B1567" s="64"/>
      <c r="C1567" s="64"/>
      <c r="D1567" s="64"/>
      <c r="E1567" s="64"/>
      <c r="F1567" s="64"/>
      <c r="G1567" s="64"/>
      <c r="H1567" s="64"/>
      <c r="I1567" s="64"/>
      <c r="J1567" s="64"/>
      <c r="K1567" s="64"/>
      <c r="L1567" s="64"/>
      <c r="M1567" s="64"/>
      <c r="N1567" s="64"/>
      <c r="O1567" s="64"/>
      <c r="P1567" s="64"/>
      <c r="Q1567" s="64"/>
      <c r="R1567" s="64"/>
      <c r="S1567" s="64"/>
    </row>
    <row r="1568" spans="1:19" x14ac:dyDescent="0.25">
      <c r="A1568" s="63"/>
      <c r="B1568" s="64"/>
      <c r="C1568" s="64"/>
      <c r="D1568" s="64"/>
      <c r="E1568" s="64"/>
      <c r="F1568" s="64"/>
      <c r="G1568" s="64"/>
      <c r="H1568" s="64"/>
      <c r="I1568" s="64"/>
      <c r="J1568" s="64"/>
      <c r="K1568" s="64"/>
      <c r="L1568" s="64"/>
      <c r="M1568" s="64"/>
      <c r="N1568" s="64"/>
      <c r="O1568" s="64"/>
      <c r="P1568" s="64"/>
      <c r="Q1568" s="64"/>
      <c r="R1568" s="64"/>
      <c r="S1568" s="64"/>
    </row>
    <row r="1569" spans="1:19" x14ac:dyDescent="0.25">
      <c r="A1569" s="63"/>
      <c r="B1569" s="64"/>
      <c r="C1569" s="64"/>
      <c r="D1569" s="64"/>
      <c r="E1569" s="64"/>
      <c r="F1569" s="64"/>
      <c r="G1569" s="64"/>
      <c r="H1569" s="64"/>
      <c r="I1569" s="64"/>
      <c r="J1569" s="64"/>
      <c r="K1569" s="64"/>
      <c r="L1569" s="64"/>
      <c r="M1569" s="64"/>
      <c r="N1569" s="64"/>
      <c r="O1569" s="64"/>
      <c r="P1569" s="64"/>
      <c r="Q1569" s="64"/>
      <c r="R1569" s="64"/>
      <c r="S1569" s="64"/>
    </row>
    <row r="1570" spans="1:19" x14ac:dyDescent="0.25">
      <c r="A1570" s="63"/>
      <c r="B1570" s="64"/>
      <c r="C1570" s="64"/>
      <c r="D1570" s="64"/>
      <c r="E1570" s="64"/>
      <c r="F1570" s="64"/>
      <c r="G1570" s="64"/>
      <c r="H1570" s="64"/>
      <c r="I1570" s="64"/>
      <c r="J1570" s="64"/>
      <c r="K1570" s="64"/>
      <c r="L1570" s="64"/>
      <c r="M1570" s="64"/>
      <c r="N1570" s="64"/>
      <c r="O1570" s="64"/>
      <c r="P1570" s="64"/>
      <c r="Q1570" s="64"/>
      <c r="R1570" s="64"/>
      <c r="S1570" s="64"/>
    </row>
    <row r="1571" spans="1:19" x14ac:dyDescent="0.25">
      <c r="A1571" s="63"/>
      <c r="B1571" s="64"/>
      <c r="C1571" s="64"/>
      <c r="D1571" s="64"/>
      <c r="E1571" s="64"/>
      <c r="F1571" s="64"/>
      <c r="G1571" s="64"/>
      <c r="H1571" s="64"/>
      <c r="I1571" s="64"/>
      <c r="J1571" s="64"/>
      <c r="K1571" s="64"/>
      <c r="L1571" s="64"/>
      <c r="M1571" s="64"/>
      <c r="N1571" s="64"/>
      <c r="O1571" s="64"/>
      <c r="P1571" s="64"/>
      <c r="Q1571" s="64"/>
      <c r="R1571" s="64"/>
      <c r="S1571" s="64"/>
    </row>
    <row r="1572" spans="1:19" x14ac:dyDescent="0.25">
      <c r="A1572" s="63"/>
      <c r="B1572" s="64"/>
      <c r="C1572" s="64"/>
      <c r="D1572" s="64"/>
      <c r="E1572" s="64"/>
      <c r="F1572" s="64"/>
      <c r="G1572" s="64"/>
      <c r="H1572" s="64"/>
      <c r="I1572" s="64"/>
      <c r="J1572" s="64"/>
      <c r="K1572" s="64"/>
      <c r="L1572" s="64"/>
      <c r="M1572" s="64"/>
      <c r="N1572" s="64"/>
      <c r="O1572" s="64"/>
      <c r="P1572" s="64"/>
      <c r="Q1572" s="64"/>
      <c r="R1572" s="64"/>
      <c r="S1572" s="64"/>
    </row>
    <row r="1573" spans="1:19" x14ac:dyDescent="0.25">
      <c r="A1573" s="63"/>
      <c r="B1573" s="64"/>
      <c r="C1573" s="64"/>
      <c r="D1573" s="64"/>
      <c r="E1573" s="64"/>
      <c r="F1573" s="64"/>
      <c r="G1573" s="64"/>
      <c r="H1573" s="64"/>
      <c r="I1573" s="64"/>
      <c r="J1573" s="64"/>
      <c r="K1573" s="64"/>
      <c r="L1573" s="64"/>
      <c r="M1573" s="64"/>
      <c r="N1573" s="64"/>
      <c r="O1573" s="64"/>
      <c r="P1573" s="64"/>
      <c r="Q1573" s="64"/>
      <c r="R1573" s="64"/>
      <c r="S1573" s="64"/>
    </row>
    <row r="1574" spans="1:19" x14ac:dyDescent="0.25">
      <c r="A1574" s="63"/>
      <c r="B1574" s="64"/>
      <c r="C1574" s="64"/>
      <c r="D1574" s="64"/>
      <c r="E1574" s="64"/>
      <c r="F1574" s="64"/>
      <c r="G1574" s="64"/>
      <c r="H1574" s="64"/>
      <c r="I1574" s="64"/>
      <c r="J1574" s="64"/>
      <c r="K1574" s="64"/>
      <c r="L1574" s="64"/>
      <c r="M1574" s="64"/>
      <c r="N1574" s="64"/>
      <c r="O1574" s="64"/>
      <c r="P1574" s="64"/>
      <c r="Q1574" s="64"/>
      <c r="R1574" s="64"/>
      <c r="S1574" s="64"/>
    </row>
    <row r="1575" spans="1:19" x14ac:dyDescent="0.25">
      <c r="A1575" s="63"/>
      <c r="B1575" s="64"/>
      <c r="C1575" s="64"/>
      <c r="D1575" s="64"/>
      <c r="E1575" s="64"/>
      <c r="F1575" s="64"/>
      <c r="G1575" s="64"/>
      <c r="H1575" s="64"/>
      <c r="I1575" s="64"/>
      <c r="J1575" s="64"/>
      <c r="K1575" s="64"/>
      <c r="L1575" s="64"/>
      <c r="M1575" s="64"/>
      <c r="N1575" s="64"/>
      <c r="O1575" s="64"/>
      <c r="P1575" s="64"/>
      <c r="Q1575" s="64"/>
      <c r="R1575" s="64"/>
      <c r="S1575" s="64"/>
    </row>
    <row r="1576" spans="1:19" x14ac:dyDescent="0.25">
      <c r="A1576" s="63"/>
      <c r="B1576" s="64"/>
      <c r="C1576" s="64"/>
      <c r="D1576" s="64"/>
      <c r="E1576" s="64"/>
      <c r="F1576" s="64"/>
      <c r="G1576" s="64"/>
      <c r="H1576" s="64"/>
      <c r="I1576" s="64"/>
      <c r="J1576" s="64"/>
      <c r="K1576" s="64"/>
      <c r="L1576" s="64"/>
      <c r="M1576" s="64"/>
      <c r="N1576" s="64"/>
      <c r="O1576" s="64"/>
      <c r="P1576" s="64"/>
      <c r="Q1576" s="64"/>
      <c r="R1576" s="64"/>
      <c r="S1576" s="64"/>
    </row>
    <row r="1577" spans="1:19" x14ac:dyDescent="0.25">
      <c r="A1577" s="63"/>
      <c r="B1577" s="64"/>
      <c r="C1577" s="64"/>
      <c r="D1577" s="64"/>
      <c r="E1577" s="64"/>
      <c r="F1577" s="64"/>
      <c r="G1577" s="64"/>
      <c r="H1577" s="64"/>
      <c r="I1577" s="64"/>
      <c r="J1577" s="64"/>
      <c r="K1577" s="64"/>
      <c r="L1577" s="64"/>
      <c r="M1577" s="64"/>
      <c r="N1577" s="64"/>
      <c r="O1577" s="64"/>
      <c r="P1577" s="64"/>
      <c r="Q1577" s="64"/>
      <c r="R1577" s="64"/>
      <c r="S1577" s="64"/>
    </row>
    <row r="1578" spans="1:19" x14ac:dyDescent="0.25">
      <c r="A1578" s="63"/>
      <c r="B1578" s="64"/>
      <c r="C1578" s="64"/>
      <c r="D1578" s="64"/>
      <c r="E1578" s="64"/>
      <c r="F1578" s="64"/>
      <c r="G1578" s="64"/>
      <c r="H1578" s="64"/>
      <c r="I1578" s="64"/>
      <c r="J1578" s="64"/>
      <c r="K1578" s="64"/>
      <c r="L1578" s="64"/>
      <c r="M1578" s="64"/>
      <c r="N1578" s="64"/>
      <c r="O1578" s="64"/>
      <c r="P1578" s="64"/>
      <c r="Q1578" s="64"/>
      <c r="R1578" s="64"/>
      <c r="S1578" s="64"/>
    </row>
    <row r="1579" spans="1:19" x14ac:dyDescent="0.25">
      <c r="A1579" s="63"/>
      <c r="B1579" s="64"/>
      <c r="C1579" s="64"/>
      <c r="D1579" s="64"/>
      <c r="E1579" s="64"/>
      <c r="F1579" s="64"/>
      <c r="G1579" s="64"/>
      <c r="H1579" s="64"/>
      <c r="I1579" s="64"/>
      <c r="J1579" s="64"/>
      <c r="K1579" s="64"/>
      <c r="L1579" s="64"/>
      <c r="M1579" s="64"/>
      <c r="N1579" s="64"/>
      <c r="O1579" s="64"/>
      <c r="P1579" s="64"/>
      <c r="Q1579" s="64"/>
      <c r="R1579" s="64"/>
      <c r="S1579" s="64"/>
    </row>
    <row r="1580" spans="1:19" x14ac:dyDescent="0.25">
      <c r="A1580" s="63"/>
      <c r="B1580" s="64"/>
      <c r="C1580" s="64"/>
      <c r="D1580" s="64"/>
      <c r="E1580" s="64"/>
      <c r="F1580" s="64"/>
      <c r="G1580" s="64"/>
      <c r="H1580" s="64"/>
      <c r="I1580" s="64"/>
      <c r="J1580" s="64"/>
      <c r="K1580" s="64"/>
      <c r="L1580" s="64"/>
      <c r="M1580" s="64"/>
      <c r="N1580" s="64"/>
      <c r="O1580" s="64"/>
      <c r="P1580" s="64"/>
      <c r="Q1580" s="64"/>
      <c r="R1580" s="64"/>
      <c r="S1580" s="64"/>
    </row>
    <row r="1581" spans="1:19" x14ac:dyDescent="0.25">
      <c r="A1581" s="63"/>
      <c r="B1581" s="64"/>
      <c r="C1581" s="64"/>
      <c r="D1581" s="64"/>
      <c r="E1581" s="64"/>
      <c r="F1581" s="64"/>
      <c r="G1581" s="64"/>
      <c r="H1581" s="64"/>
      <c r="I1581" s="64"/>
      <c r="J1581" s="64"/>
      <c r="K1581" s="64"/>
      <c r="L1581" s="64"/>
      <c r="M1581" s="64"/>
      <c r="N1581" s="64"/>
      <c r="O1581" s="64"/>
      <c r="P1581" s="64"/>
      <c r="Q1581" s="64"/>
      <c r="R1581" s="64"/>
      <c r="S1581" s="64"/>
    </row>
    <row r="1582" spans="1:19" x14ac:dyDescent="0.25">
      <c r="A1582" s="63"/>
      <c r="B1582" s="64"/>
      <c r="C1582" s="64"/>
      <c r="D1582" s="64"/>
      <c r="E1582" s="64"/>
      <c r="F1582" s="64"/>
      <c r="G1582" s="64"/>
      <c r="H1582" s="64"/>
      <c r="I1582" s="64"/>
      <c r="J1582" s="64"/>
      <c r="K1582" s="64"/>
      <c r="L1582" s="64"/>
      <c r="M1582" s="64"/>
      <c r="N1582" s="64"/>
      <c r="O1582" s="64"/>
      <c r="P1582" s="64"/>
      <c r="Q1582" s="64"/>
      <c r="R1582" s="64"/>
      <c r="S1582" s="64"/>
    </row>
    <row r="1583" spans="1:19" x14ac:dyDescent="0.25">
      <c r="A1583" s="63"/>
      <c r="B1583" s="64"/>
      <c r="C1583" s="64"/>
      <c r="D1583" s="64"/>
      <c r="E1583" s="64"/>
      <c r="F1583" s="64"/>
      <c r="G1583" s="64"/>
      <c r="H1583" s="64"/>
      <c r="I1583" s="64"/>
      <c r="J1583" s="64"/>
      <c r="K1583" s="64"/>
      <c r="L1583" s="64"/>
      <c r="M1583" s="64"/>
      <c r="N1583" s="64"/>
      <c r="O1583" s="64"/>
      <c r="P1583" s="64"/>
      <c r="Q1583" s="64"/>
      <c r="R1583" s="64"/>
      <c r="S1583" s="64"/>
    </row>
    <row r="1584" spans="1:19" x14ac:dyDescent="0.25">
      <c r="A1584" s="63"/>
      <c r="B1584" s="64"/>
      <c r="C1584" s="64"/>
      <c r="D1584" s="64"/>
      <c r="E1584" s="64"/>
      <c r="F1584" s="64"/>
      <c r="G1584" s="64"/>
      <c r="H1584" s="64"/>
      <c r="I1584" s="64"/>
      <c r="J1584" s="64"/>
      <c r="K1584" s="64"/>
      <c r="L1584" s="64"/>
      <c r="M1584" s="64"/>
      <c r="N1584" s="64"/>
      <c r="O1584" s="64"/>
      <c r="P1584" s="64"/>
      <c r="Q1584" s="64"/>
      <c r="R1584" s="64"/>
      <c r="S1584" s="64"/>
    </row>
    <row r="1585" spans="1:19" x14ac:dyDescent="0.25">
      <c r="A1585" s="63"/>
      <c r="B1585" s="64"/>
      <c r="C1585" s="64"/>
      <c r="D1585" s="64"/>
      <c r="E1585" s="64"/>
      <c r="F1585" s="64"/>
      <c r="G1585" s="64"/>
      <c r="H1585" s="64"/>
      <c r="I1585" s="64"/>
      <c r="J1585" s="64"/>
      <c r="K1585" s="64"/>
      <c r="L1585" s="64"/>
      <c r="M1585" s="64"/>
      <c r="N1585" s="64"/>
      <c r="O1585" s="64"/>
      <c r="P1585" s="64"/>
      <c r="Q1585" s="64"/>
      <c r="R1585" s="64"/>
      <c r="S1585" s="64"/>
    </row>
    <row r="1586" spans="1:19" x14ac:dyDescent="0.25">
      <c r="A1586" s="63"/>
      <c r="B1586" s="64"/>
      <c r="C1586" s="64"/>
      <c r="D1586" s="64"/>
      <c r="E1586" s="64"/>
      <c r="F1586" s="64"/>
      <c r="G1586" s="64"/>
      <c r="H1586" s="64"/>
      <c r="I1586" s="64"/>
      <c r="J1586" s="64"/>
      <c r="K1586" s="64"/>
      <c r="L1586" s="64"/>
      <c r="M1586" s="64"/>
      <c r="N1586" s="64"/>
      <c r="O1586" s="64"/>
      <c r="P1586" s="64"/>
      <c r="Q1586" s="64"/>
      <c r="R1586" s="64"/>
      <c r="S1586" s="64"/>
    </row>
    <row r="1587" spans="1:19" x14ac:dyDescent="0.25">
      <c r="A1587" s="63"/>
      <c r="B1587" s="64"/>
      <c r="C1587" s="64"/>
      <c r="D1587" s="64"/>
      <c r="E1587" s="64"/>
      <c r="F1587" s="64"/>
      <c r="G1587" s="64"/>
      <c r="H1587" s="64"/>
      <c r="I1587" s="64"/>
      <c r="J1587" s="64"/>
      <c r="K1587" s="64"/>
      <c r="L1587" s="64"/>
      <c r="M1587" s="64"/>
      <c r="N1587" s="64"/>
      <c r="O1587" s="64"/>
      <c r="P1587" s="64"/>
      <c r="Q1587" s="64"/>
      <c r="R1587" s="64"/>
      <c r="S1587" s="64"/>
    </row>
    <row r="1588" spans="1:19" x14ac:dyDescent="0.25">
      <c r="A1588" s="63"/>
      <c r="B1588" s="64"/>
      <c r="C1588" s="64"/>
      <c r="D1588" s="64"/>
      <c r="E1588" s="64"/>
      <c r="F1588" s="64"/>
      <c r="G1588" s="64"/>
      <c r="H1588" s="64"/>
      <c r="I1588" s="64"/>
      <c r="J1588" s="64"/>
      <c r="K1588" s="64"/>
      <c r="L1588" s="64"/>
      <c r="M1588" s="64"/>
      <c r="N1588" s="64"/>
      <c r="O1588" s="64"/>
      <c r="P1588" s="64"/>
      <c r="Q1588" s="64"/>
      <c r="R1588" s="64"/>
      <c r="S1588" s="64"/>
    </row>
    <row r="1589" spans="1:19" x14ac:dyDescent="0.25">
      <c r="A1589" s="63"/>
      <c r="B1589" s="64"/>
      <c r="C1589" s="64"/>
      <c r="D1589" s="64"/>
      <c r="E1589" s="64"/>
      <c r="F1589" s="64"/>
      <c r="G1589" s="64"/>
      <c r="H1589" s="64"/>
      <c r="I1589" s="64"/>
      <c r="J1589" s="64"/>
      <c r="K1589" s="64"/>
      <c r="L1589" s="64"/>
      <c r="M1589" s="64"/>
      <c r="N1589" s="64"/>
      <c r="O1589" s="64"/>
      <c r="P1589" s="64"/>
      <c r="Q1589" s="64"/>
      <c r="R1589" s="64"/>
      <c r="S1589" s="64"/>
    </row>
    <row r="1590" spans="1:19" x14ac:dyDescent="0.25">
      <c r="A1590" s="63"/>
      <c r="B1590" s="64"/>
      <c r="C1590" s="64"/>
      <c r="D1590" s="64"/>
      <c r="E1590" s="64"/>
      <c r="F1590" s="64"/>
      <c r="G1590" s="64"/>
      <c r="H1590" s="64"/>
      <c r="I1590" s="64"/>
      <c r="J1590" s="64"/>
      <c r="K1590" s="64"/>
      <c r="L1590" s="64"/>
      <c r="M1590" s="64"/>
      <c r="N1590" s="64"/>
      <c r="O1590" s="64"/>
      <c r="P1590" s="64"/>
      <c r="Q1590" s="64"/>
      <c r="R1590" s="64"/>
      <c r="S1590" s="64"/>
    </row>
    <row r="1591" spans="1:19" x14ac:dyDescent="0.25">
      <c r="A1591" s="63"/>
      <c r="B1591" s="64"/>
      <c r="C1591" s="64"/>
      <c r="D1591" s="64"/>
      <c r="E1591" s="64"/>
      <c r="F1591" s="64"/>
      <c r="G1591" s="64"/>
      <c r="H1591" s="64"/>
      <c r="I1591" s="64"/>
      <c r="J1591" s="64"/>
      <c r="K1591" s="64"/>
      <c r="L1591" s="64"/>
      <c r="M1591" s="64"/>
      <c r="N1591" s="64"/>
      <c r="O1591" s="64"/>
      <c r="P1591" s="64"/>
      <c r="Q1591" s="64"/>
      <c r="R1591" s="64"/>
      <c r="S1591" s="64"/>
    </row>
    <row r="1592" spans="1:19" x14ac:dyDescent="0.25">
      <c r="A1592" s="63"/>
      <c r="B1592" s="64"/>
      <c r="C1592" s="64"/>
      <c r="D1592" s="64"/>
      <c r="E1592" s="64"/>
      <c r="F1592" s="64"/>
      <c r="G1592" s="64"/>
      <c r="H1592" s="64"/>
      <c r="I1592" s="64"/>
      <c r="J1592" s="64"/>
      <c r="K1592" s="64"/>
      <c r="L1592" s="64"/>
      <c r="M1592" s="64"/>
      <c r="N1592" s="64"/>
      <c r="O1592" s="64"/>
      <c r="P1592" s="64"/>
      <c r="Q1592" s="64"/>
      <c r="R1592" s="64"/>
      <c r="S1592" s="64"/>
    </row>
    <row r="1593" spans="1:19" x14ac:dyDescent="0.25">
      <c r="A1593" s="63"/>
      <c r="B1593" s="64"/>
      <c r="C1593" s="64"/>
      <c r="D1593" s="64"/>
      <c r="E1593" s="64"/>
      <c r="F1593" s="64"/>
      <c r="G1593" s="64"/>
      <c r="H1593" s="64"/>
      <c r="I1593" s="64"/>
      <c r="J1593" s="64"/>
      <c r="K1593" s="64"/>
      <c r="L1593" s="64"/>
      <c r="M1593" s="64"/>
      <c r="N1593" s="64"/>
      <c r="O1593" s="64"/>
      <c r="P1593" s="64"/>
      <c r="Q1593" s="64"/>
      <c r="R1593" s="64"/>
      <c r="S1593" s="64"/>
    </row>
    <row r="1594" spans="1:19" x14ac:dyDescent="0.25">
      <c r="A1594" s="63"/>
      <c r="B1594" s="64"/>
      <c r="C1594" s="64"/>
      <c r="D1594" s="64"/>
      <c r="E1594" s="64"/>
      <c r="F1594" s="64"/>
      <c r="G1594" s="64"/>
      <c r="H1594" s="64"/>
      <c r="I1594" s="64"/>
      <c r="J1594" s="64"/>
      <c r="K1594" s="64"/>
      <c r="L1594" s="64"/>
      <c r="M1594" s="64"/>
      <c r="N1594" s="64"/>
      <c r="O1594" s="64"/>
      <c r="P1594" s="64"/>
      <c r="Q1594" s="64"/>
      <c r="R1594" s="64"/>
      <c r="S1594" s="64"/>
    </row>
    <row r="1595" spans="1:19" x14ac:dyDescent="0.25">
      <c r="A1595" s="63"/>
      <c r="B1595" s="64"/>
      <c r="C1595" s="64"/>
      <c r="D1595" s="64"/>
      <c r="E1595" s="64"/>
      <c r="F1595" s="64"/>
      <c r="G1595" s="64"/>
      <c r="H1595" s="64"/>
      <c r="I1595" s="64"/>
      <c r="J1595" s="64"/>
      <c r="K1595" s="64"/>
      <c r="L1595" s="64"/>
      <c r="M1595" s="64"/>
      <c r="N1595" s="64"/>
      <c r="O1595" s="64"/>
      <c r="P1595" s="64"/>
      <c r="Q1595" s="64"/>
      <c r="R1595" s="64"/>
      <c r="S1595" s="64"/>
    </row>
    <row r="1596" spans="1:19" x14ac:dyDescent="0.25">
      <c r="A1596" s="63"/>
      <c r="B1596" s="64"/>
      <c r="C1596" s="64"/>
      <c r="D1596" s="64"/>
      <c r="E1596" s="64"/>
      <c r="F1596" s="64"/>
      <c r="G1596" s="64"/>
      <c r="H1596" s="64"/>
      <c r="I1596" s="64"/>
      <c r="J1596" s="64"/>
      <c r="K1596" s="64"/>
      <c r="L1596" s="64"/>
      <c r="M1596" s="64"/>
      <c r="N1596" s="64"/>
      <c r="O1596" s="64"/>
      <c r="P1596" s="64"/>
      <c r="Q1596" s="64"/>
      <c r="R1596" s="64"/>
      <c r="S1596" s="64"/>
    </row>
    <row r="1597" spans="1:19" x14ac:dyDescent="0.25">
      <c r="A1597" s="63"/>
      <c r="B1597" s="64"/>
      <c r="C1597" s="64"/>
      <c r="D1597" s="64"/>
      <c r="E1597" s="64"/>
      <c r="F1597" s="64"/>
      <c r="G1597" s="64"/>
      <c r="H1597" s="64"/>
      <c r="I1597" s="64"/>
      <c r="J1597" s="64"/>
      <c r="K1597" s="64"/>
      <c r="L1597" s="64"/>
      <c r="M1597" s="64"/>
      <c r="N1597" s="64"/>
      <c r="O1597" s="64"/>
      <c r="P1597" s="64"/>
      <c r="Q1597" s="64"/>
      <c r="R1597" s="64"/>
      <c r="S1597" s="64"/>
    </row>
    <row r="1598" spans="1:19" x14ac:dyDescent="0.25">
      <c r="A1598" s="63"/>
      <c r="B1598" s="64"/>
      <c r="C1598" s="64"/>
      <c r="D1598" s="64"/>
      <c r="E1598" s="64"/>
      <c r="F1598" s="64"/>
      <c r="G1598" s="64"/>
      <c r="H1598" s="64"/>
      <c r="I1598" s="64"/>
      <c r="J1598" s="64"/>
      <c r="K1598" s="64"/>
      <c r="L1598" s="64"/>
      <c r="M1598" s="64"/>
      <c r="N1598" s="64"/>
      <c r="O1598" s="64"/>
      <c r="P1598" s="64"/>
      <c r="Q1598" s="64"/>
      <c r="R1598" s="64"/>
      <c r="S1598" s="64"/>
    </row>
    <row r="1599" spans="1:19" x14ac:dyDescent="0.25">
      <c r="A1599" s="63"/>
      <c r="B1599" s="64"/>
      <c r="C1599" s="64"/>
      <c r="D1599" s="64"/>
      <c r="E1599" s="64"/>
      <c r="F1599" s="64"/>
      <c r="G1599" s="64"/>
      <c r="H1599" s="64"/>
      <c r="I1599" s="64"/>
      <c r="J1599" s="64"/>
      <c r="K1599" s="64"/>
      <c r="L1599" s="64"/>
      <c r="M1599" s="64"/>
      <c r="N1599" s="64"/>
      <c r="O1599" s="64"/>
      <c r="P1599" s="64"/>
      <c r="Q1599" s="64"/>
      <c r="R1599" s="64"/>
      <c r="S1599" s="64"/>
    </row>
    <row r="1600" spans="1:19" x14ac:dyDescent="0.25">
      <c r="A1600" s="63"/>
      <c r="B1600" s="64"/>
      <c r="C1600" s="64"/>
      <c r="D1600" s="64"/>
      <c r="E1600" s="64"/>
      <c r="F1600" s="64"/>
      <c r="G1600" s="64"/>
      <c r="H1600" s="64"/>
      <c r="I1600" s="64"/>
      <c r="J1600" s="64"/>
      <c r="K1600" s="64"/>
      <c r="L1600" s="64"/>
      <c r="M1600" s="64"/>
      <c r="N1600" s="64"/>
      <c r="O1600" s="64"/>
      <c r="P1600" s="64"/>
      <c r="Q1600" s="64"/>
      <c r="R1600" s="64"/>
      <c r="S1600" s="64"/>
    </row>
    <row r="1601" spans="1:19" x14ac:dyDescent="0.25">
      <c r="A1601" s="63"/>
      <c r="B1601" s="64"/>
      <c r="C1601" s="64"/>
      <c r="D1601" s="64"/>
      <c r="E1601" s="64"/>
      <c r="F1601" s="64"/>
      <c r="G1601" s="64"/>
      <c r="H1601" s="64"/>
      <c r="I1601" s="64"/>
      <c r="J1601" s="64"/>
      <c r="K1601" s="64"/>
      <c r="L1601" s="64"/>
      <c r="M1601" s="64"/>
      <c r="N1601" s="64"/>
      <c r="O1601" s="64"/>
      <c r="P1601" s="64"/>
      <c r="Q1601" s="64"/>
      <c r="R1601" s="64"/>
      <c r="S1601" s="64"/>
    </row>
    <row r="1602" spans="1:19" x14ac:dyDescent="0.25">
      <c r="A1602" s="63"/>
      <c r="B1602" s="64"/>
      <c r="C1602" s="64"/>
      <c r="D1602" s="64"/>
      <c r="E1602" s="64"/>
      <c r="F1602" s="64"/>
      <c r="G1602" s="64"/>
      <c r="H1602" s="64"/>
      <c r="I1602" s="64"/>
      <c r="J1602" s="64"/>
      <c r="K1602" s="64"/>
      <c r="L1602" s="64"/>
      <c r="M1602" s="64"/>
      <c r="N1602" s="64"/>
      <c r="O1602" s="64"/>
      <c r="P1602" s="64"/>
      <c r="Q1602" s="64"/>
      <c r="R1602" s="64"/>
      <c r="S1602" s="64"/>
    </row>
    <row r="1603" spans="1:19" x14ac:dyDescent="0.25">
      <c r="A1603" s="63"/>
      <c r="B1603" s="64"/>
      <c r="C1603" s="64"/>
      <c r="D1603" s="64"/>
      <c r="E1603" s="64"/>
      <c r="F1603" s="64"/>
      <c r="G1603" s="64"/>
      <c r="H1603" s="64"/>
      <c r="I1603" s="64"/>
      <c r="J1603" s="64"/>
      <c r="K1603" s="64"/>
      <c r="L1603" s="64"/>
      <c r="M1603" s="64"/>
      <c r="N1603" s="64"/>
      <c r="O1603" s="64"/>
      <c r="P1603" s="64"/>
      <c r="Q1603" s="64"/>
      <c r="R1603" s="64"/>
      <c r="S1603" s="64"/>
    </row>
    <row r="1604" spans="1:19" x14ac:dyDescent="0.25">
      <c r="A1604" s="63"/>
      <c r="B1604" s="64"/>
      <c r="C1604" s="64"/>
      <c r="D1604" s="64"/>
      <c r="E1604" s="64"/>
      <c r="F1604" s="64"/>
      <c r="G1604" s="64"/>
      <c r="H1604" s="64"/>
      <c r="I1604" s="64"/>
      <c r="J1604" s="64"/>
      <c r="K1604" s="64"/>
      <c r="L1604" s="64"/>
      <c r="M1604" s="64"/>
      <c r="N1604" s="64"/>
      <c r="O1604" s="64"/>
      <c r="P1604" s="64"/>
      <c r="Q1604" s="64"/>
      <c r="R1604" s="64"/>
      <c r="S1604" s="64"/>
    </row>
    <row r="1605" spans="1:19" x14ac:dyDescent="0.25">
      <c r="A1605" s="63"/>
      <c r="B1605" s="64"/>
      <c r="C1605" s="64"/>
      <c r="D1605" s="64"/>
      <c r="E1605" s="64"/>
      <c r="F1605" s="64"/>
      <c r="G1605" s="64"/>
      <c r="H1605" s="64"/>
      <c r="I1605" s="64"/>
      <c r="J1605" s="64"/>
      <c r="K1605" s="64"/>
      <c r="L1605" s="64"/>
      <c r="M1605" s="64"/>
      <c r="N1605" s="64"/>
      <c r="O1605" s="64"/>
      <c r="P1605" s="64"/>
      <c r="Q1605" s="64"/>
      <c r="R1605" s="64"/>
      <c r="S1605" s="64"/>
    </row>
    <row r="1606" spans="1:19" x14ac:dyDescent="0.25">
      <c r="A1606" s="63"/>
      <c r="B1606" s="64"/>
      <c r="C1606" s="64"/>
      <c r="D1606" s="64"/>
      <c r="E1606" s="64"/>
      <c r="F1606" s="64"/>
      <c r="G1606" s="64"/>
      <c r="H1606" s="64"/>
      <c r="I1606" s="64"/>
      <c r="J1606" s="64"/>
      <c r="K1606" s="64"/>
      <c r="L1606" s="64"/>
      <c r="M1606" s="64"/>
      <c r="N1606" s="64"/>
      <c r="O1606" s="64"/>
      <c r="P1606" s="64"/>
      <c r="Q1606" s="64"/>
      <c r="R1606" s="64"/>
      <c r="S1606" s="64"/>
    </row>
    <row r="1607" spans="1:19" x14ac:dyDescent="0.25">
      <c r="A1607" s="63"/>
      <c r="B1607" s="64"/>
      <c r="C1607" s="64"/>
      <c r="D1607" s="64"/>
      <c r="E1607" s="64"/>
      <c r="F1607" s="64"/>
      <c r="G1607" s="64"/>
      <c r="H1607" s="64"/>
      <c r="I1607" s="64"/>
      <c r="J1607" s="64"/>
      <c r="K1607" s="64"/>
      <c r="L1607" s="64"/>
      <c r="M1607" s="64"/>
      <c r="N1607" s="64"/>
      <c r="O1607" s="64"/>
      <c r="P1607" s="64"/>
      <c r="Q1607" s="64"/>
      <c r="R1607" s="64"/>
      <c r="S1607" s="64"/>
    </row>
    <row r="1608" spans="1:19" x14ac:dyDescent="0.25">
      <c r="A1608" s="63"/>
      <c r="B1608" s="64"/>
      <c r="C1608" s="64"/>
      <c r="D1608" s="64"/>
      <c r="E1608" s="64"/>
      <c r="F1608" s="64"/>
      <c r="G1608" s="64"/>
      <c r="H1608" s="64"/>
      <c r="I1608" s="64"/>
      <c r="J1608" s="64"/>
      <c r="K1608" s="64"/>
      <c r="L1608" s="64"/>
      <c r="M1608" s="64"/>
      <c r="N1608" s="64"/>
      <c r="O1608" s="64"/>
      <c r="P1608" s="64"/>
      <c r="Q1608" s="64"/>
      <c r="R1608" s="64"/>
      <c r="S1608" s="64"/>
    </row>
    <row r="1609" spans="1:19" x14ac:dyDescent="0.25">
      <c r="A1609" s="63"/>
      <c r="B1609" s="64"/>
      <c r="C1609" s="64"/>
      <c r="D1609" s="64"/>
      <c r="E1609" s="64"/>
      <c r="F1609" s="64"/>
      <c r="G1609" s="64"/>
      <c r="H1609" s="64"/>
      <c r="I1609" s="64"/>
      <c r="J1609" s="64"/>
      <c r="K1609" s="64"/>
      <c r="L1609" s="64"/>
      <c r="M1609" s="64"/>
      <c r="N1609" s="64"/>
      <c r="O1609" s="64"/>
      <c r="P1609" s="64"/>
      <c r="Q1609" s="64"/>
      <c r="R1609" s="64"/>
      <c r="S1609" s="64"/>
    </row>
    <row r="1610" spans="1:19" x14ac:dyDescent="0.25">
      <c r="A1610" s="63"/>
      <c r="B1610" s="64"/>
      <c r="C1610" s="64"/>
      <c r="D1610" s="64"/>
      <c r="E1610" s="64"/>
      <c r="F1610" s="64"/>
      <c r="G1610" s="64"/>
      <c r="H1610" s="64"/>
      <c r="I1610" s="64"/>
      <c r="J1610" s="64"/>
      <c r="K1610" s="64"/>
      <c r="L1610" s="64"/>
      <c r="M1610" s="64"/>
      <c r="N1610" s="64"/>
      <c r="O1610" s="64"/>
      <c r="P1610" s="64"/>
      <c r="Q1610" s="64"/>
      <c r="R1610" s="64"/>
      <c r="S1610" s="64"/>
    </row>
    <row r="1611" spans="1:19" x14ac:dyDescent="0.25">
      <c r="A1611" s="63"/>
      <c r="B1611" s="64"/>
      <c r="C1611" s="64"/>
      <c r="D1611" s="64"/>
      <c r="E1611" s="64"/>
      <c r="F1611" s="64"/>
      <c r="G1611" s="64"/>
      <c r="H1611" s="64"/>
      <c r="I1611" s="64"/>
      <c r="J1611" s="64"/>
      <c r="K1611" s="64"/>
      <c r="L1611" s="64"/>
      <c r="M1611" s="64"/>
      <c r="N1611" s="64"/>
      <c r="O1611" s="64"/>
      <c r="P1611" s="64"/>
      <c r="Q1611" s="64"/>
      <c r="R1611" s="64"/>
      <c r="S1611" s="64"/>
    </row>
    <row r="1612" spans="1:19" x14ac:dyDescent="0.25">
      <c r="A1612" s="63"/>
      <c r="B1612" s="64"/>
      <c r="C1612" s="64"/>
      <c r="D1612" s="64"/>
      <c r="E1612" s="64"/>
      <c r="F1612" s="64"/>
      <c r="G1612" s="64"/>
      <c r="H1612" s="64"/>
      <c r="I1612" s="64"/>
      <c r="J1612" s="64"/>
      <c r="K1612" s="64"/>
      <c r="L1612" s="64"/>
      <c r="M1612" s="64"/>
      <c r="N1612" s="64"/>
      <c r="O1612" s="64"/>
      <c r="P1612" s="64"/>
      <c r="Q1612" s="64"/>
      <c r="R1612" s="64"/>
      <c r="S1612" s="64"/>
    </row>
    <row r="1613" spans="1:19" x14ac:dyDescent="0.25">
      <c r="A1613" s="63"/>
      <c r="B1613" s="64"/>
      <c r="C1613" s="64"/>
      <c r="D1613" s="64"/>
      <c r="E1613" s="64"/>
      <c r="F1613" s="64"/>
      <c r="G1613" s="64"/>
      <c r="H1613" s="64"/>
      <c r="I1613" s="64"/>
      <c r="J1613" s="64"/>
      <c r="K1613" s="64"/>
      <c r="L1613" s="64"/>
      <c r="M1613" s="64"/>
      <c r="N1613" s="64"/>
      <c r="O1613" s="64"/>
      <c r="P1613" s="64"/>
      <c r="Q1613" s="64"/>
      <c r="R1613" s="64"/>
      <c r="S1613" s="64"/>
    </row>
    <row r="1614" spans="1:19" x14ac:dyDescent="0.25">
      <c r="A1614" s="63"/>
      <c r="B1614" s="64"/>
      <c r="C1614" s="64"/>
      <c r="D1614" s="64"/>
      <c r="E1614" s="64"/>
      <c r="F1614" s="64"/>
      <c r="G1614" s="64"/>
      <c r="H1614" s="64"/>
      <c r="I1614" s="64"/>
      <c r="J1614" s="64"/>
      <c r="K1614" s="64"/>
      <c r="L1614" s="64"/>
      <c r="M1614" s="64"/>
      <c r="N1614" s="64"/>
      <c r="O1614" s="64"/>
      <c r="P1614" s="64"/>
      <c r="Q1614" s="64"/>
      <c r="R1614" s="64"/>
      <c r="S1614" s="64"/>
    </row>
    <row r="1615" spans="1:19" x14ac:dyDescent="0.25">
      <c r="A1615" s="63"/>
      <c r="B1615" s="64"/>
      <c r="C1615" s="64"/>
      <c r="D1615" s="64"/>
      <c r="E1615" s="64"/>
      <c r="F1615" s="64"/>
      <c r="G1615" s="64"/>
      <c r="H1615" s="64"/>
      <c r="I1615" s="64"/>
      <c r="J1615" s="64"/>
      <c r="K1615" s="64"/>
      <c r="L1615" s="64"/>
      <c r="M1615" s="64"/>
      <c r="N1615" s="64"/>
      <c r="O1615" s="64"/>
      <c r="P1615" s="64"/>
      <c r="Q1615" s="64"/>
      <c r="R1615" s="64"/>
      <c r="S1615" s="64"/>
    </row>
    <row r="1616" spans="1:19" x14ac:dyDescent="0.25">
      <c r="A1616" s="63"/>
      <c r="B1616" s="64"/>
      <c r="C1616" s="64"/>
      <c r="D1616" s="64"/>
      <c r="E1616" s="64"/>
      <c r="F1616" s="64"/>
      <c r="G1616" s="64"/>
      <c r="H1616" s="64"/>
      <c r="I1616" s="64"/>
      <c r="J1616" s="64"/>
      <c r="K1616" s="64"/>
      <c r="L1616" s="64"/>
      <c r="M1616" s="64"/>
      <c r="N1616" s="64"/>
      <c r="O1616" s="64"/>
      <c r="P1616" s="64"/>
      <c r="Q1616" s="64"/>
      <c r="R1616" s="64"/>
      <c r="S1616" s="64"/>
    </row>
    <row r="1617" spans="1:19" x14ac:dyDescent="0.25">
      <c r="A1617" s="63"/>
      <c r="B1617" s="64"/>
      <c r="C1617" s="64"/>
      <c r="D1617" s="64"/>
      <c r="E1617" s="64"/>
      <c r="F1617" s="64"/>
      <c r="G1617" s="64"/>
      <c r="H1617" s="64"/>
      <c r="I1617" s="64"/>
      <c r="J1617" s="64"/>
      <c r="K1617" s="64"/>
      <c r="L1617" s="64"/>
      <c r="M1617" s="64"/>
      <c r="N1617" s="64"/>
      <c r="O1617" s="64"/>
      <c r="P1617" s="64"/>
      <c r="Q1617" s="64"/>
      <c r="R1617" s="64"/>
      <c r="S1617" s="64"/>
    </row>
    <row r="1618" spans="1:19" x14ac:dyDescent="0.25">
      <c r="A1618" s="63"/>
      <c r="B1618" s="64"/>
      <c r="C1618" s="64"/>
      <c r="D1618" s="64"/>
      <c r="E1618" s="64"/>
      <c r="F1618" s="64"/>
      <c r="G1618" s="64"/>
      <c r="H1618" s="64"/>
      <c r="I1618" s="64"/>
      <c r="J1618" s="64"/>
      <c r="K1618" s="64"/>
      <c r="L1618" s="64"/>
      <c r="M1618" s="64"/>
      <c r="N1618" s="64"/>
      <c r="O1618" s="64"/>
      <c r="P1618" s="64"/>
      <c r="Q1618" s="64"/>
      <c r="R1618" s="64"/>
      <c r="S1618" s="64"/>
    </row>
    <row r="1619" spans="1:19" x14ac:dyDescent="0.25">
      <c r="A1619" s="63"/>
      <c r="B1619" s="64"/>
      <c r="C1619" s="64"/>
      <c r="D1619" s="64"/>
      <c r="E1619" s="64"/>
      <c r="F1619" s="64"/>
      <c r="G1619" s="64"/>
      <c r="H1619" s="64"/>
      <c r="I1619" s="64"/>
      <c r="J1619" s="64"/>
      <c r="K1619" s="64"/>
      <c r="L1619" s="64"/>
      <c r="M1619" s="64"/>
      <c r="N1619" s="64"/>
      <c r="O1619" s="64"/>
      <c r="P1619" s="64"/>
      <c r="Q1619" s="64"/>
      <c r="R1619" s="64"/>
      <c r="S1619" s="64"/>
    </row>
    <row r="1620" spans="1:19" x14ac:dyDescent="0.25">
      <c r="A1620" s="63"/>
      <c r="B1620" s="64"/>
      <c r="C1620" s="64"/>
      <c r="D1620" s="64"/>
      <c r="E1620" s="64"/>
      <c r="F1620" s="64"/>
      <c r="G1620" s="64"/>
      <c r="H1620" s="64"/>
      <c r="I1620" s="64"/>
      <c r="J1620" s="64"/>
      <c r="K1620" s="64"/>
      <c r="L1620" s="64"/>
      <c r="M1620" s="64"/>
      <c r="N1620" s="64"/>
      <c r="O1620" s="64"/>
      <c r="P1620" s="64"/>
      <c r="Q1620" s="64"/>
      <c r="R1620" s="64"/>
      <c r="S1620" s="64"/>
    </row>
    <row r="1621" spans="1:19" x14ac:dyDescent="0.25">
      <c r="A1621" s="63"/>
      <c r="B1621" s="64"/>
      <c r="C1621" s="64"/>
      <c r="D1621" s="64"/>
      <c r="E1621" s="64"/>
      <c r="F1621" s="64"/>
      <c r="G1621" s="64"/>
      <c r="H1621" s="64"/>
      <c r="I1621" s="64"/>
      <c r="J1621" s="64"/>
      <c r="K1621" s="64"/>
      <c r="L1621" s="64"/>
      <c r="M1621" s="64"/>
      <c r="N1621" s="64"/>
      <c r="O1621" s="64"/>
      <c r="P1621" s="64"/>
      <c r="Q1621" s="64"/>
      <c r="R1621" s="64"/>
      <c r="S1621" s="64"/>
    </row>
    <row r="1622" spans="1:19" x14ac:dyDescent="0.25">
      <c r="A1622" s="63"/>
      <c r="B1622" s="64"/>
      <c r="C1622" s="64"/>
      <c r="D1622" s="64"/>
      <c r="E1622" s="64"/>
      <c r="F1622" s="64"/>
      <c r="G1622" s="64"/>
      <c r="H1622" s="64"/>
      <c r="I1622" s="64"/>
      <c r="J1622" s="64"/>
      <c r="K1622" s="64"/>
      <c r="L1622" s="64"/>
      <c r="M1622" s="64"/>
      <c r="N1622" s="64"/>
      <c r="O1622" s="64"/>
      <c r="P1622" s="64"/>
      <c r="Q1622" s="64"/>
      <c r="R1622" s="64"/>
      <c r="S1622" s="64"/>
    </row>
    <row r="1623" spans="1:19" x14ac:dyDescent="0.25">
      <c r="A1623" s="63"/>
      <c r="B1623" s="64"/>
      <c r="C1623" s="64"/>
      <c r="D1623" s="64"/>
      <c r="E1623" s="64"/>
      <c r="F1623" s="64"/>
      <c r="G1623" s="64"/>
      <c r="H1623" s="64"/>
      <c r="I1623" s="64"/>
      <c r="J1623" s="64"/>
      <c r="K1623" s="64"/>
      <c r="L1623" s="64"/>
      <c r="M1623" s="64"/>
      <c r="N1623" s="64"/>
      <c r="O1623" s="64"/>
      <c r="P1623" s="64"/>
      <c r="Q1623" s="64"/>
      <c r="R1623" s="64"/>
      <c r="S1623" s="64"/>
    </row>
    <row r="1624" spans="1:19" x14ac:dyDescent="0.25">
      <c r="A1624" s="63"/>
      <c r="B1624" s="64"/>
      <c r="C1624" s="64"/>
      <c r="D1624" s="64"/>
      <c r="E1624" s="64"/>
      <c r="F1624" s="64"/>
      <c r="G1624" s="64"/>
      <c r="H1624" s="64"/>
      <c r="I1624" s="64"/>
      <c r="J1624" s="64"/>
      <c r="K1624" s="64"/>
      <c r="L1624" s="64"/>
      <c r="M1624" s="64"/>
      <c r="N1624" s="64"/>
      <c r="O1624" s="64"/>
      <c r="P1624" s="64"/>
      <c r="Q1624" s="64"/>
      <c r="R1624" s="64"/>
      <c r="S1624" s="64"/>
    </row>
    <row r="1625" spans="1:19" x14ac:dyDescent="0.25">
      <c r="A1625" s="63"/>
      <c r="B1625" s="64"/>
      <c r="C1625" s="64"/>
      <c r="D1625" s="64"/>
      <c r="E1625" s="64"/>
      <c r="F1625" s="64"/>
      <c r="G1625" s="64"/>
      <c r="H1625" s="64"/>
      <c r="I1625" s="64"/>
      <c r="J1625" s="64"/>
      <c r="K1625" s="64"/>
      <c r="L1625" s="64"/>
      <c r="M1625" s="64"/>
      <c r="N1625" s="64"/>
      <c r="O1625" s="64"/>
      <c r="P1625" s="64"/>
      <c r="Q1625" s="64"/>
      <c r="R1625" s="64"/>
      <c r="S1625" s="64"/>
    </row>
    <row r="1626" spans="1:19" x14ac:dyDescent="0.25">
      <c r="A1626" s="63"/>
      <c r="B1626" s="64"/>
      <c r="C1626" s="64"/>
      <c r="D1626" s="64"/>
      <c r="E1626" s="64"/>
      <c r="F1626" s="64"/>
      <c r="G1626" s="64"/>
      <c r="H1626" s="64"/>
      <c r="I1626" s="64"/>
      <c r="J1626" s="64"/>
      <c r="K1626" s="64"/>
      <c r="L1626" s="64"/>
      <c r="M1626" s="64"/>
      <c r="N1626" s="64"/>
      <c r="O1626" s="64"/>
      <c r="P1626" s="64"/>
      <c r="Q1626" s="64"/>
      <c r="R1626" s="64"/>
      <c r="S1626" s="64"/>
    </row>
    <row r="1627" spans="1:19" x14ac:dyDescent="0.25">
      <c r="A1627" s="63"/>
      <c r="B1627" s="64"/>
      <c r="C1627" s="64"/>
      <c r="D1627" s="64"/>
      <c r="E1627" s="64"/>
      <c r="F1627" s="64"/>
      <c r="G1627" s="64"/>
      <c r="H1627" s="64"/>
      <c r="I1627" s="64"/>
      <c r="J1627" s="64"/>
      <c r="K1627" s="64"/>
      <c r="L1627" s="64"/>
      <c r="M1627" s="64"/>
      <c r="N1627" s="64"/>
      <c r="O1627" s="64"/>
      <c r="P1627" s="64"/>
      <c r="Q1627" s="64"/>
      <c r="R1627" s="64"/>
      <c r="S1627" s="64"/>
    </row>
    <row r="1628" spans="1:19" x14ac:dyDescent="0.25">
      <c r="A1628" s="63"/>
      <c r="B1628" s="64"/>
      <c r="C1628" s="64"/>
      <c r="D1628" s="64"/>
      <c r="E1628" s="64"/>
      <c r="F1628" s="64"/>
      <c r="G1628" s="64"/>
      <c r="H1628" s="64"/>
      <c r="I1628" s="64"/>
      <c r="J1628" s="64"/>
      <c r="K1628" s="64"/>
      <c r="L1628" s="64"/>
      <c r="M1628" s="64"/>
      <c r="N1628" s="64"/>
      <c r="O1628" s="64"/>
      <c r="P1628" s="64"/>
      <c r="Q1628" s="64"/>
      <c r="R1628" s="64"/>
      <c r="S1628" s="64"/>
    </row>
    <row r="1629" spans="1:19" x14ac:dyDescent="0.25">
      <c r="A1629" s="63"/>
      <c r="B1629" s="64"/>
      <c r="C1629" s="64"/>
      <c r="D1629" s="64"/>
      <c r="E1629" s="64"/>
      <c r="F1629" s="64"/>
      <c r="G1629" s="64"/>
      <c r="H1629" s="64"/>
      <c r="I1629" s="64"/>
      <c r="J1629" s="64"/>
      <c r="K1629" s="64"/>
      <c r="L1629" s="64"/>
      <c r="M1629" s="64"/>
      <c r="N1629" s="64"/>
      <c r="O1629" s="64"/>
      <c r="P1629" s="64"/>
      <c r="Q1629" s="64"/>
      <c r="R1629" s="64"/>
      <c r="S1629" s="64"/>
    </row>
    <row r="1630" spans="1:19" x14ac:dyDescent="0.25">
      <c r="A1630" s="63"/>
      <c r="B1630" s="64"/>
      <c r="C1630" s="64"/>
      <c r="D1630" s="64"/>
      <c r="E1630" s="64"/>
      <c r="F1630" s="64"/>
      <c r="G1630" s="64"/>
      <c r="H1630" s="64"/>
      <c r="I1630" s="64"/>
      <c r="J1630" s="64"/>
      <c r="K1630" s="64"/>
      <c r="L1630" s="64"/>
      <c r="M1630" s="64"/>
      <c r="N1630" s="64"/>
      <c r="O1630" s="64"/>
      <c r="P1630" s="64"/>
      <c r="Q1630" s="64"/>
      <c r="R1630" s="64"/>
      <c r="S1630" s="64"/>
    </row>
    <row r="1631" spans="1:19" x14ac:dyDescent="0.25">
      <c r="A1631" s="63"/>
      <c r="B1631" s="64"/>
      <c r="C1631" s="64"/>
      <c r="D1631" s="64"/>
      <c r="E1631" s="64"/>
      <c r="F1631" s="64"/>
      <c r="G1631" s="64"/>
      <c r="H1631" s="64"/>
      <c r="I1631" s="64"/>
      <c r="J1631" s="64"/>
      <c r="K1631" s="64"/>
      <c r="L1631" s="64"/>
      <c r="M1631" s="64"/>
      <c r="N1631" s="64"/>
      <c r="O1631" s="64"/>
      <c r="P1631" s="64"/>
      <c r="Q1631" s="64"/>
      <c r="R1631" s="64"/>
      <c r="S1631" s="64"/>
    </row>
    <row r="1632" spans="1:19" x14ac:dyDescent="0.25">
      <c r="A1632" s="63"/>
      <c r="B1632" s="64"/>
      <c r="C1632" s="64"/>
      <c r="D1632" s="64"/>
      <c r="E1632" s="64"/>
      <c r="F1632" s="64"/>
      <c r="G1632" s="64"/>
      <c r="H1632" s="64"/>
      <c r="I1632" s="64"/>
      <c r="J1632" s="64"/>
      <c r="K1632" s="64"/>
      <c r="L1632" s="64"/>
      <c r="M1632" s="64"/>
      <c r="N1632" s="64"/>
      <c r="O1632" s="64"/>
      <c r="P1632" s="64"/>
      <c r="Q1632" s="64"/>
      <c r="R1632" s="64"/>
      <c r="S1632" s="64"/>
    </row>
    <row r="1633" spans="1:19" x14ac:dyDescent="0.25">
      <c r="A1633" s="63"/>
      <c r="B1633" s="64"/>
      <c r="C1633" s="64"/>
      <c r="D1633" s="64"/>
      <c r="E1633" s="64"/>
      <c r="F1633" s="64"/>
      <c r="G1633" s="64"/>
      <c r="H1633" s="64"/>
      <c r="I1633" s="64"/>
      <c r="J1633" s="64"/>
      <c r="K1633" s="64"/>
      <c r="L1633" s="64"/>
      <c r="M1633" s="64"/>
      <c r="N1633" s="64"/>
      <c r="O1633" s="64"/>
      <c r="P1633" s="64"/>
      <c r="Q1633" s="64"/>
      <c r="R1633" s="64"/>
      <c r="S1633" s="64"/>
    </row>
    <row r="1634" spans="1:19" x14ac:dyDescent="0.25">
      <c r="A1634" s="63"/>
      <c r="B1634" s="64"/>
      <c r="C1634" s="64"/>
      <c r="D1634" s="64"/>
      <c r="E1634" s="64"/>
      <c r="F1634" s="64"/>
      <c r="G1634" s="64"/>
      <c r="H1634" s="64"/>
      <c r="I1634" s="64"/>
      <c r="J1634" s="64"/>
      <c r="K1634" s="64"/>
      <c r="L1634" s="64"/>
      <c r="M1634" s="64"/>
      <c r="N1634" s="64"/>
      <c r="O1634" s="64"/>
      <c r="P1634" s="64"/>
      <c r="Q1634" s="64"/>
      <c r="R1634" s="64"/>
      <c r="S1634" s="64"/>
    </row>
    <row r="1635" spans="1:19" x14ac:dyDescent="0.25">
      <c r="A1635" s="63"/>
      <c r="B1635" s="64"/>
      <c r="C1635" s="64"/>
      <c r="D1635" s="64"/>
      <c r="E1635" s="64"/>
      <c r="F1635" s="64"/>
      <c r="G1635" s="64"/>
      <c r="H1635" s="64"/>
      <c r="I1635" s="64"/>
      <c r="J1635" s="64"/>
      <c r="K1635" s="64"/>
      <c r="L1635" s="64"/>
      <c r="M1635" s="64"/>
      <c r="N1635" s="64"/>
      <c r="O1635" s="64"/>
      <c r="P1635" s="64"/>
      <c r="Q1635" s="64"/>
      <c r="R1635" s="64"/>
      <c r="S1635" s="64"/>
    </row>
    <row r="1636" spans="1:19" x14ac:dyDescent="0.25">
      <c r="A1636" s="63"/>
      <c r="B1636" s="64"/>
      <c r="C1636" s="64"/>
      <c r="D1636" s="64"/>
      <c r="E1636" s="64"/>
      <c r="F1636" s="64"/>
      <c r="G1636" s="64"/>
      <c r="H1636" s="64"/>
      <c r="I1636" s="64"/>
      <c r="J1636" s="64"/>
      <c r="K1636" s="64"/>
      <c r="L1636" s="64"/>
      <c r="M1636" s="64"/>
      <c r="N1636" s="64"/>
      <c r="O1636" s="64"/>
      <c r="P1636" s="64"/>
      <c r="Q1636" s="64"/>
      <c r="R1636" s="64"/>
      <c r="S1636" s="64"/>
    </row>
    <row r="1637" spans="1:19" x14ac:dyDescent="0.25">
      <c r="A1637" s="63"/>
      <c r="B1637" s="64"/>
      <c r="C1637" s="64"/>
      <c r="D1637" s="64"/>
      <c r="E1637" s="64"/>
      <c r="F1637" s="64"/>
      <c r="G1637" s="64"/>
      <c r="H1637" s="64"/>
      <c r="I1637" s="64"/>
      <c r="J1637" s="64"/>
      <c r="K1637" s="64"/>
      <c r="L1637" s="64"/>
      <c r="M1637" s="64"/>
      <c r="N1637" s="64"/>
      <c r="O1637" s="64"/>
      <c r="P1637" s="64"/>
      <c r="Q1637" s="64"/>
      <c r="R1637" s="64"/>
      <c r="S1637" s="64"/>
    </row>
    <row r="1638" spans="1:19" x14ac:dyDescent="0.25">
      <c r="A1638" s="63"/>
      <c r="B1638" s="64"/>
      <c r="C1638" s="64"/>
      <c r="D1638" s="64"/>
      <c r="E1638" s="64"/>
      <c r="F1638" s="64"/>
      <c r="G1638" s="64"/>
      <c r="H1638" s="64"/>
      <c r="I1638" s="64"/>
      <c r="J1638" s="64"/>
      <c r="K1638" s="64"/>
      <c r="L1638" s="64"/>
      <c r="M1638" s="64"/>
      <c r="N1638" s="64"/>
      <c r="O1638" s="64"/>
      <c r="P1638" s="64"/>
      <c r="Q1638" s="64"/>
      <c r="R1638" s="64"/>
      <c r="S1638" s="64"/>
    </row>
    <row r="1639" spans="1:19" x14ac:dyDescent="0.25">
      <c r="A1639" s="63"/>
      <c r="B1639" s="64"/>
      <c r="C1639" s="64"/>
      <c r="D1639" s="64"/>
      <c r="E1639" s="64"/>
      <c r="F1639" s="64"/>
      <c r="G1639" s="64"/>
      <c r="H1639" s="64"/>
      <c r="I1639" s="64"/>
      <c r="J1639" s="64"/>
      <c r="K1639" s="64"/>
      <c r="L1639" s="64"/>
      <c r="M1639" s="64"/>
      <c r="N1639" s="64"/>
      <c r="O1639" s="64"/>
      <c r="P1639" s="64"/>
      <c r="Q1639" s="64"/>
      <c r="R1639" s="64"/>
      <c r="S1639" s="64"/>
    </row>
    <row r="1640" spans="1:19" x14ac:dyDescent="0.25">
      <c r="A1640" s="63"/>
      <c r="B1640" s="64"/>
      <c r="C1640" s="64"/>
      <c r="D1640" s="64"/>
      <c r="E1640" s="64"/>
      <c r="F1640" s="64"/>
      <c r="G1640" s="64"/>
      <c r="H1640" s="64"/>
      <c r="I1640" s="64"/>
      <c r="J1640" s="64"/>
      <c r="K1640" s="64"/>
      <c r="L1640" s="64"/>
      <c r="M1640" s="64"/>
      <c r="N1640" s="64"/>
      <c r="O1640" s="64"/>
      <c r="P1640" s="64"/>
      <c r="Q1640" s="64"/>
      <c r="R1640" s="64"/>
      <c r="S1640" s="64"/>
    </row>
    <row r="1641" spans="1:19" x14ac:dyDescent="0.25">
      <c r="A1641" s="63"/>
      <c r="B1641" s="64"/>
      <c r="C1641" s="64"/>
      <c r="D1641" s="64"/>
      <c r="E1641" s="64"/>
      <c r="F1641" s="64"/>
      <c r="G1641" s="64"/>
      <c r="H1641" s="64"/>
      <c r="I1641" s="64"/>
      <c r="J1641" s="64"/>
      <c r="K1641" s="64"/>
      <c r="L1641" s="64"/>
      <c r="M1641" s="64"/>
      <c r="N1641" s="64"/>
      <c r="O1641" s="64"/>
      <c r="P1641" s="64"/>
      <c r="Q1641" s="64"/>
      <c r="R1641" s="64"/>
      <c r="S1641" s="64"/>
    </row>
    <row r="1642" spans="1:19" x14ac:dyDescent="0.25">
      <c r="A1642" s="63"/>
      <c r="B1642" s="64"/>
      <c r="C1642" s="64"/>
      <c r="D1642" s="64"/>
      <c r="E1642" s="64"/>
      <c r="F1642" s="64"/>
      <c r="G1642" s="64"/>
      <c r="H1642" s="64"/>
      <c r="I1642" s="64"/>
      <c r="J1642" s="64"/>
      <c r="K1642" s="64"/>
      <c r="L1642" s="64"/>
      <c r="M1642" s="64"/>
      <c r="N1642" s="64"/>
      <c r="O1642" s="64"/>
      <c r="P1642" s="64"/>
      <c r="Q1642" s="64"/>
      <c r="R1642" s="64"/>
      <c r="S1642" s="64"/>
    </row>
    <row r="1643" spans="1:19" x14ac:dyDescent="0.25">
      <c r="A1643" s="63"/>
      <c r="B1643" s="64"/>
      <c r="C1643" s="64"/>
      <c r="D1643" s="64"/>
      <c r="E1643" s="64"/>
      <c r="F1643" s="64"/>
      <c r="G1643" s="64"/>
      <c r="H1643" s="64"/>
      <c r="I1643" s="64"/>
      <c r="J1643" s="64"/>
      <c r="K1643" s="64"/>
      <c r="L1643" s="64"/>
      <c r="M1643" s="64"/>
      <c r="N1643" s="64"/>
      <c r="O1643" s="64"/>
      <c r="P1643" s="64"/>
      <c r="Q1643" s="64"/>
      <c r="R1643" s="64"/>
      <c r="S1643" s="64"/>
    </row>
    <row r="1644" spans="1:19" x14ac:dyDescent="0.25">
      <c r="A1644" s="63"/>
      <c r="B1644" s="64"/>
      <c r="C1644" s="64"/>
      <c r="D1644" s="64"/>
      <c r="E1644" s="64"/>
      <c r="F1644" s="64"/>
      <c r="G1644" s="64"/>
      <c r="H1644" s="64"/>
      <c r="I1644" s="64"/>
      <c r="J1644" s="64"/>
      <c r="K1644" s="64"/>
      <c r="L1644" s="64"/>
      <c r="M1644" s="64"/>
      <c r="N1644" s="64"/>
      <c r="O1644" s="64"/>
      <c r="P1644" s="64"/>
      <c r="Q1644" s="64"/>
      <c r="R1644" s="64"/>
      <c r="S1644" s="64"/>
    </row>
    <row r="1645" spans="1:19" x14ac:dyDescent="0.25">
      <c r="A1645" s="63"/>
      <c r="B1645" s="64"/>
      <c r="C1645" s="64"/>
      <c r="D1645" s="64"/>
      <c r="E1645" s="64"/>
      <c r="F1645" s="64"/>
      <c r="G1645" s="64"/>
      <c r="H1645" s="64"/>
      <c r="I1645" s="64"/>
      <c r="J1645" s="64"/>
      <c r="K1645" s="64"/>
      <c r="L1645" s="64"/>
      <c r="M1645" s="64"/>
      <c r="N1645" s="64"/>
      <c r="O1645" s="64"/>
      <c r="P1645" s="64"/>
      <c r="Q1645" s="64"/>
      <c r="R1645" s="64"/>
      <c r="S1645" s="64"/>
    </row>
    <row r="1646" spans="1:19" x14ac:dyDescent="0.25">
      <c r="A1646" s="63"/>
      <c r="B1646" s="64"/>
      <c r="C1646" s="64"/>
      <c r="D1646" s="64"/>
      <c r="E1646" s="64"/>
      <c r="F1646" s="64"/>
      <c r="G1646" s="64"/>
      <c r="H1646" s="64"/>
      <c r="I1646" s="64"/>
      <c r="J1646" s="64"/>
      <c r="K1646" s="64"/>
      <c r="L1646" s="64"/>
      <c r="M1646" s="64"/>
      <c r="N1646" s="64"/>
      <c r="O1646" s="64"/>
      <c r="P1646" s="64"/>
      <c r="Q1646" s="64"/>
      <c r="R1646" s="64"/>
      <c r="S1646" s="64"/>
    </row>
    <row r="1647" spans="1:19" x14ac:dyDescent="0.25">
      <c r="A1647" s="63"/>
      <c r="B1647" s="64"/>
      <c r="C1647" s="64"/>
      <c r="D1647" s="64"/>
      <c r="E1647" s="64"/>
      <c r="F1647" s="64"/>
      <c r="G1647" s="64"/>
      <c r="H1647" s="64"/>
      <c r="I1647" s="64"/>
      <c r="J1647" s="64"/>
      <c r="K1647" s="64"/>
      <c r="L1647" s="64"/>
      <c r="M1647" s="64"/>
      <c r="N1647" s="64"/>
      <c r="O1647" s="64"/>
      <c r="P1647" s="64"/>
      <c r="Q1647" s="64"/>
      <c r="R1647" s="64"/>
      <c r="S1647" s="64"/>
    </row>
    <row r="1648" spans="1:19" x14ac:dyDescent="0.25">
      <c r="A1648" s="63"/>
      <c r="B1648" s="64"/>
      <c r="C1648" s="64"/>
      <c r="D1648" s="64"/>
      <c r="E1648" s="64"/>
      <c r="F1648" s="64"/>
      <c r="G1648" s="64"/>
      <c r="H1648" s="64"/>
      <c r="I1648" s="64"/>
      <c r="J1648" s="64"/>
      <c r="K1648" s="64"/>
      <c r="L1648" s="64"/>
      <c r="M1648" s="64"/>
      <c r="N1648" s="64"/>
      <c r="O1648" s="64"/>
      <c r="P1648" s="64"/>
      <c r="Q1648" s="64"/>
      <c r="R1648" s="64"/>
      <c r="S1648" s="64"/>
    </row>
    <row r="1649" spans="1:19" x14ac:dyDescent="0.25">
      <c r="A1649" s="63"/>
      <c r="B1649" s="64"/>
      <c r="C1649" s="64"/>
      <c r="D1649" s="64"/>
      <c r="E1649" s="64"/>
      <c r="F1649" s="64"/>
      <c r="G1649" s="64"/>
      <c r="H1649" s="64"/>
      <c r="I1649" s="64"/>
      <c r="J1649" s="64"/>
      <c r="K1649" s="64"/>
      <c r="L1649" s="64"/>
      <c r="M1649" s="64"/>
      <c r="N1649" s="64"/>
      <c r="O1649" s="64"/>
      <c r="P1649" s="64"/>
      <c r="Q1649" s="64"/>
      <c r="R1649" s="64"/>
      <c r="S1649" s="64"/>
    </row>
    <row r="1650" spans="1:19" x14ac:dyDescent="0.25">
      <c r="A1650" s="63"/>
      <c r="B1650" s="64"/>
      <c r="C1650" s="64"/>
      <c r="D1650" s="64"/>
      <c r="E1650" s="64"/>
      <c r="F1650" s="64"/>
      <c r="G1650" s="64"/>
      <c r="H1650" s="64"/>
      <c r="I1650" s="64"/>
      <c r="J1650" s="64"/>
      <c r="K1650" s="64"/>
      <c r="L1650" s="64"/>
      <c r="M1650" s="64"/>
      <c r="N1650" s="64"/>
      <c r="O1650" s="64"/>
      <c r="P1650" s="64"/>
      <c r="Q1650" s="64"/>
      <c r="R1650" s="64"/>
      <c r="S1650" s="64"/>
    </row>
    <row r="1651" spans="1:19" x14ac:dyDescent="0.25">
      <c r="A1651" s="63"/>
      <c r="B1651" s="64"/>
      <c r="C1651" s="64"/>
      <c r="D1651" s="64"/>
      <c r="E1651" s="64"/>
      <c r="F1651" s="64"/>
      <c r="G1651" s="64"/>
      <c r="H1651" s="64"/>
      <c r="I1651" s="64"/>
      <c r="J1651" s="64"/>
      <c r="K1651" s="64"/>
      <c r="L1651" s="64"/>
      <c r="M1651" s="64"/>
      <c r="N1651" s="64"/>
      <c r="O1651" s="64"/>
      <c r="P1651" s="64"/>
      <c r="Q1651" s="64"/>
      <c r="R1651" s="64"/>
      <c r="S1651" s="64"/>
    </row>
    <row r="1652" spans="1:19" x14ac:dyDescent="0.25">
      <c r="A1652" s="63"/>
      <c r="B1652" s="64"/>
      <c r="C1652" s="64"/>
      <c r="D1652" s="64"/>
      <c r="E1652" s="64"/>
      <c r="F1652" s="64"/>
      <c r="G1652" s="64"/>
      <c r="H1652" s="64"/>
      <c r="I1652" s="64"/>
      <c r="J1652" s="64"/>
      <c r="K1652" s="64"/>
      <c r="L1652" s="64"/>
      <c r="M1652" s="64"/>
      <c r="N1652" s="64"/>
      <c r="O1652" s="64"/>
      <c r="P1652" s="64"/>
      <c r="Q1652" s="64"/>
      <c r="R1652" s="64"/>
      <c r="S1652" s="64"/>
    </row>
    <row r="1653" spans="1:19" x14ac:dyDescent="0.25">
      <c r="A1653" s="63"/>
      <c r="B1653" s="64"/>
      <c r="C1653" s="64"/>
      <c r="D1653" s="64"/>
      <c r="E1653" s="64"/>
      <c r="F1653" s="64"/>
      <c r="G1653" s="64"/>
      <c r="H1653" s="64"/>
      <c r="I1653" s="64"/>
      <c r="J1653" s="64"/>
      <c r="K1653" s="64"/>
      <c r="L1653" s="64"/>
      <c r="M1653" s="64"/>
      <c r="N1653" s="64"/>
      <c r="O1653" s="64"/>
      <c r="P1653" s="64"/>
      <c r="Q1653" s="64"/>
      <c r="R1653" s="64"/>
      <c r="S1653" s="64"/>
    </row>
    <row r="1654" spans="1:19" x14ac:dyDescent="0.25">
      <c r="A1654" s="63"/>
      <c r="B1654" s="64"/>
      <c r="C1654" s="64"/>
      <c r="D1654" s="64"/>
      <c r="E1654" s="64"/>
      <c r="F1654" s="64"/>
      <c r="G1654" s="64"/>
      <c r="H1654" s="64"/>
      <c r="I1654" s="64"/>
      <c r="J1654" s="64"/>
      <c r="K1654" s="64"/>
      <c r="L1654" s="64"/>
      <c r="M1654" s="64"/>
      <c r="N1654" s="64"/>
      <c r="O1654" s="64"/>
      <c r="P1654" s="64"/>
      <c r="Q1654" s="64"/>
      <c r="R1654" s="64"/>
      <c r="S1654" s="64"/>
    </row>
    <row r="1655" spans="1:19" x14ac:dyDescent="0.25">
      <c r="A1655" s="63"/>
      <c r="B1655" s="64"/>
      <c r="C1655" s="64"/>
      <c r="D1655" s="64"/>
      <c r="E1655" s="64"/>
      <c r="F1655" s="64"/>
      <c r="G1655" s="64"/>
      <c r="H1655" s="64"/>
      <c r="I1655" s="64"/>
      <c r="J1655" s="64"/>
      <c r="K1655" s="64"/>
      <c r="L1655" s="64"/>
      <c r="M1655" s="64"/>
      <c r="N1655" s="64"/>
      <c r="O1655" s="64"/>
      <c r="P1655" s="64"/>
      <c r="Q1655" s="64"/>
      <c r="R1655" s="64"/>
      <c r="S1655" s="64"/>
    </row>
    <row r="1656" spans="1:19" x14ac:dyDescent="0.25">
      <c r="A1656" s="63"/>
      <c r="B1656" s="64"/>
      <c r="C1656" s="64"/>
      <c r="D1656" s="64"/>
      <c r="E1656" s="64"/>
      <c r="F1656" s="64"/>
      <c r="G1656" s="64"/>
      <c r="H1656" s="64"/>
      <c r="I1656" s="64"/>
      <c r="J1656" s="64"/>
      <c r="K1656" s="64"/>
      <c r="L1656" s="64"/>
      <c r="M1656" s="64"/>
      <c r="N1656" s="64"/>
      <c r="O1656" s="64"/>
      <c r="P1656" s="64"/>
      <c r="Q1656" s="64"/>
      <c r="R1656" s="64"/>
      <c r="S1656" s="64"/>
    </row>
    <row r="1657" spans="1:19" x14ac:dyDescent="0.25">
      <c r="A1657" s="63"/>
      <c r="B1657" s="64"/>
      <c r="C1657" s="64"/>
      <c r="D1657" s="64"/>
      <c r="E1657" s="64"/>
      <c r="F1657" s="64"/>
      <c r="G1657" s="64"/>
      <c r="H1657" s="64"/>
      <c r="I1657" s="64"/>
      <c r="J1657" s="64"/>
      <c r="K1657" s="64"/>
      <c r="L1657" s="64"/>
      <c r="M1657" s="64"/>
      <c r="N1657" s="64"/>
      <c r="O1657" s="64"/>
      <c r="P1657" s="64"/>
      <c r="Q1657" s="64"/>
      <c r="R1657" s="64"/>
      <c r="S1657" s="64"/>
    </row>
    <row r="1658" spans="1:19" x14ac:dyDescent="0.25">
      <c r="A1658" s="63"/>
      <c r="B1658" s="64"/>
      <c r="C1658" s="64"/>
      <c r="D1658" s="64"/>
      <c r="E1658" s="64"/>
      <c r="F1658" s="64"/>
      <c r="G1658" s="64"/>
      <c r="H1658" s="64"/>
      <c r="I1658" s="64"/>
      <c r="J1658" s="64"/>
      <c r="K1658" s="64"/>
      <c r="L1658" s="64"/>
      <c r="M1658" s="64"/>
      <c r="N1658" s="64"/>
      <c r="O1658" s="64"/>
      <c r="P1658" s="64"/>
      <c r="Q1658" s="64"/>
      <c r="R1658" s="64"/>
      <c r="S1658" s="64"/>
    </row>
    <row r="1659" spans="1:19" x14ac:dyDescent="0.25">
      <c r="A1659" s="63"/>
      <c r="B1659" s="64"/>
      <c r="C1659" s="64"/>
      <c r="D1659" s="64"/>
      <c r="E1659" s="64"/>
      <c r="F1659" s="64"/>
      <c r="G1659" s="64"/>
      <c r="H1659" s="64"/>
      <c r="I1659" s="64"/>
      <c r="J1659" s="64"/>
      <c r="K1659" s="64"/>
      <c r="L1659" s="64"/>
      <c r="M1659" s="64"/>
      <c r="N1659" s="64"/>
      <c r="O1659" s="64"/>
      <c r="P1659" s="64"/>
      <c r="Q1659" s="64"/>
      <c r="R1659" s="64"/>
      <c r="S1659" s="64"/>
    </row>
    <row r="1660" spans="1:19" x14ac:dyDescent="0.25">
      <c r="A1660" s="63"/>
      <c r="B1660" s="64"/>
      <c r="C1660" s="64"/>
      <c r="D1660" s="64"/>
      <c r="E1660" s="64"/>
      <c r="F1660" s="64"/>
      <c r="G1660" s="64"/>
      <c r="H1660" s="64"/>
      <c r="I1660" s="64"/>
      <c r="J1660" s="64"/>
      <c r="K1660" s="64"/>
      <c r="L1660" s="64"/>
      <c r="M1660" s="64"/>
      <c r="N1660" s="64"/>
      <c r="O1660" s="64"/>
      <c r="P1660" s="64"/>
      <c r="Q1660" s="64"/>
      <c r="R1660" s="64"/>
      <c r="S1660" s="64"/>
    </row>
    <row r="1661" spans="1:19" x14ac:dyDescent="0.25">
      <c r="A1661" s="63"/>
      <c r="B1661" s="64"/>
      <c r="C1661" s="64"/>
      <c r="D1661" s="64"/>
      <c r="E1661" s="64"/>
      <c r="F1661" s="64"/>
      <c r="G1661" s="64"/>
      <c r="H1661" s="64"/>
      <c r="I1661" s="64"/>
      <c r="J1661" s="64"/>
      <c r="K1661" s="64"/>
      <c r="L1661" s="64"/>
      <c r="M1661" s="64"/>
      <c r="N1661" s="64"/>
      <c r="O1661" s="64"/>
      <c r="P1661" s="64"/>
      <c r="Q1661" s="64"/>
      <c r="R1661" s="64"/>
      <c r="S1661" s="64"/>
    </row>
    <row r="1662" spans="1:19" x14ac:dyDescent="0.25">
      <c r="A1662" s="63"/>
      <c r="B1662" s="64"/>
      <c r="C1662" s="64"/>
      <c r="D1662" s="64"/>
      <c r="E1662" s="64"/>
      <c r="F1662" s="64"/>
      <c r="G1662" s="64"/>
      <c r="H1662" s="64"/>
      <c r="I1662" s="64"/>
      <c r="J1662" s="64"/>
      <c r="K1662" s="64"/>
      <c r="L1662" s="64"/>
      <c r="M1662" s="64"/>
      <c r="N1662" s="64"/>
      <c r="O1662" s="64"/>
      <c r="P1662" s="64"/>
      <c r="Q1662" s="64"/>
      <c r="R1662" s="64"/>
      <c r="S1662" s="64"/>
    </row>
    <row r="1663" spans="1:19" x14ac:dyDescent="0.25">
      <c r="S1663" s="64"/>
    </row>
  </sheetData>
  <conditionalFormatting sqref="A118:S125 T127:U646 A21:S116 S126:T126 A126:R1654 S127:S1655 AR601:XFD645 Z347:AQ646 AW21:XFD600 V21:X645 T21:T125 Y21:Y70 U21:U126 AR21:AV21 AV22:AV99 AR22:AU600">
    <cfRule type="expression" dxfId="123" priority="25">
      <formula>MOD(ROW(),2)=0</formula>
    </cfRule>
  </conditionalFormatting>
  <conditionalFormatting sqref="Y72:Y100 Y102:Y645">
    <cfRule type="expression" dxfId="122" priority="24">
      <formula>MOD(ROW(),2)=0</formula>
    </cfRule>
  </conditionalFormatting>
  <conditionalFormatting sqref="Y20 AS21:AS99 U21:U600">
    <cfRule type="containsText" dxfId="121" priority="23" operator="containsText" text="Exclude">
      <formula>NOT(ISERROR(SEARCH("Exclude",U20)))</formula>
    </cfRule>
  </conditionalFormatting>
  <conditionalFormatting sqref="AV100:AV600">
    <cfRule type="expression" dxfId="120" priority="22">
      <formula>MOD(ROW(),2)=0</formula>
    </cfRule>
  </conditionalFormatting>
  <conditionalFormatting sqref="AV100:AV600">
    <cfRule type="containsText" dxfId="119" priority="21" operator="containsText" text="Exclude">
      <formula>NOT(ISERROR(SEARCH("Exclude",AV100)))</formula>
    </cfRule>
  </conditionalFormatting>
  <conditionalFormatting sqref="AV20">
    <cfRule type="containsText" dxfId="118" priority="20" operator="containsText" text="Exclude">
      <formula>NOT(ISERROR(SEARCH("Exclude",AV20)))</formula>
    </cfRule>
  </conditionalFormatting>
  <conditionalFormatting sqref="AT18:AT20 AT100:AT1048576 AT1:AT2">
    <cfRule type="containsText" dxfId="117" priority="19" operator="containsText" text="Pant">
      <formula>NOT(ISERROR(SEARCH("Pant",AT1)))</formula>
    </cfRule>
  </conditionalFormatting>
  <conditionalFormatting sqref="U20">
    <cfRule type="containsText" dxfId="116" priority="18" operator="containsText" text="Exclude">
      <formula>NOT(ISERROR(SEARCH("Exclude",U20)))</formula>
    </cfRule>
  </conditionalFormatting>
  <conditionalFormatting sqref="Y71">
    <cfRule type="expression" dxfId="115" priority="17">
      <formula>MOD(ROW(),2)=0</formula>
    </cfRule>
  </conditionalFormatting>
  <conditionalFormatting sqref="Y71">
    <cfRule type="containsText" dxfId="114" priority="16" operator="containsText" text="Exclude">
      <formula>NOT(ISERROR(SEARCH("Exclude",Y71)))</formula>
    </cfRule>
  </conditionalFormatting>
  <conditionalFormatting sqref="Y101">
    <cfRule type="expression" dxfId="113" priority="15">
      <formula>MOD(ROW(),2)=0</formula>
    </cfRule>
  </conditionalFormatting>
  <conditionalFormatting sqref="Y101">
    <cfRule type="containsText" dxfId="112" priority="14" operator="containsText" text="Exclude">
      <formula>NOT(ISERROR(SEARCH("Exclude",Y101)))</formula>
    </cfRule>
  </conditionalFormatting>
  <conditionalFormatting sqref="AS21:AS99 V1:V2 V7:V11 U17:U1048576 V14:V16">
    <cfRule type="containsText" dxfId="111" priority="13" operator="containsText" text="False">
      <formula>NOT(ISERROR(SEARCH("False",U1)))</formula>
    </cfRule>
  </conditionalFormatting>
  <conditionalFormatting sqref="AT21:AV21 V17:X1048576 W1:X2 W7:X11 X3:X6 W14:X16 X12:X13 AT22:AT99 AV22:AV99 AU22:AU600">
    <cfRule type="containsText" dxfId="110" priority="12" operator="containsText" text="FALSE">
      <formula>NOT(ISERROR(SEARCH("FALSE",V1)))</formula>
    </cfRule>
  </conditionalFormatting>
  <conditionalFormatting sqref="AS17">
    <cfRule type="containsText" dxfId="109" priority="11" operator="containsText" text="False">
      <formula>NOT(ISERROR(SEARCH("False",AS17)))</formula>
    </cfRule>
  </conditionalFormatting>
  <conditionalFormatting sqref="AT17">
    <cfRule type="containsText" dxfId="108" priority="10" operator="containsText" text="FALSE">
      <formula>NOT(ISERROR(SEARCH("FALSE",AT17)))</formula>
    </cfRule>
  </conditionalFormatting>
  <conditionalFormatting sqref="AU17">
    <cfRule type="containsText" dxfId="107" priority="9" operator="containsText" text="FALSE">
      <formula>NOT(ISERROR(SEARCH("FALSE",AU17)))</formula>
    </cfRule>
  </conditionalFormatting>
  <conditionalFormatting sqref="AV17">
    <cfRule type="containsText" dxfId="106" priority="8" operator="containsText" text="FALSE">
      <formula>NOT(ISERROR(SEARCH("FALSE",AV17)))</formula>
    </cfRule>
  </conditionalFormatting>
  <conditionalFormatting sqref="R12:R13">
    <cfRule type="containsText" dxfId="105" priority="7" operator="containsText" text="False">
      <formula>NOT(ISERROR(SEARCH("False",R12)))</formula>
    </cfRule>
  </conditionalFormatting>
  <conditionalFormatting sqref="AU7:AU11 AU14:AU16">
    <cfRule type="containsText" dxfId="104" priority="6" operator="containsText" text="False">
      <formula>NOT(ISERROR(SEARCH("False",AU7)))</formula>
    </cfRule>
  </conditionalFormatting>
  <conditionalFormatting sqref="AV7:AV11 AV14:AV16">
    <cfRule type="containsText" dxfId="103" priority="5" operator="containsText" text="FALSE">
      <formula>NOT(ISERROR(SEARCH("FALSE",AV7)))</formula>
    </cfRule>
  </conditionalFormatting>
  <conditionalFormatting sqref="AQ12:AQ13">
    <cfRule type="containsText" dxfId="102" priority="4" operator="containsText" text="False">
      <formula>NOT(ISERROR(SEARCH("False",AQ12)))</formula>
    </cfRule>
  </conditionalFormatting>
  <conditionalFormatting sqref="Z21:AQ116 Z118:AQ346">
    <cfRule type="expression" dxfId="101" priority="3">
      <formula>MOD(ROW(),2)=0</formula>
    </cfRule>
  </conditionalFormatting>
  <conditionalFormatting sqref="AU21:AU600">
    <cfRule type="containsText" dxfId="100" priority="2" operator="containsText" text="Exclude">
      <formula>NOT(ISERROR(SEARCH("Exclude",AU21)))</formula>
    </cfRule>
  </conditionalFormatting>
  <conditionalFormatting sqref="AU21:AU600">
    <cfRule type="containsText" dxfId="99" priority="1" operator="containsText" text="False">
      <formula>NOT(ISERROR(SEARCH("False",AU21)))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TextToColumns">
                <anchor moveWithCells="1" sizeWithCells="1">
                  <from>
                    <xdr:col>9</xdr:col>
                    <xdr:colOff>857250</xdr:colOff>
                    <xdr:row>0</xdr:row>
                    <xdr:rowOff>19050</xdr:rowOff>
                  </from>
                  <to>
                    <xdr:col>14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AU653"/>
  <sheetViews>
    <sheetView workbookViewId="0">
      <selection activeCell="A20" sqref="A20"/>
    </sheetView>
  </sheetViews>
  <sheetFormatPr defaultColWidth="9.140625" defaultRowHeight="15" x14ac:dyDescent="0.25"/>
  <cols>
    <col min="1" max="1" width="19.85546875" style="65" customWidth="1"/>
    <col min="2" max="2" width="15.85546875" style="65" customWidth="1"/>
    <col min="3" max="3" width="16.7109375" style="65" customWidth="1"/>
    <col min="4" max="4" width="16.85546875" style="65" customWidth="1"/>
    <col min="5" max="5" width="17" style="65" customWidth="1"/>
    <col min="6" max="6" width="16.140625" style="65" customWidth="1"/>
    <col min="7" max="8" width="13" style="65" customWidth="1"/>
    <col min="9" max="9" width="15.28515625" style="65" customWidth="1"/>
    <col min="10" max="10" width="7.5703125" style="65" customWidth="1"/>
    <col min="11" max="11" width="10.85546875" style="65" customWidth="1"/>
    <col min="12" max="12" width="7" style="65" customWidth="1"/>
    <col min="13" max="13" width="12.7109375" style="65" customWidth="1"/>
    <col min="14" max="14" width="6" style="65" bestFit="1" customWidth="1"/>
    <col min="15" max="15" width="15.42578125" style="65" customWidth="1"/>
    <col min="16" max="16" width="2.28515625" style="65" customWidth="1"/>
    <col min="17" max="17" width="13.5703125" style="65" customWidth="1"/>
    <col min="18" max="18" width="13.7109375" style="65" customWidth="1"/>
    <col min="19" max="20" width="12" style="65" customWidth="1"/>
    <col min="21" max="21" width="9" style="65" customWidth="1"/>
    <col min="22" max="22" width="9.140625" style="65"/>
    <col min="23" max="23" width="7.140625" style="65" customWidth="1"/>
    <col min="24" max="24" width="9.140625" style="65"/>
    <col min="25" max="25" width="19.85546875" style="63" customWidth="1"/>
    <col min="26" max="26" width="15.5703125" style="65" customWidth="1"/>
    <col min="27" max="27" width="21.85546875" style="65" customWidth="1"/>
    <col min="28" max="28" width="14.28515625" style="65" customWidth="1"/>
    <col min="29" max="29" width="17.7109375" style="65" customWidth="1"/>
    <col min="30" max="30" width="18" style="65" customWidth="1"/>
    <col min="31" max="31" width="15.28515625" style="65" customWidth="1"/>
    <col min="32" max="32" width="17.28515625" style="65" customWidth="1"/>
    <col min="33" max="33" width="13.42578125" style="65" customWidth="1"/>
    <col min="34" max="16384" width="9.140625" style="65"/>
  </cols>
  <sheetData>
    <row r="1" spans="1:47" s="28" customFormat="1" ht="22.5" x14ac:dyDescent="0.3">
      <c r="C1" s="1" t="s">
        <v>83</v>
      </c>
      <c r="I1" s="30"/>
      <c r="J1" s="30"/>
      <c r="K1" s="30"/>
      <c r="L1" s="30"/>
      <c r="M1" s="33"/>
      <c r="N1" s="33"/>
      <c r="O1" s="33"/>
      <c r="P1" s="33"/>
      <c r="Q1" s="33"/>
      <c r="R1" s="33"/>
      <c r="Y1" s="24"/>
    </row>
    <row r="2" spans="1:47" s="28" customFormat="1" x14ac:dyDescent="0.25">
      <c r="D2" s="29"/>
      <c r="I2" s="30"/>
      <c r="J2" s="30"/>
      <c r="K2" s="30"/>
      <c r="L2" s="30"/>
      <c r="M2" s="33"/>
      <c r="N2" s="33"/>
      <c r="O2" s="33"/>
      <c r="P2" s="33"/>
      <c r="Q2" s="33"/>
      <c r="R2" s="33"/>
      <c r="Y2" s="24"/>
    </row>
    <row r="3" spans="1:47" s="28" customFormat="1" x14ac:dyDescent="0.25">
      <c r="I3" s="30"/>
      <c r="J3" s="30"/>
      <c r="K3" s="30"/>
      <c r="L3" s="30"/>
      <c r="M3" s="33"/>
      <c r="N3" s="33"/>
      <c r="O3" s="33"/>
      <c r="P3" s="33"/>
      <c r="Q3" s="33"/>
      <c r="R3" s="33"/>
      <c r="Y3" s="24"/>
      <c r="AG3" s="33"/>
      <c r="AH3" s="33"/>
      <c r="AI3" s="33"/>
      <c r="AJ3" s="33"/>
      <c r="AK3" s="33"/>
    </row>
    <row r="4" spans="1:47" s="28" customFormat="1" x14ac:dyDescent="0.25">
      <c r="I4" s="30"/>
      <c r="J4" s="30"/>
      <c r="K4" s="30"/>
      <c r="L4" s="30"/>
      <c r="M4" s="33"/>
      <c r="N4" s="33"/>
      <c r="O4" s="33"/>
      <c r="P4" s="33"/>
      <c r="Q4" s="33"/>
      <c r="R4" s="33"/>
      <c r="Y4" s="24"/>
      <c r="AG4" s="33"/>
      <c r="AH4" s="33"/>
      <c r="AI4" s="33"/>
      <c r="AJ4" s="33"/>
      <c r="AK4" s="33"/>
    </row>
    <row r="5" spans="1:47" s="28" customFormat="1" x14ac:dyDescent="0.25">
      <c r="A5" s="29" t="s">
        <v>0</v>
      </c>
      <c r="B5" s="29" t="s">
        <v>1</v>
      </c>
      <c r="C5" s="29" t="s">
        <v>2</v>
      </c>
      <c r="D5" s="29" t="s">
        <v>3</v>
      </c>
      <c r="E5" s="29" t="s">
        <v>4</v>
      </c>
      <c r="F5" s="29" t="s">
        <v>5</v>
      </c>
      <c r="G5" s="29" t="s">
        <v>6</v>
      </c>
      <c r="H5" s="29"/>
      <c r="I5" s="30"/>
      <c r="J5" s="30"/>
      <c r="K5" s="30"/>
      <c r="L5" s="30"/>
      <c r="M5" s="33"/>
      <c r="N5" s="33"/>
      <c r="O5" s="33"/>
      <c r="P5" s="33"/>
      <c r="Q5" s="33"/>
      <c r="R5" s="33"/>
      <c r="S5" s="29"/>
      <c r="T5" s="29"/>
      <c r="Y5" s="37" t="s">
        <v>0</v>
      </c>
      <c r="Z5" s="29" t="s">
        <v>1</v>
      </c>
      <c r="AA5" s="29" t="s">
        <v>2</v>
      </c>
      <c r="AB5" s="29" t="s">
        <v>3</v>
      </c>
      <c r="AC5" s="29" t="s">
        <v>4</v>
      </c>
      <c r="AD5" s="29" t="s">
        <v>5</v>
      </c>
      <c r="AE5" s="29" t="s">
        <v>6</v>
      </c>
      <c r="AF5" s="29"/>
      <c r="AG5" s="40"/>
      <c r="AH5" s="33"/>
      <c r="AI5" s="33"/>
      <c r="AJ5" s="33"/>
      <c r="AK5" s="33"/>
      <c r="AL5" s="33"/>
      <c r="AM5" s="33"/>
      <c r="AN5" s="33"/>
      <c r="AO5" s="33"/>
      <c r="AP5" s="33"/>
      <c r="AQ5" s="29"/>
      <c r="AR5" s="29"/>
    </row>
    <row r="6" spans="1:47" s="28" customFormat="1" x14ac:dyDescent="0.25">
      <c r="A6" s="17" t="e">
        <f>AVERAGE(W20:W610)</f>
        <v>#DIV/0!</v>
      </c>
      <c r="B6" s="17" t="e">
        <f>STDEV(W20:W610)</f>
        <v>#DIV/0!</v>
      </c>
      <c r="C6" s="17" t="e">
        <f>ASIN(SQRT(D6/F6))</f>
        <v>#DIV/0!</v>
      </c>
      <c r="D6" s="28">
        <f>COUNTIF(R20:R535,"TruePositive")</f>
        <v>0</v>
      </c>
      <c r="E6" s="28">
        <f>COUNTIF(R20:R535,"FalsePositive")+COUNTIF(R20:R535,"Anticipatory")+COUNTIF(R20:R535,"Post")+COUNTIF(R20:R535,"MaxOut")+COUNTIF(R20:R535,MissedPicture)</f>
        <v>0</v>
      </c>
      <c r="F6" s="28">
        <f>SUM(D6+E6)</f>
        <v>0</v>
      </c>
      <c r="G6" s="28">
        <f>SUM(D6+(COUNTIF(R20:R535,"MaxOut")+COUNTIF(R20:R535,"FalsePositive")))</f>
        <v>0</v>
      </c>
      <c r="I6" s="30"/>
      <c r="J6" s="30"/>
      <c r="K6" s="30"/>
      <c r="L6" s="30"/>
      <c r="M6" s="33"/>
      <c r="N6" s="33"/>
      <c r="O6" s="33"/>
      <c r="P6" s="33"/>
      <c r="Q6" s="33"/>
      <c r="R6" s="33"/>
      <c r="Y6" s="38" t="e">
        <f>AVERAGE(AU20:AU610)</f>
        <v>#DIV/0!</v>
      </c>
      <c r="Z6" s="17" t="e">
        <f>STDEV(AU20:AU610)</f>
        <v>#DIV/0!</v>
      </c>
      <c r="AA6" s="17" t="e">
        <f>ASIN(SQRT(AB6/AD6))</f>
        <v>#DIV/0!</v>
      </c>
      <c r="AB6" s="28">
        <f>COUNTIF(AP20:AP535,"TruePositive")</f>
        <v>0</v>
      </c>
      <c r="AC6" s="28">
        <f>COUNTIF(AP20:AP535,"FalsePositive")+COUNTIF(AP20:AP535,"Anticipatory")+COUNTIF(AP20:AP535,"Post")+COUNTIF(AP20:AP535,"MaxOut")+COUNTIF(AP20:AP535,"MissedPicture")</f>
        <v>0</v>
      </c>
      <c r="AD6" s="28">
        <f>SUM(AB6+AC6)</f>
        <v>0</v>
      </c>
      <c r="AE6" s="28">
        <f>SUM(AB6+(COUNTIF(AP20:AP535,"MaxOut")+COUNTIF(AP20:AP535,"FalsePositive")))</f>
        <v>0</v>
      </c>
      <c r="AG6" s="33"/>
      <c r="AH6" s="33"/>
      <c r="AI6" s="33"/>
      <c r="AJ6" s="33"/>
      <c r="AK6" s="33"/>
      <c r="AL6" s="33"/>
      <c r="AM6" s="33"/>
      <c r="AN6" s="33"/>
      <c r="AO6" s="33"/>
      <c r="AP6" s="33"/>
    </row>
    <row r="7" spans="1:47" s="28" customFormat="1" x14ac:dyDescent="0.25">
      <c r="I7" s="30"/>
      <c r="J7" s="30"/>
      <c r="K7" s="30"/>
      <c r="L7" s="30"/>
      <c r="M7" s="33"/>
      <c r="N7" s="33"/>
      <c r="O7" s="33"/>
      <c r="P7" s="33"/>
      <c r="Q7" s="33"/>
      <c r="R7" s="33"/>
      <c r="Y7" s="24"/>
      <c r="AG7" s="33"/>
      <c r="AH7" s="33"/>
      <c r="AI7" s="33"/>
      <c r="AJ7" s="33"/>
      <c r="AK7" s="33"/>
      <c r="AL7" s="33"/>
      <c r="AM7" s="33"/>
      <c r="AN7" s="33"/>
      <c r="AO7" s="33"/>
      <c r="AP7" s="33"/>
    </row>
    <row r="8" spans="1:47" s="28" customFormat="1" x14ac:dyDescent="0.25">
      <c r="A8" s="48" t="s">
        <v>63</v>
      </c>
      <c r="B8" s="29" t="s">
        <v>47</v>
      </c>
      <c r="C8" s="29" t="s">
        <v>64</v>
      </c>
      <c r="D8" s="29" t="s">
        <v>48</v>
      </c>
      <c r="E8" s="29" t="s">
        <v>49</v>
      </c>
      <c r="F8" s="29" t="s">
        <v>50</v>
      </c>
      <c r="G8" s="29" t="s">
        <v>51</v>
      </c>
      <c r="H8" s="29" t="s">
        <v>58</v>
      </c>
      <c r="I8" s="30"/>
      <c r="J8" s="30"/>
      <c r="K8" s="30"/>
      <c r="L8" s="30"/>
      <c r="M8" s="33"/>
      <c r="N8" s="33"/>
      <c r="O8" s="33"/>
      <c r="P8" s="33"/>
      <c r="Q8" s="33"/>
      <c r="R8" s="33"/>
      <c r="Y8" s="49" t="s">
        <v>63</v>
      </c>
      <c r="Z8" s="29" t="s">
        <v>47</v>
      </c>
      <c r="AA8" s="29" t="s">
        <v>64</v>
      </c>
      <c r="AB8" s="29" t="s">
        <v>48</v>
      </c>
      <c r="AC8" s="29" t="s">
        <v>49</v>
      </c>
      <c r="AD8" s="29" t="s">
        <v>50</v>
      </c>
      <c r="AE8" s="29" t="s">
        <v>51</v>
      </c>
      <c r="AF8" s="29" t="s">
        <v>58</v>
      </c>
      <c r="AG8" s="33"/>
      <c r="AH8" s="33"/>
      <c r="AI8" s="33"/>
      <c r="AJ8" s="33"/>
      <c r="AK8" s="33"/>
      <c r="AL8" s="33"/>
      <c r="AM8" s="33"/>
      <c r="AN8" s="33"/>
      <c r="AO8" s="33"/>
      <c r="AP8" s="33"/>
    </row>
    <row r="9" spans="1:47" s="28" customFormat="1" x14ac:dyDescent="0.25">
      <c r="A9" s="27">
        <f>(G6/49)*100</f>
        <v>0</v>
      </c>
      <c r="B9" s="28" t="str">
        <f>IF(A9&gt;=100,"Yes","No")</f>
        <v>No</v>
      </c>
      <c r="C9" s="28" t="e">
        <f>(D6/F6)*100</f>
        <v>#DIV/0!</v>
      </c>
      <c r="D9" s="28" t="e">
        <f>IF(C9&gt;25,"Yes","No")</f>
        <v>#DIV/0!</v>
      </c>
      <c r="E9" s="28" t="e">
        <f>AVERAGE(U20:U610)</f>
        <v>#DIV/0!</v>
      </c>
      <c r="F9" s="28" t="e">
        <f>STDEV(U20:U610)</f>
        <v>#DIV/0!</v>
      </c>
      <c r="G9" s="28" t="e">
        <f>D6/F6</f>
        <v>#DIV/0!</v>
      </c>
      <c r="H9" s="28">
        <f>COUNTIF(R20:R535,"FalsePositive")</f>
        <v>0</v>
      </c>
      <c r="I9" s="30"/>
      <c r="J9" s="30"/>
      <c r="K9" s="30"/>
      <c r="L9" s="30"/>
      <c r="M9" s="33"/>
      <c r="N9" s="33"/>
      <c r="O9" s="33"/>
      <c r="P9" s="33"/>
      <c r="Q9" s="33"/>
      <c r="R9" s="33"/>
      <c r="Y9" s="39">
        <f>(AE6/49)*100</f>
        <v>0</v>
      </c>
      <c r="Z9" s="28" t="str">
        <f>IF(Y9&gt;=100,"Yes","No")</f>
        <v>No</v>
      </c>
      <c r="AA9" s="28" t="e">
        <f>(AB6/AD6)*100</f>
        <v>#DIV/0!</v>
      </c>
      <c r="AB9" s="28" t="e">
        <f>IF(AA9&gt;25,"Yes","No")</f>
        <v>#DIV/0!</v>
      </c>
      <c r="AC9" s="28" t="e">
        <f>AVERAGE(AS20:AS610)</f>
        <v>#DIV/0!</v>
      </c>
      <c r="AD9" s="28" t="e">
        <f>STDEV(AS20:AS610)</f>
        <v>#DIV/0!</v>
      </c>
      <c r="AE9" s="28" t="e">
        <f>AB6/AD6</f>
        <v>#DIV/0!</v>
      </c>
      <c r="AF9" s="28">
        <f>COUNTIF(AP20:AP535,"FalsePositive")</f>
        <v>0</v>
      </c>
      <c r="AG9" s="33"/>
      <c r="AH9" s="33"/>
      <c r="AI9" s="33"/>
      <c r="AJ9" s="33"/>
      <c r="AK9" s="33"/>
      <c r="AL9" s="33"/>
      <c r="AM9" s="33"/>
      <c r="AN9" s="33"/>
      <c r="AO9" s="33"/>
      <c r="AP9" s="33"/>
    </row>
    <row r="10" spans="1:47" s="28" customFormat="1" x14ac:dyDescent="0.25">
      <c r="A10" s="29"/>
      <c r="B10" s="29"/>
      <c r="C10" s="29"/>
      <c r="D10" s="29"/>
      <c r="E10" s="29"/>
      <c r="F10" s="29"/>
      <c r="G10" s="29"/>
      <c r="H10" s="29"/>
      <c r="I10" s="30"/>
      <c r="J10" s="30"/>
      <c r="K10" s="30"/>
      <c r="L10" s="30"/>
      <c r="M10" s="33"/>
      <c r="N10" s="33"/>
      <c r="O10" s="33"/>
      <c r="P10" s="33"/>
      <c r="Q10" s="33"/>
      <c r="R10" s="33"/>
      <c r="Y10" s="37"/>
      <c r="Z10" s="29"/>
      <c r="AA10" s="29"/>
      <c r="AB10" s="29"/>
      <c r="AC10" s="29"/>
      <c r="AD10" s="29"/>
      <c r="AE10" s="29"/>
      <c r="AF10" s="29"/>
      <c r="AG10" s="33"/>
      <c r="AH10" s="33"/>
      <c r="AI10" s="33"/>
      <c r="AJ10" s="33"/>
      <c r="AK10" s="33"/>
      <c r="AL10" s="33"/>
      <c r="AM10" s="33"/>
      <c r="AN10" s="33"/>
      <c r="AO10" s="33"/>
      <c r="AP10" s="33"/>
    </row>
    <row r="11" spans="1:47" s="28" customFormat="1" x14ac:dyDescent="0.25">
      <c r="A11" s="29" t="s">
        <v>52</v>
      </c>
      <c r="B11" s="29" t="s">
        <v>65</v>
      </c>
      <c r="C11" s="29" t="s">
        <v>54</v>
      </c>
      <c r="D11" s="29" t="s">
        <v>55</v>
      </c>
      <c r="E11" s="29" t="s">
        <v>56</v>
      </c>
      <c r="F11" s="48" t="s">
        <v>66</v>
      </c>
      <c r="G11" s="29" t="s">
        <v>68</v>
      </c>
      <c r="H11" s="29" t="s">
        <v>84</v>
      </c>
      <c r="Y11" s="37" t="s">
        <v>52</v>
      </c>
      <c r="Z11" s="29" t="s">
        <v>53</v>
      </c>
      <c r="AA11" s="29" t="s">
        <v>54</v>
      </c>
      <c r="AB11" s="29" t="s">
        <v>55</v>
      </c>
      <c r="AC11" s="29" t="s">
        <v>56</v>
      </c>
      <c r="AD11" s="48" t="s">
        <v>66</v>
      </c>
      <c r="AE11" s="29" t="s">
        <v>68</v>
      </c>
      <c r="AF11" s="29" t="s">
        <v>62</v>
      </c>
      <c r="AG11" s="40" t="s">
        <v>84</v>
      </c>
      <c r="AH11" s="33"/>
      <c r="AI11" s="33"/>
      <c r="AJ11" s="33"/>
      <c r="AK11" s="33"/>
    </row>
    <row r="12" spans="1:47" s="28" customFormat="1" x14ac:dyDescent="0.25">
      <c r="A12" s="27">
        <f>COUNTIF(R20:R535,"Anticipatory")+COUNTIF(R20:R535,"Post")+COUNTIF(R20:R535,"MaxOut")+COUNTIF(R20:R535,"MissedPicture")</f>
        <v>0</v>
      </c>
      <c r="B12" s="28" t="str">
        <f>IF(B9="No","",(('One Back'!C6-VLOOKUP(Detection!E2,Norms!A50:E56,2,TRUE))*1)/VLOOKUP(Detection!E2,Norms!A50:E56,3,TRUE))</f>
        <v/>
      </c>
      <c r="C12" s="28">
        <f>COUNTIF(R20:R535,"Anticipatory")</f>
        <v>0</v>
      </c>
      <c r="D12" s="28">
        <f>COUNTIF(R20:R535,"Post")</f>
        <v>0</v>
      </c>
      <c r="E12" s="28">
        <f>COUNTIF(R20:R535,"MaxOut")</f>
        <v>0</v>
      </c>
      <c r="F12" s="28">
        <f>SUM(D6)-COUNTIF(U20:U535,"Pant")</f>
        <v>0</v>
      </c>
      <c r="G12" s="28" t="str">
        <f>IF(B9="No","",SUM(B12*10)+100)</f>
        <v/>
      </c>
      <c r="Y12" s="39">
        <f>COUNTIF(AP20:AP535,"Anticipatory")+COUNTIF(AP20:AP535,"Post")+COUNTIF(AP20:AP535,"MaxOut")+COUNTIF(AP20:AP535,"MissedPicture")</f>
        <v>0</v>
      </c>
      <c r="Z12" s="28" t="str">
        <f>IF(Z9="No","",(('One Back'!AA6-VLOOKUP(Detection!E2,Norms!A50:E56,2,TRUE))*1)/VLOOKUP(Detection!E2,Norms!A50:E56,3,TRUE))</f>
        <v/>
      </c>
      <c r="AA12" s="28">
        <f>COUNTIF(AP20:AP535,"Anticipatory")</f>
        <v>0</v>
      </c>
      <c r="AB12" s="28">
        <f>COUNTIF(AP20:AP535,"Post")</f>
        <v>0</v>
      </c>
      <c r="AC12" s="28">
        <f>COUNTIF(AP20:AP535,"MaxOut")</f>
        <v>0</v>
      </c>
      <c r="AD12" s="28">
        <f>SUM(AB6)-COUNTIF(AS20:AS535,"Pant")</f>
        <v>0</v>
      </c>
      <c r="AE12" s="28" t="str">
        <f>IF(Z9="No","",SUM(Z12*10)+100)</f>
        <v/>
      </c>
      <c r="AF12" s="28" t="str">
        <f>IF(OR(Z9="No",B9="No"),"",SUM((Y6-A6)*-1)/(VLOOKUP(Detection!E2,Norms!A38:E44,5)*SQRT(2)))</f>
        <v/>
      </c>
    </row>
    <row r="13" spans="1:47" s="28" customFormat="1" x14ac:dyDescent="0.25">
      <c r="A13" s="27"/>
      <c r="Y13" s="39"/>
    </row>
    <row r="14" spans="1:47" s="28" customFormat="1" x14ac:dyDescent="0.25">
      <c r="A14" s="27"/>
      <c r="B14" s="29"/>
      <c r="G14" s="29"/>
      <c r="Y14" s="39"/>
      <c r="Z14" s="29"/>
      <c r="AE14" s="29"/>
    </row>
    <row r="15" spans="1:47" s="28" customFormat="1" x14ac:dyDescent="0.25">
      <c r="A15" s="27"/>
      <c r="Y15" s="39"/>
    </row>
    <row r="16" spans="1:47" s="28" customFormat="1" x14ac:dyDescent="0.25">
      <c r="U16" s="29" t="s">
        <v>57</v>
      </c>
      <c r="W16" s="29" t="s">
        <v>7</v>
      </c>
      <c r="Y16" s="24"/>
      <c r="AS16" s="29" t="s">
        <v>57</v>
      </c>
      <c r="AU16" s="29" t="s">
        <v>7</v>
      </c>
    </row>
    <row r="17" spans="1:47" s="3" customFormat="1" x14ac:dyDescent="0.25">
      <c r="Y17" s="36"/>
    </row>
    <row r="18" spans="1:47" s="3" customFormat="1" x14ac:dyDescent="0.25">
      <c r="Y18" s="36"/>
    </row>
    <row r="19" spans="1:47" s="35" customFormat="1" ht="18.75" x14ac:dyDescent="0.3">
      <c r="A19" s="34" t="s">
        <v>60</v>
      </c>
      <c r="Y19" s="34" t="s">
        <v>61</v>
      </c>
    </row>
    <row r="20" spans="1:47" s="67" customFormat="1" x14ac:dyDescent="0.25">
      <c r="A20" s="66"/>
      <c r="U20" s="64" t="str">
        <f>IF(OR(R20="TruePositive",R20="TrueNegative"),IF(R19&lt;&gt;"Anticipatory",(N20),"Pant"),"Exclude")</f>
        <v>Exclude</v>
      </c>
      <c r="W20" s="65" t="str">
        <f>IF(OR(R20="TruePositive",R20="TrueNegative"),IF(R19&lt;&gt;"Anticipatory",LOG10(N20),"Exclude"),"Exclude")</f>
        <v>Exclude</v>
      </c>
      <c r="Y20" s="66"/>
      <c r="AS20" s="64" t="str">
        <f>IF(OR(AP20="TruePositive",AP20="TrueNegative"),IF(AP19&lt;&gt;"Anticipatory",(AL20),"Pant"),"Exclude")</f>
        <v>Exclude</v>
      </c>
      <c r="AU20" s="65" t="str">
        <f>IF(OR(AP20="TruePositive",AP20="TrueNegative"),IF(AP19&lt;&gt;"Anticipatory",LOG10(AL20),"Exclude"),"Exclude")</f>
        <v>Exclude</v>
      </c>
    </row>
    <row r="21" spans="1:47" s="64" customFormat="1" x14ac:dyDescent="0.25">
      <c r="A21" s="63"/>
      <c r="U21" s="64" t="str">
        <f t="shared" ref="U21:U84" si="0">IF(OR(R21="TruePositive",R21="TrueNegative"),IF(R20&lt;&gt;"Anticipatory",(N21),"Pant"),"Exclude")</f>
        <v>Exclude</v>
      </c>
      <c r="W21" s="65" t="str">
        <f t="shared" ref="W21:W84" si="1">IF(OR(R21="TruePositive",R21="TrueNegative"),IF(R20&lt;&gt;"Anticipatory",LOG10(N21),"Exclude"),"Exclude")</f>
        <v>Exclude</v>
      </c>
      <c r="Y21" s="63"/>
      <c r="AS21" s="64" t="str">
        <f t="shared" ref="AS21:AS84" si="2">IF(OR(AP21="TruePositive",AP21="TrueNegative"),IF(AP20&lt;&gt;"Anticipatory",(AL21),"Pant"),"Exclude")</f>
        <v>Exclude</v>
      </c>
      <c r="AU21" s="65" t="str">
        <f t="shared" ref="AU21:AU84" si="3">IF(OR(AP21="TruePositive",AP21="TrueNegative"),IF(AP20&lt;&gt;"Anticipatory",LOG10(AL21),"Exclude"),"Exclude")</f>
        <v>Exclude</v>
      </c>
    </row>
    <row r="22" spans="1:47" s="64" customFormat="1" x14ac:dyDescent="0.25">
      <c r="A22" s="63"/>
      <c r="U22" s="64" t="str">
        <f t="shared" si="0"/>
        <v>Exclude</v>
      </c>
      <c r="W22" s="65" t="str">
        <f t="shared" si="1"/>
        <v>Exclude</v>
      </c>
      <c r="Y22" s="63"/>
      <c r="AS22" s="64" t="str">
        <f t="shared" si="2"/>
        <v>Exclude</v>
      </c>
      <c r="AU22" s="65" t="str">
        <f t="shared" si="3"/>
        <v>Exclude</v>
      </c>
    </row>
    <row r="23" spans="1:47" s="64" customFormat="1" x14ac:dyDescent="0.25">
      <c r="A23" s="63"/>
      <c r="U23" s="64" t="str">
        <f t="shared" si="0"/>
        <v>Exclude</v>
      </c>
      <c r="W23" s="65" t="str">
        <f t="shared" si="1"/>
        <v>Exclude</v>
      </c>
      <c r="Y23" s="63"/>
      <c r="AS23" s="64" t="str">
        <f t="shared" si="2"/>
        <v>Exclude</v>
      </c>
      <c r="AU23" s="65" t="str">
        <f t="shared" si="3"/>
        <v>Exclude</v>
      </c>
    </row>
    <row r="24" spans="1:47" s="64" customFormat="1" x14ac:dyDescent="0.25">
      <c r="A24" s="63"/>
      <c r="U24" s="64" t="str">
        <f t="shared" si="0"/>
        <v>Exclude</v>
      </c>
      <c r="W24" s="65" t="str">
        <f t="shared" si="1"/>
        <v>Exclude</v>
      </c>
      <c r="Y24" s="63"/>
      <c r="AS24" s="64" t="str">
        <f t="shared" si="2"/>
        <v>Exclude</v>
      </c>
      <c r="AU24" s="65" t="str">
        <f t="shared" si="3"/>
        <v>Exclude</v>
      </c>
    </row>
    <row r="25" spans="1:47" s="64" customFormat="1" x14ac:dyDescent="0.25">
      <c r="A25" s="63"/>
      <c r="U25" s="64" t="str">
        <f t="shared" si="0"/>
        <v>Exclude</v>
      </c>
      <c r="W25" s="65" t="str">
        <f t="shared" si="1"/>
        <v>Exclude</v>
      </c>
      <c r="Y25" s="63"/>
      <c r="AS25" s="64" t="str">
        <f t="shared" si="2"/>
        <v>Exclude</v>
      </c>
      <c r="AU25" s="65" t="str">
        <f t="shared" si="3"/>
        <v>Exclude</v>
      </c>
    </row>
    <row r="26" spans="1:47" s="64" customFormat="1" x14ac:dyDescent="0.25">
      <c r="A26" s="63"/>
      <c r="U26" s="64" t="str">
        <f t="shared" si="0"/>
        <v>Exclude</v>
      </c>
      <c r="W26" s="65" t="str">
        <f t="shared" si="1"/>
        <v>Exclude</v>
      </c>
      <c r="Y26" s="63"/>
      <c r="AS26" s="64" t="str">
        <f t="shared" si="2"/>
        <v>Exclude</v>
      </c>
      <c r="AU26" s="65" t="str">
        <f t="shared" si="3"/>
        <v>Exclude</v>
      </c>
    </row>
    <row r="27" spans="1:47" s="64" customFormat="1" x14ac:dyDescent="0.25">
      <c r="A27" s="63"/>
      <c r="U27" s="64" t="str">
        <f t="shared" si="0"/>
        <v>Exclude</v>
      </c>
      <c r="W27" s="65" t="str">
        <f t="shared" si="1"/>
        <v>Exclude</v>
      </c>
      <c r="Y27" s="63"/>
      <c r="AS27" s="64" t="str">
        <f t="shared" si="2"/>
        <v>Exclude</v>
      </c>
      <c r="AU27" s="65" t="str">
        <f t="shared" si="3"/>
        <v>Exclude</v>
      </c>
    </row>
    <row r="28" spans="1:47" s="64" customFormat="1" x14ac:dyDescent="0.25">
      <c r="A28" s="63"/>
      <c r="U28" s="64" t="str">
        <f t="shared" si="0"/>
        <v>Exclude</v>
      </c>
      <c r="W28" s="65" t="str">
        <f t="shared" si="1"/>
        <v>Exclude</v>
      </c>
      <c r="Y28" s="63"/>
      <c r="AS28" s="64" t="str">
        <f t="shared" si="2"/>
        <v>Exclude</v>
      </c>
      <c r="AU28" s="65" t="str">
        <f t="shared" si="3"/>
        <v>Exclude</v>
      </c>
    </row>
    <row r="29" spans="1:47" s="64" customFormat="1" x14ac:dyDescent="0.25">
      <c r="A29" s="63"/>
      <c r="U29" s="64" t="str">
        <f t="shared" si="0"/>
        <v>Exclude</v>
      </c>
      <c r="W29" s="65" t="str">
        <f t="shared" si="1"/>
        <v>Exclude</v>
      </c>
      <c r="Y29" s="63"/>
      <c r="AS29" s="64" t="str">
        <f t="shared" si="2"/>
        <v>Exclude</v>
      </c>
      <c r="AU29" s="65" t="str">
        <f t="shared" si="3"/>
        <v>Exclude</v>
      </c>
    </row>
    <row r="30" spans="1:47" s="64" customFormat="1" x14ac:dyDescent="0.25">
      <c r="A30" s="63"/>
      <c r="U30" s="64" t="str">
        <f t="shared" si="0"/>
        <v>Exclude</v>
      </c>
      <c r="W30" s="65" t="str">
        <f t="shared" si="1"/>
        <v>Exclude</v>
      </c>
      <c r="Y30" s="63"/>
      <c r="AS30" s="64" t="str">
        <f t="shared" si="2"/>
        <v>Exclude</v>
      </c>
      <c r="AU30" s="65" t="str">
        <f t="shared" si="3"/>
        <v>Exclude</v>
      </c>
    </row>
    <row r="31" spans="1:47" s="64" customFormat="1" x14ac:dyDescent="0.25">
      <c r="A31" s="63"/>
      <c r="U31" s="64" t="str">
        <f t="shared" si="0"/>
        <v>Exclude</v>
      </c>
      <c r="W31" s="65" t="str">
        <f t="shared" si="1"/>
        <v>Exclude</v>
      </c>
      <c r="Y31" s="63"/>
      <c r="AS31" s="64" t="str">
        <f t="shared" si="2"/>
        <v>Exclude</v>
      </c>
      <c r="AU31" s="65" t="str">
        <f t="shared" si="3"/>
        <v>Exclude</v>
      </c>
    </row>
    <row r="32" spans="1:47" s="64" customFormat="1" x14ac:dyDescent="0.25">
      <c r="A32" s="63"/>
      <c r="U32" s="64" t="str">
        <f t="shared" si="0"/>
        <v>Exclude</v>
      </c>
      <c r="W32" s="65" t="str">
        <f t="shared" si="1"/>
        <v>Exclude</v>
      </c>
      <c r="Y32" s="63"/>
      <c r="AS32" s="64" t="str">
        <f t="shared" si="2"/>
        <v>Exclude</v>
      </c>
      <c r="AU32" s="65" t="str">
        <f t="shared" si="3"/>
        <v>Exclude</v>
      </c>
    </row>
    <row r="33" spans="1:47" s="64" customFormat="1" x14ac:dyDescent="0.25">
      <c r="A33" s="63"/>
      <c r="U33" s="64" t="str">
        <f t="shared" si="0"/>
        <v>Exclude</v>
      </c>
      <c r="W33" s="65" t="str">
        <f t="shared" si="1"/>
        <v>Exclude</v>
      </c>
      <c r="Y33" s="63"/>
      <c r="AS33" s="64" t="str">
        <f t="shared" si="2"/>
        <v>Exclude</v>
      </c>
      <c r="AU33" s="65" t="str">
        <f t="shared" si="3"/>
        <v>Exclude</v>
      </c>
    </row>
    <row r="34" spans="1:47" s="64" customFormat="1" x14ac:dyDescent="0.25">
      <c r="A34" s="63"/>
      <c r="U34" s="64" t="str">
        <f t="shared" si="0"/>
        <v>Exclude</v>
      </c>
      <c r="W34" s="65" t="str">
        <f t="shared" si="1"/>
        <v>Exclude</v>
      </c>
      <c r="Y34" s="63"/>
      <c r="AS34" s="64" t="str">
        <f t="shared" si="2"/>
        <v>Exclude</v>
      </c>
      <c r="AU34" s="65" t="str">
        <f t="shared" si="3"/>
        <v>Exclude</v>
      </c>
    </row>
    <row r="35" spans="1:47" s="64" customFormat="1" x14ac:dyDescent="0.25">
      <c r="A35" s="63"/>
      <c r="U35" s="64" t="str">
        <f t="shared" si="0"/>
        <v>Exclude</v>
      </c>
      <c r="W35" s="65" t="str">
        <f t="shared" si="1"/>
        <v>Exclude</v>
      </c>
      <c r="Y35" s="63"/>
      <c r="AS35" s="64" t="str">
        <f t="shared" si="2"/>
        <v>Exclude</v>
      </c>
      <c r="AU35" s="65" t="str">
        <f t="shared" si="3"/>
        <v>Exclude</v>
      </c>
    </row>
    <row r="36" spans="1:47" s="64" customFormat="1" x14ac:dyDescent="0.25">
      <c r="A36" s="63"/>
      <c r="U36" s="64" t="str">
        <f t="shared" si="0"/>
        <v>Exclude</v>
      </c>
      <c r="W36" s="65" t="str">
        <f t="shared" si="1"/>
        <v>Exclude</v>
      </c>
      <c r="Y36" s="63"/>
      <c r="AS36" s="64" t="str">
        <f t="shared" si="2"/>
        <v>Exclude</v>
      </c>
      <c r="AU36" s="65" t="str">
        <f t="shared" si="3"/>
        <v>Exclude</v>
      </c>
    </row>
    <row r="37" spans="1:47" s="64" customFormat="1" x14ac:dyDescent="0.25">
      <c r="A37" s="63"/>
      <c r="U37" s="64" t="str">
        <f t="shared" si="0"/>
        <v>Exclude</v>
      </c>
      <c r="W37" s="65" t="str">
        <f t="shared" si="1"/>
        <v>Exclude</v>
      </c>
      <c r="Y37" s="63"/>
      <c r="AS37" s="64" t="str">
        <f t="shared" si="2"/>
        <v>Exclude</v>
      </c>
      <c r="AU37" s="65" t="str">
        <f t="shared" si="3"/>
        <v>Exclude</v>
      </c>
    </row>
    <row r="38" spans="1:47" s="64" customFormat="1" x14ac:dyDescent="0.25">
      <c r="A38" s="63"/>
      <c r="U38" s="64" t="str">
        <f t="shared" si="0"/>
        <v>Exclude</v>
      </c>
      <c r="W38" s="65" t="str">
        <f t="shared" si="1"/>
        <v>Exclude</v>
      </c>
      <c r="Y38" s="63"/>
      <c r="AS38" s="64" t="str">
        <f t="shared" si="2"/>
        <v>Exclude</v>
      </c>
      <c r="AU38" s="65" t="str">
        <f t="shared" si="3"/>
        <v>Exclude</v>
      </c>
    </row>
    <row r="39" spans="1:47" s="64" customFormat="1" x14ac:dyDescent="0.25">
      <c r="A39" s="63"/>
      <c r="U39" s="64" t="str">
        <f t="shared" si="0"/>
        <v>Exclude</v>
      </c>
      <c r="W39" s="65" t="str">
        <f t="shared" si="1"/>
        <v>Exclude</v>
      </c>
      <c r="Y39" s="63"/>
      <c r="AS39" s="64" t="str">
        <f t="shared" si="2"/>
        <v>Exclude</v>
      </c>
      <c r="AU39" s="65" t="str">
        <f t="shared" si="3"/>
        <v>Exclude</v>
      </c>
    </row>
    <row r="40" spans="1:47" s="64" customFormat="1" x14ac:dyDescent="0.25">
      <c r="A40" s="63"/>
      <c r="U40" s="64" t="str">
        <f t="shared" si="0"/>
        <v>Exclude</v>
      </c>
      <c r="W40" s="65" t="str">
        <f t="shared" si="1"/>
        <v>Exclude</v>
      </c>
      <c r="Y40" s="63"/>
      <c r="AS40" s="64" t="str">
        <f t="shared" si="2"/>
        <v>Exclude</v>
      </c>
      <c r="AU40" s="65" t="str">
        <f t="shared" si="3"/>
        <v>Exclude</v>
      </c>
    </row>
    <row r="41" spans="1:47" s="64" customFormat="1" x14ac:dyDescent="0.25">
      <c r="A41" s="63"/>
      <c r="U41" s="64" t="str">
        <f t="shared" si="0"/>
        <v>Exclude</v>
      </c>
      <c r="W41" s="65" t="str">
        <f t="shared" si="1"/>
        <v>Exclude</v>
      </c>
      <c r="Y41" s="63"/>
      <c r="AS41" s="64" t="str">
        <f t="shared" si="2"/>
        <v>Exclude</v>
      </c>
      <c r="AU41" s="65" t="str">
        <f t="shared" si="3"/>
        <v>Exclude</v>
      </c>
    </row>
    <row r="42" spans="1:47" s="64" customFormat="1" x14ac:dyDescent="0.25">
      <c r="A42" s="63"/>
      <c r="U42" s="64" t="str">
        <f t="shared" si="0"/>
        <v>Exclude</v>
      </c>
      <c r="W42" s="65" t="str">
        <f t="shared" si="1"/>
        <v>Exclude</v>
      </c>
      <c r="Y42" s="63"/>
      <c r="AS42" s="64" t="str">
        <f t="shared" si="2"/>
        <v>Exclude</v>
      </c>
      <c r="AU42" s="65" t="str">
        <f t="shared" si="3"/>
        <v>Exclude</v>
      </c>
    </row>
    <row r="43" spans="1:47" s="64" customFormat="1" x14ac:dyDescent="0.25">
      <c r="A43" s="63"/>
      <c r="U43" s="64" t="str">
        <f>IF(OR(R43="TruePositive",R43="TrueNegative"),IF(R42&lt;&gt;"Anticipatory",(N43),"Pant"),"Exclude")</f>
        <v>Exclude</v>
      </c>
      <c r="W43" s="65" t="str">
        <f>IF(OR(R43="TruePositive",R43="TrueNegative"),IF(R42&lt;&gt;"Anticipatory",LOG10(N43),"Exclude"),"Exclude")</f>
        <v>Exclude</v>
      </c>
      <c r="Y43" s="63"/>
      <c r="AS43" s="64" t="str">
        <f t="shared" si="2"/>
        <v>Exclude</v>
      </c>
      <c r="AU43" s="65" t="str">
        <f t="shared" si="3"/>
        <v>Exclude</v>
      </c>
    </row>
    <row r="44" spans="1:47" s="64" customFormat="1" x14ac:dyDescent="0.25">
      <c r="A44" s="63"/>
      <c r="U44" s="64" t="str">
        <f>IF(OR(R44="TruePositive",R44="TrueNegative"),IF(R43&lt;&gt;"Anticipatory",(N44),"Pant"),"Exclude")</f>
        <v>Exclude</v>
      </c>
      <c r="W44" s="65" t="str">
        <f>IF(OR(R44="TruePositive",R44="TrueNegative"),IF(R43&lt;&gt;"Anticipatory",LOG10(N44),"Exclude"),"Exclude")</f>
        <v>Exclude</v>
      </c>
      <c r="Y44" s="63"/>
      <c r="AS44" s="64" t="str">
        <f t="shared" si="2"/>
        <v>Exclude</v>
      </c>
      <c r="AU44" s="65" t="str">
        <f t="shared" si="3"/>
        <v>Exclude</v>
      </c>
    </row>
    <row r="45" spans="1:47" s="64" customFormat="1" x14ac:dyDescent="0.25">
      <c r="A45" s="63"/>
      <c r="U45" s="64" t="str">
        <f t="shared" si="0"/>
        <v>Exclude</v>
      </c>
      <c r="W45" s="65" t="str">
        <f t="shared" si="1"/>
        <v>Exclude</v>
      </c>
      <c r="Y45" s="63"/>
      <c r="AS45" s="64" t="str">
        <f t="shared" si="2"/>
        <v>Exclude</v>
      </c>
      <c r="AU45" s="65" t="str">
        <f t="shared" si="3"/>
        <v>Exclude</v>
      </c>
    </row>
    <row r="46" spans="1:47" s="64" customFormat="1" x14ac:dyDescent="0.25">
      <c r="A46" s="63"/>
      <c r="U46" s="64" t="str">
        <f t="shared" si="0"/>
        <v>Exclude</v>
      </c>
      <c r="W46" s="65" t="str">
        <f t="shared" si="1"/>
        <v>Exclude</v>
      </c>
      <c r="Y46" s="63"/>
      <c r="AS46" s="64" t="str">
        <f t="shared" si="2"/>
        <v>Exclude</v>
      </c>
      <c r="AU46" s="65" t="str">
        <f t="shared" si="3"/>
        <v>Exclude</v>
      </c>
    </row>
    <row r="47" spans="1:47" s="64" customFormat="1" x14ac:dyDescent="0.25">
      <c r="A47" s="63"/>
      <c r="U47" s="64" t="str">
        <f t="shared" si="0"/>
        <v>Exclude</v>
      </c>
      <c r="W47" s="65" t="str">
        <f t="shared" si="1"/>
        <v>Exclude</v>
      </c>
      <c r="Y47" s="63"/>
      <c r="AS47" s="64" t="str">
        <f t="shared" si="2"/>
        <v>Exclude</v>
      </c>
      <c r="AU47" s="65" t="str">
        <f t="shared" si="3"/>
        <v>Exclude</v>
      </c>
    </row>
    <row r="48" spans="1:47" s="64" customFormat="1" x14ac:dyDescent="0.25">
      <c r="A48" s="63"/>
      <c r="U48" s="64" t="str">
        <f t="shared" si="0"/>
        <v>Exclude</v>
      </c>
      <c r="W48" s="65" t="str">
        <f t="shared" si="1"/>
        <v>Exclude</v>
      </c>
      <c r="Y48" s="63"/>
      <c r="AS48" s="64" t="str">
        <f t="shared" si="2"/>
        <v>Exclude</v>
      </c>
      <c r="AU48" s="65" t="str">
        <f t="shared" si="3"/>
        <v>Exclude</v>
      </c>
    </row>
    <row r="49" spans="1:47" s="64" customFormat="1" x14ac:dyDescent="0.25">
      <c r="A49" s="63"/>
      <c r="U49" s="64" t="str">
        <f t="shared" si="0"/>
        <v>Exclude</v>
      </c>
      <c r="W49" s="65" t="str">
        <f t="shared" si="1"/>
        <v>Exclude</v>
      </c>
      <c r="Y49" s="63"/>
      <c r="AS49" s="64" t="str">
        <f t="shared" si="2"/>
        <v>Exclude</v>
      </c>
      <c r="AU49" s="65" t="str">
        <f t="shared" si="3"/>
        <v>Exclude</v>
      </c>
    </row>
    <row r="50" spans="1:47" s="64" customFormat="1" x14ac:dyDescent="0.25">
      <c r="A50" s="63"/>
      <c r="U50" s="64" t="str">
        <f t="shared" si="0"/>
        <v>Exclude</v>
      </c>
      <c r="W50" s="65" t="str">
        <f t="shared" si="1"/>
        <v>Exclude</v>
      </c>
      <c r="Y50" s="63"/>
      <c r="AS50" s="64" t="str">
        <f t="shared" si="2"/>
        <v>Exclude</v>
      </c>
      <c r="AU50" s="65" t="str">
        <f t="shared" si="3"/>
        <v>Exclude</v>
      </c>
    </row>
    <row r="51" spans="1:47" s="64" customFormat="1" x14ac:dyDescent="0.25">
      <c r="A51" s="63"/>
      <c r="U51" s="64" t="str">
        <f t="shared" si="0"/>
        <v>Exclude</v>
      </c>
      <c r="W51" s="65" t="str">
        <f t="shared" si="1"/>
        <v>Exclude</v>
      </c>
      <c r="Y51" s="63"/>
      <c r="AS51" s="64" t="str">
        <f t="shared" si="2"/>
        <v>Exclude</v>
      </c>
      <c r="AU51" s="65" t="str">
        <f t="shared" si="3"/>
        <v>Exclude</v>
      </c>
    </row>
    <row r="52" spans="1:47" s="64" customFormat="1" x14ac:dyDescent="0.25">
      <c r="A52" s="63"/>
      <c r="U52" s="64" t="str">
        <f t="shared" si="0"/>
        <v>Exclude</v>
      </c>
      <c r="W52" s="65" t="str">
        <f t="shared" si="1"/>
        <v>Exclude</v>
      </c>
      <c r="Y52" s="63"/>
      <c r="AS52" s="64" t="str">
        <f t="shared" si="2"/>
        <v>Exclude</v>
      </c>
      <c r="AU52" s="65" t="str">
        <f t="shared" si="3"/>
        <v>Exclude</v>
      </c>
    </row>
    <row r="53" spans="1:47" s="64" customFormat="1" x14ac:dyDescent="0.25">
      <c r="A53" s="63"/>
      <c r="U53" s="64" t="str">
        <f t="shared" si="0"/>
        <v>Exclude</v>
      </c>
      <c r="W53" s="65" t="str">
        <f t="shared" si="1"/>
        <v>Exclude</v>
      </c>
      <c r="Y53" s="63"/>
      <c r="AS53" s="64" t="str">
        <f t="shared" si="2"/>
        <v>Exclude</v>
      </c>
      <c r="AU53" s="65" t="str">
        <f t="shared" si="3"/>
        <v>Exclude</v>
      </c>
    </row>
    <row r="54" spans="1:47" s="64" customFormat="1" x14ac:dyDescent="0.25">
      <c r="A54" s="63"/>
      <c r="U54" s="64" t="str">
        <f t="shared" si="0"/>
        <v>Exclude</v>
      </c>
      <c r="W54" s="65" t="str">
        <f t="shared" si="1"/>
        <v>Exclude</v>
      </c>
      <c r="Y54" s="63"/>
      <c r="AS54" s="64" t="str">
        <f t="shared" si="2"/>
        <v>Exclude</v>
      </c>
      <c r="AU54" s="65" t="str">
        <f t="shared" si="3"/>
        <v>Exclude</v>
      </c>
    </row>
    <row r="55" spans="1:47" s="64" customFormat="1" x14ac:dyDescent="0.25">
      <c r="A55" s="63"/>
      <c r="U55" s="64" t="str">
        <f t="shared" si="0"/>
        <v>Exclude</v>
      </c>
      <c r="W55" s="65" t="str">
        <f t="shared" si="1"/>
        <v>Exclude</v>
      </c>
      <c r="Y55" s="63"/>
      <c r="AS55" s="64" t="str">
        <f t="shared" si="2"/>
        <v>Exclude</v>
      </c>
      <c r="AU55" s="65" t="str">
        <f t="shared" si="3"/>
        <v>Exclude</v>
      </c>
    </row>
    <row r="56" spans="1:47" s="64" customFormat="1" x14ac:dyDescent="0.25">
      <c r="A56" s="63"/>
      <c r="U56" s="64" t="str">
        <f t="shared" si="0"/>
        <v>Exclude</v>
      </c>
      <c r="W56" s="65" t="str">
        <f t="shared" si="1"/>
        <v>Exclude</v>
      </c>
      <c r="Y56" s="63"/>
      <c r="AS56" s="64" t="str">
        <f t="shared" si="2"/>
        <v>Exclude</v>
      </c>
      <c r="AU56" s="65" t="str">
        <f t="shared" si="3"/>
        <v>Exclude</v>
      </c>
    </row>
    <row r="57" spans="1:47" s="64" customFormat="1" x14ac:dyDescent="0.25">
      <c r="A57" s="63"/>
      <c r="U57" s="64" t="str">
        <f t="shared" si="0"/>
        <v>Exclude</v>
      </c>
      <c r="W57" s="65" t="str">
        <f t="shared" si="1"/>
        <v>Exclude</v>
      </c>
      <c r="Y57" s="63"/>
      <c r="AS57" s="64" t="str">
        <f t="shared" si="2"/>
        <v>Exclude</v>
      </c>
      <c r="AU57" s="65" t="str">
        <f t="shared" si="3"/>
        <v>Exclude</v>
      </c>
    </row>
    <row r="58" spans="1:47" s="64" customFormat="1" x14ac:dyDescent="0.25">
      <c r="A58" s="63"/>
      <c r="U58" s="64" t="str">
        <f t="shared" si="0"/>
        <v>Exclude</v>
      </c>
      <c r="W58" s="65" t="str">
        <f t="shared" si="1"/>
        <v>Exclude</v>
      </c>
      <c r="Y58" s="63"/>
      <c r="AS58" s="64" t="str">
        <f t="shared" si="2"/>
        <v>Exclude</v>
      </c>
      <c r="AU58" s="65" t="str">
        <f t="shared" si="3"/>
        <v>Exclude</v>
      </c>
    </row>
    <row r="59" spans="1:47" s="64" customFormat="1" x14ac:dyDescent="0.25">
      <c r="A59" s="63"/>
      <c r="U59" s="64" t="str">
        <f t="shared" si="0"/>
        <v>Exclude</v>
      </c>
      <c r="W59" s="65" t="str">
        <f t="shared" si="1"/>
        <v>Exclude</v>
      </c>
      <c r="Y59" s="63"/>
      <c r="AS59" s="64" t="str">
        <f t="shared" si="2"/>
        <v>Exclude</v>
      </c>
      <c r="AU59" s="65" t="str">
        <f t="shared" si="3"/>
        <v>Exclude</v>
      </c>
    </row>
    <row r="60" spans="1:47" s="64" customFormat="1" x14ac:dyDescent="0.25">
      <c r="A60" s="63"/>
      <c r="U60" s="64" t="str">
        <f t="shared" si="0"/>
        <v>Exclude</v>
      </c>
      <c r="W60" s="65" t="str">
        <f t="shared" si="1"/>
        <v>Exclude</v>
      </c>
      <c r="Y60" s="63"/>
      <c r="AS60" s="64" t="str">
        <f t="shared" si="2"/>
        <v>Exclude</v>
      </c>
      <c r="AU60" s="65" t="str">
        <f t="shared" si="3"/>
        <v>Exclude</v>
      </c>
    </row>
    <row r="61" spans="1:47" s="64" customFormat="1" x14ac:dyDescent="0.25">
      <c r="A61" s="63"/>
      <c r="U61" s="64" t="str">
        <f t="shared" si="0"/>
        <v>Exclude</v>
      </c>
      <c r="W61" s="65" t="str">
        <f t="shared" si="1"/>
        <v>Exclude</v>
      </c>
      <c r="Y61" s="63"/>
      <c r="AS61" s="64" t="str">
        <f t="shared" si="2"/>
        <v>Exclude</v>
      </c>
      <c r="AU61" s="65" t="str">
        <f t="shared" si="3"/>
        <v>Exclude</v>
      </c>
    </row>
    <row r="62" spans="1:47" s="64" customFormat="1" x14ac:dyDescent="0.25">
      <c r="A62" s="63"/>
      <c r="U62" s="64" t="str">
        <f t="shared" si="0"/>
        <v>Exclude</v>
      </c>
      <c r="W62" s="65" t="str">
        <f t="shared" si="1"/>
        <v>Exclude</v>
      </c>
      <c r="Y62" s="63"/>
      <c r="AS62" s="64" t="str">
        <f t="shared" si="2"/>
        <v>Exclude</v>
      </c>
      <c r="AU62" s="65" t="str">
        <f t="shared" si="3"/>
        <v>Exclude</v>
      </c>
    </row>
    <row r="63" spans="1:47" s="64" customFormat="1" x14ac:dyDescent="0.25">
      <c r="A63" s="63"/>
      <c r="U63" s="64" t="str">
        <f t="shared" si="0"/>
        <v>Exclude</v>
      </c>
      <c r="W63" s="65" t="str">
        <f t="shared" si="1"/>
        <v>Exclude</v>
      </c>
      <c r="Y63" s="63"/>
      <c r="AS63" s="64" t="str">
        <f t="shared" si="2"/>
        <v>Exclude</v>
      </c>
      <c r="AU63" s="65" t="str">
        <f t="shared" si="3"/>
        <v>Exclude</v>
      </c>
    </row>
    <row r="64" spans="1:47" s="64" customFormat="1" x14ac:dyDescent="0.25">
      <c r="A64" s="63"/>
      <c r="U64" s="64" t="str">
        <f t="shared" si="0"/>
        <v>Exclude</v>
      </c>
      <c r="W64" s="65" t="str">
        <f t="shared" si="1"/>
        <v>Exclude</v>
      </c>
      <c r="Y64" s="63"/>
      <c r="AS64" s="64" t="str">
        <f t="shared" si="2"/>
        <v>Exclude</v>
      </c>
      <c r="AU64" s="65" t="str">
        <f t="shared" si="3"/>
        <v>Exclude</v>
      </c>
    </row>
    <row r="65" spans="1:47" s="64" customFormat="1" x14ac:dyDescent="0.25">
      <c r="A65" s="63"/>
      <c r="U65" s="64" t="str">
        <f t="shared" si="0"/>
        <v>Exclude</v>
      </c>
      <c r="W65" s="65" t="str">
        <f t="shared" si="1"/>
        <v>Exclude</v>
      </c>
      <c r="Y65" s="63"/>
      <c r="AS65" s="64" t="str">
        <f t="shared" si="2"/>
        <v>Exclude</v>
      </c>
      <c r="AU65" s="65" t="str">
        <f t="shared" si="3"/>
        <v>Exclude</v>
      </c>
    </row>
    <row r="66" spans="1:47" s="64" customFormat="1" x14ac:dyDescent="0.25">
      <c r="A66" s="63"/>
      <c r="U66" s="64" t="str">
        <f t="shared" si="0"/>
        <v>Exclude</v>
      </c>
      <c r="W66" s="65" t="str">
        <f t="shared" si="1"/>
        <v>Exclude</v>
      </c>
      <c r="Y66" s="63"/>
      <c r="AS66" s="64" t="str">
        <f t="shared" si="2"/>
        <v>Exclude</v>
      </c>
      <c r="AU66" s="65" t="str">
        <f t="shared" si="3"/>
        <v>Exclude</v>
      </c>
    </row>
    <row r="67" spans="1:47" s="64" customFormat="1" x14ac:dyDescent="0.25">
      <c r="A67" s="63"/>
      <c r="U67" s="64" t="str">
        <f t="shared" si="0"/>
        <v>Exclude</v>
      </c>
      <c r="W67" s="65" t="str">
        <f t="shared" si="1"/>
        <v>Exclude</v>
      </c>
      <c r="Y67" s="63"/>
      <c r="AS67" s="64" t="str">
        <f t="shared" si="2"/>
        <v>Exclude</v>
      </c>
      <c r="AU67" s="65" t="str">
        <f t="shared" si="3"/>
        <v>Exclude</v>
      </c>
    </row>
    <row r="68" spans="1:47" s="64" customFormat="1" x14ac:dyDescent="0.25">
      <c r="A68" s="63"/>
      <c r="U68" s="64" t="str">
        <f t="shared" si="0"/>
        <v>Exclude</v>
      </c>
      <c r="W68" s="65" t="str">
        <f t="shared" si="1"/>
        <v>Exclude</v>
      </c>
      <c r="Y68" s="63"/>
      <c r="AS68" s="64" t="str">
        <f t="shared" si="2"/>
        <v>Exclude</v>
      </c>
      <c r="AU68" s="65" t="str">
        <f t="shared" si="3"/>
        <v>Exclude</v>
      </c>
    </row>
    <row r="69" spans="1:47" s="64" customFormat="1" x14ac:dyDescent="0.25">
      <c r="A69" s="63"/>
      <c r="U69" s="64" t="str">
        <f t="shared" si="0"/>
        <v>Exclude</v>
      </c>
      <c r="W69" s="65" t="str">
        <f t="shared" si="1"/>
        <v>Exclude</v>
      </c>
      <c r="Y69" s="63"/>
      <c r="AS69" s="64" t="str">
        <f t="shared" si="2"/>
        <v>Exclude</v>
      </c>
      <c r="AU69" s="65" t="str">
        <f t="shared" si="3"/>
        <v>Exclude</v>
      </c>
    </row>
    <row r="70" spans="1:47" s="64" customFormat="1" x14ac:dyDescent="0.25">
      <c r="A70" s="63"/>
      <c r="U70" s="64" t="str">
        <f t="shared" si="0"/>
        <v>Exclude</v>
      </c>
      <c r="W70" s="65" t="str">
        <f t="shared" si="1"/>
        <v>Exclude</v>
      </c>
      <c r="Y70" s="63"/>
      <c r="AS70" s="64" t="str">
        <f t="shared" si="2"/>
        <v>Exclude</v>
      </c>
      <c r="AU70" s="65" t="str">
        <f t="shared" si="3"/>
        <v>Exclude</v>
      </c>
    </row>
    <row r="71" spans="1:47" s="64" customFormat="1" x14ac:dyDescent="0.25">
      <c r="A71" s="63"/>
      <c r="U71" s="64" t="str">
        <f t="shared" si="0"/>
        <v>Exclude</v>
      </c>
      <c r="W71" s="65" t="str">
        <f t="shared" si="1"/>
        <v>Exclude</v>
      </c>
      <c r="Y71" s="63"/>
      <c r="AS71" s="64" t="str">
        <f t="shared" si="2"/>
        <v>Exclude</v>
      </c>
      <c r="AU71" s="65" t="str">
        <f t="shared" si="3"/>
        <v>Exclude</v>
      </c>
    </row>
    <row r="72" spans="1:47" s="64" customFormat="1" x14ac:dyDescent="0.25">
      <c r="A72" s="63"/>
      <c r="U72" s="64" t="str">
        <f t="shared" si="0"/>
        <v>Exclude</v>
      </c>
      <c r="W72" s="65" t="str">
        <f t="shared" si="1"/>
        <v>Exclude</v>
      </c>
      <c r="Y72" s="63"/>
      <c r="AS72" s="64" t="str">
        <f t="shared" si="2"/>
        <v>Exclude</v>
      </c>
      <c r="AU72" s="65" t="str">
        <f t="shared" si="3"/>
        <v>Exclude</v>
      </c>
    </row>
    <row r="73" spans="1:47" s="64" customFormat="1" x14ac:dyDescent="0.25">
      <c r="A73" s="63"/>
      <c r="U73" s="64" t="str">
        <f t="shared" si="0"/>
        <v>Exclude</v>
      </c>
      <c r="W73" s="65" t="str">
        <f t="shared" si="1"/>
        <v>Exclude</v>
      </c>
      <c r="Y73" s="63"/>
      <c r="AS73" s="64" t="str">
        <f t="shared" si="2"/>
        <v>Exclude</v>
      </c>
      <c r="AU73" s="65" t="str">
        <f t="shared" si="3"/>
        <v>Exclude</v>
      </c>
    </row>
    <row r="74" spans="1:47" s="64" customFormat="1" x14ac:dyDescent="0.25">
      <c r="A74" s="63"/>
      <c r="U74" s="64" t="str">
        <f t="shared" si="0"/>
        <v>Exclude</v>
      </c>
      <c r="W74" s="65" t="str">
        <f t="shared" si="1"/>
        <v>Exclude</v>
      </c>
      <c r="Y74" s="63"/>
      <c r="AS74" s="64" t="str">
        <f t="shared" si="2"/>
        <v>Exclude</v>
      </c>
      <c r="AU74" s="65" t="str">
        <f t="shared" si="3"/>
        <v>Exclude</v>
      </c>
    </row>
    <row r="75" spans="1:47" s="64" customFormat="1" x14ac:dyDescent="0.25">
      <c r="A75" s="63"/>
      <c r="U75" s="64" t="str">
        <f t="shared" si="0"/>
        <v>Exclude</v>
      </c>
      <c r="W75" s="65" t="str">
        <f t="shared" si="1"/>
        <v>Exclude</v>
      </c>
      <c r="Y75" s="63"/>
      <c r="AS75" s="64" t="str">
        <f t="shared" si="2"/>
        <v>Exclude</v>
      </c>
      <c r="AU75" s="65" t="str">
        <f t="shared" si="3"/>
        <v>Exclude</v>
      </c>
    </row>
    <row r="76" spans="1:47" s="64" customFormat="1" x14ac:dyDescent="0.25">
      <c r="A76" s="63"/>
      <c r="U76" s="64" t="str">
        <f t="shared" si="0"/>
        <v>Exclude</v>
      </c>
      <c r="W76" s="65" t="str">
        <f t="shared" si="1"/>
        <v>Exclude</v>
      </c>
      <c r="Y76" s="63"/>
      <c r="AS76" s="64" t="str">
        <f t="shared" si="2"/>
        <v>Exclude</v>
      </c>
      <c r="AU76" s="65" t="str">
        <f t="shared" si="3"/>
        <v>Exclude</v>
      </c>
    </row>
    <row r="77" spans="1:47" s="64" customFormat="1" x14ac:dyDescent="0.25">
      <c r="A77" s="63"/>
      <c r="U77" s="64" t="str">
        <f t="shared" si="0"/>
        <v>Exclude</v>
      </c>
      <c r="W77" s="65" t="str">
        <f t="shared" si="1"/>
        <v>Exclude</v>
      </c>
      <c r="Y77" s="63"/>
      <c r="AS77" s="64" t="str">
        <f t="shared" si="2"/>
        <v>Exclude</v>
      </c>
      <c r="AU77" s="65" t="str">
        <f t="shared" si="3"/>
        <v>Exclude</v>
      </c>
    </row>
    <row r="78" spans="1:47" s="64" customFormat="1" x14ac:dyDescent="0.25">
      <c r="A78" s="63"/>
      <c r="U78" s="64" t="str">
        <f t="shared" si="0"/>
        <v>Exclude</v>
      </c>
      <c r="W78" s="65" t="str">
        <f t="shared" si="1"/>
        <v>Exclude</v>
      </c>
      <c r="Y78" s="63"/>
      <c r="AS78" s="64" t="str">
        <f t="shared" si="2"/>
        <v>Exclude</v>
      </c>
      <c r="AU78" s="65" t="str">
        <f t="shared" si="3"/>
        <v>Exclude</v>
      </c>
    </row>
    <row r="79" spans="1:47" s="64" customFormat="1" x14ac:dyDescent="0.25">
      <c r="A79" s="63"/>
      <c r="U79" s="64" t="str">
        <f t="shared" si="0"/>
        <v>Exclude</v>
      </c>
      <c r="W79" s="65" t="str">
        <f t="shared" si="1"/>
        <v>Exclude</v>
      </c>
      <c r="Y79" s="63"/>
      <c r="AS79" s="64" t="str">
        <f t="shared" si="2"/>
        <v>Exclude</v>
      </c>
      <c r="AU79" s="65" t="str">
        <f t="shared" si="3"/>
        <v>Exclude</v>
      </c>
    </row>
    <row r="80" spans="1:47" s="64" customFormat="1" x14ac:dyDescent="0.25">
      <c r="A80" s="63"/>
      <c r="U80" s="64" t="str">
        <f t="shared" si="0"/>
        <v>Exclude</v>
      </c>
      <c r="W80" s="65" t="str">
        <f t="shared" si="1"/>
        <v>Exclude</v>
      </c>
      <c r="Y80" s="63"/>
      <c r="AS80" s="64" t="str">
        <f t="shared" si="2"/>
        <v>Exclude</v>
      </c>
      <c r="AU80" s="65" t="str">
        <f t="shared" si="3"/>
        <v>Exclude</v>
      </c>
    </row>
    <row r="81" spans="1:47" s="64" customFormat="1" x14ac:dyDescent="0.25">
      <c r="A81" s="63"/>
      <c r="U81" s="64" t="str">
        <f t="shared" si="0"/>
        <v>Exclude</v>
      </c>
      <c r="W81" s="65" t="str">
        <f t="shared" si="1"/>
        <v>Exclude</v>
      </c>
      <c r="Y81" s="63"/>
      <c r="AS81" s="64" t="str">
        <f t="shared" si="2"/>
        <v>Exclude</v>
      </c>
      <c r="AU81" s="65" t="str">
        <f t="shared" si="3"/>
        <v>Exclude</v>
      </c>
    </row>
    <row r="82" spans="1:47" s="64" customFormat="1" x14ac:dyDescent="0.25">
      <c r="A82" s="63"/>
      <c r="U82" s="64" t="str">
        <f t="shared" si="0"/>
        <v>Exclude</v>
      </c>
      <c r="W82" s="65" t="str">
        <f t="shared" si="1"/>
        <v>Exclude</v>
      </c>
      <c r="Y82" s="63"/>
      <c r="AS82" s="64" t="str">
        <f t="shared" si="2"/>
        <v>Exclude</v>
      </c>
      <c r="AU82" s="65" t="str">
        <f t="shared" si="3"/>
        <v>Exclude</v>
      </c>
    </row>
    <row r="83" spans="1:47" s="64" customFormat="1" x14ac:dyDescent="0.25">
      <c r="A83" s="63"/>
      <c r="U83" s="64" t="str">
        <f t="shared" si="0"/>
        <v>Exclude</v>
      </c>
      <c r="W83" s="65" t="str">
        <f t="shared" si="1"/>
        <v>Exclude</v>
      </c>
      <c r="Y83" s="63"/>
      <c r="AS83" s="64" t="str">
        <f t="shared" si="2"/>
        <v>Exclude</v>
      </c>
      <c r="AU83" s="65" t="str">
        <f t="shared" si="3"/>
        <v>Exclude</v>
      </c>
    </row>
    <row r="84" spans="1:47" s="64" customFormat="1" x14ac:dyDescent="0.25">
      <c r="A84" s="63"/>
      <c r="U84" s="64" t="str">
        <f t="shared" si="0"/>
        <v>Exclude</v>
      </c>
      <c r="W84" s="65" t="str">
        <f t="shared" si="1"/>
        <v>Exclude</v>
      </c>
      <c r="Y84" s="63"/>
      <c r="AS84" s="64" t="str">
        <f t="shared" si="2"/>
        <v>Exclude</v>
      </c>
      <c r="AU84" s="65" t="str">
        <f t="shared" si="3"/>
        <v>Exclude</v>
      </c>
    </row>
    <row r="85" spans="1:47" s="64" customFormat="1" x14ac:dyDescent="0.25">
      <c r="A85" s="63"/>
      <c r="U85" s="64" t="str">
        <f t="shared" ref="U85:U148" si="4">IF(OR(R85="TruePositive",R85="TrueNegative"),IF(R84&lt;&gt;"Anticipatory",(N85),"Pant"),"Exclude")</f>
        <v>Exclude</v>
      </c>
      <c r="W85" s="65" t="str">
        <f t="shared" ref="W85:W148" si="5">IF(OR(R85="TruePositive",R85="TrueNegative"),IF(R84&lt;&gt;"Anticipatory",LOG10(N85),"Exclude"),"Exclude")</f>
        <v>Exclude</v>
      </c>
      <c r="Y85" s="63"/>
      <c r="AS85" s="64" t="str">
        <f t="shared" ref="AS85:AS148" si="6">IF(OR(AP85="TruePositive",AP85="TrueNegative"),IF(AP84&lt;&gt;"Anticipatory",(AL85),"Pant"),"Exclude")</f>
        <v>Exclude</v>
      </c>
      <c r="AU85" s="65" t="str">
        <f t="shared" ref="AU85:AU148" si="7">IF(OR(AP85="TruePositive",AP85="TrueNegative"),IF(AP84&lt;&gt;"Anticipatory",LOG10(AL85),"Exclude"),"Exclude")</f>
        <v>Exclude</v>
      </c>
    </row>
    <row r="86" spans="1:47" s="64" customFormat="1" x14ac:dyDescent="0.25">
      <c r="A86" s="63"/>
      <c r="U86" s="64" t="str">
        <f t="shared" si="4"/>
        <v>Exclude</v>
      </c>
      <c r="W86" s="65" t="str">
        <f t="shared" si="5"/>
        <v>Exclude</v>
      </c>
      <c r="Y86" s="63"/>
      <c r="AS86" s="64" t="str">
        <f t="shared" si="6"/>
        <v>Exclude</v>
      </c>
      <c r="AU86" s="65" t="str">
        <f t="shared" si="7"/>
        <v>Exclude</v>
      </c>
    </row>
    <row r="87" spans="1:47" s="64" customFormat="1" x14ac:dyDescent="0.25">
      <c r="A87" s="63"/>
      <c r="U87" s="64" t="str">
        <f t="shared" si="4"/>
        <v>Exclude</v>
      </c>
      <c r="W87" s="65" t="str">
        <f t="shared" si="5"/>
        <v>Exclude</v>
      </c>
      <c r="Y87" s="63"/>
      <c r="AS87" s="64" t="str">
        <f t="shared" si="6"/>
        <v>Exclude</v>
      </c>
      <c r="AU87" s="65" t="str">
        <f t="shared" si="7"/>
        <v>Exclude</v>
      </c>
    </row>
    <row r="88" spans="1:47" s="64" customFormat="1" x14ac:dyDescent="0.25">
      <c r="A88" s="63"/>
      <c r="U88" s="64" t="str">
        <f t="shared" si="4"/>
        <v>Exclude</v>
      </c>
      <c r="W88" s="65" t="str">
        <f t="shared" si="5"/>
        <v>Exclude</v>
      </c>
      <c r="Y88" s="63"/>
      <c r="AS88" s="64" t="str">
        <f t="shared" si="6"/>
        <v>Exclude</v>
      </c>
      <c r="AU88" s="65" t="str">
        <f t="shared" si="7"/>
        <v>Exclude</v>
      </c>
    </row>
    <row r="89" spans="1:47" s="64" customFormat="1" x14ac:dyDescent="0.25">
      <c r="A89" s="63"/>
      <c r="U89" s="64" t="str">
        <f t="shared" si="4"/>
        <v>Exclude</v>
      </c>
      <c r="W89" s="65" t="str">
        <f t="shared" si="5"/>
        <v>Exclude</v>
      </c>
      <c r="Y89" s="63"/>
      <c r="AS89" s="64" t="str">
        <f t="shared" si="6"/>
        <v>Exclude</v>
      </c>
      <c r="AU89" s="65" t="str">
        <f t="shared" si="7"/>
        <v>Exclude</v>
      </c>
    </row>
    <row r="90" spans="1:47" s="64" customFormat="1" x14ac:dyDescent="0.25">
      <c r="A90" s="63"/>
      <c r="U90" s="64" t="str">
        <f t="shared" si="4"/>
        <v>Exclude</v>
      </c>
      <c r="W90" s="65" t="str">
        <f t="shared" si="5"/>
        <v>Exclude</v>
      </c>
      <c r="Y90" s="63"/>
      <c r="AS90" s="64" t="str">
        <f t="shared" si="6"/>
        <v>Exclude</v>
      </c>
      <c r="AU90" s="65" t="str">
        <f t="shared" si="7"/>
        <v>Exclude</v>
      </c>
    </row>
    <row r="91" spans="1:47" s="64" customFormat="1" x14ac:dyDescent="0.25">
      <c r="A91" s="63"/>
      <c r="U91" s="64" t="str">
        <f t="shared" si="4"/>
        <v>Exclude</v>
      </c>
      <c r="W91" s="65" t="str">
        <f t="shared" si="5"/>
        <v>Exclude</v>
      </c>
      <c r="Y91" s="63"/>
      <c r="AS91" s="64" t="str">
        <f t="shared" si="6"/>
        <v>Exclude</v>
      </c>
      <c r="AU91" s="65" t="str">
        <f t="shared" si="7"/>
        <v>Exclude</v>
      </c>
    </row>
    <row r="92" spans="1:47" s="64" customFormat="1" x14ac:dyDescent="0.25">
      <c r="A92" s="63"/>
      <c r="U92" s="64" t="str">
        <f t="shared" si="4"/>
        <v>Exclude</v>
      </c>
      <c r="W92" s="65" t="str">
        <f t="shared" si="5"/>
        <v>Exclude</v>
      </c>
      <c r="Y92" s="63"/>
      <c r="AS92" s="64" t="str">
        <f t="shared" si="6"/>
        <v>Exclude</v>
      </c>
      <c r="AU92" s="65" t="str">
        <f t="shared" si="7"/>
        <v>Exclude</v>
      </c>
    </row>
    <row r="93" spans="1:47" s="64" customFormat="1" x14ac:dyDescent="0.25">
      <c r="A93" s="63"/>
      <c r="U93" s="64" t="str">
        <f t="shared" si="4"/>
        <v>Exclude</v>
      </c>
      <c r="W93" s="65" t="str">
        <f t="shared" si="5"/>
        <v>Exclude</v>
      </c>
      <c r="Y93" s="63"/>
      <c r="AS93" s="64" t="str">
        <f t="shared" si="6"/>
        <v>Exclude</v>
      </c>
      <c r="AU93" s="65" t="str">
        <f t="shared" si="7"/>
        <v>Exclude</v>
      </c>
    </row>
    <row r="94" spans="1:47" s="64" customFormat="1" x14ac:dyDescent="0.25">
      <c r="A94" s="63"/>
      <c r="U94" s="64" t="str">
        <f t="shared" si="4"/>
        <v>Exclude</v>
      </c>
      <c r="W94" s="65" t="str">
        <f t="shared" si="5"/>
        <v>Exclude</v>
      </c>
      <c r="Y94" s="63"/>
      <c r="AS94" s="64" t="str">
        <f t="shared" si="6"/>
        <v>Exclude</v>
      </c>
      <c r="AU94" s="65" t="str">
        <f t="shared" si="7"/>
        <v>Exclude</v>
      </c>
    </row>
    <row r="95" spans="1:47" s="64" customFormat="1" x14ac:dyDescent="0.25">
      <c r="A95" s="63"/>
      <c r="U95" s="64" t="str">
        <f t="shared" si="4"/>
        <v>Exclude</v>
      </c>
      <c r="W95" s="65" t="str">
        <f t="shared" si="5"/>
        <v>Exclude</v>
      </c>
      <c r="Y95" s="63"/>
      <c r="AS95" s="64" t="str">
        <f t="shared" si="6"/>
        <v>Exclude</v>
      </c>
      <c r="AU95" s="65" t="str">
        <f t="shared" si="7"/>
        <v>Exclude</v>
      </c>
    </row>
    <row r="96" spans="1:47" s="64" customFormat="1" x14ac:dyDescent="0.25">
      <c r="A96" s="63"/>
      <c r="U96" s="64" t="str">
        <f t="shared" si="4"/>
        <v>Exclude</v>
      </c>
      <c r="W96" s="65" t="str">
        <f t="shared" si="5"/>
        <v>Exclude</v>
      </c>
      <c r="Y96" s="63"/>
      <c r="AS96" s="64" t="str">
        <f t="shared" si="6"/>
        <v>Exclude</v>
      </c>
      <c r="AU96" s="65" t="str">
        <f t="shared" si="7"/>
        <v>Exclude</v>
      </c>
    </row>
    <row r="97" spans="1:47" s="64" customFormat="1" x14ac:dyDescent="0.25">
      <c r="A97" s="63"/>
      <c r="U97" s="64" t="str">
        <f t="shared" si="4"/>
        <v>Exclude</v>
      </c>
      <c r="W97" s="65" t="str">
        <f t="shared" si="5"/>
        <v>Exclude</v>
      </c>
      <c r="Y97" s="63"/>
      <c r="AS97" s="64" t="str">
        <f t="shared" si="6"/>
        <v>Exclude</v>
      </c>
      <c r="AU97" s="65" t="str">
        <f t="shared" si="7"/>
        <v>Exclude</v>
      </c>
    </row>
    <row r="98" spans="1:47" s="64" customFormat="1" x14ac:dyDescent="0.25">
      <c r="A98" s="63"/>
      <c r="U98" s="64" t="str">
        <f t="shared" si="4"/>
        <v>Exclude</v>
      </c>
      <c r="W98" s="65" t="str">
        <f t="shared" si="5"/>
        <v>Exclude</v>
      </c>
      <c r="Y98" s="63"/>
      <c r="AS98" s="64" t="str">
        <f t="shared" si="6"/>
        <v>Exclude</v>
      </c>
      <c r="AU98" s="65" t="str">
        <f t="shared" si="7"/>
        <v>Exclude</v>
      </c>
    </row>
    <row r="99" spans="1:47" s="64" customFormat="1" x14ac:dyDescent="0.25">
      <c r="A99" s="63"/>
      <c r="U99" s="64" t="str">
        <f t="shared" si="4"/>
        <v>Exclude</v>
      </c>
      <c r="W99" s="65" t="str">
        <f t="shared" si="5"/>
        <v>Exclude</v>
      </c>
      <c r="Y99" s="63"/>
      <c r="AS99" s="64" t="str">
        <f t="shared" si="6"/>
        <v>Exclude</v>
      </c>
      <c r="AU99" s="65" t="str">
        <f t="shared" si="7"/>
        <v>Exclude</v>
      </c>
    </row>
    <row r="100" spans="1:47" s="64" customFormat="1" x14ac:dyDescent="0.25">
      <c r="A100" s="63"/>
      <c r="U100" s="64" t="str">
        <f t="shared" si="4"/>
        <v>Exclude</v>
      </c>
      <c r="W100" s="65" t="str">
        <f t="shared" si="5"/>
        <v>Exclude</v>
      </c>
      <c r="Y100" s="63"/>
      <c r="AS100" s="64" t="str">
        <f t="shared" si="6"/>
        <v>Exclude</v>
      </c>
      <c r="AU100" s="65" t="str">
        <f t="shared" si="7"/>
        <v>Exclude</v>
      </c>
    </row>
    <row r="101" spans="1:47" s="64" customFormat="1" x14ac:dyDescent="0.25">
      <c r="A101" s="63"/>
      <c r="U101" s="64" t="str">
        <f t="shared" si="4"/>
        <v>Exclude</v>
      </c>
      <c r="W101" s="65" t="str">
        <f t="shared" si="5"/>
        <v>Exclude</v>
      </c>
      <c r="Y101" s="63"/>
      <c r="AS101" s="64" t="str">
        <f t="shared" si="6"/>
        <v>Exclude</v>
      </c>
      <c r="AU101" s="65" t="str">
        <f t="shared" si="7"/>
        <v>Exclude</v>
      </c>
    </row>
    <row r="102" spans="1:47" s="64" customFormat="1" x14ac:dyDescent="0.25">
      <c r="A102" s="63"/>
      <c r="U102" s="64" t="str">
        <f t="shared" si="4"/>
        <v>Exclude</v>
      </c>
      <c r="W102" s="65" t="str">
        <f t="shared" si="5"/>
        <v>Exclude</v>
      </c>
      <c r="Y102" s="63"/>
      <c r="AS102" s="64" t="str">
        <f t="shared" si="6"/>
        <v>Exclude</v>
      </c>
      <c r="AU102" s="65" t="str">
        <f t="shared" si="7"/>
        <v>Exclude</v>
      </c>
    </row>
    <row r="103" spans="1:47" s="64" customFormat="1" x14ac:dyDescent="0.25">
      <c r="A103" s="63"/>
      <c r="U103" s="64" t="str">
        <f t="shared" si="4"/>
        <v>Exclude</v>
      </c>
      <c r="W103" s="65" t="str">
        <f t="shared" si="5"/>
        <v>Exclude</v>
      </c>
      <c r="Y103" s="63"/>
      <c r="AS103" s="64" t="str">
        <f t="shared" si="6"/>
        <v>Exclude</v>
      </c>
      <c r="AU103" s="65" t="str">
        <f t="shared" si="7"/>
        <v>Exclude</v>
      </c>
    </row>
    <row r="104" spans="1:47" s="64" customFormat="1" x14ac:dyDescent="0.25">
      <c r="A104" s="63"/>
      <c r="U104" s="64" t="str">
        <f t="shared" si="4"/>
        <v>Exclude</v>
      </c>
      <c r="W104" s="65" t="str">
        <f t="shared" si="5"/>
        <v>Exclude</v>
      </c>
      <c r="Y104" s="63"/>
      <c r="AS104" s="64" t="str">
        <f t="shared" si="6"/>
        <v>Exclude</v>
      </c>
      <c r="AU104" s="65" t="str">
        <f t="shared" si="7"/>
        <v>Exclude</v>
      </c>
    </row>
    <row r="105" spans="1:47" s="64" customFormat="1" x14ac:dyDescent="0.25">
      <c r="A105" s="63"/>
      <c r="U105" s="64" t="str">
        <f t="shared" si="4"/>
        <v>Exclude</v>
      </c>
      <c r="W105" s="65" t="str">
        <f t="shared" si="5"/>
        <v>Exclude</v>
      </c>
      <c r="Y105" s="63"/>
      <c r="AS105" s="64" t="str">
        <f t="shared" si="6"/>
        <v>Exclude</v>
      </c>
      <c r="AU105" s="65" t="str">
        <f t="shared" si="7"/>
        <v>Exclude</v>
      </c>
    </row>
    <row r="106" spans="1:47" s="64" customFormat="1" x14ac:dyDescent="0.25">
      <c r="A106" s="63"/>
      <c r="U106" s="64" t="str">
        <f t="shared" si="4"/>
        <v>Exclude</v>
      </c>
      <c r="W106" s="65" t="str">
        <f t="shared" si="5"/>
        <v>Exclude</v>
      </c>
      <c r="Y106" s="63"/>
      <c r="AS106" s="64" t="str">
        <f t="shared" si="6"/>
        <v>Exclude</v>
      </c>
      <c r="AU106" s="65" t="str">
        <f t="shared" si="7"/>
        <v>Exclude</v>
      </c>
    </row>
    <row r="107" spans="1:47" s="64" customFormat="1" x14ac:dyDescent="0.25">
      <c r="A107" s="63"/>
      <c r="U107" s="64" t="str">
        <f t="shared" si="4"/>
        <v>Exclude</v>
      </c>
      <c r="W107" s="65" t="str">
        <f t="shared" si="5"/>
        <v>Exclude</v>
      </c>
      <c r="Y107" s="63"/>
      <c r="AS107" s="64" t="str">
        <f t="shared" si="6"/>
        <v>Exclude</v>
      </c>
      <c r="AU107" s="65" t="str">
        <f t="shared" si="7"/>
        <v>Exclude</v>
      </c>
    </row>
    <row r="108" spans="1:47" s="64" customFormat="1" x14ac:dyDescent="0.25">
      <c r="A108" s="63"/>
      <c r="U108" s="64" t="str">
        <f t="shared" si="4"/>
        <v>Exclude</v>
      </c>
      <c r="W108" s="65" t="str">
        <f t="shared" si="5"/>
        <v>Exclude</v>
      </c>
      <c r="Y108" s="63"/>
      <c r="AS108" s="64" t="str">
        <f t="shared" si="6"/>
        <v>Exclude</v>
      </c>
      <c r="AU108" s="65" t="str">
        <f t="shared" si="7"/>
        <v>Exclude</v>
      </c>
    </row>
    <row r="109" spans="1:47" s="64" customFormat="1" x14ac:dyDescent="0.25">
      <c r="A109" s="63"/>
      <c r="U109" s="64" t="str">
        <f t="shared" si="4"/>
        <v>Exclude</v>
      </c>
      <c r="W109" s="65" t="str">
        <f t="shared" si="5"/>
        <v>Exclude</v>
      </c>
      <c r="Y109" s="63"/>
      <c r="AS109" s="64" t="str">
        <f t="shared" si="6"/>
        <v>Exclude</v>
      </c>
      <c r="AU109" s="65" t="str">
        <f t="shared" si="7"/>
        <v>Exclude</v>
      </c>
    </row>
    <row r="110" spans="1:47" s="64" customFormat="1" x14ac:dyDescent="0.25">
      <c r="A110" s="63"/>
      <c r="U110" s="64" t="str">
        <f t="shared" si="4"/>
        <v>Exclude</v>
      </c>
      <c r="W110" s="65" t="str">
        <f t="shared" si="5"/>
        <v>Exclude</v>
      </c>
      <c r="Y110" s="63"/>
      <c r="AS110" s="64" t="str">
        <f t="shared" si="6"/>
        <v>Exclude</v>
      </c>
      <c r="AU110" s="65" t="str">
        <f t="shared" si="7"/>
        <v>Exclude</v>
      </c>
    </row>
    <row r="111" spans="1:47" s="64" customFormat="1" x14ac:dyDescent="0.25">
      <c r="A111" s="63"/>
      <c r="U111" s="64" t="str">
        <f t="shared" si="4"/>
        <v>Exclude</v>
      </c>
      <c r="W111" s="65" t="str">
        <f t="shared" si="5"/>
        <v>Exclude</v>
      </c>
      <c r="Y111" s="63"/>
      <c r="AS111" s="64" t="str">
        <f t="shared" si="6"/>
        <v>Exclude</v>
      </c>
      <c r="AU111" s="65" t="str">
        <f t="shared" si="7"/>
        <v>Exclude</v>
      </c>
    </row>
    <row r="112" spans="1:47" s="64" customFormat="1" x14ac:dyDescent="0.25">
      <c r="A112" s="63"/>
      <c r="U112" s="64" t="str">
        <f t="shared" si="4"/>
        <v>Exclude</v>
      </c>
      <c r="W112" s="65" t="str">
        <f t="shared" si="5"/>
        <v>Exclude</v>
      </c>
      <c r="Y112" s="63"/>
      <c r="AS112" s="64" t="str">
        <f t="shared" si="6"/>
        <v>Exclude</v>
      </c>
      <c r="AU112" s="65" t="str">
        <f t="shared" si="7"/>
        <v>Exclude</v>
      </c>
    </row>
    <row r="113" spans="1:47" s="64" customFormat="1" x14ac:dyDescent="0.25">
      <c r="A113" s="63"/>
      <c r="U113" s="64" t="str">
        <f t="shared" si="4"/>
        <v>Exclude</v>
      </c>
      <c r="W113" s="65" t="str">
        <f t="shared" si="5"/>
        <v>Exclude</v>
      </c>
      <c r="Y113" s="63"/>
      <c r="AS113" s="64" t="str">
        <f t="shared" si="6"/>
        <v>Exclude</v>
      </c>
      <c r="AU113" s="65" t="str">
        <f t="shared" si="7"/>
        <v>Exclude</v>
      </c>
    </row>
    <row r="114" spans="1:47" s="64" customFormat="1" x14ac:dyDescent="0.25">
      <c r="A114" s="63"/>
      <c r="U114" s="64" t="str">
        <f t="shared" si="4"/>
        <v>Exclude</v>
      </c>
      <c r="W114" s="65" t="str">
        <f t="shared" si="5"/>
        <v>Exclude</v>
      </c>
      <c r="Y114" s="63"/>
      <c r="AS114" s="64" t="str">
        <f t="shared" si="6"/>
        <v>Exclude</v>
      </c>
      <c r="AU114" s="65" t="str">
        <f t="shared" si="7"/>
        <v>Exclude</v>
      </c>
    </row>
    <row r="115" spans="1:47" s="64" customFormat="1" x14ac:dyDescent="0.25">
      <c r="A115" s="63"/>
      <c r="U115" s="64" t="str">
        <f t="shared" si="4"/>
        <v>Exclude</v>
      </c>
      <c r="W115" s="65" t="str">
        <f t="shared" si="5"/>
        <v>Exclude</v>
      </c>
      <c r="Y115" s="63"/>
      <c r="AS115" s="64" t="str">
        <f t="shared" si="6"/>
        <v>Exclude</v>
      </c>
      <c r="AU115" s="65" t="str">
        <f t="shared" si="7"/>
        <v>Exclude</v>
      </c>
    </row>
    <row r="116" spans="1:47" s="64" customFormat="1" x14ac:dyDescent="0.25">
      <c r="A116" s="63"/>
      <c r="U116" s="64" t="str">
        <f t="shared" si="4"/>
        <v>Exclude</v>
      </c>
      <c r="W116" s="65" t="str">
        <f t="shared" si="5"/>
        <v>Exclude</v>
      </c>
      <c r="Y116" s="63"/>
      <c r="AS116" s="64" t="str">
        <f t="shared" si="6"/>
        <v>Exclude</v>
      </c>
      <c r="AU116" s="65" t="str">
        <f t="shared" si="7"/>
        <v>Exclude</v>
      </c>
    </row>
    <row r="117" spans="1:47" s="64" customFormat="1" x14ac:dyDescent="0.25">
      <c r="A117" s="63"/>
      <c r="U117" s="64" t="str">
        <f t="shared" si="4"/>
        <v>Exclude</v>
      </c>
      <c r="W117" s="65" t="str">
        <f t="shared" si="5"/>
        <v>Exclude</v>
      </c>
      <c r="Y117" s="63"/>
      <c r="AS117" s="64" t="str">
        <f t="shared" si="6"/>
        <v>Exclude</v>
      </c>
      <c r="AU117" s="65" t="str">
        <f t="shared" si="7"/>
        <v>Exclude</v>
      </c>
    </row>
    <row r="118" spans="1:47" s="64" customFormat="1" x14ac:dyDescent="0.25">
      <c r="A118" s="63"/>
      <c r="U118" s="64" t="str">
        <f t="shared" si="4"/>
        <v>Exclude</v>
      </c>
      <c r="W118" s="65" t="str">
        <f t="shared" si="5"/>
        <v>Exclude</v>
      </c>
      <c r="Y118" s="63"/>
      <c r="AS118" s="64" t="str">
        <f t="shared" si="6"/>
        <v>Exclude</v>
      </c>
      <c r="AU118" s="65" t="str">
        <f t="shared" si="7"/>
        <v>Exclude</v>
      </c>
    </row>
    <row r="119" spans="1:47" s="64" customFormat="1" x14ac:dyDescent="0.25">
      <c r="A119" s="63"/>
      <c r="U119" s="64" t="str">
        <f t="shared" si="4"/>
        <v>Exclude</v>
      </c>
      <c r="W119" s="65" t="str">
        <f t="shared" si="5"/>
        <v>Exclude</v>
      </c>
      <c r="Y119" s="63"/>
      <c r="AS119" s="64" t="str">
        <f t="shared" si="6"/>
        <v>Exclude</v>
      </c>
      <c r="AU119" s="65" t="str">
        <f t="shared" si="7"/>
        <v>Exclude</v>
      </c>
    </row>
    <row r="120" spans="1:47" s="64" customFormat="1" x14ac:dyDescent="0.25">
      <c r="A120" s="63"/>
      <c r="U120" s="64" t="str">
        <f t="shared" si="4"/>
        <v>Exclude</v>
      </c>
      <c r="W120" s="65" t="str">
        <f t="shared" si="5"/>
        <v>Exclude</v>
      </c>
      <c r="Y120" s="63"/>
      <c r="AS120" s="64" t="str">
        <f t="shared" si="6"/>
        <v>Exclude</v>
      </c>
      <c r="AU120" s="65" t="str">
        <f t="shared" si="7"/>
        <v>Exclude</v>
      </c>
    </row>
    <row r="121" spans="1:47" s="64" customFormat="1" x14ac:dyDescent="0.25">
      <c r="A121" s="63"/>
      <c r="U121" s="64" t="str">
        <f t="shared" si="4"/>
        <v>Exclude</v>
      </c>
      <c r="W121" s="65" t="str">
        <f t="shared" si="5"/>
        <v>Exclude</v>
      </c>
      <c r="Y121" s="63"/>
      <c r="AS121" s="64" t="str">
        <f t="shared" si="6"/>
        <v>Exclude</v>
      </c>
      <c r="AU121" s="65" t="str">
        <f t="shared" si="7"/>
        <v>Exclude</v>
      </c>
    </row>
    <row r="122" spans="1:47" s="64" customFormat="1" x14ac:dyDescent="0.25">
      <c r="A122" s="63"/>
      <c r="U122" s="64" t="str">
        <f t="shared" si="4"/>
        <v>Exclude</v>
      </c>
      <c r="W122" s="65" t="str">
        <f t="shared" si="5"/>
        <v>Exclude</v>
      </c>
      <c r="Y122" s="63"/>
      <c r="AS122" s="64" t="str">
        <f t="shared" si="6"/>
        <v>Exclude</v>
      </c>
      <c r="AU122" s="65" t="str">
        <f t="shared" si="7"/>
        <v>Exclude</v>
      </c>
    </row>
    <row r="123" spans="1:47" s="64" customFormat="1" x14ac:dyDescent="0.25">
      <c r="A123" s="63"/>
      <c r="U123" s="64" t="str">
        <f t="shared" si="4"/>
        <v>Exclude</v>
      </c>
      <c r="W123" s="65" t="str">
        <f t="shared" si="5"/>
        <v>Exclude</v>
      </c>
      <c r="Y123" s="63"/>
      <c r="AS123" s="64" t="str">
        <f t="shared" si="6"/>
        <v>Exclude</v>
      </c>
      <c r="AU123" s="65" t="str">
        <f t="shared" si="7"/>
        <v>Exclude</v>
      </c>
    </row>
    <row r="124" spans="1:47" s="64" customFormat="1" x14ac:dyDescent="0.25">
      <c r="A124" s="63"/>
      <c r="U124" s="64" t="str">
        <f t="shared" si="4"/>
        <v>Exclude</v>
      </c>
      <c r="W124" s="65" t="str">
        <f t="shared" si="5"/>
        <v>Exclude</v>
      </c>
      <c r="Y124" s="63"/>
      <c r="AS124" s="64" t="str">
        <f t="shared" si="6"/>
        <v>Exclude</v>
      </c>
      <c r="AU124" s="65" t="str">
        <f t="shared" si="7"/>
        <v>Exclude</v>
      </c>
    </row>
    <row r="125" spans="1:47" s="64" customFormat="1" x14ac:dyDescent="0.25">
      <c r="A125" s="63"/>
      <c r="U125" s="64" t="str">
        <f t="shared" si="4"/>
        <v>Exclude</v>
      </c>
      <c r="W125" s="65" t="str">
        <f t="shared" si="5"/>
        <v>Exclude</v>
      </c>
      <c r="Y125" s="63"/>
      <c r="AS125" s="64" t="str">
        <f t="shared" si="6"/>
        <v>Exclude</v>
      </c>
      <c r="AU125" s="65" t="str">
        <f t="shared" si="7"/>
        <v>Exclude</v>
      </c>
    </row>
    <row r="126" spans="1:47" s="64" customFormat="1" x14ac:dyDescent="0.25">
      <c r="A126" s="63"/>
      <c r="U126" s="64" t="str">
        <f t="shared" si="4"/>
        <v>Exclude</v>
      </c>
      <c r="W126" s="65" t="str">
        <f t="shared" si="5"/>
        <v>Exclude</v>
      </c>
      <c r="Y126" s="63"/>
      <c r="AS126" s="64" t="str">
        <f t="shared" si="6"/>
        <v>Exclude</v>
      </c>
      <c r="AU126" s="65" t="str">
        <f t="shared" si="7"/>
        <v>Exclude</v>
      </c>
    </row>
    <row r="127" spans="1:47" s="64" customFormat="1" x14ac:dyDescent="0.25">
      <c r="A127" s="63"/>
      <c r="U127" s="64" t="str">
        <f t="shared" si="4"/>
        <v>Exclude</v>
      </c>
      <c r="W127" s="65" t="str">
        <f t="shared" si="5"/>
        <v>Exclude</v>
      </c>
      <c r="Y127" s="63"/>
      <c r="AS127" s="64" t="str">
        <f t="shared" si="6"/>
        <v>Exclude</v>
      </c>
      <c r="AU127" s="65" t="str">
        <f t="shared" si="7"/>
        <v>Exclude</v>
      </c>
    </row>
    <row r="128" spans="1:47" s="64" customFormat="1" x14ac:dyDescent="0.25">
      <c r="A128" s="63"/>
      <c r="U128" s="64" t="str">
        <f t="shared" si="4"/>
        <v>Exclude</v>
      </c>
      <c r="W128" s="65" t="str">
        <f t="shared" si="5"/>
        <v>Exclude</v>
      </c>
      <c r="Y128" s="63"/>
      <c r="AS128" s="64" t="str">
        <f t="shared" si="6"/>
        <v>Exclude</v>
      </c>
      <c r="AU128" s="65" t="str">
        <f t="shared" si="7"/>
        <v>Exclude</v>
      </c>
    </row>
    <row r="129" spans="1:47" s="64" customFormat="1" x14ac:dyDescent="0.25">
      <c r="A129" s="63"/>
      <c r="U129" s="64" t="str">
        <f t="shared" si="4"/>
        <v>Exclude</v>
      </c>
      <c r="W129" s="65" t="str">
        <f t="shared" si="5"/>
        <v>Exclude</v>
      </c>
      <c r="Y129" s="63"/>
      <c r="AS129" s="64" t="str">
        <f t="shared" si="6"/>
        <v>Exclude</v>
      </c>
      <c r="AU129" s="65" t="str">
        <f t="shared" si="7"/>
        <v>Exclude</v>
      </c>
    </row>
    <row r="130" spans="1:47" s="64" customFormat="1" x14ac:dyDescent="0.25">
      <c r="A130" s="63"/>
      <c r="U130" s="64" t="str">
        <f t="shared" si="4"/>
        <v>Exclude</v>
      </c>
      <c r="W130" s="65" t="str">
        <f t="shared" si="5"/>
        <v>Exclude</v>
      </c>
      <c r="Y130" s="63"/>
      <c r="AS130" s="64" t="str">
        <f t="shared" si="6"/>
        <v>Exclude</v>
      </c>
      <c r="AU130" s="65" t="str">
        <f t="shared" si="7"/>
        <v>Exclude</v>
      </c>
    </row>
    <row r="131" spans="1:47" s="64" customFormat="1" x14ac:dyDescent="0.25">
      <c r="A131" s="63"/>
      <c r="U131" s="64" t="str">
        <f t="shared" si="4"/>
        <v>Exclude</v>
      </c>
      <c r="W131" s="65" t="str">
        <f t="shared" si="5"/>
        <v>Exclude</v>
      </c>
      <c r="Y131" s="63"/>
      <c r="AS131" s="64" t="str">
        <f t="shared" si="6"/>
        <v>Exclude</v>
      </c>
      <c r="AU131" s="65" t="str">
        <f t="shared" si="7"/>
        <v>Exclude</v>
      </c>
    </row>
    <row r="132" spans="1:47" s="64" customFormat="1" x14ac:dyDescent="0.25">
      <c r="A132" s="63"/>
      <c r="U132" s="64" t="str">
        <f t="shared" si="4"/>
        <v>Exclude</v>
      </c>
      <c r="W132" s="65" t="str">
        <f t="shared" si="5"/>
        <v>Exclude</v>
      </c>
      <c r="Y132" s="63"/>
      <c r="AS132" s="64" t="str">
        <f t="shared" si="6"/>
        <v>Exclude</v>
      </c>
      <c r="AU132" s="65" t="str">
        <f t="shared" si="7"/>
        <v>Exclude</v>
      </c>
    </row>
    <row r="133" spans="1:47" s="64" customFormat="1" x14ac:dyDescent="0.25">
      <c r="A133" s="63"/>
      <c r="U133" s="64" t="str">
        <f t="shared" si="4"/>
        <v>Exclude</v>
      </c>
      <c r="W133" s="65" t="str">
        <f t="shared" si="5"/>
        <v>Exclude</v>
      </c>
      <c r="Y133" s="63"/>
      <c r="AS133" s="64" t="str">
        <f t="shared" si="6"/>
        <v>Exclude</v>
      </c>
      <c r="AU133" s="65" t="str">
        <f t="shared" si="7"/>
        <v>Exclude</v>
      </c>
    </row>
    <row r="134" spans="1:47" s="64" customFormat="1" x14ac:dyDescent="0.25">
      <c r="A134" s="63"/>
      <c r="U134" s="64" t="str">
        <f t="shared" si="4"/>
        <v>Exclude</v>
      </c>
      <c r="W134" s="65" t="str">
        <f t="shared" si="5"/>
        <v>Exclude</v>
      </c>
      <c r="Y134" s="63"/>
      <c r="AS134" s="64" t="str">
        <f t="shared" si="6"/>
        <v>Exclude</v>
      </c>
      <c r="AU134" s="65" t="str">
        <f t="shared" si="7"/>
        <v>Exclude</v>
      </c>
    </row>
    <row r="135" spans="1:47" s="64" customFormat="1" x14ac:dyDescent="0.25">
      <c r="A135" s="63"/>
      <c r="U135" s="64" t="str">
        <f t="shared" si="4"/>
        <v>Exclude</v>
      </c>
      <c r="W135" s="65" t="str">
        <f t="shared" si="5"/>
        <v>Exclude</v>
      </c>
      <c r="Y135" s="63"/>
      <c r="AS135" s="64" t="str">
        <f t="shared" si="6"/>
        <v>Exclude</v>
      </c>
      <c r="AU135" s="65" t="str">
        <f t="shared" si="7"/>
        <v>Exclude</v>
      </c>
    </row>
    <row r="136" spans="1:47" s="64" customFormat="1" x14ac:dyDescent="0.25">
      <c r="A136" s="63"/>
      <c r="U136" s="64" t="str">
        <f t="shared" si="4"/>
        <v>Exclude</v>
      </c>
      <c r="W136" s="65" t="str">
        <f t="shared" si="5"/>
        <v>Exclude</v>
      </c>
      <c r="Y136" s="63"/>
      <c r="AS136" s="64" t="str">
        <f t="shared" si="6"/>
        <v>Exclude</v>
      </c>
      <c r="AU136" s="65" t="str">
        <f t="shared" si="7"/>
        <v>Exclude</v>
      </c>
    </row>
    <row r="137" spans="1:47" s="64" customFormat="1" x14ac:dyDescent="0.25">
      <c r="A137" s="63"/>
      <c r="U137" s="64" t="str">
        <f t="shared" si="4"/>
        <v>Exclude</v>
      </c>
      <c r="W137" s="65" t="str">
        <f t="shared" si="5"/>
        <v>Exclude</v>
      </c>
      <c r="Y137" s="63"/>
      <c r="AS137" s="64" t="str">
        <f t="shared" si="6"/>
        <v>Exclude</v>
      </c>
      <c r="AU137" s="65" t="str">
        <f t="shared" si="7"/>
        <v>Exclude</v>
      </c>
    </row>
    <row r="138" spans="1:47" s="64" customFormat="1" x14ac:dyDescent="0.25">
      <c r="A138" s="63"/>
      <c r="U138" s="64" t="str">
        <f t="shared" si="4"/>
        <v>Exclude</v>
      </c>
      <c r="W138" s="65" t="str">
        <f t="shared" si="5"/>
        <v>Exclude</v>
      </c>
      <c r="Y138" s="63"/>
      <c r="AS138" s="64" t="str">
        <f t="shared" si="6"/>
        <v>Exclude</v>
      </c>
      <c r="AU138" s="65" t="str">
        <f t="shared" si="7"/>
        <v>Exclude</v>
      </c>
    </row>
    <row r="139" spans="1:47" s="64" customFormat="1" x14ac:dyDescent="0.25">
      <c r="A139" s="63"/>
      <c r="U139" s="64" t="str">
        <f t="shared" si="4"/>
        <v>Exclude</v>
      </c>
      <c r="W139" s="65" t="str">
        <f t="shared" si="5"/>
        <v>Exclude</v>
      </c>
      <c r="Y139" s="63"/>
      <c r="AS139" s="64" t="str">
        <f t="shared" si="6"/>
        <v>Exclude</v>
      </c>
      <c r="AU139" s="65" t="str">
        <f t="shared" si="7"/>
        <v>Exclude</v>
      </c>
    </row>
    <row r="140" spans="1:47" s="64" customFormat="1" x14ac:dyDescent="0.25">
      <c r="A140" s="63"/>
      <c r="U140" s="64" t="str">
        <f t="shared" si="4"/>
        <v>Exclude</v>
      </c>
      <c r="W140" s="65" t="str">
        <f t="shared" si="5"/>
        <v>Exclude</v>
      </c>
      <c r="Y140" s="63"/>
      <c r="AS140" s="64" t="str">
        <f t="shared" si="6"/>
        <v>Exclude</v>
      </c>
      <c r="AU140" s="65" t="str">
        <f t="shared" si="7"/>
        <v>Exclude</v>
      </c>
    </row>
    <row r="141" spans="1:47" s="64" customFormat="1" x14ac:dyDescent="0.25">
      <c r="A141" s="63"/>
      <c r="U141" s="64" t="str">
        <f t="shared" si="4"/>
        <v>Exclude</v>
      </c>
      <c r="W141" s="65" t="str">
        <f t="shared" si="5"/>
        <v>Exclude</v>
      </c>
      <c r="Y141" s="63"/>
      <c r="AS141" s="64" t="str">
        <f t="shared" si="6"/>
        <v>Exclude</v>
      </c>
      <c r="AU141" s="65" t="str">
        <f t="shared" si="7"/>
        <v>Exclude</v>
      </c>
    </row>
    <row r="142" spans="1:47" s="64" customFormat="1" x14ac:dyDescent="0.25">
      <c r="A142" s="63"/>
      <c r="U142" s="64" t="str">
        <f t="shared" si="4"/>
        <v>Exclude</v>
      </c>
      <c r="W142" s="65" t="str">
        <f t="shared" si="5"/>
        <v>Exclude</v>
      </c>
      <c r="Y142" s="63"/>
      <c r="AS142" s="64" t="str">
        <f t="shared" si="6"/>
        <v>Exclude</v>
      </c>
      <c r="AU142" s="65" t="str">
        <f t="shared" si="7"/>
        <v>Exclude</v>
      </c>
    </row>
    <row r="143" spans="1:47" s="64" customFormat="1" x14ac:dyDescent="0.25">
      <c r="A143" s="63"/>
      <c r="U143" s="64" t="str">
        <f t="shared" si="4"/>
        <v>Exclude</v>
      </c>
      <c r="W143" s="65" t="str">
        <f t="shared" si="5"/>
        <v>Exclude</v>
      </c>
      <c r="Y143" s="63"/>
      <c r="AS143" s="64" t="str">
        <f t="shared" si="6"/>
        <v>Exclude</v>
      </c>
      <c r="AU143" s="65" t="str">
        <f t="shared" si="7"/>
        <v>Exclude</v>
      </c>
    </row>
    <row r="144" spans="1:47" s="64" customFormat="1" x14ac:dyDescent="0.25">
      <c r="A144" s="63"/>
      <c r="U144" s="64" t="str">
        <f t="shared" si="4"/>
        <v>Exclude</v>
      </c>
      <c r="W144" s="65" t="str">
        <f t="shared" si="5"/>
        <v>Exclude</v>
      </c>
      <c r="Y144" s="63"/>
      <c r="AS144" s="64" t="str">
        <f t="shared" si="6"/>
        <v>Exclude</v>
      </c>
      <c r="AU144" s="65" t="str">
        <f t="shared" si="7"/>
        <v>Exclude</v>
      </c>
    </row>
    <row r="145" spans="1:47" s="64" customFormat="1" x14ac:dyDescent="0.25">
      <c r="A145" s="63"/>
      <c r="U145" s="64" t="str">
        <f t="shared" si="4"/>
        <v>Exclude</v>
      </c>
      <c r="W145" s="65" t="str">
        <f t="shared" si="5"/>
        <v>Exclude</v>
      </c>
      <c r="Y145" s="63"/>
      <c r="AS145" s="64" t="str">
        <f t="shared" si="6"/>
        <v>Exclude</v>
      </c>
      <c r="AU145" s="65" t="str">
        <f t="shared" si="7"/>
        <v>Exclude</v>
      </c>
    </row>
    <row r="146" spans="1:47" s="64" customFormat="1" x14ac:dyDescent="0.25">
      <c r="A146" s="63"/>
      <c r="U146" s="64" t="str">
        <f t="shared" si="4"/>
        <v>Exclude</v>
      </c>
      <c r="W146" s="65" t="str">
        <f t="shared" si="5"/>
        <v>Exclude</v>
      </c>
      <c r="Y146" s="63"/>
      <c r="AS146" s="64" t="str">
        <f t="shared" si="6"/>
        <v>Exclude</v>
      </c>
      <c r="AU146" s="65" t="str">
        <f t="shared" si="7"/>
        <v>Exclude</v>
      </c>
    </row>
    <row r="147" spans="1:47" s="64" customFormat="1" x14ac:dyDescent="0.25">
      <c r="A147" s="63"/>
      <c r="U147" s="64" t="str">
        <f t="shared" si="4"/>
        <v>Exclude</v>
      </c>
      <c r="W147" s="65" t="str">
        <f t="shared" si="5"/>
        <v>Exclude</v>
      </c>
      <c r="Y147" s="63"/>
      <c r="AS147" s="64" t="str">
        <f t="shared" si="6"/>
        <v>Exclude</v>
      </c>
      <c r="AU147" s="65" t="str">
        <f t="shared" si="7"/>
        <v>Exclude</v>
      </c>
    </row>
    <row r="148" spans="1:47" s="64" customFormat="1" x14ac:dyDescent="0.25">
      <c r="A148" s="63"/>
      <c r="U148" s="64" t="str">
        <f t="shared" si="4"/>
        <v>Exclude</v>
      </c>
      <c r="W148" s="65" t="str">
        <f t="shared" si="5"/>
        <v>Exclude</v>
      </c>
      <c r="Y148" s="63"/>
      <c r="AS148" s="64" t="str">
        <f t="shared" si="6"/>
        <v>Exclude</v>
      </c>
      <c r="AU148" s="65" t="str">
        <f t="shared" si="7"/>
        <v>Exclude</v>
      </c>
    </row>
    <row r="149" spans="1:47" s="64" customFormat="1" x14ac:dyDescent="0.25">
      <c r="A149" s="63"/>
      <c r="U149" s="64" t="str">
        <f t="shared" ref="U149:U212" si="8">IF(OR(R149="TruePositive",R149="TrueNegative"),IF(R148&lt;&gt;"Anticipatory",(N149),"Pant"),"Exclude")</f>
        <v>Exclude</v>
      </c>
      <c r="W149" s="65" t="str">
        <f t="shared" ref="W149:W212" si="9">IF(OR(R149="TruePositive",R149="TrueNegative"),IF(R148&lt;&gt;"Anticipatory",LOG10(N149),"Exclude"),"Exclude")</f>
        <v>Exclude</v>
      </c>
      <c r="Y149" s="63"/>
      <c r="AS149" s="64" t="str">
        <f t="shared" ref="AS149:AS212" si="10">IF(OR(AP149="TruePositive",AP149="TrueNegative"),IF(AP148&lt;&gt;"Anticipatory",(AL149),"Pant"),"Exclude")</f>
        <v>Exclude</v>
      </c>
      <c r="AU149" s="65" t="str">
        <f t="shared" ref="AU149:AU212" si="11">IF(OR(AP149="TruePositive",AP149="TrueNegative"),IF(AP148&lt;&gt;"Anticipatory",LOG10(AL149),"Exclude"),"Exclude")</f>
        <v>Exclude</v>
      </c>
    </row>
    <row r="150" spans="1:47" s="64" customFormat="1" x14ac:dyDescent="0.25">
      <c r="A150" s="63"/>
      <c r="U150" s="64" t="str">
        <f t="shared" si="8"/>
        <v>Exclude</v>
      </c>
      <c r="W150" s="65" t="str">
        <f t="shared" si="9"/>
        <v>Exclude</v>
      </c>
      <c r="Y150" s="63"/>
      <c r="AS150" s="64" t="str">
        <f t="shared" si="10"/>
        <v>Exclude</v>
      </c>
      <c r="AU150" s="65" t="str">
        <f t="shared" si="11"/>
        <v>Exclude</v>
      </c>
    </row>
    <row r="151" spans="1:47" s="64" customFormat="1" x14ac:dyDescent="0.25">
      <c r="A151" s="63"/>
      <c r="U151" s="64" t="str">
        <f t="shared" si="8"/>
        <v>Exclude</v>
      </c>
      <c r="W151" s="65" t="str">
        <f t="shared" si="9"/>
        <v>Exclude</v>
      </c>
      <c r="Y151" s="63"/>
      <c r="AS151" s="64" t="str">
        <f t="shared" si="10"/>
        <v>Exclude</v>
      </c>
      <c r="AU151" s="65" t="str">
        <f t="shared" si="11"/>
        <v>Exclude</v>
      </c>
    </row>
    <row r="152" spans="1:47" s="64" customFormat="1" x14ac:dyDescent="0.25">
      <c r="A152" s="63"/>
      <c r="U152" s="64" t="str">
        <f t="shared" si="8"/>
        <v>Exclude</v>
      </c>
      <c r="W152" s="65" t="str">
        <f t="shared" si="9"/>
        <v>Exclude</v>
      </c>
      <c r="Y152" s="63"/>
      <c r="AS152" s="64" t="str">
        <f t="shared" si="10"/>
        <v>Exclude</v>
      </c>
      <c r="AU152" s="65" t="str">
        <f t="shared" si="11"/>
        <v>Exclude</v>
      </c>
    </row>
    <row r="153" spans="1:47" s="64" customFormat="1" x14ac:dyDescent="0.25">
      <c r="A153" s="63"/>
      <c r="U153" s="64" t="str">
        <f t="shared" si="8"/>
        <v>Exclude</v>
      </c>
      <c r="W153" s="65" t="str">
        <f t="shared" si="9"/>
        <v>Exclude</v>
      </c>
      <c r="Y153" s="63"/>
      <c r="AS153" s="64" t="str">
        <f t="shared" si="10"/>
        <v>Exclude</v>
      </c>
      <c r="AU153" s="65" t="str">
        <f t="shared" si="11"/>
        <v>Exclude</v>
      </c>
    </row>
    <row r="154" spans="1:47" s="64" customFormat="1" x14ac:dyDescent="0.25">
      <c r="A154" s="63"/>
      <c r="U154" s="64" t="str">
        <f t="shared" si="8"/>
        <v>Exclude</v>
      </c>
      <c r="W154" s="65" t="str">
        <f t="shared" si="9"/>
        <v>Exclude</v>
      </c>
      <c r="Y154" s="63"/>
      <c r="AS154" s="64" t="str">
        <f t="shared" si="10"/>
        <v>Exclude</v>
      </c>
      <c r="AU154" s="65" t="str">
        <f t="shared" si="11"/>
        <v>Exclude</v>
      </c>
    </row>
    <row r="155" spans="1:47" s="64" customFormat="1" x14ac:dyDescent="0.25">
      <c r="A155" s="63"/>
      <c r="U155" s="64" t="str">
        <f t="shared" si="8"/>
        <v>Exclude</v>
      </c>
      <c r="W155" s="65" t="str">
        <f t="shared" si="9"/>
        <v>Exclude</v>
      </c>
      <c r="Y155" s="63"/>
      <c r="AS155" s="64" t="str">
        <f t="shared" si="10"/>
        <v>Exclude</v>
      </c>
      <c r="AU155" s="65" t="str">
        <f t="shared" si="11"/>
        <v>Exclude</v>
      </c>
    </row>
    <row r="156" spans="1:47" s="64" customFormat="1" x14ac:dyDescent="0.25">
      <c r="A156" s="63"/>
      <c r="U156" s="64" t="str">
        <f t="shared" si="8"/>
        <v>Exclude</v>
      </c>
      <c r="W156" s="65" t="str">
        <f t="shared" si="9"/>
        <v>Exclude</v>
      </c>
      <c r="Y156" s="63"/>
      <c r="AS156" s="64" t="str">
        <f t="shared" si="10"/>
        <v>Exclude</v>
      </c>
      <c r="AU156" s="65" t="str">
        <f t="shared" si="11"/>
        <v>Exclude</v>
      </c>
    </row>
    <row r="157" spans="1:47" s="64" customFormat="1" x14ac:dyDescent="0.25">
      <c r="A157" s="63"/>
      <c r="U157" s="64" t="str">
        <f t="shared" si="8"/>
        <v>Exclude</v>
      </c>
      <c r="W157" s="65" t="str">
        <f t="shared" si="9"/>
        <v>Exclude</v>
      </c>
      <c r="Y157" s="63"/>
      <c r="AS157" s="64" t="str">
        <f t="shared" si="10"/>
        <v>Exclude</v>
      </c>
      <c r="AU157" s="65" t="str">
        <f t="shared" si="11"/>
        <v>Exclude</v>
      </c>
    </row>
    <row r="158" spans="1:47" s="64" customFormat="1" x14ac:dyDescent="0.25">
      <c r="A158" s="63"/>
      <c r="U158" s="64" t="str">
        <f t="shared" si="8"/>
        <v>Exclude</v>
      </c>
      <c r="W158" s="65" t="str">
        <f t="shared" si="9"/>
        <v>Exclude</v>
      </c>
      <c r="Y158" s="63"/>
      <c r="AS158" s="64" t="str">
        <f t="shared" si="10"/>
        <v>Exclude</v>
      </c>
      <c r="AU158" s="65" t="str">
        <f t="shared" si="11"/>
        <v>Exclude</v>
      </c>
    </row>
    <row r="159" spans="1:47" s="64" customFormat="1" x14ac:dyDescent="0.25">
      <c r="A159" s="63"/>
      <c r="U159" s="64" t="str">
        <f t="shared" si="8"/>
        <v>Exclude</v>
      </c>
      <c r="W159" s="65" t="str">
        <f t="shared" si="9"/>
        <v>Exclude</v>
      </c>
      <c r="Y159" s="63"/>
      <c r="AS159" s="64" t="str">
        <f t="shared" si="10"/>
        <v>Exclude</v>
      </c>
      <c r="AU159" s="65" t="str">
        <f t="shared" si="11"/>
        <v>Exclude</v>
      </c>
    </row>
    <row r="160" spans="1:47" s="64" customFormat="1" x14ac:dyDescent="0.25">
      <c r="A160" s="63"/>
      <c r="U160" s="64" t="str">
        <f t="shared" si="8"/>
        <v>Exclude</v>
      </c>
      <c r="W160" s="65" t="str">
        <f t="shared" si="9"/>
        <v>Exclude</v>
      </c>
      <c r="Y160" s="63"/>
      <c r="AS160" s="64" t="str">
        <f t="shared" si="10"/>
        <v>Exclude</v>
      </c>
      <c r="AU160" s="65" t="str">
        <f t="shared" si="11"/>
        <v>Exclude</v>
      </c>
    </row>
    <row r="161" spans="1:47" s="64" customFormat="1" x14ac:dyDescent="0.25">
      <c r="A161" s="63"/>
      <c r="U161" s="64" t="str">
        <f t="shared" si="8"/>
        <v>Exclude</v>
      </c>
      <c r="W161" s="65" t="str">
        <f t="shared" si="9"/>
        <v>Exclude</v>
      </c>
      <c r="Y161" s="63"/>
      <c r="AS161" s="64" t="str">
        <f t="shared" si="10"/>
        <v>Exclude</v>
      </c>
      <c r="AU161" s="65" t="str">
        <f t="shared" si="11"/>
        <v>Exclude</v>
      </c>
    </row>
    <row r="162" spans="1:47" s="64" customFormat="1" x14ac:dyDescent="0.25">
      <c r="A162" s="63"/>
      <c r="U162" s="64" t="str">
        <f t="shared" si="8"/>
        <v>Exclude</v>
      </c>
      <c r="W162" s="65" t="str">
        <f t="shared" si="9"/>
        <v>Exclude</v>
      </c>
      <c r="Y162" s="63"/>
      <c r="AS162" s="64" t="str">
        <f t="shared" si="10"/>
        <v>Exclude</v>
      </c>
      <c r="AU162" s="65" t="str">
        <f t="shared" si="11"/>
        <v>Exclude</v>
      </c>
    </row>
    <row r="163" spans="1:47" s="64" customFormat="1" x14ac:dyDescent="0.25">
      <c r="A163" s="63"/>
      <c r="U163" s="64" t="str">
        <f t="shared" si="8"/>
        <v>Exclude</v>
      </c>
      <c r="W163" s="65" t="str">
        <f t="shared" si="9"/>
        <v>Exclude</v>
      </c>
      <c r="Y163" s="63"/>
      <c r="AS163" s="64" t="str">
        <f t="shared" si="10"/>
        <v>Exclude</v>
      </c>
      <c r="AU163" s="65" t="str">
        <f t="shared" si="11"/>
        <v>Exclude</v>
      </c>
    </row>
    <row r="164" spans="1:47" s="64" customFormat="1" x14ac:dyDescent="0.25">
      <c r="A164" s="63"/>
      <c r="U164" s="64" t="str">
        <f t="shared" si="8"/>
        <v>Exclude</v>
      </c>
      <c r="W164" s="65" t="str">
        <f t="shared" si="9"/>
        <v>Exclude</v>
      </c>
      <c r="Y164" s="63"/>
      <c r="AS164" s="64" t="str">
        <f t="shared" si="10"/>
        <v>Exclude</v>
      </c>
      <c r="AU164" s="65" t="str">
        <f t="shared" si="11"/>
        <v>Exclude</v>
      </c>
    </row>
    <row r="165" spans="1:47" s="64" customFormat="1" x14ac:dyDescent="0.25">
      <c r="A165" s="63"/>
      <c r="U165" s="64" t="str">
        <f t="shared" si="8"/>
        <v>Exclude</v>
      </c>
      <c r="W165" s="65" t="str">
        <f t="shared" si="9"/>
        <v>Exclude</v>
      </c>
      <c r="Y165" s="63"/>
      <c r="AS165" s="64" t="str">
        <f t="shared" si="10"/>
        <v>Exclude</v>
      </c>
      <c r="AU165" s="65" t="str">
        <f t="shared" si="11"/>
        <v>Exclude</v>
      </c>
    </row>
    <row r="166" spans="1:47" s="64" customFormat="1" x14ac:dyDescent="0.25">
      <c r="A166" s="63"/>
      <c r="U166" s="64" t="str">
        <f t="shared" si="8"/>
        <v>Exclude</v>
      </c>
      <c r="W166" s="65" t="str">
        <f t="shared" si="9"/>
        <v>Exclude</v>
      </c>
      <c r="Y166" s="63"/>
      <c r="AS166" s="64" t="str">
        <f t="shared" si="10"/>
        <v>Exclude</v>
      </c>
      <c r="AU166" s="65" t="str">
        <f t="shared" si="11"/>
        <v>Exclude</v>
      </c>
    </row>
    <row r="167" spans="1:47" s="64" customFormat="1" x14ac:dyDescent="0.25">
      <c r="A167" s="63"/>
      <c r="U167" s="64" t="str">
        <f t="shared" si="8"/>
        <v>Exclude</v>
      </c>
      <c r="W167" s="65" t="str">
        <f t="shared" si="9"/>
        <v>Exclude</v>
      </c>
      <c r="Y167" s="63"/>
      <c r="AS167" s="64" t="str">
        <f t="shared" si="10"/>
        <v>Exclude</v>
      </c>
      <c r="AU167" s="65" t="str">
        <f t="shared" si="11"/>
        <v>Exclude</v>
      </c>
    </row>
    <row r="168" spans="1:47" s="64" customFormat="1" x14ac:dyDescent="0.25">
      <c r="A168" s="63"/>
      <c r="U168" s="64" t="str">
        <f t="shared" si="8"/>
        <v>Exclude</v>
      </c>
      <c r="W168" s="65" t="str">
        <f t="shared" si="9"/>
        <v>Exclude</v>
      </c>
      <c r="Y168" s="63"/>
      <c r="AS168" s="64" t="str">
        <f t="shared" si="10"/>
        <v>Exclude</v>
      </c>
      <c r="AU168" s="65" t="str">
        <f t="shared" si="11"/>
        <v>Exclude</v>
      </c>
    </row>
    <row r="169" spans="1:47" s="64" customFormat="1" x14ac:dyDescent="0.25">
      <c r="A169" s="63"/>
      <c r="U169" s="64" t="str">
        <f t="shared" si="8"/>
        <v>Exclude</v>
      </c>
      <c r="W169" s="65" t="str">
        <f t="shared" si="9"/>
        <v>Exclude</v>
      </c>
      <c r="Y169" s="63"/>
      <c r="AS169" s="64" t="str">
        <f t="shared" si="10"/>
        <v>Exclude</v>
      </c>
      <c r="AU169" s="65" t="str">
        <f t="shared" si="11"/>
        <v>Exclude</v>
      </c>
    </row>
    <row r="170" spans="1:47" s="64" customFormat="1" x14ac:dyDescent="0.25">
      <c r="A170" s="63"/>
      <c r="U170" s="64" t="str">
        <f t="shared" si="8"/>
        <v>Exclude</v>
      </c>
      <c r="W170" s="65" t="str">
        <f t="shared" si="9"/>
        <v>Exclude</v>
      </c>
      <c r="Y170" s="63"/>
      <c r="AS170" s="64" t="str">
        <f t="shared" si="10"/>
        <v>Exclude</v>
      </c>
      <c r="AU170" s="65" t="str">
        <f t="shared" si="11"/>
        <v>Exclude</v>
      </c>
    </row>
    <row r="171" spans="1:47" s="64" customFormat="1" x14ac:dyDescent="0.25">
      <c r="A171" s="63"/>
      <c r="U171" s="64" t="str">
        <f t="shared" si="8"/>
        <v>Exclude</v>
      </c>
      <c r="W171" s="65" t="str">
        <f t="shared" si="9"/>
        <v>Exclude</v>
      </c>
      <c r="Y171" s="63"/>
      <c r="AS171" s="64" t="str">
        <f t="shared" si="10"/>
        <v>Exclude</v>
      </c>
      <c r="AU171" s="65" t="str">
        <f t="shared" si="11"/>
        <v>Exclude</v>
      </c>
    </row>
    <row r="172" spans="1:47" s="64" customFormat="1" x14ac:dyDescent="0.25">
      <c r="A172" s="63"/>
      <c r="U172" s="64" t="str">
        <f t="shared" si="8"/>
        <v>Exclude</v>
      </c>
      <c r="W172" s="65" t="str">
        <f t="shared" si="9"/>
        <v>Exclude</v>
      </c>
      <c r="Y172" s="63"/>
      <c r="AS172" s="64" t="str">
        <f t="shared" si="10"/>
        <v>Exclude</v>
      </c>
      <c r="AU172" s="65" t="str">
        <f t="shared" si="11"/>
        <v>Exclude</v>
      </c>
    </row>
    <row r="173" spans="1:47" s="64" customFormat="1" x14ac:dyDescent="0.25">
      <c r="A173" s="63"/>
      <c r="U173" s="64" t="str">
        <f t="shared" si="8"/>
        <v>Exclude</v>
      </c>
      <c r="W173" s="65" t="str">
        <f t="shared" si="9"/>
        <v>Exclude</v>
      </c>
      <c r="Y173" s="63"/>
      <c r="AS173" s="64" t="str">
        <f t="shared" si="10"/>
        <v>Exclude</v>
      </c>
      <c r="AU173" s="65" t="str">
        <f t="shared" si="11"/>
        <v>Exclude</v>
      </c>
    </row>
    <row r="174" spans="1:47" s="64" customFormat="1" x14ac:dyDescent="0.25">
      <c r="A174" s="63"/>
      <c r="U174" s="64" t="str">
        <f t="shared" si="8"/>
        <v>Exclude</v>
      </c>
      <c r="W174" s="65" t="str">
        <f t="shared" si="9"/>
        <v>Exclude</v>
      </c>
      <c r="Y174" s="63"/>
      <c r="AS174" s="64" t="str">
        <f t="shared" si="10"/>
        <v>Exclude</v>
      </c>
      <c r="AU174" s="65" t="str">
        <f t="shared" si="11"/>
        <v>Exclude</v>
      </c>
    </row>
    <row r="175" spans="1:47" s="64" customFormat="1" x14ac:dyDescent="0.25">
      <c r="A175" s="63"/>
      <c r="U175" s="64" t="str">
        <f t="shared" si="8"/>
        <v>Exclude</v>
      </c>
      <c r="W175" s="65" t="str">
        <f t="shared" si="9"/>
        <v>Exclude</v>
      </c>
      <c r="Y175" s="63"/>
      <c r="AS175" s="64" t="str">
        <f t="shared" si="10"/>
        <v>Exclude</v>
      </c>
      <c r="AU175" s="65" t="str">
        <f t="shared" si="11"/>
        <v>Exclude</v>
      </c>
    </row>
    <row r="176" spans="1:47" s="64" customFormat="1" x14ac:dyDescent="0.25">
      <c r="A176" s="63"/>
      <c r="U176" s="64" t="str">
        <f t="shared" si="8"/>
        <v>Exclude</v>
      </c>
      <c r="W176" s="65" t="str">
        <f t="shared" si="9"/>
        <v>Exclude</v>
      </c>
      <c r="Y176" s="63"/>
      <c r="AS176" s="64" t="str">
        <f t="shared" si="10"/>
        <v>Exclude</v>
      </c>
      <c r="AU176" s="65" t="str">
        <f t="shared" si="11"/>
        <v>Exclude</v>
      </c>
    </row>
    <row r="177" spans="1:47" s="64" customFormat="1" x14ac:dyDescent="0.25">
      <c r="A177" s="63"/>
      <c r="U177" s="64" t="str">
        <f t="shared" si="8"/>
        <v>Exclude</v>
      </c>
      <c r="W177" s="65" t="str">
        <f t="shared" si="9"/>
        <v>Exclude</v>
      </c>
      <c r="Y177" s="63"/>
      <c r="AS177" s="64" t="str">
        <f t="shared" si="10"/>
        <v>Exclude</v>
      </c>
      <c r="AU177" s="65" t="str">
        <f t="shared" si="11"/>
        <v>Exclude</v>
      </c>
    </row>
    <row r="178" spans="1:47" s="64" customFormat="1" x14ac:dyDescent="0.25">
      <c r="A178" s="63"/>
      <c r="U178" s="64" t="str">
        <f t="shared" si="8"/>
        <v>Exclude</v>
      </c>
      <c r="W178" s="65" t="str">
        <f t="shared" si="9"/>
        <v>Exclude</v>
      </c>
      <c r="Y178" s="63"/>
      <c r="AS178" s="64" t="str">
        <f t="shared" si="10"/>
        <v>Exclude</v>
      </c>
      <c r="AU178" s="65" t="str">
        <f t="shared" si="11"/>
        <v>Exclude</v>
      </c>
    </row>
    <row r="179" spans="1:47" s="64" customFormat="1" x14ac:dyDescent="0.25">
      <c r="A179" s="63"/>
      <c r="U179" s="64" t="str">
        <f t="shared" si="8"/>
        <v>Exclude</v>
      </c>
      <c r="W179" s="65" t="str">
        <f t="shared" si="9"/>
        <v>Exclude</v>
      </c>
      <c r="Y179" s="63"/>
      <c r="AS179" s="64" t="str">
        <f t="shared" si="10"/>
        <v>Exclude</v>
      </c>
      <c r="AU179" s="65" t="str">
        <f t="shared" si="11"/>
        <v>Exclude</v>
      </c>
    </row>
    <row r="180" spans="1:47" s="64" customFormat="1" x14ac:dyDescent="0.25">
      <c r="A180" s="63"/>
      <c r="U180" s="64" t="str">
        <f t="shared" si="8"/>
        <v>Exclude</v>
      </c>
      <c r="W180" s="65" t="str">
        <f t="shared" si="9"/>
        <v>Exclude</v>
      </c>
      <c r="Y180" s="63"/>
      <c r="AS180" s="64" t="str">
        <f t="shared" si="10"/>
        <v>Exclude</v>
      </c>
      <c r="AU180" s="65" t="str">
        <f t="shared" si="11"/>
        <v>Exclude</v>
      </c>
    </row>
    <row r="181" spans="1:47" s="64" customFormat="1" x14ac:dyDescent="0.25">
      <c r="A181" s="63"/>
      <c r="U181" s="64" t="str">
        <f t="shared" si="8"/>
        <v>Exclude</v>
      </c>
      <c r="W181" s="65" t="str">
        <f t="shared" si="9"/>
        <v>Exclude</v>
      </c>
      <c r="Y181" s="63"/>
      <c r="AS181" s="64" t="str">
        <f t="shared" si="10"/>
        <v>Exclude</v>
      </c>
      <c r="AU181" s="65" t="str">
        <f t="shared" si="11"/>
        <v>Exclude</v>
      </c>
    </row>
    <row r="182" spans="1:47" s="64" customFormat="1" x14ac:dyDescent="0.25">
      <c r="A182" s="63"/>
      <c r="U182" s="64" t="str">
        <f t="shared" si="8"/>
        <v>Exclude</v>
      </c>
      <c r="W182" s="65" t="str">
        <f t="shared" si="9"/>
        <v>Exclude</v>
      </c>
      <c r="Y182" s="63"/>
      <c r="AS182" s="64" t="str">
        <f t="shared" si="10"/>
        <v>Exclude</v>
      </c>
      <c r="AU182" s="65" t="str">
        <f t="shared" si="11"/>
        <v>Exclude</v>
      </c>
    </row>
    <row r="183" spans="1:47" s="64" customFormat="1" x14ac:dyDescent="0.25">
      <c r="A183" s="63"/>
      <c r="U183" s="64" t="str">
        <f t="shared" si="8"/>
        <v>Exclude</v>
      </c>
      <c r="W183" s="65" t="str">
        <f t="shared" si="9"/>
        <v>Exclude</v>
      </c>
      <c r="Y183" s="63"/>
      <c r="AS183" s="64" t="str">
        <f t="shared" si="10"/>
        <v>Exclude</v>
      </c>
      <c r="AU183" s="65" t="str">
        <f t="shared" si="11"/>
        <v>Exclude</v>
      </c>
    </row>
    <row r="184" spans="1:47" s="64" customFormat="1" x14ac:dyDescent="0.25">
      <c r="A184" s="63"/>
      <c r="U184" s="64" t="str">
        <f t="shared" si="8"/>
        <v>Exclude</v>
      </c>
      <c r="W184" s="65" t="str">
        <f t="shared" si="9"/>
        <v>Exclude</v>
      </c>
      <c r="Y184" s="63"/>
      <c r="AS184" s="64" t="str">
        <f t="shared" si="10"/>
        <v>Exclude</v>
      </c>
      <c r="AU184" s="65" t="str">
        <f t="shared" si="11"/>
        <v>Exclude</v>
      </c>
    </row>
    <row r="185" spans="1:47" s="64" customFormat="1" x14ac:dyDescent="0.25">
      <c r="A185" s="63"/>
      <c r="U185" s="64" t="str">
        <f t="shared" si="8"/>
        <v>Exclude</v>
      </c>
      <c r="W185" s="65" t="str">
        <f t="shared" si="9"/>
        <v>Exclude</v>
      </c>
      <c r="Y185" s="63"/>
      <c r="AS185" s="64" t="str">
        <f t="shared" si="10"/>
        <v>Exclude</v>
      </c>
      <c r="AU185" s="65" t="str">
        <f t="shared" si="11"/>
        <v>Exclude</v>
      </c>
    </row>
    <row r="186" spans="1:47" s="64" customFormat="1" x14ac:dyDescent="0.25">
      <c r="A186" s="63"/>
      <c r="U186" s="64" t="str">
        <f t="shared" si="8"/>
        <v>Exclude</v>
      </c>
      <c r="W186" s="65" t="str">
        <f t="shared" si="9"/>
        <v>Exclude</v>
      </c>
      <c r="Y186" s="63"/>
      <c r="AS186" s="64" t="str">
        <f t="shared" si="10"/>
        <v>Exclude</v>
      </c>
      <c r="AU186" s="65" t="str">
        <f t="shared" si="11"/>
        <v>Exclude</v>
      </c>
    </row>
    <row r="187" spans="1:47" s="64" customFormat="1" x14ac:dyDescent="0.25">
      <c r="A187" s="63"/>
      <c r="U187" s="64" t="str">
        <f t="shared" si="8"/>
        <v>Exclude</v>
      </c>
      <c r="W187" s="65" t="str">
        <f t="shared" si="9"/>
        <v>Exclude</v>
      </c>
      <c r="Y187" s="63"/>
      <c r="AS187" s="64" t="str">
        <f t="shared" si="10"/>
        <v>Exclude</v>
      </c>
      <c r="AU187" s="65" t="str">
        <f t="shared" si="11"/>
        <v>Exclude</v>
      </c>
    </row>
    <row r="188" spans="1:47" s="64" customFormat="1" x14ac:dyDescent="0.25">
      <c r="A188" s="63"/>
      <c r="U188" s="64" t="str">
        <f t="shared" si="8"/>
        <v>Exclude</v>
      </c>
      <c r="W188" s="65" t="str">
        <f t="shared" si="9"/>
        <v>Exclude</v>
      </c>
      <c r="Y188" s="63"/>
      <c r="AS188" s="64" t="str">
        <f t="shared" si="10"/>
        <v>Exclude</v>
      </c>
      <c r="AU188" s="65" t="str">
        <f t="shared" si="11"/>
        <v>Exclude</v>
      </c>
    </row>
    <row r="189" spans="1:47" s="64" customFormat="1" x14ac:dyDescent="0.25">
      <c r="A189" s="63"/>
      <c r="U189" s="64" t="str">
        <f t="shared" si="8"/>
        <v>Exclude</v>
      </c>
      <c r="W189" s="65" t="str">
        <f t="shared" si="9"/>
        <v>Exclude</v>
      </c>
      <c r="Y189" s="63"/>
      <c r="AS189" s="64" t="str">
        <f t="shared" si="10"/>
        <v>Exclude</v>
      </c>
      <c r="AU189" s="65" t="str">
        <f t="shared" si="11"/>
        <v>Exclude</v>
      </c>
    </row>
    <row r="190" spans="1:47" s="64" customFormat="1" x14ac:dyDescent="0.25">
      <c r="A190" s="63"/>
      <c r="U190" s="64" t="str">
        <f t="shared" si="8"/>
        <v>Exclude</v>
      </c>
      <c r="W190" s="65" t="str">
        <f t="shared" si="9"/>
        <v>Exclude</v>
      </c>
      <c r="Y190" s="63"/>
      <c r="AS190" s="64" t="str">
        <f t="shared" si="10"/>
        <v>Exclude</v>
      </c>
      <c r="AU190" s="65" t="str">
        <f t="shared" si="11"/>
        <v>Exclude</v>
      </c>
    </row>
    <row r="191" spans="1:47" s="64" customFormat="1" x14ac:dyDescent="0.25">
      <c r="A191" s="63"/>
      <c r="U191" s="64" t="str">
        <f t="shared" si="8"/>
        <v>Exclude</v>
      </c>
      <c r="W191" s="65" t="str">
        <f t="shared" si="9"/>
        <v>Exclude</v>
      </c>
      <c r="Y191" s="63"/>
      <c r="AS191" s="64" t="str">
        <f t="shared" si="10"/>
        <v>Exclude</v>
      </c>
      <c r="AU191" s="65" t="str">
        <f t="shared" si="11"/>
        <v>Exclude</v>
      </c>
    </row>
    <row r="192" spans="1:47" s="64" customFormat="1" x14ac:dyDescent="0.25">
      <c r="A192" s="63"/>
      <c r="U192" s="64" t="str">
        <f t="shared" si="8"/>
        <v>Exclude</v>
      </c>
      <c r="W192" s="65" t="str">
        <f t="shared" si="9"/>
        <v>Exclude</v>
      </c>
      <c r="Y192" s="63"/>
      <c r="AS192" s="64" t="str">
        <f t="shared" si="10"/>
        <v>Exclude</v>
      </c>
      <c r="AU192" s="65" t="str">
        <f t="shared" si="11"/>
        <v>Exclude</v>
      </c>
    </row>
    <row r="193" spans="1:47" s="64" customFormat="1" x14ac:dyDescent="0.25">
      <c r="A193" s="63"/>
      <c r="U193" s="64" t="str">
        <f t="shared" si="8"/>
        <v>Exclude</v>
      </c>
      <c r="W193" s="65" t="str">
        <f t="shared" si="9"/>
        <v>Exclude</v>
      </c>
      <c r="Y193" s="63"/>
      <c r="AS193" s="64" t="str">
        <f t="shared" si="10"/>
        <v>Exclude</v>
      </c>
      <c r="AU193" s="65" t="str">
        <f t="shared" si="11"/>
        <v>Exclude</v>
      </c>
    </row>
    <row r="194" spans="1:47" s="64" customFormat="1" x14ac:dyDescent="0.25">
      <c r="A194" s="63"/>
      <c r="U194" s="64" t="str">
        <f t="shared" si="8"/>
        <v>Exclude</v>
      </c>
      <c r="W194" s="65" t="str">
        <f t="shared" si="9"/>
        <v>Exclude</v>
      </c>
      <c r="Y194" s="63"/>
      <c r="AS194" s="64" t="str">
        <f t="shared" si="10"/>
        <v>Exclude</v>
      </c>
      <c r="AU194" s="65" t="str">
        <f t="shared" si="11"/>
        <v>Exclude</v>
      </c>
    </row>
    <row r="195" spans="1:47" s="64" customFormat="1" x14ac:dyDescent="0.25">
      <c r="A195" s="63"/>
      <c r="U195" s="64" t="str">
        <f t="shared" si="8"/>
        <v>Exclude</v>
      </c>
      <c r="W195" s="65" t="str">
        <f t="shared" si="9"/>
        <v>Exclude</v>
      </c>
      <c r="Y195" s="63"/>
      <c r="AS195" s="64" t="str">
        <f t="shared" si="10"/>
        <v>Exclude</v>
      </c>
      <c r="AU195" s="65" t="str">
        <f t="shared" si="11"/>
        <v>Exclude</v>
      </c>
    </row>
    <row r="196" spans="1:47" s="64" customFormat="1" x14ac:dyDescent="0.25">
      <c r="A196" s="63"/>
      <c r="U196" s="64" t="str">
        <f t="shared" si="8"/>
        <v>Exclude</v>
      </c>
      <c r="W196" s="65" t="str">
        <f t="shared" si="9"/>
        <v>Exclude</v>
      </c>
      <c r="Y196" s="63"/>
      <c r="AS196" s="64" t="str">
        <f t="shared" si="10"/>
        <v>Exclude</v>
      </c>
      <c r="AU196" s="65" t="str">
        <f t="shared" si="11"/>
        <v>Exclude</v>
      </c>
    </row>
    <row r="197" spans="1:47" s="64" customFormat="1" x14ac:dyDescent="0.25">
      <c r="A197" s="63"/>
      <c r="U197" s="64" t="str">
        <f t="shared" si="8"/>
        <v>Exclude</v>
      </c>
      <c r="W197" s="65" t="str">
        <f t="shared" si="9"/>
        <v>Exclude</v>
      </c>
      <c r="Y197" s="63"/>
      <c r="AS197" s="64" t="str">
        <f t="shared" si="10"/>
        <v>Exclude</v>
      </c>
      <c r="AU197" s="65" t="str">
        <f t="shared" si="11"/>
        <v>Exclude</v>
      </c>
    </row>
    <row r="198" spans="1:47" s="64" customFormat="1" x14ac:dyDescent="0.25">
      <c r="A198" s="63"/>
      <c r="U198" s="64" t="str">
        <f t="shared" si="8"/>
        <v>Exclude</v>
      </c>
      <c r="W198" s="65" t="str">
        <f t="shared" si="9"/>
        <v>Exclude</v>
      </c>
      <c r="Y198" s="63"/>
      <c r="AS198" s="64" t="str">
        <f t="shared" si="10"/>
        <v>Exclude</v>
      </c>
      <c r="AU198" s="65" t="str">
        <f t="shared" si="11"/>
        <v>Exclude</v>
      </c>
    </row>
    <row r="199" spans="1:47" s="64" customFormat="1" x14ac:dyDescent="0.25">
      <c r="A199" s="63"/>
      <c r="U199" s="64" t="str">
        <f t="shared" si="8"/>
        <v>Exclude</v>
      </c>
      <c r="W199" s="65" t="str">
        <f t="shared" si="9"/>
        <v>Exclude</v>
      </c>
      <c r="Y199" s="63"/>
      <c r="AS199" s="64" t="str">
        <f t="shared" si="10"/>
        <v>Exclude</v>
      </c>
      <c r="AU199" s="65" t="str">
        <f t="shared" si="11"/>
        <v>Exclude</v>
      </c>
    </row>
    <row r="200" spans="1:47" s="64" customFormat="1" x14ac:dyDescent="0.25">
      <c r="A200" s="63"/>
      <c r="U200" s="64" t="str">
        <f t="shared" si="8"/>
        <v>Exclude</v>
      </c>
      <c r="W200" s="65" t="str">
        <f t="shared" si="9"/>
        <v>Exclude</v>
      </c>
      <c r="Y200" s="63"/>
      <c r="AS200" s="64" t="str">
        <f t="shared" si="10"/>
        <v>Exclude</v>
      </c>
      <c r="AU200" s="65" t="str">
        <f t="shared" si="11"/>
        <v>Exclude</v>
      </c>
    </row>
    <row r="201" spans="1:47" s="64" customFormat="1" x14ac:dyDescent="0.25">
      <c r="A201" s="63"/>
      <c r="U201" s="64" t="str">
        <f t="shared" si="8"/>
        <v>Exclude</v>
      </c>
      <c r="W201" s="65" t="str">
        <f t="shared" si="9"/>
        <v>Exclude</v>
      </c>
      <c r="Y201" s="63"/>
      <c r="AS201" s="64" t="str">
        <f t="shared" si="10"/>
        <v>Exclude</v>
      </c>
      <c r="AU201" s="65" t="str">
        <f t="shared" si="11"/>
        <v>Exclude</v>
      </c>
    </row>
    <row r="202" spans="1:47" s="64" customFormat="1" x14ac:dyDescent="0.25">
      <c r="A202" s="63"/>
      <c r="U202" s="64" t="str">
        <f t="shared" si="8"/>
        <v>Exclude</v>
      </c>
      <c r="W202" s="65" t="str">
        <f t="shared" si="9"/>
        <v>Exclude</v>
      </c>
      <c r="Y202" s="63"/>
      <c r="AS202" s="64" t="str">
        <f t="shared" si="10"/>
        <v>Exclude</v>
      </c>
      <c r="AU202" s="65" t="str">
        <f t="shared" si="11"/>
        <v>Exclude</v>
      </c>
    </row>
    <row r="203" spans="1:47" s="64" customFormat="1" x14ac:dyDescent="0.25">
      <c r="A203" s="63"/>
      <c r="U203" s="64" t="str">
        <f t="shared" si="8"/>
        <v>Exclude</v>
      </c>
      <c r="W203" s="65" t="str">
        <f t="shared" si="9"/>
        <v>Exclude</v>
      </c>
      <c r="Y203" s="63"/>
      <c r="AS203" s="64" t="str">
        <f t="shared" si="10"/>
        <v>Exclude</v>
      </c>
      <c r="AU203" s="65" t="str">
        <f t="shared" si="11"/>
        <v>Exclude</v>
      </c>
    </row>
    <row r="204" spans="1:47" s="64" customFormat="1" x14ac:dyDescent="0.25">
      <c r="A204" s="63"/>
      <c r="U204" s="64" t="str">
        <f t="shared" si="8"/>
        <v>Exclude</v>
      </c>
      <c r="W204" s="65" t="str">
        <f t="shared" si="9"/>
        <v>Exclude</v>
      </c>
      <c r="Y204" s="63"/>
      <c r="AS204" s="64" t="str">
        <f t="shared" si="10"/>
        <v>Exclude</v>
      </c>
      <c r="AU204" s="65" t="str">
        <f t="shared" si="11"/>
        <v>Exclude</v>
      </c>
    </row>
    <row r="205" spans="1:47" s="64" customFormat="1" x14ac:dyDescent="0.25">
      <c r="A205" s="63"/>
      <c r="U205" s="64" t="str">
        <f t="shared" si="8"/>
        <v>Exclude</v>
      </c>
      <c r="W205" s="65" t="str">
        <f t="shared" si="9"/>
        <v>Exclude</v>
      </c>
      <c r="Y205" s="63"/>
      <c r="AS205" s="64" t="str">
        <f t="shared" si="10"/>
        <v>Exclude</v>
      </c>
      <c r="AU205" s="65" t="str">
        <f t="shared" si="11"/>
        <v>Exclude</v>
      </c>
    </row>
    <row r="206" spans="1:47" s="64" customFormat="1" x14ac:dyDescent="0.25">
      <c r="A206" s="63"/>
      <c r="U206" s="64" t="str">
        <f t="shared" si="8"/>
        <v>Exclude</v>
      </c>
      <c r="W206" s="65" t="str">
        <f t="shared" si="9"/>
        <v>Exclude</v>
      </c>
      <c r="Y206" s="63"/>
      <c r="AS206" s="64" t="str">
        <f t="shared" si="10"/>
        <v>Exclude</v>
      </c>
      <c r="AU206" s="65" t="str">
        <f t="shared" si="11"/>
        <v>Exclude</v>
      </c>
    </row>
    <row r="207" spans="1:47" s="64" customFormat="1" x14ac:dyDescent="0.25">
      <c r="A207" s="63"/>
      <c r="U207" s="64" t="str">
        <f t="shared" si="8"/>
        <v>Exclude</v>
      </c>
      <c r="W207" s="65" t="str">
        <f t="shared" si="9"/>
        <v>Exclude</v>
      </c>
      <c r="Y207" s="63"/>
      <c r="AS207" s="64" t="str">
        <f t="shared" si="10"/>
        <v>Exclude</v>
      </c>
      <c r="AU207" s="65" t="str">
        <f t="shared" si="11"/>
        <v>Exclude</v>
      </c>
    </row>
    <row r="208" spans="1:47" s="64" customFormat="1" x14ac:dyDescent="0.25">
      <c r="A208" s="63"/>
      <c r="U208" s="64" t="str">
        <f t="shared" si="8"/>
        <v>Exclude</v>
      </c>
      <c r="W208" s="65" t="str">
        <f t="shared" si="9"/>
        <v>Exclude</v>
      </c>
      <c r="Y208" s="63"/>
      <c r="AS208" s="64" t="str">
        <f t="shared" si="10"/>
        <v>Exclude</v>
      </c>
      <c r="AU208" s="65" t="str">
        <f t="shared" si="11"/>
        <v>Exclude</v>
      </c>
    </row>
    <row r="209" spans="1:47" s="64" customFormat="1" x14ac:dyDescent="0.25">
      <c r="A209" s="63"/>
      <c r="U209" s="64" t="str">
        <f t="shared" si="8"/>
        <v>Exclude</v>
      </c>
      <c r="W209" s="65" t="str">
        <f t="shared" si="9"/>
        <v>Exclude</v>
      </c>
      <c r="Y209" s="63"/>
      <c r="AS209" s="64" t="str">
        <f t="shared" si="10"/>
        <v>Exclude</v>
      </c>
      <c r="AU209" s="65" t="str">
        <f t="shared" si="11"/>
        <v>Exclude</v>
      </c>
    </row>
    <row r="210" spans="1:47" s="64" customFormat="1" x14ac:dyDescent="0.25">
      <c r="A210" s="63"/>
      <c r="U210" s="64" t="str">
        <f t="shared" si="8"/>
        <v>Exclude</v>
      </c>
      <c r="W210" s="65" t="str">
        <f t="shared" si="9"/>
        <v>Exclude</v>
      </c>
      <c r="Y210" s="63"/>
      <c r="AS210" s="64" t="str">
        <f t="shared" si="10"/>
        <v>Exclude</v>
      </c>
      <c r="AU210" s="65" t="str">
        <f t="shared" si="11"/>
        <v>Exclude</v>
      </c>
    </row>
    <row r="211" spans="1:47" s="64" customFormat="1" x14ac:dyDescent="0.25">
      <c r="A211" s="63"/>
      <c r="U211" s="64" t="str">
        <f t="shared" si="8"/>
        <v>Exclude</v>
      </c>
      <c r="W211" s="65" t="str">
        <f t="shared" si="9"/>
        <v>Exclude</v>
      </c>
      <c r="Y211" s="63"/>
      <c r="AS211" s="64" t="str">
        <f t="shared" si="10"/>
        <v>Exclude</v>
      </c>
      <c r="AU211" s="65" t="str">
        <f t="shared" si="11"/>
        <v>Exclude</v>
      </c>
    </row>
    <row r="212" spans="1:47" s="64" customFormat="1" x14ac:dyDescent="0.25">
      <c r="A212" s="63"/>
      <c r="U212" s="64" t="str">
        <f t="shared" si="8"/>
        <v>Exclude</v>
      </c>
      <c r="W212" s="65" t="str">
        <f t="shared" si="9"/>
        <v>Exclude</v>
      </c>
      <c r="Y212" s="63"/>
      <c r="AS212" s="64" t="str">
        <f t="shared" si="10"/>
        <v>Exclude</v>
      </c>
      <c r="AU212" s="65" t="str">
        <f t="shared" si="11"/>
        <v>Exclude</v>
      </c>
    </row>
    <row r="213" spans="1:47" s="64" customFormat="1" x14ac:dyDescent="0.25">
      <c r="A213" s="63"/>
      <c r="U213" s="64" t="str">
        <f t="shared" ref="U213:U276" si="12">IF(OR(R213="TruePositive",R213="TrueNegative"),IF(R212&lt;&gt;"Anticipatory",(N213),"Pant"),"Exclude")</f>
        <v>Exclude</v>
      </c>
      <c r="W213" s="65" t="str">
        <f t="shared" ref="W213:W276" si="13">IF(OR(R213="TruePositive",R213="TrueNegative"),IF(R212&lt;&gt;"Anticipatory",LOG10(N213),"Exclude"),"Exclude")</f>
        <v>Exclude</v>
      </c>
      <c r="Y213" s="63"/>
      <c r="AS213" s="64" t="str">
        <f t="shared" ref="AS213:AS276" si="14">IF(OR(AP213="TruePositive",AP213="TrueNegative"),IF(AP212&lt;&gt;"Anticipatory",(AL213),"Pant"),"Exclude")</f>
        <v>Exclude</v>
      </c>
      <c r="AU213" s="65" t="str">
        <f t="shared" ref="AU213:AU276" si="15">IF(OR(AP213="TruePositive",AP213="TrueNegative"),IF(AP212&lt;&gt;"Anticipatory",LOG10(AL213),"Exclude"),"Exclude")</f>
        <v>Exclude</v>
      </c>
    </row>
    <row r="214" spans="1:47" s="64" customFormat="1" x14ac:dyDescent="0.25">
      <c r="A214" s="63"/>
      <c r="U214" s="64" t="str">
        <f t="shared" si="12"/>
        <v>Exclude</v>
      </c>
      <c r="W214" s="65" t="str">
        <f t="shared" si="13"/>
        <v>Exclude</v>
      </c>
      <c r="Y214" s="63"/>
      <c r="AS214" s="64" t="str">
        <f t="shared" si="14"/>
        <v>Exclude</v>
      </c>
      <c r="AU214" s="65" t="str">
        <f t="shared" si="15"/>
        <v>Exclude</v>
      </c>
    </row>
    <row r="215" spans="1:47" s="64" customFormat="1" x14ac:dyDescent="0.25">
      <c r="A215" s="63"/>
      <c r="U215" s="64" t="str">
        <f t="shared" si="12"/>
        <v>Exclude</v>
      </c>
      <c r="W215" s="65" t="str">
        <f t="shared" si="13"/>
        <v>Exclude</v>
      </c>
      <c r="Y215" s="63"/>
      <c r="AS215" s="64" t="str">
        <f t="shared" si="14"/>
        <v>Exclude</v>
      </c>
      <c r="AU215" s="65" t="str">
        <f t="shared" si="15"/>
        <v>Exclude</v>
      </c>
    </row>
    <row r="216" spans="1:47" s="64" customFormat="1" x14ac:dyDescent="0.25">
      <c r="A216" s="63"/>
      <c r="U216" s="64" t="str">
        <f t="shared" si="12"/>
        <v>Exclude</v>
      </c>
      <c r="W216" s="65" t="str">
        <f t="shared" si="13"/>
        <v>Exclude</v>
      </c>
      <c r="Y216" s="63"/>
      <c r="AS216" s="64" t="str">
        <f t="shared" si="14"/>
        <v>Exclude</v>
      </c>
      <c r="AU216" s="65" t="str">
        <f t="shared" si="15"/>
        <v>Exclude</v>
      </c>
    </row>
    <row r="217" spans="1:47" s="64" customFormat="1" x14ac:dyDescent="0.25">
      <c r="A217" s="63"/>
      <c r="U217" s="64" t="str">
        <f t="shared" si="12"/>
        <v>Exclude</v>
      </c>
      <c r="W217" s="65" t="str">
        <f t="shared" si="13"/>
        <v>Exclude</v>
      </c>
      <c r="Y217" s="63"/>
      <c r="AS217" s="64" t="str">
        <f t="shared" si="14"/>
        <v>Exclude</v>
      </c>
      <c r="AU217" s="65" t="str">
        <f t="shared" si="15"/>
        <v>Exclude</v>
      </c>
    </row>
    <row r="218" spans="1:47" s="64" customFormat="1" x14ac:dyDescent="0.25">
      <c r="A218" s="63"/>
      <c r="U218" s="64" t="str">
        <f t="shared" si="12"/>
        <v>Exclude</v>
      </c>
      <c r="W218" s="65" t="str">
        <f t="shared" si="13"/>
        <v>Exclude</v>
      </c>
      <c r="Y218" s="63"/>
      <c r="AS218" s="64" t="str">
        <f t="shared" si="14"/>
        <v>Exclude</v>
      </c>
      <c r="AU218" s="65" t="str">
        <f t="shared" si="15"/>
        <v>Exclude</v>
      </c>
    </row>
    <row r="219" spans="1:47" s="64" customFormat="1" x14ac:dyDescent="0.25">
      <c r="A219" s="63"/>
      <c r="U219" s="64" t="str">
        <f t="shared" si="12"/>
        <v>Exclude</v>
      </c>
      <c r="W219" s="65" t="str">
        <f t="shared" si="13"/>
        <v>Exclude</v>
      </c>
      <c r="Y219" s="63"/>
      <c r="AS219" s="64" t="str">
        <f t="shared" si="14"/>
        <v>Exclude</v>
      </c>
      <c r="AU219" s="65" t="str">
        <f t="shared" si="15"/>
        <v>Exclude</v>
      </c>
    </row>
    <row r="220" spans="1:47" s="64" customFormat="1" x14ac:dyDescent="0.25">
      <c r="A220" s="63"/>
      <c r="U220" s="64" t="str">
        <f t="shared" si="12"/>
        <v>Exclude</v>
      </c>
      <c r="W220" s="65" t="str">
        <f t="shared" si="13"/>
        <v>Exclude</v>
      </c>
      <c r="Y220" s="63"/>
      <c r="AS220" s="64" t="str">
        <f t="shared" si="14"/>
        <v>Exclude</v>
      </c>
      <c r="AU220" s="65" t="str">
        <f t="shared" si="15"/>
        <v>Exclude</v>
      </c>
    </row>
    <row r="221" spans="1:47" s="64" customFormat="1" x14ac:dyDescent="0.25">
      <c r="A221" s="63"/>
      <c r="U221" s="64" t="str">
        <f t="shared" si="12"/>
        <v>Exclude</v>
      </c>
      <c r="W221" s="65" t="str">
        <f t="shared" si="13"/>
        <v>Exclude</v>
      </c>
      <c r="Y221" s="63"/>
      <c r="AS221" s="64" t="str">
        <f t="shared" si="14"/>
        <v>Exclude</v>
      </c>
      <c r="AU221" s="65" t="str">
        <f t="shared" si="15"/>
        <v>Exclude</v>
      </c>
    </row>
    <row r="222" spans="1:47" s="64" customFormat="1" x14ac:dyDescent="0.25">
      <c r="A222" s="63"/>
      <c r="U222" s="64" t="str">
        <f t="shared" si="12"/>
        <v>Exclude</v>
      </c>
      <c r="W222" s="65" t="str">
        <f t="shared" si="13"/>
        <v>Exclude</v>
      </c>
      <c r="Y222" s="63"/>
      <c r="AS222" s="64" t="str">
        <f t="shared" si="14"/>
        <v>Exclude</v>
      </c>
      <c r="AU222" s="65" t="str">
        <f t="shared" si="15"/>
        <v>Exclude</v>
      </c>
    </row>
    <row r="223" spans="1:47" s="64" customFormat="1" x14ac:dyDescent="0.25">
      <c r="A223" s="63"/>
      <c r="U223" s="64" t="str">
        <f t="shared" si="12"/>
        <v>Exclude</v>
      </c>
      <c r="W223" s="65" t="str">
        <f t="shared" si="13"/>
        <v>Exclude</v>
      </c>
      <c r="Y223" s="63"/>
      <c r="AS223" s="64" t="str">
        <f t="shared" si="14"/>
        <v>Exclude</v>
      </c>
      <c r="AU223" s="65" t="str">
        <f t="shared" si="15"/>
        <v>Exclude</v>
      </c>
    </row>
    <row r="224" spans="1:47" s="64" customFormat="1" x14ac:dyDescent="0.25">
      <c r="A224" s="63"/>
      <c r="U224" s="64" t="str">
        <f t="shared" si="12"/>
        <v>Exclude</v>
      </c>
      <c r="W224" s="65" t="str">
        <f t="shared" si="13"/>
        <v>Exclude</v>
      </c>
      <c r="Y224" s="63"/>
      <c r="AS224" s="64" t="str">
        <f t="shared" si="14"/>
        <v>Exclude</v>
      </c>
      <c r="AU224" s="65" t="str">
        <f t="shared" si="15"/>
        <v>Exclude</v>
      </c>
    </row>
    <row r="225" spans="1:47" s="64" customFormat="1" x14ac:dyDescent="0.25">
      <c r="A225" s="63"/>
      <c r="U225" s="64" t="str">
        <f t="shared" si="12"/>
        <v>Exclude</v>
      </c>
      <c r="W225" s="65" t="str">
        <f t="shared" si="13"/>
        <v>Exclude</v>
      </c>
      <c r="Y225" s="63"/>
      <c r="AS225" s="64" t="str">
        <f t="shared" si="14"/>
        <v>Exclude</v>
      </c>
      <c r="AU225" s="65" t="str">
        <f t="shared" si="15"/>
        <v>Exclude</v>
      </c>
    </row>
    <row r="226" spans="1:47" s="64" customFormat="1" x14ac:dyDescent="0.25">
      <c r="A226" s="63"/>
      <c r="U226" s="64" t="str">
        <f t="shared" si="12"/>
        <v>Exclude</v>
      </c>
      <c r="W226" s="65" t="str">
        <f t="shared" si="13"/>
        <v>Exclude</v>
      </c>
      <c r="Y226" s="63"/>
      <c r="AS226" s="64" t="str">
        <f t="shared" si="14"/>
        <v>Exclude</v>
      </c>
      <c r="AU226" s="65" t="str">
        <f t="shared" si="15"/>
        <v>Exclude</v>
      </c>
    </row>
    <row r="227" spans="1:47" s="64" customFormat="1" x14ac:dyDescent="0.25">
      <c r="A227" s="63"/>
      <c r="U227" s="64" t="str">
        <f t="shared" si="12"/>
        <v>Exclude</v>
      </c>
      <c r="W227" s="65" t="str">
        <f t="shared" si="13"/>
        <v>Exclude</v>
      </c>
      <c r="Y227" s="63"/>
      <c r="AS227" s="64" t="str">
        <f t="shared" si="14"/>
        <v>Exclude</v>
      </c>
      <c r="AU227" s="65" t="str">
        <f t="shared" si="15"/>
        <v>Exclude</v>
      </c>
    </row>
    <row r="228" spans="1:47" s="64" customFormat="1" x14ac:dyDescent="0.25">
      <c r="A228" s="63"/>
      <c r="U228" s="64" t="str">
        <f t="shared" si="12"/>
        <v>Exclude</v>
      </c>
      <c r="W228" s="65" t="str">
        <f t="shared" si="13"/>
        <v>Exclude</v>
      </c>
      <c r="Y228" s="63"/>
      <c r="AS228" s="64" t="str">
        <f t="shared" si="14"/>
        <v>Exclude</v>
      </c>
      <c r="AU228" s="65" t="str">
        <f t="shared" si="15"/>
        <v>Exclude</v>
      </c>
    </row>
    <row r="229" spans="1:47" s="64" customFormat="1" x14ac:dyDescent="0.25">
      <c r="A229" s="63"/>
      <c r="U229" s="64" t="str">
        <f t="shared" si="12"/>
        <v>Exclude</v>
      </c>
      <c r="W229" s="65" t="str">
        <f t="shared" si="13"/>
        <v>Exclude</v>
      </c>
      <c r="Y229" s="63"/>
      <c r="AS229" s="64" t="str">
        <f t="shared" si="14"/>
        <v>Exclude</v>
      </c>
      <c r="AU229" s="65" t="str">
        <f t="shared" si="15"/>
        <v>Exclude</v>
      </c>
    </row>
    <row r="230" spans="1:47" s="64" customFormat="1" x14ac:dyDescent="0.25">
      <c r="A230" s="63"/>
      <c r="U230" s="64" t="str">
        <f t="shared" si="12"/>
        <v>Exclude</v>
      </c>
      <c r="W230" s="65" t="str">
        <f t="shared" si="13"/>
        <v>Exclude</v>
      </c>
      <c r="Y230" s="63"/>
      <c r="AS230" s="64" t="str">
        <f t="shared" si="14"/>
        <v>Exclude</v>
      </c>
      <c r="AU230" s="65" t="str">
        <f t="shared" si="15"/>
        <v>Exclude</v>
      </c>
    </row>
    <row r="231" spans="1:47" s="64" customFormat="1" x14ac:dyDescent="0.25">
      <c r="A231" s="63"/>
      <c r="U231" s="64" t="str">
        <f t="shared" si="12"/>
        <v>Exclude</v>
      </c>
      <c r="W231" s="65" t="str">
        <f t="shared" si="13"/>
        <v>Exclude</v>
      </c>
      <c r="Y231" s="63"/>
      <c r="AS231" s="64" t="str">
        <f t="shared" si="14"/>
        <v>Exclude</v>
      </c>
      <c r="AU231" s="65" t="str">
        <f t="shared" si="15"/>
        <v>Exclude</v>
      </c>
    </row>
    <row r="232" spans="1:47" s="64" customFormat="1" x14ac:dyDescent="0.25">
      <c r="A232" s="63"/>
      <c r="U232" s="64" t="str">
        <f t="shared" si="12"/>
        <v>Exclude</v>
      </c>
      <c r="W232" s="65" t="str">
        <f t="shared" si="13"/>
        <v>Exclude</v>
      </c>
      <c r="Y232" s="63"/>
      <c r="AS232" s="64" t="str">
        <f t="shared" si="14"/>
        <v>Exclude</v>
      </c>
      <c r="AU232" s="65" t="str">
        <f t="shared" si="15"/>
        <v>Exclude</v>
      </c>
    </row>
    <row r="233" spans="1:47" s="64" customFormat="1" x14ac:dyDescent="0.25">
      <c r="A233" s="63"/>
      <c r="U233" s="64" t="str">
        <f t="shared" si="12"/>
        <v>Exclude</v>
      </c>
      <c r="W233" s="65" t="str">
        <f t="shared" si="13"/>
        <v>Exclude</v>
      </c>
      <c r="Y233" s="63"/>
      <c r="AS233" s="64" t="str">
        <f t="shared" si="14"/>
        <v>Exclude</v>
      </c>
      <c r="AU233" s="65" t="str">
        <f t="shared" si="15"/>
        <v>Exclude</v>
      </c>
    </row>
    <row r="234" spans="1:47" s="64" customFormat="1" x14ac:dyDescent="0.25">
      <c r="A234" s="63"/>
      <c r="U234" s="64" t="str">
        <f t="shared" si="12"/>
        <v>Exclude</v>
      </c>
      <c r="W234" s="65" t="str">
        <f t="shared" si="13"/>
        <v>Exclude</v>
      </c>
      <c r="Y234" s="63"/>
      <c r="AS234" s="64" t="str">
        <f t="shared" si="14"/>
        <v>Exclude</v>
      </c>
      <c r="AU234" s="65" t="str">
        <f t="shared" si="15"/>
        <v>Exclude</v>
      </c>
    </row>
    <row r="235" spans="1:47" s="64" customFormat="1" x14ac:dyDescent="0.25">
      <c r="A235" s="63"/>
      <c r="U235" s="64" t="str">
        <f t="shared" si="12"/>
        <v>Exclude</v>
      </c>
      <c r="W235" s="65" t="str">
        <f t="shared" si="13"/>
        <v>Exclude</v>
      </c>
      <c r="Y235" s="63"/>
      <c r="AS235" s="64" t="str">
        <f t="shared" si="14"/>
        <v>Exclude</v>
      </c>
      <c r="AU235" s="65" t="str">
        <f t="shared" si="15"/>
        <v>Exclude</v>
      </c>
    </row>
    <row r="236" spans="1:47" s="64" customFormat="1" x14ac:dyDescent="0.25">
      <c r="A236" s="63"/>
      <c r="U236" s="64" t="str">
        <f t="shared" si="12"/>
        <v>Exclude</v>
      </c>
      <c r="W236" s="65" t="str">
        <f t="shared" si="13"/>
        <v>Exclude</v>
      </c>
      <c r="Y236" s="63"/>
      <c r="AS236" s="64" t="str">
        <f t="shared" si="14"/>
        <v>Exclude</v>
      </c>
      <c r="AU236" s="65" t="str">
        <f t="shared" si="15"/>
        <v>Exclude</v>
      </c>
    </row>
    <row r="237" spans="1:47" s="64" customFormat="1" x14ac:dyDescent="0.25">
      <c r="A237" s="63"/>
      <c r="U237" s="64" t="str">
        <f t="shared" si="12"/>
        <v>Exclude</v>
      </c>
      <c r="W237" s="65" t="str">
        <f t="shared" si="13"/>
        <v>Exclude</v>
      </c>
      <c r="Y237" s="63"/>
      <c r="AS237" s="64" t="str">
        <f t="shared" si="14"/>
        <v>Exclude</v>
      </c>
      <c r="AU237" s="65" t="str">
        <f t="shared" si="15"/>
        <v>Exclude</v>
      </c>
    </row>
    <row r="238" spans="1:47" s="64" customFormat="1" x14ac:dyDescent="0.25">
      <c r="A238" s="63"/>
      <c r="U238" s="64" t="str">
        <f t="shared" si="12"/>
        <v>Exclude</v>
      </c>
      <c r="W238" s="65" t="str">
        <f t="shared" si="13"/>
        <v>Exclude</v>
      </c>
      <c r="Y238" s="63"/>
      <c r="AS238" s="64" t="str">
        <f t="shared" si="14"/>
        <v>Exclude</v>
      </c>
      <c r="AU238" s="65" t="str">
        <f t="shared" si="15"/>
        <v>Exclude</v>
      </c>
    </row>
    <row r="239" spans="1:47" s="64" customFormat="1" x14ac:dyDescent="0.25">
      <c r="A239" s="63"/>
      <c r="U239" s="64" t="str">
        <f t="shared" si="12"/>
        <v>Exclude</v>
      </c>
      <c r="W239" s="65" t="str">
        <f t="shared" si="13"/>
        <v>Exclude</v>
      </c>
      <c r="Y239" s="63"/>
      <c r="AS239" s="64" t="str">
        <f t="shared" si="14"/>
        <v>Exclude</v>
      </c>
      <c r="AU239" s="65" t="str">
        <f t="shared" si="15"/>
        <v>Exclude</v>
      </c>
    </row>
    <row r="240" spans="1:47" s="64" customFormat="1" x14ac:dyDescent="0.25">
      <c r="A240" s="63"/>
      <c r="U240" s="64" t="str">
        <f t="shared" si="12"/>
        <v>Exclude</v>
      </c>
      <c r="W240" s="65" t="str">
        <f t="shared" si="13"/>
        <v>Exclude</v>
      </c>
      <c r="Y240" s="63"/>
      <c r="AS240" s="64" t="str">
        <f t="shared" si="14"/>
        <v>Exclude</v>
      </c>
      <c r="AU240" s="65" t="str">
        <f t="shared" si="15"/>
        <v>Exclude</v>
      </c>
    </row>
    <row r="241" spans="1:47" s="64" customFormat="1" x14ac:dyDescent="0.25">
      <c r="A241" s="63"/>
      <c r="U241" s="64" t="str">
        <f t="shared" si="12"/>
        <v>Exclude</v>
      </c>
      <c r="W241" s="65" t="str">
        <f t="shared" si="13"/>
        <v>Exclude</v>
      </c>
      <c r="Y241" s="63"/>
      <c r="AS241" s="64" t="str">
        <f t="shared" si="14"/>
        <v>Exclude</v>
      </c>
      <c r="AU241" s="65" t="str">
        <f t="shared" si="15"/>
        <v>Exclude</v>
      </c>
    </row>
    <row r="242" spans="1:47" s="64" customFormat="1" x14ac:dyDescent="0.25">
      <c r="A242" s="63"/>
      <c r="U242" s="64" t="str">
        <f t="shared" si="12"/>
        <v>Exclude</v>
      </c>
      <c r="W242" s="65" t="str">
        <f t="shared" si="13"/>
        <v>Exclude</v>
      </c>
      <c r="Y242" s="63"/>
      <c r="AS242" s="64" t="str">
        <f t="shared" si="14"/>
        <v>Exclude</v>
      </c>
      <c r="AU242" s="65" t="str">
        <f t="shared" si="15"/>
        <v>Exclude</v>
      </c>
    </row>
    <row r="243" spans="1:47" s="64" customFormat="1" x14ac:dyDescent="0.25">
      <c r="A243" s="63"/>
      <c r="U243" s="64" t="str">
        <f t="shared" si="12"/>
        <v>Exclude</v>
      </c>
      <c r="W243" s="65" t="str">
        <f t="shared" si="13"/>
        <v>Exclude</v>
      </c>
      <c r="Y243" s="63"/>
      <c r="AS243" s="64" t="str">
        <f t="shared" si="14"/>
        <v>Exclude</v>
      </c>
      <c r="AU243" s="65" t="str">
        <f t="shared" si="15"/>
        <v>Exclude</v>
      </c>
    </row>
    <row r="244" spans="1:47" s="64" customFormat="1" x14ac:dyDescent="0.25">
      <c r="A244" s="63"/>
      <c r="U244" s="64" t="str">
        <f t="shared" si="12"/>
        <v>Exclude</v>
      </c>
      <c r="W244" s="65" t="str">
        <f t="shared" si="13"/>
        <v>Exclude</v>
      </c>
      <c r="Y244" s="63"/>
      <c r="AS244" s="64" t="str">
        <f t="shared" si="14"/>
        <v>Exclude</v>
      </c>
      <c r="AU244" s="65" t="str">
        <f t="shared" si="15"/>
        <v>Exclude</v>
      </c>
    </row>
    <row r="245" spans="1:47" s="64" customFormat="1" x14ac:dyDescent="0.25">
      <c r="A245" s="63"/>
      <c r="U245" s="64" t="str">
        <f t="shared" si="12"/>
        <v>Exclude</v>
      </c>
      <c r="W245" s="65" t="str">
        <f t="shared" si="13"/>
        <v>Exclude</v>
      </c>
      <c r="Y245" s="63"/>
      <c r="AS245" s="64" t="str">
        <f t="shared" si="14"/>
        <v>Exclude</v>
      </c>
      <c r="AU245" s="65" t="str">
        <f t="shared" si="15"/>
        <v>Exclude</v>
      </c>
    </row>
    <row r="246" spans="1:47" s="64" customFormat="1" x14ac:dyDescent="0.25">
      <c r="A246" s="63"/>
      <c r="U246" s="64" t="str">
        <f t="shared" si="12"/>
        <v>Exclude</v>
      </c>
      <c r="W246" s="65" t="str">
        <f t="shared" si="13"/>
        <v>Exclude</v>
      </c>
      <c r="Y246" s="63"/>
      <c r="AS246" s="64" t="str">
        <f t="shared" si="14"/>
        <v>Exclude</v>
      </c>
      <c r="AU246" s="65" t="str">
        <f t="shared" si="15"/>
        <v>Exclude</v>
      </c>
    </row>
    <row r="247" spans="1:47" s="64" customFormat="1" x14ac:dyDescent="0.25">
      <c r="A247" s="63"/>
      <c r="U247" s="64" t="str">
        <f t="shared" si="12"/>
        <v>Exclude</v>
      </c>
      <c r="W247" s="65" t="str">
        <f t="shared" si="13"/>
        <v>Exclude</v>
      </c>
      <c r="Y247" s="63"/>
      <c r="AS247" s="64" t="str">
        <f t="shared" si="14"/>
        <v>Exclude</v>
      </c>
      <c r="AU247" s="65" t="str">
        <f t="shared" si="15"/>
        <v>Exclude</v>
      </c>
    </row>
    <row r="248" spans="1:47" s="64" customFormat="1" x14ac:dyDescent="0.25">
      <c r="A248" s="63"/>
      <c r="U248" s="64" t="str">
        <f t="shared" si="12"/>
        <v>Exclude</v>
      </c>
      <c r="W248" s="65" t="str">
        <f t="shared" si="13"/>
        <v>Exclude</v>
      </c>
      <c r="Y248" s="63"/>
      <c r="AS248" s="64" t="str">
        <f t="shared" si="14"/>
        <v>Exclude</v>
      </c>
      <c r="AU248" s="65" t="str">
        <f t="shared" si="15"/>
        <v>Exclude</v>
      </c>
    </row>
    <row r="249" spans="1:47" s="64" customFormat="1" x14ac:dyDescent="0.25">
      <c r="A249" s="63"/>
      <c r="U249" s="64" t="str">
        <f t="shared" si="12"/>
        <v>Exclude</v>
      </c>
      <c r="W249" s="65" t="str">
        <f t="shared" si="13"/>
        <v>Exclude</v>
      </c>
      <c r="Y249" s="63"/>
      <c r="AS249" s="64" t="str">
        <f t="shared" si="14"/>
        <v>Exclude</v>
      </c>
      <c r="AU249" s="65" t="str">
        <f t="shared" si="15"/>
        <v>Exclude</v>
      </c>
    </row>
    <row r="250" spans="1:47" s="64" customFormat="1" x14ac:dyDescent="0.25">
      <c r="A250" s="63"/>
      <c r="U250" s="64" t="str">
        <f t="shared" si="12"/>
        <v>Exclude</v>
      </c>
      <c r="W250" s="65" t="str">
        <f t="shared" si="13"/>
        <v>Exclude</v>
      </c>
      <c r="Y250" s="63"/>
      <c r="AS250" s="64" t="str">
        <f t="shared" si="14"/>
        <v>Exclude</v>
      </c>
      <c r="AU250" s="65" t="str">
        <f t="shared" si="15"/>
        <v>Exclude</v>
      </c>
    </row>
    <row r="251" spans="1:47" s="64" customFormat="1" x14ac:dyDescent="0.25">
      <c r="A251" s="63"/>
      <c r="U251" s="64" t="str">
        <f t="shared" si="12"/>
        <v>Exclude</v>
      </c>
      <c r="W251" s="65" t="str">
        <f t="shared" si="13"/>
        <v>Exclude</v>
      </c>
      <c r="Y251" s="63"/>
      <c r="AS251" s="64" t="str">
        <f t="shared" si="14"/>
        <v>Exclude</v>
      </c>
      <c r="AU251" s="65" t="str">
        <f t="shared" si="15"/>
        <v>Exclude</v>
      </c>
    </row>
    <row r="252" spans="1:47" s="64" customFormat="1" x14ac:dyDescent="0.25">
      <c r="A252" s="63"/>
      <c r="U252" s="64" t="str">
        <f t="shared" si="12"/>
        <v>Exclude</v>
      </c>
      <c r="W252" s="65" t="str">
        <f t="shared" si="13"/>
        <v>Exclude</v>
      </c>
      <c r="Y252" s="63"/>
      <c r="AS252" s="64" t="str">
        <f t="shared" si="14"/>
        <v>Exclude</v>
      </c>
      <c r="AU252" s="65" t="str">
        <f t="shared" si="15"/>
        <v>Exclude</v>
      </c>
    </row>
    <row r="253" spans="1:47" s="64" customFormat="1" x14ac:dyDescent="0.25">
      <c r="A253" s="63"/>
      <c r="U253" s="64" t="str">
        <f t="shared" si="12"/>
        <v>Exclude</v>
      </c>
      <c r="W253" s="65" t="str">
        <f t="shared" si="13"/>
        <v>Exclude</v>
      </c>
      <c r="Y253" s="63"/>
      <c r="AS253" s="64" t="str">
        <f t="shared" si="14"/>
        <v>Exclude</v>
      </c>
      <c r="AU253" s="65" t="str">
        <f t="shared" si="15"/>
        <v>Exclude</v>
      </c>
    </row>
    <row r="254" spans="1:47" s="64" customFormat="1" x14ac:dyDescent="0.25">
      <c r="A254" s="63"/>
      <c r="U254" s="64" t="str">
        <f t="shared" si="12"/>
        <v>Exclude</v>
      </c>
      <c r="W254" s="65" t="str">
        <f t="shared" si="13"/>
        <v>Exclude</v>
      </c>
      <c r="Y254" s="63"/>
      <c r="AS254" s="64" t="str">
        <f t="shared" si="14"/>
        <v>Exclude</v>
      </c>
      <c r="AU254" s="65" t="str">
        <f t="shared" si="15"/>
        <v>Exclude</v>
      </c>
    </row>
    <row r="255" spans="1:47" s="64" customFormat="1" x14ac:dyDescent="0.25">
      <c r="A255" s="63"/>
      <c r="U255" s="64" t="str">
        <f t="shared" si="12"/>
        <v>Exclude</v>
      </c>
      <c r="W255" s="65" t="str">
        <f t="shared" si="13"/>
        <v>Exclude</v>
      </c>
      <c r="Y255" s="63"/>
      <c r="AS255" s="64" t="str">
        <f t="shared" si="14"/>
        <v>Exclude</v>
      </c>
      <c r="AU255" s="65" t="str">
        <f t="shared" si="15"/>
        <v>Exclude</v>
      </c>
    </row>
    <row r="256" spans="1:47" s="64" customFormat="1" x14ac:dyDescent="0.25">
      <c r="A256" s="63"/>
      <c r="U256" s="64" t="str">
        <f t="shared" si="12"/>
        <v>Exclude</v>
      </c>
      <c r="W256" s="65" t="str">
        <f t="shared" si="13"/>
        <v>Exclude</v>
      </c>
      <c r="Y256" s="63"/>
      <c r="AS256" s="64" t="str">
        <f t="shared" si="14"/>
        <v>Exclude</v>
      </c>
      <c r="AU256" s="65" t="str">
        <f t="shared" si="15"/>
        <v>Exclude</v>
      </c>
    </row>
    <row r="257" spans="1:47" s="64" customFormat="1" x14ac:dyDescent="0.25">
      <c r="A257" s="63"/>
      <c r="U257" s="64" t="str">
        <f t="shared" si="12"/>
        <v>Exclude</v>
      </c>
      <c r="W257" s="65" t="str">
        <f t="shared" si="13"/>
        <v>Exclude</v>
      </c>
      <c r="Y257" s="63"/>
      <c r="AS257" s="64" t="str">
        <f t="shared" si="14"/>
        <v>Exclude</v>
      </c>
      <c r="AU257" s="65" t="str">
        <f t="shared" si="15"/>
        <v>Exclude</v>
      </c>
    </row>
    <row r="258" spans="1:47" s="64" customFormat="1" x14ac:dyDescent="0.25">
      <c r="A258" s="63"/>
      <c r="U258" s="64" t="str">
        <f t="shared" si="12"/>
        <v>Exclude</v>
      </c>
      <c r="W258" s="65" t="str">
        <f t="shared" si="13"/>
        <v>Exclude</v>
      </c>
      <c r="Y258" s="63"/>
      <c r="AS258" s="64" t="str">
        <f t="shared" si="14"/>
        <v>Exclude</v>
      </c>
      <c r="AU258" s="65" t="str">
        <f t="shared" si="15"/>
        <v>Exclude</v>
      </c>
    </row>
    <row r="259" spans="1:47" s="64" customFormat="1" x14ac:dyDescent="0.25">
      <c r="A259" s="63"/>
      <c r="U259" s="64" t="str">
        <f t="shared" si="12"/>
        <v>Exclude</v>
      </c>
      <c r="W259" s="65" t="str">
        <f t="shared" si="13"/>
        <v>Exclude</v>
      </c>
      <c r="Y259" s="63"/>
      <c r="AS259" s="64" t="str">
        <f t="shared" si="14"/>
        <v>Exclude</v>
      </c>
      <c r="AU259" s="65" t="str">
        <f t="shared" si="15"/>
        <v>Exclude</v>
      </c>
    </row>
    <row r="260" spans="1:47" s="64" customFormat="1" x14ac:dyDescent="0.25">
      <c r="A260" s="63"/>
      <c r="U260" s="64" t="str">
        <f t="shared" si="12"/>
        <v>Exclude</v>
      </c>
      <c r="W260" s="65" t="str">
        <f t="shared" si="13"/>
        <v>Exclude</v>
      </c>
      <c r="Y260" s="63"/>
      <c r="AS260" s="64" t="str">
        <f t="shared" si="14"/>
        <v>Exclude</v>
      </c>
      <c r="AU260" s="65" t="str">
        <f t="shared" si="15"/>
        <v>Exclude</v>
      </c>
    </row>
    <row r="261" spans="1:47" s="64" customFormat="1" x14ac:dyDescent="0.25">
      <c r="A261" s="63"/>
      <c r="U261" s="64" t="str">
        <f t="shared" si="12"/>
        <v>Exclude</v>
      </c>
      <c r="W261" s="65" t="str">
        <f t="shared" si="13"/>
        <v>Exclude</v>
      </c>
      <c r="Y261" s="63"/>
      <c r="AS261" s="64" t="str">
        <f t="shared" si="14"/>
        <v>Exclude</v>
      </c>
      <c r="AU261" s="65" t="str">
        <f t="shared" si="15"/>
        <v>Exclude</v>
      </c>
    </row>
    <row r="262" spans="1:47" s="64" customFormat="1" x14ac:dyDescent="0.25">
      <c r="A262" s="63"/>
      <c r="U262" s="64" t="str">
        <f t="shared" si="12"/>
        <v>Exclude</v>
      </c>
      <c r="W262" s="65" t="str">
        <f t="shared" si="13"/>
        <v>Exclude</v>
      </c>
      <c r="Y262" s="63"/>
      <c r="AS262" s="64" t="str">
        <f t="shared" si="14"/>
        <v>Exclude</v>
      </c>
      <c r="AU262" s="65" t="str">
        <f t="shared" si="15"/>
        <v>Exclude</v>
      </c>
    </row>
    <row r="263" spans="1:47" s="64" customFormat="1" x14ac:dyDescent="0.25">
      <c r="A263" s="63"/>
      <c r="U263" s="64" t="str">
        <f t="shared" si="12"/>
        <v>Exclude</v>
      </c>
      <c r="W263" s="65" t="str">
        <f t="shared" si="13"/>
        <v>Exclude</v>
      </c>
      <c r="Y263" s="63"/>
      <c r="AS263" s="64" t="str">
        <f t="shared" si="14"/>
        <v>Exclude</v>
      </c>
      <c r="AU263" s="65" t="str">
        <f t="shared" si="15"/>
        <v>Exclude</v>
      </c>
    </row>
    <row r="264" spans="1:47" s="64" customFormat="1" x14ac:dyDescent="0.25">
      <c r="A264" s="63"/>
      <c r="U264" s="64" t="str">
        <f t="shared" si="12"/>
        <v>Exclude</v>
      </c>
      <c r="W264" s="65" t="str">
        <f t="shared" si="13"/>
        <v>Exclude</v>
      </c>
      <c r="Y264" s="63"/>
      <c r="AS264" s="64" t="str">
        <f t="shared" si="14"/>
        <v>Exclude</v>
      </c>
      <c r="AU264" s="65" t="str">
        <f t="shared" si="15"/>
        <v>Exclude</v>
      </c>
    </row>
    <row r="265" spans="1:47" s="64" customFormat="1" x14ac:dyDescent="0.25">
      <c r="A265" s="63"/>
      <c r="U265" s="64" t="str">
        <f t="shared" si="12"/>
        <v>Exclude</v>
      </c>
      <c r="W265" s="65" t="str">
        <f t="shared" si="13"/>
        <v>Exclude</v>
      </c>
      <c r="Y265" s="63"/>
      <c r="AS265" s="64" t="str">
        <f t="shared" si="14"/>
        <v>Exclude</v>
      </c>
      <c r="AU265" s="65" t="str">
        <f t="shared" si="15"/>
        <v>Exclude</v>
      </c>
    </row>
    <row r="266" spans="1:47" s="64" customFormat="1" x14ac:dyDescent="0.25">
      <c r="A266" s="63"/>
      <c r="U266" s="64" t="str">
        <f t="shared" si="12"/>
        <v>Exclude</v>
      </c>
      <c r="W266" s="65" t="str">
        <f t="shared" si="13"/>
        <v>Exclude</v>
      </c>
      <c r="Y266" s="63"/>
      <c r="AS266" s="64" t="str">
        <f t="shared" si="14"/>
        <v>Exclude</v>
      </c>
      <c r="AU266" s="65" t="str">
        <f t="shared" si="15"/>
        <v>Exclude</v>
      </c>
    </row>
    <row r="267" spans="1:47" s="64" customFormat="1" x14ac:dyDescent="0.25">
      <c r="A267" s="63"/>
      <c r="U267" s="64" t="str">
        <f t="shared" si="12"/>
        <v>Exclude</v>
      </c>
      <c r="W267" s="65" t="str">
        <f t="shared" si="13"/>
        <v>Exclude</v>
      </c>
      <c r="Y267" s="63"/>
      <c r="AS267" s="64" t="str">
        <f t="shared" si="14"/>
        <v>Exclude</v>
      </c>
      <c r="AU267" s="65" t="str">
        <f t="shared" si="15"/>
        <v>Exclude</v>
      </c>
    </row>
    <row r="268" spans="1:47" s="64" customFormat="1" x14ac:dyDescent="0.25">
      <c r="A268" s="63"/>
      <c r="U268" s="64" t="str">
        <f t="shared" si="12"/>
        <v>Exclude</v>
      </c>
      <c r="W268" s="65" t="str">
        <f t="shared" si="13"/>
        <v>Exclude</v>
      </c>
      <c r="Y268" s="63"/>
      <c r="AS268" s="64" t="str">
        <f t="shared" si="14"/>
        <v>Exclude</v>
      </c>
      <c r="AU268" s="65" t="str">
        <f t="shared" si="15"/>
        <v>Exclude</v>
      </c>
    </row>
    <row r="269" spans="1:47" s="64" customFormat="1" x14ac:dyDescent="0.25">
      <c r="A269" s="63"/>
      <c r="U269" s="64" t="str">
        <f t="shared" si="12"/>
        <v>Exclude</v>
      </c>
      <c r="W269" s="65" t="str">
        <f t="shared" si="13"/>
        <v>Exclude</v>
      </c>
      <c r="Y269" s="63"/>
      <c r="AS269" s="64" t="str">
        <f t="shared" si="14"/>
        <v>Exclude</v>
      </c>
      <c r="AU269" s="65" t="str">
        <f t="shared" si="15"/>
        <v>Exclude</v>
      </c>
    </row>
    <row r="270" spans="1:47" s="64" customFormat="1" x14ac:dyDescent="0.25">
      <c r="A270" s="63"/>
      <c r="U270" s="64" t="str">
        <f t="shared" si="12"/>
        <v>Exclude</v>
      </c>
      <c r="W270" s="65" t="str">
        <f t="shared" si="13"/>
        <v>Exclude</v>
      </c>
      <c r="Y270" s="63"/>
      <c r="AS270" s="64" t="str">
        <f t="shared" si="14"/>
        <v>Exclude</v>
      </c>
      <c r="AU270" s="65" t="str">
        <f t="shared" si="15"/>
        <v>Exclude</v>
      </c>
    </row>
    <row r="271" spans="1:47" s="64" customFormat="1" x14ac:dyDescent="0.25">
      <c r="A271" s="63"/>
      <c r="U271" s="64" t="str">
        <f t="shared" si="12"/>
        <v>Exclude</v>
      </c>
      <c r="W271" s="65" t="str">
        <f t="shared" si="13"/>
        <v>Exclude</v>
      </c>
      <c r="Y271" s="63"/>
      <c r="AS271" s="64" t="str">
        <f t="shared" si="14"/>
        <v>Exclude</v>
      </c>
      <c r="AU271" s="65" t="str">
        <f t="shared" si="15"/>
        <v>Exclude</v>
      </c>
    </row>
    <row r="272" spans="1:47" s="64" customFormat="1" x14ac:dyDescent="0.25">
      <c r="A272" s="63"/>
      <c r="U272" s="64" t="str">
        <f t="shared" si="12"/>
        <v>Exclude</v>
      </c>
      <c r="W272" s="65" t="str">
        <f t="shared" si="13"/>
        <v>Exclude</v>
      </c>
      <c r="Y272" s="63"/>
      <c r="AS272" s="64" t="str">
        <f t="shared" si="14"/>
        <v>Exclude</v>
      </c>
      <c r="AU272" s="65" t="str">
        <f t="shared" si="15"/>
        <v>Exclude</v>
      </c>
    </row>
    <row r="273" spans="1:47" s="64" customFormat="1" x14ac:dyDescent="0.25">
      <c r="A273" s="63"/>
      <c r="U273" s="64" t="str">
        <f t="shared" si="12"/>
        <v>Exclude</v>
      </c>
      <c r="W273" s="65" t="str">
        <f t="shared" si="13"/>
        <v>Exclude</v>
      </c>
      <c r="Y273" s="63"/>
      <c r="AS273" s="64" t="str">
        <f t="shared" si="14"/>
        <v>Exclude</v>
      </c>
      <c r="AU273" s="65" t="str">
        <f t="shared" si="15"/>
        <v>Exclude</v>
      </c>
    </row>
    <row r="274" spans="1:47" s="64" customFormat="1" x14ac:dyDescent="0.25">
      <c r="A274" s="63"/>
      <c r="U274" s="64" t="str">
        <f t="shared" si="12"/>
        <v>Exclude</v>
      </c>
      <c r="W274" s="65" t="str">
        <f t="shared" si="13"/>
        <v>Exclude</v>
      </c>
      <c r="Y274" s="63"/>
      <c r="AS274" s="64" t="str">
        <f t="shared" si="14"/>
        <v>Exclude</v>
      </c>
      <c r="AU274" s="65" t="str">
        <f t="shared" si="15"/>
        <v>Exclude</v>
      </c>
    </row>
    <row r="275" spans="1:47" s="64" customFormat="1" x14ac:dyDescent="0.25">
      <c r="A275" s="63"/>
      <c r="U275" s="64" t="str">
        <f t="shared" si="12"/>
        <v>Exclude</v>
      </c>
      <c r="W275" s="65" t="str">
        <f t="shared" si="13"/>
        <v>Exclude</v>
      </c>
      <c r="Y275" s="63"/>
      <c r="AS275" s="64" t="str">
        <f t="shared" si="14"/>
        <v>Exclude</v>
      </c>
      <c r="AU275" s="65" t="str">
        <f t="shared" si="15"/>
        <v>Exclude</v>
      </c>
    </row>
    <row r="276" spans="1:47" s="64" customFormat="1" x14ac:dyDescent="0.25">
      <c r="A276" s="63"/>
      <c r="U276" s="64" t="str">
        <f t="shared" si="12"/>
        <v>Exclude</v>
      </c>
      <c r="W276" s="65" t="str">
        <f t="shared" si="13"/>
        <v>Exclude</v>
      </c>
      <c r="Y276" s="63"/>
      <c r="AS276" s="64" t="str">
        <f t="shared" si="14"/>
        <v>Exclude</v>
      </c>
      <c r="AU276" s="65" t="str">
        <f t="shared" si="15"/>
        <v>Exclude</v>
      </c>
    </row>
    <row r="277" spans="1:47" s="64" customFormat="1" x14ac:dyDescent="0.25">
      <c r="A277" s="63"/>
      <c r="U277" s="64" t="str">
        <f t="shared" ref="U277:U340" si="16">IF(OR(R277="TruePositive",R277="TrueNegative"),IF(R276&lt;&gt;"Anticipatory",(N277),"Pant"),"Exclude")</f>
        <v>Exclude</v>
      </c>
      <c r="W277" s="65" t="str">
        <f t="shared" ref="W277:W340" si="17">IF(OR(R277="TruePositive",R277="TrueNegative"),IF(R276&lt;&gt;"Anticipatory",LOG10(N277),"Exclude"),"Exclude")</f>
        <v>Exclude</v>
      </c>
      <c r="Y277" s="63"/>
      <c r="AS277" s="64" t="str">
        <f t="shared" ref="AS277:AS340" si="18">IF(OR(AP277="TruePositive",AP277="TrueNegative"),IF(AP276&lt;&gt;"Anticipatory",(AL277),"Pant"),"Exclude")</f>
        <v>Exclude</v>
      </c>
      <c r="AU277" s="65" t="str">
        <f t="shared" ref="AU277:AU340" si="19">IF(OR(AP277="TruePositive",AP277="TrueNegative"),IF(AP276&lt;&gt;"Anticipatory",LOG10(AL277),"Exclude"),"Exclude")</f>
        <v>Exclude</v>
      </c>
    </row>
    <row r="278" spans="1:47" s="64" customFormat="1" x14ac:dyDescent="0.25">
      <c r="A278" s="63"/>
      <c r="U278" s="64" t="str">
        <f t="shared" si="16"/>
        <v>Exclude</v>
      </c>
      <c r="W278" s="65" t="str">
        <f t="shared" si="17"/>
        <v>Exclude</v>
      </c>
      <c r="Y278" s="63"/>
      <c r="AS278" s="64" t="str">
        <f t="shared" si="18"/>
        <v>Exclude</v>
      </c>
      <c r="AU278" s="65" t="str">
        <f t="shared" si="19"/>
        <v>Exclude</v>
      </c>
    </row>
    <row r="279" spans="1:47" s="64" customFormat="1" x14ac:dyDescent="0.25">
      <c r="A279" s="63"/>
      <c r="U279" s="64" t="str">
        <f t="shared" si="16"/>
        <v>Exclude</v>
      </c>
      <c r="W279" s="65" t="str">
        <f t="shared" si="17"/>
        <v>Exclude</v>
      </c>
      <c r="Y279" s="63"/>
      <c r="AS279" s="64" t="str">
        <f t="shared" si="18"/>
        <v>Exclude</v>
      </c>
      <c r="AU279" s="65" t="str">
        <f t="shared" si="19"/>
        <v>Exclude</v>
      </c>
    </row>
    <row r="280" spans="1:47" s="64" customFormat="1" x14ac:dyDescent="0.25">
      <c r="A280" s="63"/>
      <c r="U280" s="64" t="str">
        <f t="shared" si="16"/>
        <v>Exclude</v>
      </c>
      <c r="W280" s="65" t="str">
        <f t="shared" si="17"/>
        <v>Exclude</v>
      </c>
      <c r="Y280" s="63"/>
      <c r="AS280" s="64" t="str">
        <f t="shared" si="18"/>
        <v>Exclude</v>
      </c>
      <c r="AU280" s="65" t="str">
        <f t="shared" si="19"/>
        <v>Exclude</v>
      </c>
    </row>
    <row r="281" spans="1:47" s="64" customFormat="1" x14ac:dyDescent="0.25">
      <c r="A281" s="63"/>
      <c r="U281" s="64" t="str">
        <f t="shared" si="16"/>
        <v>Exclude</v>
      </c>
      <c r="W281" s="65" t="str">
        <f t="shared" si="17"/>
        <v>Exclude</v>
      </c>
      <c r="Y281" s="63"/>
      <c r="AS281" s="64" t="str">
        <f t="shared" si="18"/>
        <v>Exclude</v>
      </c>
      <c r="AU281" s="65" t="str">
        <f t="shared" si="19"/>
        <v>Exclude</v>
      </c>
    </row>
    <row r="282" spans="1:47" s="64" customFormat="1" x14ac:dyDescent="0.25">
      <c r="A282" s="63"/>
      <c r="U282" s="64" t="str">
        <f t="shared" si="16"/>
        <v>Exclude</v>
      </c>
      <c r="W282" s="65" t="str">
        <f t="shared" si="17"/>
        <v>Exclude</v>
      </c>
      <c r="Y282" s="63"/>
      <c r="AS282" s="64" t="str">
        <f t="shared" si="18"/>
        <v>Exclude</v>
      </c>
      <c r="AU282" s="65" t="str">
        <f t="shared" si="19"/>
        <v>Exclude</v>
      </c>
    </row>
    <row r="283" spans="1:47" s="64" customFormat="1" x14ac:dyDescent="0.25">
      <c r="A283" s="63"/>
      <c r="U283" s="64" t="str">
        <f t="shared" si="16"/>
        <v>Exclude</v>
      </c>
      <c r="W283" s="65" t="str">
        <f t="shared" si="17"/>
        <v>Exclude</v>
      </c>
      <c r="Y283" s="63"/>
      <c r="AS283" s="64" t="str">
        <f t="shared" si="18"/>
        <v>Exclude</v>
      </c>
      <c r="AU283" s="65" t="str">
        <f t="shared" si="19"/>
        <v>Exclude</v>
      </c>
    </row>
    <row r="284" spans="1:47" s="64" customFormat="1" x14ac:dyDescent="0.25">
      <c r="A284" s="63"/>
      <c r="U284" s="64" t="str">
        <f t="shared" si="16"/>
        <v>Exclude</v>
      </c>
      <c r="W284" s="65" t="str">
        <f t="shared" si="17"/>
        <v>Exclude</v>
      </c>
      <c r="Y284" s="63"/>
      <c r="AS284" s="64" t="str">
        <f t="shared" si="18"/>
        <v>Exclude</v>
      </c>
      <c r="AU284" s="65" t="str">
        <f t="shared" si="19"/>
        <v>Exclude</v>
      </c>
    </row>
    <row r="285" spans="1:47" s="64" customFormat="1" x14ac:dyDescent="0.25">
      <c r="A285" s="63"/>
      <c r="U285" s="64" t="str">
        <f t="shared" si="16"/>
        <v>Exclude</v>
      </c>
      <c r="W285" s="65" t="str">
        <f t="shared" si="17"/>
        <v>Exclude</v>
      </c>
      <c r="Y285" s="63"/>
      <c r="AS285" s="64" t="str">
        <f t="shared" si="18"/>
        <v>Exclude</v>
      </c>
      <c r="AU285" s="65" t="str">
        <f t="shared" si="19"/>
        <v>Exclude</v>
      </c>
    </row>
    <row r="286" spans="1:47" s="64" customFormat="1" x14ac:dyDescent="0.25">
      <c r="A286" s="63"/>
      <c r="U286" s="64" t="str">
        <f t="shared" si="16"/>
        <v>Exclude</v>
      </c>
      <c r="W286" s="65" t="str">
        <f t="shared" si="17"/>
        <v>Exclude</v>
      </c>
      <c r="Y286" s="63"/>
      <c r="AS286" s="64" t="str">
        <f t="shared" si="18"/>
        <v>Exclude</v>
      </c>
      <c r="AU286" s="65" t="str">
        <f t="shared" si="19"/>
        <v>Exclude</v>
      </c>
    </row>
    <row r="287" spans="1:47" s="64" customFormat="1" x14ac:dyDescent="0.25">
      <c r="A287" s="63"/>
      <c r="U287" s="64" t="str">
        <f t="shared" si="16"/>
        <v>Exclude</v>
      </c>
      <c r="W287" s="65" t="str">
        <f t="shared" si="17"/>
        <v>Exclude</v>
      </c>
      <c r="Y287" s="63"/>
      <c r="AS287" s="64" t="str">
        <f t="shared" si="18"/>
        <v>Exclude</v>
      </c>
      <c r="AU287" s="65" t="str">
        <f t="shared" si="19"/>
        <v>Exclude</v>
      </c>
    </row>
    <row r="288" spans="1:47" s="64" customFormat="1" x14ac:dyDescent="0.25">
      <c r="A288" s="63"/>
      <c r="U288" s="64" t="str">
        <f t="shared" si="16"/>
        <v>Exclude</v>
      </c>
      <c r="W288" s="65" t="str">
        <f t="shared" si="17"/>
        <v>Exclude</v>
      </c>
      <c r="Y288" s="63"/>
      <c r="AS288" s="64" t="str">
        <f t="shared" si="18"/>
        <v>Exclude</v>
      </c>
      <c r="AU288" s="65" t="str">
        <f t="shared" si="19"/>
        <v>Exclude</v>
      </c>
    </row>
    <row r="289" spans="1:47" s="64" customFormat="1" x14ac:dyDescent="0.25">
      <c r="A289" s="63"/>
      <c r="U289" s="64" t="str">
        <f t="shared" si="16"/>
        <v>Exclude</v>
      </c>
      <c r="W289" s="65" t="str">
        <f t="shared" si="17"/>
        <v>Exclude</v>
      </c>
      <c r="Y289" s="63"/>
      <c r="AS289" s="64" t="str">
        <f t="shared" si="18"/>
        <v>Exclude</v>
      </c>
      <c r="AU289" s="65" t="str">
        <f t="shared" si="19"/>
        <v>Exclude</v>
      </c>
    </row>
    <row r="290" spans="1:47" s="64" customFormat="1" x14ac:dyDescent="0.25">
      <c r="A290" s="63"/>
      <c r="U290" s="64" t="str">
        <f t="shared" si="16"/>
        <v>Exclude</v>
      </c>
      <c r="W290" s="65" t="str">
        <f t="shared" si="17"/>
        <v>Exclude</v>
      </c>
      <c r="Y290" s="63"/>
      <c r="AS290" s="64" t="str">
        <f t="shared" si="18"/>
        <v>Exclude</v>
      </c>
      <c r="AU290" s="65" t="str">
        <f t="shared" si="19"/>
        <v>Exclude</v>
      </c>
    </row>
    <row r="291" spans="1:47" s="64" customFormat="1" x14ac:dyDescent="0.25">
      <c r="A291" s="63"/>
      <c r="U291" s="64" t="str">
        <f t="shared" si="16"/>
        <v>Exclude</v>
      </c>
      <c r="W291" s="65" t="str">
        <f t="shared" si="17"/>
        <v>Exclude</v>
      </c>
      <c r="Y291" s="63"/>
      <c r="AS291" s="64" t="str">
        <f t="shared" si="18"/>
        <v>Exclude</v>
      </c>
      <c r="AU291" s="65" t="str">
        <f t="shared" si="19"/>
        <v>Exclude</v>
      </c>
    </row>
    <row r="292" spans="1:47" s="64" customFormat="1" x14ac:dyDescent="0.25">
      <c r="A292" s="63"/>
      <c r="U292" s="64" t="str">
        <f t="shared" si="16"/>
        <v>Exclude</v>
      </c>
      <c r="W292" s="65" t="str">
        <f t="shared" si="17"/>
        <v>Exclude</v>
      </c>
      <c r="Y292" s="63"/>
      <c r="AS292" s="64" t="str">
        <f t="shared" si="18"/>
        <v>Exclude</v>
      </c>
      <c r="AU292" s="65" t="str">
        <f t="shared" si="19"/>
        <v>Exclude</v>
      </c>
    </row>
    <row r="293" spans="1:47" s="64" customFormat="1" x14ac:dyDescent="0.25">
      <c r="A293" s="63"/>
      <c r="U293" s="64" t="str">
        <f t="shared" si="16"/>
        <v>Exclude</v>
      </c>
      <c r="W293" s="65" t="str">
        <f t="shared" si="17"/>
        <v>Exclude</v>
      </c>
      <c r="Y293" s="63"/>
      <c r="AS293" s="64" t="str">
        <f t="shared" si="18"/>
        <v>Exclude</v>
      </c>
      <c r="AU293" s="65" t="str">
        <f t="shared" si="19"/>
        <v>Exclude</v>
      </c>
    </row>
    <row r="294" spans="1:47" s="64" customFormat="1" x14ac:dyDescent="0.25">
      <c r="A294" s="63"/>
      <c r="U294" s="64" t="str">
        <f t="shared" si="16"/>
        <v>Exclude</v>
      </c>
      <c r="W294" s="65" t="str">
        <f t="shared" si="17"/>
        <v>Exclude</v>
      </c>
      <c r="Y294" s="63"/>
      <c r="AS294" s="64" t="str">
        <f t="shared" si="18"/>
        <v>Exclude</v>
      </c>
      <c r="AU294" s="65" t="str">
        <f t="shared" si="19"/>
        <v>Exclude</v>
      </c>
    </row>
    <row r="295" spans="1:47" s="64" customFormat="1" x14ac:dyDescent="0.25">
      <c r="A295" s="63"/>
      <c r="U295" s="64" t="str">
        <f t="shared" si="16"/>
        <v>Exclude</v>
      </c>
      <c r="W295" s="65" t="str">
        <f t="shared" si="17"/>
        <v>Exclude</v>
      </c>
      <c r="Y295" s="63"/>
      <c r="AS295" s="64" t="str">
        <f t="shared" si="18"/>
        <v>Exclude</v>
      </c>
      <c r="AU295" s="65" t="str">
        <f t="shared" si="19"/>
        <v>Exclude</v>
      </c>
    </row>
    <row r="296" spans="1:47" s="64" customFormat="1" x14ac:dyDescent="0.25">
      <c r="A296" s="63"/>
      <c r="U296" s="64" t="str">
        <f t="shared" si="16"/>
        <v>Exclude</v>
      </c>
      <c r="W296" s="65" t="str">
        <f t="shared" si="17"/>
        <v>Exclude</v>
      </c>
      <c r="Y296" s="63"/>
      <c r="AS296" s="64" t="str">
        <f t="shared" si="18"/>
        <v>Exclude</v>
      </c>
      <c r="AU296" s="65" t="str">
        <f t="shared" si="19"/>
        <v>Exclude</v>
      </c>
    </row>
    <row r="297" spans="1:47" s="64" customFormat="1" x14ac:dyDescent="0.25">
      <c r="A297" s="63"/>
      <c r="U297" s="64" t="str">
        <f t="shared" si="16"/>
        <v>Exclude</v>
      </c>
      <c r="W297" s="65" t="str">
        <f t="shared" si="17"/>
        <v>Exclude</v>
      </c>
      <c r="Y297" s="63"/>
      <c r="AS297" s="64" t="str">
        <f t="shared" si="18"/>
        <v>Exclude</v>
      </c>
      <c r="AU297" s="65" t="str">
        <f t="shared" si="19"/>
        <v>Exclude</v>
      </c>
    </row>
    <row r="298" spans="1:47" s="64" customFormat="1" x14ac:dyDescent="0.25">
      <c r="A298" s="63"/>
      <c r="U298" s="64" t="str">
        <f t="shared" si="16"/>
        <v>Exclude</v>
      </c>
      <c r="W298" s="65" t="str">
        <f t="shared" si="17"/>
        <v>Exclude</v>
      </c>
      <c r="Y298" s="63"/>
      <c r="AS298" s="64" t="str">
        <f t="shared" si="18"/>
        <v>Exclude</v>
      </c>
      <c r="AU298" s="65" t="str">
        <f t="shared" si="19"/>
        <v>Exclude</v>
      </c>
    </row>
    <row r="299" spans="1:47" s="64" customFormat="1" x14ac:dyDescent="0.25">
      <c r="A299" s="63"/>
      <c r="U299" s="64" t="str">
        <f t="shared" si="16"/>
        <v>Exclude</v>
      </c>
      <c r="W299" s="65" t="str">
        <f t="shared" si="17"/>
        <v>Exclude</v>
      </c>
      <c r="Y299" s="63"/>
      <c r="AS299" s="64" t="str">
        <f t="shared" si="18"/>
        <v>Exclude</v>
      </c>
      <c r="AU299" s="65" t="str">
        <f t="shared" si="19"/>
        <v>Exclude</v>
      </c>
    </row>
    <row r="300" spans="1:47" s="64" customFormat="1" x14ac:dyDescent="0.25">
      <c r="A300" s="63"/>
      <c r="U300" s="64" t="str">
        <f t="shared" si="16"/>
        <v>Exclude</v>
      </c>
      <c r="W300" s="65" t="str">
        <f t="shared" si="17"/>
        <v>Exclude</v>
      </c>
      <c r="Y300" s="63"/>
      <c r="AS300" s="64" t="str">
        <f t="shared" si="18"/>
        <v>Exclude</v>
      </c>
      <c r="AU300" s="65" t="str">
        <f t="shared" si="19"/>
        <v>Exclude</v>
      </c>
    </row>
    <row r="301" spans="1:47" s="64" customFormat="1" x14ac:dyDescent="0.25">
      <c r="A301" s="63"/>
      <c r="U301" s="64" t="str">
        <f t="shared" si="16"/>
        <v>Exclude</v>
      </c>
      <c r="W301" s="65" t="str">
        <f t="shared" si="17"/>
        <v>Exclude</v>
      </c>
      <c r="Y301" s="63"/>
      <c r="AS301" s="64" t="str">
        <f t="shared" si="18"/>
        <v>Exclude</v>
      </c>
      <c r="AU301" s="65" t="str">
        <f t="shared" si="19"/>
        <v>Exclude</v>
      </c>
    </row>
    <row r="302" spans="1:47" s="64" customFormat="1" x14ac:dyDescent="0.25">
      <c r="A302" s="63"/>
      <c r="U302" s="64" t="str">
        <f t="shared" si="16"/>
        <v>Exclude</v>
      </c>
      <c r="W302" s="65" t="str">
        <f t="shared" si="17"/>
        <v>Exclude</v>
      </c>
      <c r="Y302" s="63"/>
      <c r="AS302" s="64" t="str">
        <f t="shared" si="18"/>
        <v>Exclude</v>
      </c>
      <c r="AU302" s="65" t="str">
        <f t="shared" si="19"/>
        <v>Exclude</v>
      </c>
    </row>
    <row r="303" spans="1:47" s="64" customFormat="1" x14ac:dyDescent="0.25">
      <c r="A303" s="63"/>
      <c r="U303" s="64" t="str">
        <f t="shared" si="16"/>
        <v>Exclude</v>
      </c>
      <c r="W303" s="65" t="str">
        <f t="shared" si="17"/>
        <v>Exclude</v>
      </c>
      <c r="Y303" s="63"/>
      <c r="AS303" s="64" t="str">
        <f t="shared" si="18"/>
        <v>Exclude</v>
      </c>
      <c r="AU303" s="65" t="str">
        <f t="shared" si="19"/>
        <v>Exclude</v>
      </c>
    </row>
    <row r="304" spans="1:47" s="64" customFormat="1" x14ac:dyDescent="0.25">
      <c r="A304" s="63"/>
      <c r="U304" s="64" t="str">
        <f t="shared" si="16"/>
        <v>Exclude</v>
      </c>
      <c r="W304" s="65" t="str">
        <f t="shared" si="17"/>
        <v>Exclude</v>
      </c>
      <c r="Y304" s="63"/>
      <c r="AS304" s="64" t="str">
        <f t="shared" si="18"/>
        <v>Exclude</v>
      </c>
      <c r="AU304" s="65" t="str">
        <f t="shared" si="19"/>
        <v>Exclude</v>
      </c>
    </row>
    <row r="305" spans="1:47" s="64" customFormat="1" x14ac:dyDescent="0.25">
      <c r="A305" s="63"/>
      <c r="U305" s="64" t="str">
        <f t="shared" si="16"/>
        <v>Exclude</v>
      </c>
      <c r="W305" s="65" t="str">
        <f t="shared" si="17"/>
        <v>Exclude</v>
      </c>
      <c r="Y305" s="63"/>
      <c r="AS305" s="64" t="str">
        <f t="shared" si="18"/>
        <v>Exclude</v>
      </c>
      <c r="AU305" s="65" t="str">
        <f t="shared" si="19"/>
        <v>Exclude</v>
      </c>
    </row>
    <row r="306" spans="1:47" s="64" customFormat="1" x14ac:dyDescent="0.25">
      <c r="A306" s="63"/>
      <c r="U306" s="64" t="str">
        <f t="shared" si="16"/>
        <v>Exclude</v>
      </c>
      <c r="W306" s="65" t="str">
        <f t="shared" si="17"/>
        <v>Exclude</v>
      </c>
      <c r="Y306" s="63"/>
      <c r="AS306" s="64" t="str">
        <f t="shared" si="18"/>
        <v>Exclude</v>
      </c>
      <c r="AU306" s="65" t="str">
        <f t="shared" si="19"/>
        <v>Exclude</v>
      </c>
    </row>
    <row r="307" spans="1:47" s="64" customFormat="1" x14ac:dyDescent="0.25">
      <c r="A307" s="63"/>
      <c r="U307" s="64" t="str">
        <f t="shared" si="16"/>
        <v>Exclude</v>
      </c>
      <c r="W307" s="65" t="str">
        <f t="shared" si="17"/>
        <v>Exclude</v>
      </c>
      <c r="Y307" s="63"/>
      <c r="AS307" s="64" t="str">
        <f t="shared" si="18"/>
        <v>Exclude</v>
      </c>
      <c r="AU307" s="65" t="str">
        <f t="shared" si="19"/>
        <v>Exclude</v>
      </c>
    </row>
    <row r="308" spans="1:47" s="64" customFormat="1" x14ac:dyDescent="0.25">
      <c r="A308" s="63"/>
      <c r="U308" s="64" t="str">
        <f t="shared" si="16"/>
        <v>Exclude</v>
      </c>
      <c r="W308" s="65" t="str">
        <f t="shared" si="17"/>
        <v>Exclude</v>
      </c>
      <c r="Y308" s="63"/>
      <c r="AS308" s="64" t="str">
        <f t="shared" si="18"/>
        <v>Exclude</v>
      </c>
      <c r="AU308" s="65" t="str">
        <f t="shared" si="19"/>
        <v>Exclude</v>
      </c>
    </row>
    <row r="309" spans="1:47" s="64" customFormat="1" x14ac:dyDescent="0.25">
      <c r="A309" s="63"/>
      <c r="U309" s="64" t="str">
        <f t="shared" si="16"/>
        <v>Exclude</v>
      </c>
      <c r="W309" s="65" t="str">
        <f t="shared" si="17"/>
        <v>Exclude</v>
      </c>
      <c r="Y309" s="63"/>
      <c r="AS309" s="64" t="str">
        <f t="shared" si="18"/>
        <v>Exclude</v>
      </c>
      <c r="AU309" s="65" t="str">
        <f t="shared" si="19"/>
        <v>Exclude</v>
      </c>
    </row>
    <row r="310" spans="1:47" s="64" customFormat="1" x14ac:dyDescent="0.25">
      <c r="A310" s="63"/>
      <c r="U310" s="64" t="str">
        <f t="shared" si="16"/>
        <v>Exclude</v>
      </c>
      <c r="W310" s="65" t="str">
        <f t="shared" si="17"/>
        <v>Exclude</v>
      </c>
      <c r="Y310" s="63"/>
      <c r="AS310" s="64" t="str">
        <f t="shared" si="18"/>
        <v>Exclude</v>
      </c>
      <c r="AU310" s="65" t="str">
        <f t="shared" si="19"/>
        <v>Exclude</v>
      </c>
    </row>
    <row r="311" spans="1:47" s="64" customFormat="1" x14ac:dyDescent="0.25">
      <c r="A311" s="63"/>
      <c r="U311" s="64" t="str">
        <f t="shared" si="16"/>
        <v>Exclude</v>
      </c>
      <c r="W311" s="65" t="str">
        <f t="shared" si="17"/>
        <v>Exclude</v>
      </c>
      <c r="Y311" s="63"/>
      <c r="AS311" s="64" t="str">
        <f t="shared" si="18"/>
        <v>Exclude</v>
      </c>
      <c r="AU311" s="65" t="str">
        <f t="shared" si="19"/>
        <v>Exclude</v>
      </c>
    </row>
    <row r="312" spans="1:47" s="64" customFormat="1" x14ac:dyDescent="0.25">
      <c r="A312" s="63"/>
      <c r="U312" s="64" t="str">
        <f t="shared" si="16"/>
        <v>Exclude</v>
      </c>
      <c r="W312" s="65" t="str">
        <f t="shared" si="17"/>
        <v>Exclude</v>
      </c>
      <c r="Y312" s="63"/>
      <c r="AS312" s="64" t="str">
        <f t="shared" si="18"/>
        <v>Exclude</v>
      </c>
      <c r="AU312" s="65" t="str">
        <f t="shared" si="19"/>
        <v>Exclude</v>
      </c>
    </row>
    <row r="313" spans="1:47" s="64" customFormat="1" x14ac:dyDescent="0.25">
      <c r="A313" s="63"/>
      <c r="U313" s="64" t="str">
        <f t="shared" si="16"/>
        <v>Exclude</v>
      </c>
      <c r="W313" s="65" t="str">
        <f t="shared" si="17"/>
        <v>Exclude</v>
      </c>
      <c r="Y313" s="63"/>
      <c r="AS313" s="64" t="str">
        <f t="shared" si="18"/>
        <v>Exclude</v>
      </c>
      <c r="AU313" s="65" t="str">
        <f t="shared" si="19"/>
        <v>Exclude</v>
      </c>
    </row>
    <row r="314" spans="1:47" s="64" customFormat="1" x14ac:dyDescent="0.25">
      <c r="A314" s="63"/>
      <c r="U314" s="64" t="str">
        <f t="shared" si="16"/>
        <v>Exclude</v>
      </c>
      <c r="W314" s="65" t="str">
        <f t="shared" si="17"/>
        <v>Exclude</v>
      </c>
      <c r="Y314" s="63"/>
      <c r="AS314" s="64" t="str">
        <f t="shared" si="18"/>
        <v>Exclude</v>
      </c>
      <c r="AU314" s="65" t="str">
        <f t="shared" si="19"/>
        <v>Exclude</v>
      </c>
    </row>
    <row r="315" spans="1:47" s="64" customFormat="1" x14ac:dyDescent="0.25">
      <c r="A315" s="63"/>
      <c r="U315" s="64" t="str">
        <f t="shared" si="16"/>
        <v>Exclude</v>
      </c>
      <c r="W315" s="65" t="str">
        <f t="shared" si="17"/>
        <v>Exclude</v>
      </c>
      <c r="Y315" s="63"/>
      <c r="AS315" s="64" t="str">
        <f t="shared" si="18"/>
        <v>Exclude</v>
      </c>
      <c r="AU315" s="65" t="str">
        <f t="shared" si="19"/>
        <v>Exclude</v>
      </c>
    </row>
    <row r="316" spans="1:47" s="64" customFormat="1" x14ac:dyDescent="0.25">
      <c r="A316" s="63"/>
      <c r="U316" s="64" t="str">
        <f t="shared" si="16"/>
        <v>Exclude</v>
      </c>
      <c r="W316" s="65" t="str">
        <f t="shared" si="17"/>
        <v>Exclude</v>
      </c>
      <c r="Y316" s="63"/>
      <c r="AS316" s="64" t="str">
        <f t="shared" si="18"/>
        <v>Exclude</v>
      </c>
      <c r="AU316" s="65" t="str">
        <f t="shared" si="19"/>
        <v>Exclude</v>
      </c>
    </row>
    <row r="317" spans="1:47" s="64" customFormat="1" x14ac:dyDescent="0.25">
      <c r="A317" s="63"/>
      <c r="U317" s="64" t="str">
        <f t="shared" si="16"/>
        <v>Exclude</v>
      </c>
      <c r="W317" s="65" t="str">
        <f t="shared" si="17"/>
        <v>Exclude</v>
      </c>
      <c r="Y317" s="63"/>
      <c r="AS317" s="64" t="str">
        <f t="shared" si="18"/>
        <v>Exclude</v>
      </c>
      <c r="AU317" s="65" t="str">
        <f t="shared" si="19"/>
        <v>Exclude</v>
      </c>
    </row>
    <row r="318" spans="1:47" s="64" customFormat="1" x14ac:dyDescent="0.25">
      <c r="A318" s="63"/>
      <c r="U318" s="64" t="str">
        <f t="shared" si="16"/>
        <v>Exclude</v>
      </c>
      <c r="W318" s="65" t="str">
        <f t="shared" si="17"/>
        <v>Exclude</v>
      </c>
      <c r="Y318" s="63"/>
      <c r="AS318" s="64" t="str">
        <f t="shared" si="18"/>
        <v>Exclude</v>
      </c>
      <c r="AU318" s="65" t="str">
        <f t="shared" si="19"/>
        <v>Exclude</v>
      </c>
    </row>
    <row r="319" spans="1:47" s="64" customFormat="1" x14ac:dyDescent="0.25">
      <c r="A319" s="63"/>
      <c r="U319" s="64" t="str">
        <f t="shared" si="16"/>
        <v>Exclude</v>
      </c>
      <c r="W319" s="65" t="str">
        <f t="shared" si="17"/>
        <v>Exclude</v>
      </c>
      <c r="Y319" s="63"/>
      <c r="AS319" s="64" t="str">
        <f t="shared" si="18"/>
        <v>Exclude</v>
      </c>
      <c r="AU319" s="65" t="str">
        <f t="shared" si="19"/>
        <v>Exclude</v>
      </c>
    </row>
    <row r="320" spans="1:47" s="64" customFormat="1" x14ac:dyDescent="0.25">
      <c r="A320" s="63"/>
      <c r="U320" s="64" t="str">
        <f t="shared" si="16"/>
        <v>Exclude</v>
      </c>
      <c r="W320" s="65" t="str">
        <f t="shared" si="17"/>
        <v>Exclude</v>
      </c>
      <c r="Y320" s="63"/>
      <c r="AS320" s="64" t="str">
        <f t="shared" si="18"/>
        <v>Exclude</v>
      </c>
      <c r="AU320" s="65" t="str">
        <f t="shared" si="19"/>
        <v>Exclude</v>
      </c>
    </row>
    <row r="321" spans="1:47" s="64" customFormat="1" x14ac:dyDescent="0.25">
      <c r="A321" s="63"/>
      <c r="U321" s="64" t="str">
        <f t="shared" si="16"/>
        <v>Exclude</v>
      </c>
      <c r="W321" s="65" t="str">
        <f t="shared" si="17"/>
        <v>Exclude</v>
      </c>
      <c r="Y321" s="63"/>
      <c r="AS321" s="64" t="str">
        <f t="shared" si="18"/>
        <v>Exclude</v>
      </c>
      <c r="AU321" s="65" t="str">
        <f t="shared" si="19"/>
        <v>Exclude</v>
      </c>
    </row>
    <row r="322" spans="1:47" s="64" customFormat="1" x14ac:dyDescent="0.25">
      <c r="A322" s="63"/>
      <c r="U322" s="64" t="str">
        <f t="shared" si="16"/>
        <v>Exclude</v>
      </c>
      <c r="W322" s="65" t="str">
        <f t="shared" si="17"/>
        <v>Exclude</v>
      </c>
      <c r="Y322" s="63"/>
      <c r="AS322" s="64" t="str">
        <f t="shared" si="18"/>
        <v>Exclude</v>
      </c>
      <c r="AU322" s="65" t="str">
        <f t="shared" si="19"/>
        <v>Exclude</v>
      </c>
    </row>
    <row r="323" spans="1:47" s="64" customFormat="1" x14ac:dyDescent="0.25">
      <c r="A323" s="63"/>
      <c r="U323" s="64" t="str">
        <f t="shared" si="16"/>
        <v>Exclude</v>
      </c>
      <c r="W323" s="65" t="str">
        <f t="shared" si="17"/>
        <v>Exclude</v>
      </c>
      <c r="Y323" s="63"/>
      <c r="AS323" s="64" t="str">
        <f t="shared" si="18"/>
        <v>Exclude</v>
      </c>
      <c r="AU323" s="65" t="str">
        <f t="shared" si="19"/>
        <v>Exclude</v>
      </c>
    </row>
    <row r="324" spans="1:47" s="64" customFormat="1" x14ac:dyDescent="0.25">
      <c r="A324" s="63"/>
      <c r="U324" s="64" t="str">
        <f t="shared" si="16"/>
        <v>Exclude</v>
      </c>
      <c r="W324" s="65" t="str">
        <f t="shared" si="17"/>
        <v>Exclude</v>
      </c>
      <c r="Y324" s="63"/>
      <c r="AS324" s="64" t="str">
        <f t="shared" si="18"/>
        <v>Exclude</v>
      </c>
      <c r="AU324" s="65" t="str">
        <f t="shared" si="19"/>
        <v>Exclude</v>
      </c>
    </row>
    <row r="325" spans="1:47" s="64" customFormat="1" x14ac:dyDescent="0.25">
      <c r="A325" s="63"/>
      <c r="U325" s="64" t="str">
        <f t="shared" si="16"/>
        <v>Exclude</v>
      </c>
      <c r="W325" s="65" t="str">
        <f t="shared" si="17"/>
        <v>Exclude</v>
      </c>
      <c r="Y325" s="63"/>
      <c r="AS325" s="64" t="str">
        <f t="shared" si="18"/>
        <v>Exclude</v>
      </c>
      <c r="AU325" s="65" t="str">
        <f t="shared" si="19"/>
        <v>Exclude</v>
      </c>
    </row>
    <row r="326" spans="1:47" s="64" customFormat="1" x14ac:dyDescent="0.25">
      <c r="A326" s="63"/>
      <c r="U326" s="64" t="str">
        <f t="shared" si="16"/>
        <v>Exclude</v>
      </c>
      <c r="W326" s="65" t="str">
        <f t="shared" si="17"/>
        <v>Exclude</v>
      </c>
      <c r="Y326" s="63"/>
      <c r="AS326" s="64" t="str">
        <f t="shared" si="18"/>
        <v>Exclude</v>
      </c>
      <c r="AU326" s="65" t="str">
        <f t="shared" si="19"/>
        <v>Exclude</v>
      </c>
    </row>
    <row r="327" spans="1:47" s="64" customFormat="1" x14ac:dyDescent="0.25">
      <c r="A327" s="63"/>
      <c r="U327" s="64" t="str">
        <f t="shared" si="16"/>
        <v>Exclude</v>
      </c>
      <c r="W327" s="65" t="str">
        <f t="shared" si="17"/>
        <v>Exclude</v>
      </c>
      <c r="Y327" s="63"/>
      <c r="AS327" s="64" t="str">
        <f t="shared" si="18"/>
        <v>Exclude</v>
      </c>
      <c r="AU327" s="65" t="str">
        <f t="shared" si="19"/>
        <v>Exclude</v>
      </c>
    </row>
    <row r="328" spans="1:47" s="64" customFormat="1" x14ac:dyDescent="0.25">
      <c r="A328" s="63"/>
      <c r="U328" s="64" t="str">
        <f t="shared" si="16"/>
        <v>Exclude</v>
      </c>
      <c r="W328" s="65" t="str">
        <f t="shared" si="17"/>
        <v>Exclude</v>
      </c>
      <c r="Y328" s="63"/>
      <c r="AS328" s="64" t="str">
        <f t="shared" si="18"/>
        <v>Exclude</v>
      </c>
      <c r="AU328" s="65" t="str">
        <f t="shared" si="19"/>
        <v>Exclude</v>
      </c>
    </row>
    <row r="329" spans="1:47" s="64" customFormat="1" x14ac:dyDescent="0.25">
      <c r="A329" s="63"/>
      <c r="U329" s="64" t="str">
        <f t="shared" si="16"/>
        <v>Exclude</v>
      </c>
      <c r="W329" s="65" t="str">
        <f t="shared" si="17"/>
        <v>Exclude</v>
      </c>
      <c r="Y329" s="63"/>
      <c r="AS329" s="64" t="str">
        <f t="shared" si="18"/>
        <v>Exclude</v>
      </c>
      <c r="AU329" s="65" t="str">
        <f t="shared" si="19"/>
        <v>Exclude</v>
      </c>
    </row>
    <row r="330" spans="1:47" s="64" customFormat="1" x14ac:dyDescent="0.25">
      <c r="A330" s="63"/>
      <c r="U330" s="64" t="str">
        <f t="shared" si="16"/>
        <v>Exclude</v>
      </c>
      <c r="W330" s="65" t="str">
        <f t="shared" si="17"/>
        <v>Exclude</v>
      </c>
      <c r="Y330" s="63"/>
      <c r="AS330" s="64" t="str">
        <f t="shared" si="18"/>
        <v>Exclude</v>
      </c>
      <c r="AU330" s="65" t="str">
        <f t="shared" si="19"/>
        <v>Exclude</v>
      </c>
    </row>
    <row r="331" spans="1:47" s="64" customFormat="1" x14ac:dyDescent="0.25">
      <c r="A331" s="63"/>
      <c r="U331" s="64" t="str">
        <f t="shared" si="16"/>
        <v>Exclude</v>
      </c>
      <c r="W331" s="65" t="str">
        <f t="shared" si="17"/>
        <v>Exclude</v>
      </c>
      <c r="Y331" s="63"/>
      <c r="AS331" s="64" t="str">
        <f t="shared" si="18"/>
        <v>Exclude</v>
      </c>
      <c r="AU331" s="65" t="str">
        <f t="shared" si="19"/>
        <v>Exclude</v>
      </c>
    </row>
    <row r="332" spans="1:47" s="64" customFormat="1" x14ac:dyDescent="0.25">
      <c r="A332" s="63"/>
      <c r="U332" s="64" t="str">
        <f t="shared" si="16"/>
        <v>Exclude</v>
      </c>
      <c r="W332" s="65" t="str">
        <f t="shared" si="17"/>
        <v>Exclude</v>
      </c>
      <c r="Y332" s="63"/>
      <c r="AS332" s="64" t="str">
        <f t="shared" si="18"/>
        <v>Exclude</v>
      </c>
      <c r="AU332" s="65" t="str">
        <f t="shared" si="19"/>
        <v>Exclude</v>
      </c>
    </row>
    <row r="333" spans="1:47" s="64" customFormat="1" x14ac:dyDescent="0.25">
      <c r="A333" s="63"/>
      <c r="U333" s="64" t="str">
        <f t="shared" si="16"/>
        <v>Exclude</v>
      </c>
      <c r="W333" s="65" t="str">
        <f t="shared" si="17"/>
        <v>Exclude</v>
      </c>
      <c r="Y333" s="63"/>
      <c r="AS333" s="64" t="str">
        <f t="shared" si="18"/>
        <v>Exclude</v>
      </c>
      <c r="AU333" s="65" t="str">
        <f t="shared" si="19"/>
        <v>Exclude</v>
      </c>
    </row>
    <row r="334" spans="1:47" s="64" customFormat="1" x14ac:dyDescent="0.25">
      <c r="A334" s="63"/>
      <c r="U334" s="64" t="str">
        <f t="shared" si="16"/>
        <v>Exclude</v>
      </c>
      <c r="W334" s="65" t="str">
        <f t="shared" si="17"/>
        <v>Exclude</v>
      </c>
      <c r="Y334" s="63"/>
      <c r="AS334" s="64" t="str">
        <f t="shared" si="18"/>
        <v>Exclude</v>
      </c>
      <c r="AU334" s="65" t="str">
        <f t="shared" si="19"/>
        <v>Exclude</v>
      </c>
    </row>
    <row r="335" spans="1:47" s="64" customFormat="1" x14ac:dyDescent="0.25">
      <c r="A335" s="63"/>
      <c r="U335" s="64" t="str">
        <f t="shared" si="16"/>
        <v>Exclude</v>
      </c>
      <c r="W335" s="65" t="str">
        <f t="shared" si="17"/>
        <v>Exclude</v>
      </c>
      <c r="Y335" s="63"/>
      <c r="AS335" s="64" t="str">
        <f t="shared" si="18"/>
        <v>Exclude</v>
      </c>
      <c r="AU335" s="65" t="str">
        <f t="shared" si="19"/>
        <v>Exclude</v>
      </c>
    </row>
    <row r="336" spans="1:47" s="64" customFormat="1" x14ac:dyDescent="0.25">
      <c r="A336" s="63"/>
      <c r="U336" s="64" t="str">
        <f t="shared" si="16"/>
        <v>Exclude</v>
      </c>
      <c r="W336" s="65" t="str">
        <f t="shared" si="17"/>
        <v>Exclude</v>
      </c>
      <c r="Y336" s="63"/>
      <c r="AS336" s="64" t="str">
        <f t="shared" si="18"/>
        <v>Exclude</v>
      </c>
      <c r="AU336" s="65" t="str">
        <f t="shared" si="19"/>
        <v>Exclude</v>
      </c>
    </row>
    <row r="337" spans="1:47" s="64" customFormat="1" x14ac:dyDescent="0.25">
      <c r="A337" s="63"/>
      <c r="U337" s="64" t="str">
        <f t="shared" si="16"/>
        <v>Exclude</v>
      </c>
      <c r="W337" s="65" t="str">
        <f t="shared" si="17"/>
        <v>Exclude</v>
      </c>
      <c r="Y337" s="63"/>
      <c r="AS337" s="64" t="str">
        <f t="shared" si="18"/>
        <v>Exclude</v>
      </c>
      <c r="AU337" s="65" t="str">
        <f t="shared" si="19"/>
        <v>Exclude</v>
      </c>
    </row>
    <row r="338" spans="1:47" s="64" customFormat="1" x14ac:dyDescent="0.25">
      <c r="A338" s="63"/>
      <c r="U338" s="64" t="str">
        <f t="shared" si="16"/>
        <v>Exclude</v>
      </c>
      <c r="W338" s="65" t="str">
        <f t="shared" si="17"/>
        <v>Exclude</v>
      </c>
      <c r="Y338" s="63"/>
      <c r="AS338" s="64" t="str">
        <f t="shared" si="18"/>
        <v>Exclude</v>
      </c>
      <c r="AU338" s="65" t="str">
        <f t="shared" si="19"/>
        <v>Exclude</v>
      </c>
    </row>
    <row r="339" spans="1:47" s="64" customFormat="1" x14ac:dyDescent="0.25">
      <c r="A339" s="63"/>
      <c r="U339" s="64" t="str">
        <f t="shared" si="16"/>
        <v>Exclude</v>
      </c>
      <c r="W339" s="65" t="str">
        <f t="shared" si="17"/>
        <v>Exclude</v>
      </c>
      <c r="Y339" s="63"/>
      <c r="AS339" s="64" t="str">
        <f t="shared" si="18"/>
        <v>Exclude</v>
      </c>
      <c r="AU339" s="65" t="str">
        <f t="shared" si="19"/>
        <v>Exclude</v>
      </c>
    </row>
    <row r="340" spans="1:47" s="64" customFormat="1" x14ac:dyDescent="0.25">
      <c r="A340" s="63"/>
      <c r="U340" s="64" t="str">
        <f t="shared" si="16"/>
        <v>Exclude</v>
      </c>
      <c r="W340" s="65" t="str">
        <f t="shared" si="17"/>
        <v>Exclude</v>
      </c>
      <c r="Y340" s="63"/>
      <c r="AS340" s="64" t="str">
        <f t="shared" si="18"/>
        <v>Exclude</v>
      </c>
      <c r="AU340" s="65" t="str">
        <f t="shared" si="19"/>
        <v>Exclude</v>
      </c>
    </row>
    <row r="341" spans="1:47" s="64" customFormat="1" x14ac:dyDescent="0.25">
      <c r="A341" s="63"/>
      <c r="U341" s="64" t="str">
        <f t="shared" ref="U341:U404" si="20">IF(OR(R341="TruePositive",R341="TrueNegative"),IF(R340&lt;&gt;"Anticipatory",(N341),"Pant"),"Exclude")</f>
        <v>Exclude</v>
      </c>
      <c r="W341" s="65" t="str">
        <f t="shared" ref="W341:W404" si="21">IF(OR(R341="TruePositive",R341="TrueNegative"),IF(R340&lt;&gt;"Anticipatory",LOG10(N341),"Exclude"),"Exclude")</f>
        <v>Exclude</v>
      </c>
      <c r="Y341" s="63"/>
      <c r="AS341" s="64" t="str">
        <f t="shared" ref="AS341:AS404" si="22">IF(OR(AP341="TruePositive",AP341="TrueNegative"),IF(AP340&lt;&gt;"Anticipatory",(AL341),"Pant"),"Exclude")</f>
        <v>Exclude</v>
      </c>
      <c r="AU341" s="65" t="str">
        <f t="shared" ref="AU341:AU404" si="23">IF(OR(AP341="TruePositive",AP341="TrueNegative"),IF(AP340&lt;&gt;"Anticipatory",LOG10(AL341),"Exclude"),"Exclude")</f>
        <v>Exclude</v>
      </c>
    </row>
    <row r="342" spans="1:47" s="64" customFormat="1" x14ac:dyDescent="0.25">
      <c r="A342" s="63"/>
      <c r="U342" s="64" t="str">
        <f t="shared" si="20"/>
        <v>Exclude</v>
      </c>
      <c r="W342" s="65" t="str">
        <f t="shared" si="21"/>
        <v>Exclude</v>
      </c>
      <c r="Y342" s="63"/>
      <c r="AS342" s="64" t="str">
        <f t="shared" si="22"/>
        <v>Exclude</v>
      </c>
      <c r="AU342" s="65" t="str">
        <f t="shared" si="23"/>
        <v>Exclude</v>
      </c>
    </row>
    <row r="343" spans="1:47" s="64" customFormat="1" x14ac:dyDescent="0.25">
      <c r="A343" s="63"/>
      <c r="U343" s="64" t="str">
        <f t="shared" si="20"/>
        <v>Exclude</v>
      </c>
      <c r="W343" s="65" t="str">
        <f t="shared" si="21"/>
        <v>Exclude</v>
      </c>
      <c r="Y343" s="63"/>
      <c r="AS343" s="64" t="str">
        <f t="shared" si="22"/>
        <v>Exclude</v>
      </c>
      <c r="AU343" s="65" t="str">
        <f t="shared" si="23"/>
        <v>Exclude</v>
      </c>
    </row>
    <row r="344" spans="1:47" s="64" customFormat="1" x14ac:dyDescent="0.25">
      <c r="A344" s="63"/>
      <c r="U344" s="64" t="str">
        <f t="shared" si="20"/>
        <v>Exclude</v>
      </c>
      <c r="W344" s="65" t="str">
        <f t="shared" si="21"/>
        <v>Exclude</v>
      </c>
      <c r="Y344" s="63"/>
      <c r="AS344" s="64" t="str">
        <f t="shared" si="22"/>
        <v>Exclude</v>
      </c>
      <c r="AU344" s="65" t="str">
        <f t="shared" si="23"/>
        <v>Exclude</v>
      </c>
    </row>
    <row r="345" spans="1:47" s="64" customFormat="1" x14ac:dyDescent="0.25">
      <c r="A345" s="63"/>
      <c r="U345" s="64" t="str">
        <f t="shared" si="20"/>
        <v>Exclude</v>
      </c>
      <c r="W345" s="65" t="str">
        <f t="shared" si="21"/>
        <v>Exclude</v>
      </c>
      <c r="Y345" s="63"/>
      <c r="AS345" s="64" t="str">
        <f t="shared" si="22"/>
        <v>Exclude</v>
      </c>
      <c r="AU345" s="65" t="str">
        <f t="shared" si="23"/>
        <v>Exclude</v>
      </c>
    </row>
    <row r="346" spans="1:47" s="64" customFormat="1" x14ac:dyDescent="0.25">
      <c r="A346" s="63"/>
      <c r="U346" s="64" t="str">
        <f t="shared" si="20"/>
        <v>Exclude</v>
      </c>
      <c r="W346" s="65" t="str">
        <f t="shared" si="21"/>
        <v>Exclude</v>
      </c>
      <c r="Y346" s="63"/>
      <c r="AS346" s="64" t="str">
        <f t="shared" si="22"/>
        <v>Exclude</v>
      </c>
      <c r="AU346" s="65" t="str">
        <f t="shared" si="23"/>
        <v>Exclude</v>
      </c>
    </row>
    <row r="347" spans="1:47" s="64" customFormat="1" x14ac:dyDescent="0.25">
      <c r="A347" s="63"/>
      <c r="U347" s="64" t="str">
        <f t="shared" si="20"/>
        <v>Exclude</v>
      </c>
      <c r="W347" s="65" t="str">
        <f t="shared" si="21"/>
        <v>Exclude</v>
      </c>
      <c r="Y347" s="63"/>
      <c r="AS347" s="64" t="str">
        <f t="shared" si="22"/>
        <v>Exclude</v>
      </c>
      <c r="AU347" s="65" t="str">
        <f t="shared" si="23"/>
        <v>Exclude</v>
      </c>
    </row>
    <row r="348" spans="1:47" s="64" customFormat="1" x14ac:dyDescent="0.25">
      <c r="A348" s="63"/>
      <c r="U348" s="64" t="str">
        <f t="shared" si="20"/>
        <v>Exclude</v>
      </c>
      <c r="W348" s="65" t="str">
        <f t="shared" si="21"/>
        <v>Exclude</v>
      </c>
      <c r="Y348" s="63"/>
      <c r="AS348" s="64" t="str">
        <f t="shared" si="22"/>
        <v>Exclude</v>
      </c>
      <c r="AU348" s="65" t="str">
        <f t="shared" si="23"/>
        <v>Exclude</v>
      </c>
    </row>
    <row r="349" spans="1:47" s="64" customFormat="1" x14ac:dyDescent="0.25">
      <c r="A349" s="63"/>
      <c r="U349" s="64" t="str">
        <f t="shared" si="20"/>
        <v>Exclude</v>
      </c>
      <c r="W349" s="65" t="str">
        <f t="shared" si="21"/>
        <v>Exclude</v>
      </c>
      <c r="Y349" s="63"/>
      <c r="AS349" s="64" t="str">
        <f t="shared" si="22"/>
        <v>Exclude</v>
      </c>
      <c r="AU349" s="65" t="str">
        <f t="shared" si="23"/>
        <v>Exclude</v>
      </c>
    </row>
    <row r="350" spans="1:47" s="64" customFormat="1" x14ac:dyDescent="0.25">
      <c r="A350" s="63"/>
      <c r="U350" s="64" t="str">
        <f t="shared" si="20"/>
        <v>Exclude</v>
      </c>
      <c r="W350" s="65" t="str">
        <f t="shared" si="21"/>
        <v>Exclude</v>
      </c>
      <c r="Y350" s="63"/>
      <c r="AS350" s="64" t="str">
        <f t="shared" si="22"/>
        <v>Exclude</v>
      </c>
      <c r="AU350" s="65" t="str">
        <f t="shared" si="23"/>
        <v>Exclude</v>
      </c>
    </row>
    <row r="351" spans="1:47" s="64" customFormat="1" x14ac:dyDescent="0.25">
      <c r="A351" s="63"/>
      <c r="U351" s="64" t="str">
        <f t="shared" si="20"/>
        <v>Exclude</v>
      </c>
      <c r="W351" s="65" t="str">
        <f t="shared" si="21"/>
        <v>Exclude</v>
      </c>
      <c r="Y351" s="63"/>
      <c r="AS351" s="64" t="str">
        <f t="shared" si="22"/>
        <v>Exclude</v>
      </c>
      <c r="AU351" s="65" t="str">
        <f t="shared" si="23"/>
        <v>Exclude</v>
      </c>
    </row>
    <row r="352" spans="1:47" s="64" customFormat="1" x14ac:dyDescent="0.25">
      <c r="A352" s="63"/>
      <c r="U352" s="64" t="str">
        <f t="shared" si="20"/>
        <v>Exclude</v>
      </c>
      <c r="W352" s="65" t="str">
        <f t="shared" si="21"/>
        <v>Exclude</v>
      </c>
      <c r="Y352" s="63"/>
      <c r="AS352" s="64" t="str">
        <f t="shared" si="22"/>
        <v>Exclude</v>
      </c>
      <c r="AU352" s="65" t="str">
        <f t="shared" si="23"/>
        <v>Exclude</v>
      </c>
    </row>
    <row r="353" spans="1:47" s="64" customFormat="1" x14ac:dyDescent="0.25">
      <c r="A353" s="63"/>
      <c r="U353" s="64" t="str">
        <f t="shared" si="20"/>
        <v>Exclude</v>
      </c>
      <c r="W353" s="65" t="str">
        <f t="shared" si="21"/>
        <v>Exclude</v>
      </c>
      <c r="Y353" s="63"/>
      <c r="AS353" s="64" t="str">
        <f t="shared" si="22"/>
        <v>Exclude</v>
      </c>
      <c r="AU353" s="65" t="str">
        <f t="shared" si="23"/>
        <v>Exclude</v>
      </c>
    </row>
    <row r="354" spans="1:47" s="64" customFormat="1" x14ac:dyDescent="0.25">
      <c r="A354" s="63"/>
      <c r="U354" s="64" t="str">
        <f t="shared" si="20"/>
        <v>Exclude</v>
      </c>
      <c r="W354" s="65" t="str">
        <f t="shared" si="21"/>
        <v>Exclude</v>
      </c>
      <c r="Y354" s="63"/>
      <c r="AS354" s="64" t="str">
        <f t="shared" si="22"/>
        <v>Exclude</v>
      </c>
      <c r="AU354" s="65" t="str">
        <f t="shared" si="23"/>
        <v>Exclude</v>
      </c>
    </row>
    <row r="355" spans="1:47" s="64" customFormat="1" x14ac:dyDescent="0.25">
      <c r="A355" s="63"/>
      <c r="U355" s="64" t="str">
        <f t="shared" si="20"/>
        <v>Exclude</v>
      </c>
      <c r="W355" s="65" t="str">
        <f t="shared" si="21"/>
        <v>Exclude</v>
      </c>
      <c r="Y355" s="63"/>
      <c r="AS355" s="64" t="str">
        <f t="shared" si="22"/>
        <v>Exclude</v>
      </c>
      <c r="AU355" s="65" t="str">
        <f t="shared" si="23"/>
        <v>Exclude</v>
      </c>
    </row>
    <row r="356" spans="1:47" s="64" customFormat="1" x14ac:dyDescent="0.25">
      <c r="A356" s="63"/>
      <c r="U356" s="64" t="str">
        <f t="shared" si="20"/>
        <v>Exclude</v>
      </c>
      <c r="W356" s="65" t="str">
        <f t="shared" si="21"/>
        <v>Exclude</v>
      </c>
      <c r="Y356" s="63"/>
      <c r="AS356" s="64" t="str">
        <f t="shared" si="22"/>
        <v>Exclude</v>
      </c>
      <c r="AU356" s="65" t="str">
        <f t="shared" si="23"/>
        <v>Exclude</v>
      </c>
    </row>
    <row r="357" spans="1:47" s="64" customFormat="1" x14ac:dyDescent="0.25">
      <c r="A357" s="63"/>
      <c r="U357" s="64" t="str">
        <f t="shared" si="20"/>
        <v>Exclude</v>
      </c>
      <c r="W357" s="65" t="str">
        <f t="shared" si="21"/>
        <v>Exclude</v>
      </c>
      <c r="Y357" s="63"/>
      <c r="AS357" s="64" t="str">
        <f t="shared" si="22"/>
        <v>Exclude</v>
      </c>
      <c r="AU357" s="65" t="str">
        <f t="shared" si="23"/>
        <v>Exclude</v>
      </c>
    </row>
    <row r="358" spans="1:47" s="64" customFormat="1" x14ac:dyDescent="0.25">
      <c r="A358" s="63"/>
      <c r="U358" s="64" t="str">
        <f t="shared" si="20"/>
        <v>Exclude</v>
      </c>
      <c r="W358" s="65" t="str">
        <f t="shared" si="21"/>
        <v>Exclude</v>
      </c>
      <c r="Y358" s="63"/>
      <c r="AS358" s="64" t="str">
        <f t="shared" si="22"/>
        <v>Exclude</v>
      </c>
      <c r="AU358" s="65" t="str">
        <f t="shared" si="23"/>
        <v>Exclude</v>
      </c>
    </row>
    <row r="359" spans="1:47" s="64" customFormat="1" x14ac:dyDescent="0.25">
      <c r="A359" s="63"/>
      <c r="U359" s="64" t="str">
        <f t="shared" si="20"/>
        <v>Exclude</v>
      </c>
      <c r="W359" s="65" t="str">
        <f t="shared" si="21"/>
        <v>Exclude</v>
      </c>
      <c r="Y359" s="63"/>
      <c r="AS359" s="64" t="str">
        <f t="shared" si="22"/>
        <v>Exclude</v>
      </c>
      <c r="AU359" s="65" t="str">
        <f t="shared" si="23"/>
        <v>Exclude</v>
      </c>
    </row>
    <row r="360" spans="1:47" s="64" customFormat="1" x14ac:dyDescent="0.25">
      <c r="A360" s="63"/>
      <c r="U360" s="64" t="str">
        <f t="shared" si="20"/>
        <v>Exclude</v>
      </c>
      <c r="W360" s="65" t="str">
        <f t="shared" si="21"/>
        <v>Exclude</v>
      </c>
      <c r="Y360" s="63"/>
      <c r="AS360" s="64" t="str">
        <f t="shared" si="22"/>
        <v>Exclude</v>
      </c>
      <c r="AU360" s="65" t="str">
        <f t="shared" si="23"/>
        <v>Exclude</v>
      </c>
    </row>
    <row r="361" spans="1:47" s="64" customFormat="1" x14ac:dyDescent="0.25">
      <c r="A361" s="63"/>
      <c r="U361" s="64" t="str">
        <f t="shared" si="20"/>
        <v>Exclude</v>
      </c>
      <c r="W361" s="65" t="str">
        <f t="shared" si="21"/>
        <v>Exclude</v>
      </c>
      <c r="Y361" s="63"/>
      <c r="AS361" s="64" t="str">
        <f t="shared" si="22"/>
        <v>Exclude</v>
      </c>
      <c r="AU361" s="65" t="str">
        <f t="shared" si="23"/>
        <v>Exclude</v>
      </c>
    </row>
    <row r="362" spans="1:47" s="64" customFormat="1" x14ac:dyDescent="0.25">
      <c r="A362" s="63"/>
      <c r="U362" s="64" t="str">
        <f t="shared" si="20"/>
        <v>Exclude</v>
      </c>
      <c r="W362" s="65" t="str">
        <f t="shared" si="21"/>
        <v>Exclude</v>
      </c>
      <c r="Y362" s="63"/>
      <c r="AS362" s="64" t="str">
        <f t="shared" si="22"/>
        <v>Exclude</v>
      </c>
      <c r="AU362" s="65" t="str">
        <f t="shared" si="23"/>
        <v>Exclude</v>
      </c>
    </row>
    <row r="363" spans="1:47" s="64" customFormat="1" x14ac:dyDescent="0.25">
      <c r="A363" s="63"/>
      <c r="U363" s="64" t="str">
        <f t="shared" si="20"/>
        <v>Exclude</v>
      </c>
      <c r="W363" s="65" t="str">
        <f t="shared" si="21"/>
        <v>Exclude</v>
      </c>
      <c r="Y363" s="63"/>
      <c r="AS363" s="64" t="str">
        <f t="shared" si="22"/>
        <v>Exclude</v>
      </c>
      <c r="AU363" s="65" t="str">
        <f t="shared" si="23"/>
        <v>Exclude</v>
      </c>
    </row>
    <row r="364" spans="1:47" s="64" customFormat="1" x14ac:dyDescent="0.25">
      <c r="A364" s="63"/>
      <c r="U364" s="64" t="str">
        <f t="shared" si="20"/>
        <v>Exclude</v>
      </c>
      <c r="W364" s="65" t="str">
        <f t="shared" si="21"/>
        <v>Exclude</v>
      </c>
      <c r="Y364" s="63"/>
      <c r="AS364" s="64" t="str">
        <f t="shared" si="22"/>
        <v>Exclude</v>
      </c>
      <c r="AU364" s="65" t="str">
        <f t="shared" si="23"/>
        <v>Exclude</v>
      </c>
    </row>
    <row r="365" spans="1:47" s="64" customFormat="1" x14ac:dyDescent="0.25">
      <c r="A365" s="63"/>
      <c r="U365" s="64" t="str">
        <f t="shared" si="20"/>
        <v>Exclude</v>
      </c>
      <c r="W365" s="65" t="str">
        <f t="shared" si="21"/>
        <v>Exclude</v>
      </c>
      <c r="Y365" s="63"/>
      <c r="AS365" s="64" t="str">
        <f t="shared" si="22"/>
        <v>Exclude</v>
      </c>
      <c r="AU365" s="65" t="str">
        <f t="shared" si="23"/>
        <v>Exclude</v>
      </c>
    </row>
    <row r="366" spans="1:47" s="64" customFormat="1" x14ac:dyDescent="0.25">
      <c r="A366" s="63"/>
      <c r="U366" s="64" t="str">
        <f t="shared" si="20"/>
        <v>Exclude</v>
      </c>
      <c r="W366" s="65" t="str">
        <f t="shared" si="21"/>
        <v>Exclude</v>
      </c>
      <c r="Y366" s="63"/>
      <c r="AS366" s="64" t="str">
        <f t="shared" si="22"/>
        <v>Exclude</v>
      </c>
      <c r="AU366" s="65" t="str">
        <f t="shared" si="23"/>
        <v>Exclude</v>
      </c>
    </row>
    <row r="367" spans="1:47" s="64" customFormat="1" x14ac:dyDescent="0.25">
      <c r="A367" s="63"/>
      <c r="U367" s="64" t="str">
        <f t="shared" si="20"/>
        <v>Exclude</v>
      </c>
      <c r="W367" s="65" t="str">
        <f t="shared" si="21"/>
        <v>Exclude</v>
      </c>
      <c r="Y367" s="63"/>
      <c r="AS367" s="64" t="str">
        <f t="shared" si="22"/>
        <v>Exclude</v>
      </c>
      <c r="AU367" s="65" t="str">
        <f t="shared" si="23"/>
        <v>Exclude</v>
      </c>
    </row>
    <row r="368" spans="1:47" s="64" customFormat="1" x14ac:dyDescent="0.25">
      <c r="A368" s="63"/>
      <c r="U368" s="64" t="str">
        <f t="shared" si="20"/>
        <v>Exclude</v>
      </c>
      <c r="W368" s="65" t="str">
        <f t="shared" si="21"/>
        <v>Exclude</v>
      </c>
      <c r="Y368" s="63"/>
      <c r="AS368" s="64" t="str">
        <f t="shared" si="22"/>
        <v>Exclude</v>
      </c>
      <c r="AU368" s="65" t="str">
        <f t="shared" si="23"/>
        <v>Exclude</v>
      </c>
    </row>
    <row r="369" spans="1:47" s="64" customFormat="1" x14ac:dyDescent="0.25">
      <c r="A369" s="63"/>
      <c r="U369" s="64" t="str">
        <f t="shared" si="20"/>
        <v>Exclude</v>
      </c>
      <c r="W369" s="65" t="str">
        <f t="shared" si="21"/>
        <v>Exclude</v>
      </c>
      <c r="Y369" s="63"/>
      <c r="AS369" s="64" t="str">
        <f t="shared" si="22"/>
        <v>Exclude</v>
      </c>
      <c r="AU369" s="65" t="str">
        <f t="shared" si="23"/>
        <v>Exclude</v>
      </c>
    </row>
    <row r="370" spans="1:47" s="64" customFormat="1" x14ac:dyDescent="0.25">
      <c r="A370" s="63"/>
      <c r="U370" s="64" t="str">
        <f t="shared" si="20"/>
        <v>Exclude</v>
      </c>
      <c r="W370" s="65" t="str">
        <f t="shared" si="21"/>
        <v>Exclude</v>
      </c>
      <c r="Y370" s="63"/>
      <c r="AS370" s="64" t="str">
        <f t="shared" si="22"/>
        <v>Exclude</v>
      </c>
      <c r="AU370" s="65" t="str">
        <f t="shared" si="23"/>
        <v>Exclude</v>
      </c>
    </row>
    <row r="371" spans="1:47" s="64" customFormat="1" x14ac:dyDescent="0.25">
      <c r="A371" s="63"/>
      <c r="U371" s="64" t="str">
        <f t="shared" si="20"/>
        <v>Exclude</v>
      </c>
      <c r="W371" s="65" t="str">
        <f t="shared" si="21"/>
        <v>Exclude</v>
      </c>
      <c r="Y371" s="63"/>
      <c r="AS371" s="64" t="str">
        <f t="shared" si="22"/>
        <v>Exclude</v>
      </c>
      <c r="AU371" s="65" t="str">
        <f t="shared" si="23"/>
        <v>Exclude</v>
      </c>
    </row>
    <row r="372" spans="1:47" s="64" customFormat="1" x14ac:dyDescent="0.25">
      <c r="A372" s="63"/>
      <c r="U372" s="64" t="str">
        <f t="shared" si="20"/>
        <v>Exclude</v>
      </c>
      <c r="W372" s="65" t="str">
        <f t="shared" si="21"/>
        <v>Exclude</v>
      </c>
      <c r="Y372" s="63"/>
      <c r="AS372" s="64" t="str">
        <f t="shared" si="22"/>
        <v>Exclude</v>
      </c>
      <c r="AU372" s="65" t="str">
        <f t="shared" si="23"/>
        <v>Exclude</v>
      </c>
    </row>
    <row r="373" spans="1:47" s="64" customFormat="1" x14ac:dyDescent="0.25">
      <c r="A373" s="63"/>
      <c r="U373" s="64" t="str">
        <f t="shared" si="20"/>
        <v>Exclude</v>
      </c>
      <c r="W373" s="65" t="str">
        <f t="shared" si="21"/>
        <v>Exclude</v>
      </c>
      <c r="Y373" s="63"/>
      <c r="AS373" s="64" t="str">
        <f t="shared" si="22"/>
        <v>Exclude</v>
      </c>
      <c r="AU373" s="65" t="str">
        <f t="shared" si="23"/>
        <v>Exclude</v>
      </c>
    </row>
    <row r="374" spans="1:47" s="64" customFormat="1" x14ac:dyDescent="0.25">
      <c r="A374" s="63"/>
      <c r="U374" s="64" t="str">
        <f t="shared" si="20"/>
        <v>Exclude</v>
      </c>
      <c r="W374" s="65" t="str">
        <f t="shared" si="21"/>
        <v>Exclude</v>
      </c>
      <c r="Y374" s="63"/>
      <c r="AS374" s="64" t="str">
        <f t="shared" si="22"/>
        <v>Exclude</v>
      </c>
      <c r="AU374" s="65" t="str">
        <f t="shared" si="23"/>
        <v>Exclude</v>
      </c>
    </row>
    <row r="375" spans="1:47" s="64" customFormat="1" x14ac:dyDescent="0.25">
      <c r="A375" s="63"/>
      <c r="U375" s="64" t="str">
        <f t="shared" si="20"/>
        <v>Exclude</v>
      </c>
      <c r="W375" s="65" t="str">
        <f t="shared" si="21"/>
        <v>Exclude</v>
      </c>
      <c r="Y375" s="63"/>
      <c r="AS375" s="64" t="str">
        <f t="shared" si="22"/>
        <v>Exclude</v>
      </c>
      <c r="AU375" s="65" t="str">
        <f t="shared" si="23"/>
        <v>Exclude</v>
      </c>
    </row>
    <row r="376" spans="1:47" s="64" customFormat="1" x14ac:dyDescent="0.25">
      <c r="A376" s="63"/>
      <c r="U376" s="64" t="str">
        <f t="shared" si="20"/>
        <v>Exclude</v>
      </c>
      <c r="W376" s="65" t="str">
        <f t="shared" si="21"/>
        <v>Exclude</v>
      </c>
      <c r="Y376" s="63"/>
      <c r="AS376" s="64" t="str">
        <f t="shared" si="22"/>
        <v>Exclude</v>
      </c>
      <c r="AU376" s="65" t="str">
        <f t="shared" si="23"/>
        <v>Exclude</v>
      </c>
    </row>
    <row r="377" spans="1:47" s="64" customFormat="1" x14ac:dyDescent="0.25">
      <c r="A377" s="63"/>
      <c r="U377" s="64" t="str">
        <f t="shared" si="20"/>
        <v>Exclude</v>
      </c>
      <c r="W377" s="65" t="str">
        <f t="shared" si="21"/>
        <v>Exclude</v>
      </c>
      <c r="Y377" s="63"/>
      <c r="AS377" s="64" t="str">
        <f t="shared" si="22"/>
        <v>Exclude</v>
      </c>
      <c r="AU377" s="65" t="str">
        <f t="shared" si="23"/>
        <v>Exclude</v>
      </c>
    </row>
    <row r="378" spans="1:47" s="64" customFormat="1" x14ac:dyDescent="0.25">
      <c r="A378" s="63"/>
      <c r="U378" s="64" t="str">
        <f t="shared" si="20"/>
        <v>Exclude</v>
      </c>
      <c r="W378" s="65" t="str">
        <f t="shared" si="21"/>
        <v>Exclude</v>
      </c>
      <c r="Y378" s="63"/>
      <c r="AS378" s="64" t="str">
        <f t="shared" si="22"/>
        <v>Exclude</v>
      </c>
      <c r="AU378" s="65" t="str">
        <f t="shared" si="23"/>
        <v>Exclude</v>
      </c>
    </row>
    <row r="379" spans="1:47" s="64" customFormat="1" x14ac:dyDescent="0.25">
      <c r="A379" s="63"/>
      <c r="U379" s="64" t="str">
        <f t="shared" si="20"/>
        <v>Exclude</v>
      </c>
      <c r="W379" s="65" t="str">
        <f t="shared" si="21"/>
        <v>Exclude</v>
      </c>
      <c r="Y379" s="63"/>
      <c r="AS379" s="64" t="str">
        <f t="shared" si="22"/>
        <v>Exclude</v>
      </c>
      <c r="AU379" s="65" t="str">
        <f t="shared" si="23"/>
        <v>Exclude</v>
      </c>
    </row>
    <row r="380" spans="1:47" s="64" customFormat="1" x14ac:dyDescent="0.25">
      <c r="A380" s="63"/>
      <c r="U380" s="64" t="str">
        <f t="shared" si="20"/>
        <v>Exclude</v>
      </c>
      <c r="W380" s="65" t="str">
        <f t="shared" si="21"/>
        <v>Exclude</v>
      </c>
      <c r="Y380" s="63"/>
      <c r="AS380" s="64" t="str">
        <f t="shared" si="22"/>
        <v>Exclude</v>
      </c>
      <c r="AU380" s="65" t="str">
        <f t="shared" si="23"/>
        <v>Exclude</v>
      </c>
    </row>
    <row r="381" spans="1:47" s="64" customFormat="1" x14ac:dyDescent="0.25">
      <c r="A381" s="63"/>
      <c r="U381" s="64" t="str">
        <f t="shared" si="20"/>
        <v>Exclude</v>
      </c>
      <c r="W381" s="65" t="str">
        <f t="shared" si="21"/>
        <v>Exclude</v>
      </c>
      <c r="Y381" s="63"/>
      <c r="AS381" s="64" t="str">
        <f t="shared" si="22"/>
        <v>Exclude</v>
      </c>
      <c r="AU381" s="65" t="str">
        <f t="shared" si="23"/>
        <v>Exclude</v>
      </c>
    </row>
    <row r="382" spans="1:47" s="64" customFormat="1" x14ac:dyDescent="0.25">
      <c r="A382" s="63"/>
      <c r="U382" s="64" t="str">
        <f t="shared" si="20"/>
        <v>Exclude</v>
      </c>
      <c r="W382" s="65" t="str">
        <f t="shared" si="21"/>
        <v>Exclude</v>
      </c>
      <c r="Y382" s="63"/>
      <c r="AS382" s="64" t="str">
        <f t="shared" si="22"/>
        <v>Exclude</v>
      </c>
      <c r="AU382" s="65" t="str">
        <f t="shared" si="23"/>
        <v>Exclude</v>
      </c>
    </row>
    <row r="383" spans="1:47" s="64" customFormat="1" x14ac:dyDescent="0.25">
      <c r="A383" s="63"/>
      <c r="U383" s="64" t="str">
        <f t="shared" si="20"/>
        <v>Exclude</v>
      </c>
      <c r="W383" s="65" t="str">
        <f t="shared" si="21"/>
        <v>Exclude</v>
      </c>
      <c r="Y383" s="63"/>
      <c r="AS383" s="64" t="str">
        <f t="shared" si="22"/>
        <v>Exclude</v>
      </c>
      <c r="AU383" s="65" t="str">
        <f t="shared" si="23"/>
        <v>Exclude</v>
      </c>
    </row>
    <row r="384" spans="1:47" s="64" customFormat="1" x14ac:dyDescent="0.25">
      <c r="A384" s="63"/>
      <c r="U384" s="64" t="str">
        <f t="shared" si="20"/>
        <v>Exclude</v>
      </c>
      <c r="W384" s="65" t="str">
        <f t="shared" si="21"/>
        <v>Exclude</v>
      </c>
      <c r="Y384" s="63"/>
      <c r="AS384" s="64" t="str">
        <f t="shared" si="22"/>
        <v>Exclude</v>
      </c>
      <c r="AU384" s="65" t="str">
        <f t="shared" si="23"/>
        <v>Exclude</v>
      </c>
    </row>
    <row r="385" spans="1:47" s="64" customFormat="1" x14ac:dyDescent="0.25">
      <c r="A385" s="63"/>
      <c r="U385" s="64" t="str">
        <f t="shared" si="20"/>
        <v>Exclude</v>
      </c>
      <c r="W385" s="65" t="str">
        <f t="shared" si="21"/>
        <v>Exclude</v>
      </c>
      <c r="Y385" s="63"/>
      <c r="AS385" s="64" t="str">
        <f t="shared" si="22"/>
        <v>Exclude</v>
      </c>
      <c r="AU385" s="65" t="str">
        <f t="shared" si="23"/>
        <v>Exclude</v>
      </c>
    </row>
    <row r="386" spans="1:47" s="64" customFormat="1" x14ac:dyDescent="0.25">
      <c r="A386" s="63"/>
      <c r="U386" s="64" t="str">
        <f t="shared" si="20"/>
        <v>Exclude</v>
      </c>
      <c r="W386" s="65" t="str">
        <f t="shared" si="21"/>
        <v>Exclude</v>
      </c>
      <c r="Y386" s="63"/>
      <c r="AS386" s="64" t="str">
        <f t="shared" si="22"/>
        <v>Exclude</v>
      </c>
      <c r="AU386" s="65" t="str">
        <f t="shared" si="23"/>
        <v>Exclude</v>
      </c>
    </row>
    <row r="387" spans="1:47" s="64" customFormat="1" x14ac:dyDescent="0.25">
      <c r="A387" s="63"/>
      <c r="U387" s="64" t="str">
        <f t="shared" si="20"/>
        <v>Exclude</v>
      </c>
      <c r="W387" s="65" t="str">
        <f t="shared" si="21"/>
        <v>Exclude</v>
      </c>
      <c r="Y387" s="63"/>
      <c r="AS387" s="64" t="str">
        <f t="shared" si="22"/>
        <v>Exclude</v>
      </c>
      <c r="AU387" s="65" t="str">
        <f t="shared" si="23"/>
        <v>Exclude</v>
      </c>
    </row>
    <row r="388" spans="1:47" s="64" customFormat="1" x14ac:dyDescent="0.25">
      <c r="A388" s="63"/>
      <c r="U388" s="64" t="str">
        <f t="shared" si="20"/>
        <v>Exclude</v>
      </c>
      <c r="W388" s="65" t="str">
        <f t="shared" si="21"/>
        <v>Exclude</v>
      </c>
      <c r="Y388" s="63"/>
      <c r="AS388" s="64" t="str">
        <f t="shared" si="22"/>
        <v>Exclude</v>
      </c>
      <c r="AU388" s="65" t="str">
        <f t="shared" si="23"/>
        <v>Exclude</v>
      </c>
    </row>
    <row r="389" spans="1:47" s="64" customFormat="1" x14ac:dyDescent="0.25">
      <c r="A389" s="63"/>
      <c r="U389" s="64" t="str">
        <f t="shared" si="20"/>
        <v>Exclude</v>
      </c>
      <c r="W389" s="65" t="str">
        <f t="shared" si="21"/>
        <v>Exclude</v>
      </c>
      <c r="Y389" s="63"/>
      <c r="AS389" s="64" t="str">
        <f t="shared" si="22"/>
        <v>Exclude</v>
      </c>
      <c r="AU389" s="65" t="str">
        <f t="shared" si="23"/>
        <v>Exclude</v>
      </c>
    </row>
    <row r="390" spans="1:47" s="64" customFormat="1" x14ac:dyDescent="0.25">
      <c r="A390" s="63"/>
      <c r="U390" s="64" t="str">
        <f t="shared" si="20"/>
        <v>Exclude</v>
      </c>
      <c r="W390" s="65" t="str">
        <f t="shared" si="21"/>
        <v>Exclude</v>
      </c>
      <c r="Y390" s="63"/>
      <c r="AS390" s="64" t="str">
        <f t="shared" si="22"/>
        <v>Exclude</v>
      </c>
      <c r="AU390" s="65" t="str">
        <f t="shared" si="23"/>
        <v>Exclude</v>
      </c>
    </row>
    <row r="391" spans="1:47" s="64" customFormat="1" x14ac:dyDescent="0.25">
      <c r="A391" s="63"/>
      <c r="U391" s="64" t="str">
        <f t="shared" si="20"/>
        <v>Exclude</v>
      </c>
      <c r="W391" s="65" t="str">
        <f t="shared" si="21"/>
        <v>Exclude</v>
      </c>
      <c r="Y391" s="63"/>
      <c r="AS391" s="64" t="str">
        <f t="shared" si="22"/>
        <v>Exclude</v>
      </c>
      <c r="AU391" s="65" t="str">
        <f t="shared" si="23"/>
        <v>Exclude</v>
      </c>
    </row>
    <row r="392" spans="1:47" s="64" customFormat="1" x14ac:dyDescent="0.25">
      <c r="A392" s="63"/>
      <c r="U392" s="64" t="str">
        <f t="shared" si="20"/>
        <v>Exclude</v>
      </c>
      <c r="W392" s="65" t="str">
        <f t="shared" si="21"/>
        <v>Exclude</v>
      </c>
      <c r="Y392" s="63"/>
      <c r="AS392" s="64" t="str">
        <f t="shared" si="22"/>
        <v>Exclude</v>
      </c>
      <c r="AU392" s="65" t="str">
        <f t="shared" si="23"/>
        <v>Exclude</v>
      </c>
    </row>
    <row r="393" spans="1:47" s="64" customFormat="1" x14ac:dyDescent="0.25">
      <c r="A393" s="63"/>
      <c r="U393" s="64" t="str">
        <f t="shared" si="20"/>
        <v>Exclude</v>
      </c>
      <c r="W393" s="65" t="str">
        <f t="shared" si="21"/>
        <v>Exclude</v>
      </c>
      <c r="Y393" s="63"/>
      <c r="AS393" s="64" t="str">
        <f t="shared" si="22"/>
        <v>Exclude</v>
      </c>
      <c r="AU393" s="65" t="str">
        <f t="shared" si="23"/>
        <v>Exclude</v>
      </c>
    </row>
    <row r="394" spans="1:47" s="64" customFormat="1" x14ac:dyDescent="0.25">
      <c r="A394" s="63"/>
      <c r="U394" s="64" t="str">
        <f t="shared" si="20"/>
        <v>Exclude</v>
      </c>
      <c r="W394" s="65" t="str">
        <f t="shared" si="21"/>
        <v>Exclude</v>
      </c>
      <c r="Y394" s="63"/>
      <c r="AS394" s="64" t="str">
        <f t="shared" si="22"/>
        <v>Exclude</v>
      </c>
      <c r="AU394" s="65" t="str">
        <f t="shared" si="23"/>
        <v>Exclude</v>
      </c>
    </row>
    <row r="395" spans="1:47" s="64" customFormat="1" x14ac:dyDescent="0.25">
      <c r="A395" s="63"/>
      <c r="U395" s="64" t="str">
        <f t="shared" si="20"/>
        <v>Exclude</v>
      </c>
      <c r="W395" s="65" t="str">
        <f t="shared" si="21"/>
        <v>Exclude</v>
      </c>
      <c r="Y395" s="63"/>
      <c r="AS395" s="64" t="str">
        <f t="shared" si="22"/>
        <v>Exclude</v>
      </c>
      <c r="AU395" s="65" t="str">
        <f t="shared" si="23"/>
        <v>Exclude</v>
      </c>
    </row>
    <row r="396" spans="1:47" s="64" customFormat="1" x14ac:dyDescent="0.25">
      <c r="A396" s="63"/>
      <c r="U396" s="64" t="str">
        <f t="shared" si="20"/>
        <v>Exclude</v>
      </c>
      <c r="W396" s="65" t="str">
        <f t="shared" si="21"/>
        <v>Exclude</v>
      </c>
      <c r="Y396" s="63"/>
      <c r="AS396" s="64" t="str">
        <f t="shared" si="22"/>
        <v>Exclude</v>
      </c>
      <c r="AU396" s="65" t="str">
        <f t="shared" si="23"/>
        <v>Exclude</v>
      </c>
    </row>
    <row r="397" spans="1:47" s="64" customFormat="1" x14ac:dyDescent="0.25">
      <c r="A397" s="63"/>
      <c r="U397" s="64" t="str">
        <f t="shared" si="20"/>
        <v>Exclude</v>
      </c>
      <c r="W397" s="65" t="str">
        <f t="shared" si="21"/>
        <v>Exclude</v>
      </c>
      <c r="Y397" s="63"/>
      <c r="AS397" s="64" t="str">
        <f t="shared" si="22"/>
        <v>Exclude</v>
      </c>
      <c r="AU397" s="65" t="str">
        <f t="shared" si="23"/>
        <v>Exclude</v>
      </c>
    </row>
    <row r="398" spans="1:47" s="64" customFormat="1" x14ac:dyDescent="0.25">
      <c r="A398" s="63"/>
      <c r="U398" s="64" t="str">
        <f t="shared" si="20"/>
        <v>Exclude</v>
      </c>
      <c r="W398" s="65" t="str">
        <f t="shared" si="21"/>
        <v>Exclude</v>
      </c>
      <c r="Y398" s="63"/>
      <c r="AS398" s="64" t="str">
        <f t="shared" si="22"/>
        <v>Exclude</v>
      </c>
      <c r="AU398" s="65" t="str">
        <f t="shared" si="23"/>
        <v>Exclude</v>
      </c>
    </row>
    <row r="399" spans="1:47" s="64" customFormat="1" x14ac:dyDescent="0.25">
      <c r="A399" s="63"/>
      <c r="U399" s="64" t="str">
        <f t="shared" si="20"/>
        <v>Exclude</v>
      </c>
      <c r="W399" s="65" t="str">
        <f t="shared" si="21"/>
        <v>Exclude</v>
      </c>
      <c r="Y399" s="63"/>
      <c r="AS399" s="64" t="str">
        <f t="shared" si="22"/>
        <v>Exclude</v>
      </c>
      <c r="AU399" s="65" t="str">
        <f t="shared" si="23"/>
        <v>Exclude</v>
      </c>
    </row>
    <row r="400" spans="1:47" s="64" customFormat="1" x14ac:dyDescent="0.25">
      <c r="A400" s="63"/>
      <c r="U400" s="64" t="str">
        <f t="shared" si="20"/>
        <v>Exclude</v>
      </c>
      <c r="W400" s="65" t="str">
        <f t="shared" si="21"/>
        <v>Exclude</v>
      </c>
      <c r="Y400" s="63"/>
      <c r="AS400" s="64" t="str">
        <f t="shared" si="22"/>
        <v>Exclude</v>
      </c>
      <c r="AU400" s="65" t="str">
        <f t="shared" si="23"/>
        <v>Exclude</v>
      </c>
    </row>
    <row r="401" spans="1:47" s="64" customFormat="1" x14ac:dyDescent="0.25">
      <c r="A401" s="63"/>
      <c r="U401" s="64" t="str">
        <f t="shared" si="20"/>
        <v>Exclude</v>
      </c>
      <c r="W401" s="65" t="str">
        <f t="shared" si="21"/>
        <v>Exclude</v>
      </c>
      <c r="Y401" s="63"/>
      <c r="AS401" s="64" t="str">
        <f t="shared" si="22"/>
        <v>Exclude</v>
      </c>
      <c r="AU401" s="65" t="str">
        <f t="shared" si="23"/>
        <v>Exclude</v>
      </c>
    </row>
    <row r="402" spans="1:47" s="64" customFormat="1" x14ac:dyDescent="0.25">
      <c r="A402" s="63"/>
      <c r="U402" s="64" t="str">
        <f t="shared" si="20"/>
        <v>Exclude</v>
      </c>
      <c r="W402" s="65" t="str">
        <f t="shared" si="21"/>
        <v>Exclude</v>
      </c>
      <c r="Y402" s="63"/>
      <c r="AS402" s="64" t="str">
        <f t="shared" si="22"/>
        <v>Exclude</v>
      </c>
      <c r="AU402" s="65" t="str">
        <f t="shared" si="23"/>
        <v>Exclude</v>
      </c>
    </row>
    <row r="403" spans="1:47" s="64" customFormat="1" x14ac:dyDescent="0.25">
      <c r="A403" s="63"/>
      <c r="U403" s="64" t="str">
        <f t="shared" si="20"/>
        <v>Exclude</v>
      </c>
      <c r="W403" s="65" t="str">
        <f t="shared" si="21"/>
        <v>Exclude</v>
      </c>
      <c r="Y403" s="63"/>
      <c r="AS403" s="64" t="str">
        <f t="shared" si="22"/>
        <v>Exclude</v>
      </c>
      <c r="AU403" s="65" t="str">
        <f t="shared" si="23"/>
        <v>Exclude</v>
      </c>
    </row>
    <row r="404" spans="1:47" s="64" customFormat="1" x14ac:dyDescent="0.25">
      <c r="A404" s="63"/>
      <c r="U404" s="64" t="str">
        <f t="shared" si="20"/>
        <v>Exclude</v>
      </c>
      <c r="W404" s="65" t="str">
        <f t="shared" si="21"/>
        <v>Exclude</v>
      </c>
      <c r="Y404" s="63"/>
      <c r="AS404" s="64" t="str">
        <f t="shared" si="22"/>
        <v>Exclude</v>
      </c>
      <c r="AU404" s="65" t="str">
        <f t="shared" si="23"/>
        <v>Exclude</v>
      </c>
    </row>
    <row r="405" spans="1:47" s="64" customFormat="1" x14ac:dyDescent="0.25">
      <c r="A405" s="63"/>
      <c r="U405" s="64" t="str">
        <f t="shared" ref="U405:U468" si="24">IF(OR(R405="TruePositive",R405="TrueNegative"),IF(R404&lt;&gt;"Anticipatory",(N405),"Pant"),"Exclude")</f>
        <v>Exclude</v>
      </c>
      <c r="W405" s="65" t="str">
        <f t="shared" ref="W405:W468" si="25">IF(OR(R405="TruePositive",R405="TrueNegative"),IF(R404&lt;&gt;"Anticipatory",LOG10(N405),"Exclude"),"Exclude")</f>
        <v>Exclude</v>
      </c>
      <c r="Y405" s="63"/>
      <c r="AS405" s="64" t="str">
        <f t="shared" ref="AS405:AS468" si="26">IF(OR(AP405="TruePositive",AP405="TrueNegative"),IF(AP404&lt;&gt;"Anticipatory",(AL405),"Pant"),"Exclude")</f>
        <v>Exclude</v>
      </c>
      <c r="AU405" s="65" t="str">
        <f t="shared" ref="AU405:AU468" si="27">IF(OR(AP405="TruePositive",AP405="TrueNegative"),IF(AP404&lt;&gt;"Anticipatory",LOG10(AL405),"Exclude"),"Exclude")</f>
        <v>Exclude</v>
      </c>
    </row>
    <row r="406" spans="1:47" s="64" customFormat="1" x14ac:dyDescent="0.25">
      <c r="A406" s="63"/>
      <c r="U406" s="64" t="str">
        <f t="shared" si="24"/>
        <v>Exclude</v>
      </c>
      <c r="W406" s="65" t="str">
        <f t="shared" si="25"/>
        <v>Exclude</v>
      </c>
      <c r="Y406" s="63"/>
      <c r="AS406" s="64" t="str">
        <f t="shared" si="26"/>
        <v>Exclude</v>
      </c>
      <c r="AU406" s="65" t="str">
        <f t="shared" si="27"/>
        <v>Exclude</v>
      </c>
    </row>
    <row r="407" spans="1:47" s="64" customFormat="1" x14ac:dyDescent="0.25">
      <c r="A407" s="63"/>
      <c r="U407" s="64" t="str">
        <f t="shared" si="24"/>
        <v>Exclude</v>
      </c>
      <c r="W407" s="65" t="str">
        <f t="shared" si="25"/>
        <v>Exclude</v>
      </c>
      <c r="Y407" s="63"/>
      <c r="AS407" s="64" t="str">
        <f t="shared" si="26"/>
        <v>Exclude</v>
      </c>
      <c r="AU407" s="65" t="str">
        <f t="shared" si="27"/>
        <v>Exclude</v>
      </c>
    </row>
    <row r="408" spans="1:47" s="64" customFormat="1" x14ac:dyDescent="0.25">
      <c r="A408" s="63"/>
      <c r="U408" s="64" t="str">
        <f t="shared" si="24"/>
        <v>Exclude</v>
      </c>
      <c r="W408" s="65" t="str">
        <f t="shared" si="25"/>
        <v>Exclude</v>
      </c>
      <c r="Y408" s="63"/>
      <c r="AS408" s="64" t="str">
        <f t="shared" si="26"/>
        <v>Exclude</v>
      </c>
      <c r="AU408" s="65" t="str">
        <f t="shared" si="27"/>
        <v>Exclude</v>
      </c>
    </row>
    <row r="409" spans="1:47" s="64" customFormat="1" x14ac:dyDescent="0.25">
      <c r="A409" s="63"/>
      <c r="U409" s="64" t="str">
        <f t="shared" si="24"/>
        <v>Exclude</v>
      </c>
      <c r="W409" s="65" t="str">
        <f t="shared" si="25"/>
        <v>Exclude</v>
      </c>
      <c r="Y409" s="63"/>
      <c r="AS409" s="64" t="str">
        <f t="shared" si="26"/>
        <v>Exclude</v>
      </c>
      <c r="AU409" s="65" t="str">
        <f t="shared" si="27"/>
        <v>Exclude</v>
      </c>
    </row>
    <row r="410" spans="1:47" s="64" customFormat="1" x14ac:dyDescent="0.25">
      <c r="A410" s="63"/>
      <c r="U410" s="64" t="str">
        <f t="shared" si="24"/>
        <v>Exclude</v>
      </c>
      <c r="W410" s="65" t="str">
        <f t="shared" si="25"/>
        <v>Exclude</v>
      </c>
      <c r="Y410" s="63"/>
      <c r="AS410" s="64" t="str">
        <f t="shared" si="26"/>
        <v>Exclude</v>
      </c>
      <c r="AU410" s="65" t="str">
        <f t="shared" si="27"/>
        <v>Exclude</v>
      </c>
    </row>
    <row r="411" spans="1:47" s="64" customFormat="1" x14ac:dyDescent="0.25">
      <c r="A411" s="63"/>
      <c r="U411" s="64" t="str">
        <f t="shared" si="24"/>
        <v>Exclude</v>
      </c>
      <c r="W411" s="65" t="str">
        <f t="shared" si="25"/>
        <v>Exclude</v>
      </c>
      <c r="Y411" s="63"/>
      <c r="AS411" s="64" t="str">
        <f t="shared" si="26"/>
        <v>Exclude</v>
      </c>
      <c r="AU411" s="65" t="str">
        <f t="shared" si="27"/>
        <v>Exclude</v>
      </c>
    </row>
    <row r="412" spans="1:47" s="64" customFormat="1" x14ac:dyDescent="0.25">
      <c r="A412" s="63"/>
      <c r="U412" s="64" t="str">
        <f t="shared" si="24"/>
        <v>Exclude</v>
      </c>
      <c r="W412" s="65" t="str">
        <f t="shared" si="25"/>
        <v>Exclude</v>
      </c>
      <c r="Y412" s="63"/>
      <c r="AS412" s="64" t="str">
        <f t="shared" si="26"/>
        <v>Exclude</v>
      </c>
      <c r="AU412" s="65" t="str">
        <f t="shared" si="27"/>
        <v>Exclude</v>
      </c>
    </row>
    <row r="413" spans="1:47" s="64" customFormat="1" x14ac:dyDescent="0.25">
      <c r="A413" s="63"/>
      <c r="U413" s="64" t="str">
        <f t="shared" si="24"/>
        <v>Exclude</v>
      </c>
      <c r="W413" s="65" t="str">
        <f t="shared" si="25"/>
        <v>Exclude</v>
      </c>
      <c r="Y413" s="63"/>
      <c r="AS413" s="64" t="str">
        <f t="shared" si="26"/>
        <v>Exclude</v>
      </c>
      <c r="AU413" s="65" t="str">
        <f t="shared" si="27"/>
        <v>Exclude</v>
      </c>
    </row>
    <row r="414" spans="1:47" s="64" customFormat="1" x14ac:dyDescent="0.25">
      <c r="A414" s="63"/>
      <c r="U414" s="64" t="str">
        <f t="shared" si="24"/>
        <v>Exclude</v>
      </c>
      <c r="W414" s="65" t="str">
        <f t="shared" si="25"/>
        <v>Exclude</v>
      </c>
      <c r="Y414" s="63"/>
      <c r="AS414" s="64" t="str">
        <f t="shared" si="26"/>
        <v>Exclude</v>
      </c>
      <c r="AU414" s="65" t="str">
        <f t="shared" si="27"/>
        <v>Exclude</v>
      </c>
    </row>
    <row r="415" spans="1:47" s="64" customFormat="1" x14ac:dyDescent="0.25">
      <c r="A415" s="63"/>
      <c r="U415" s="64" t="str">
        <f t="shared" si="24"/>
        <v>Exclude</v>
      </c>
      <c r="W415" s="65" t="str">
        <f t="shared" si="25"/>
        <v>Exclude</v>
      </c>
      <c r="Y415" s="63"/>
      <c r="AS415" s="64" t="str">
        <f t="shared" si="26"/>
        <v>Exclude</v>
      </c>
      <c r="AU415" s="65" t="str">
        <f t="shared" si="27"/>
        <v>Exclude</v>
      </c>
    </row>
    <row r="416" spans="1:47" s="64" customFormat="1" x14ac:dyDescent="0.25">
      <c r="A416" s="63"/>
      <c r="U416" s="64" t="str">
        <f t="shared" si="24"/>
        <v>Exclude</v>
      </c>
      <c r="W416" s="65" t="str">
        <f t="shared" si="25"/>
        <v>Exclude</v>
      </c>
      <c r="Y416" s="63"/>
      <c r="AS416" s="64" t="str">
        <f t="shared" si="26"/>
        <v>Exclude</v>
      </c>
      <c r="AU416" s="65" t="str">
        <f t="shared" si="27"/>
        <v>Exclude</v>
      </c>
    </row>
    <row r="417" spans="1:47" s="64" customFormat="1" x14ac:dyDescent="0.25">
      <c r="A417" s="63"/>
      <c r="U417" s="64" t="str">
        <f t="shared" si="24"/>
        <v>Exclude</v>
      </c>
      <c r="W417" s="65" t="str">
        <f t="shared" si="25"/>
        <v>Exclude</v>
      </c>
      <c r="Y417" s="63"/>
      <c r="AS417" s="64" t="str">
        <f t="shared" si="26"/>
        <v>Exclude</v>
      </c>
      <c r="AU417" s="65" t="str">
        <f t="shared" si="27"/>
        <v>Exclude</v>
      </c>
    </row>
    <row r="418" spans="1:47" s="64" customFormat="1" x14ac:dyDescent="0.25">
      <c r="A418" s="63"/>
      <c r="U418" s="64" t="str">
        <f t="shared" si="24"/>
        <v>Exclude</v>
      </c>
      <c r="W418" s="65" t="str">
        <f t="shared" si="25"/>
        <v>Exclude</v>
      </c>
      <c r="Y418" s="63"/>
      <c r="AS418" s="64" t="str">
        <f t="shared" si="26"/>
        <v>Exclude</v>
      </c>
      <c r="AU418" s="65" t="str">
        <f t="shared" si="27"/>
        <v>Exclude</v>
      </c>
    </row>
    <row r="419" spans="1:47" s="64" customFormat="1" x14ac:dyDescent="0.25">
      <c r="A419" s="63"/>
      <c r="U419" s="64" t="str">
        <f t="shared" si="24"/>
        <v>Exclude</v>
      </c>
      <c r="W419" s="65" t="str">
        <f t="shared" si="25"/>
        <v>Exclude</v>
      </c>
      <c r="Y419" s="63"/>
      <c r="AS419" s="64" t="str">
        <f t="shared" si="26"/>
        <v>Exclude</v>
      </c>
      <c r="AU419" s="65" t="str">
        <f t="shared" si="27"/>
        <v>Exclude</v>
      </c>
    </row>
    <row r="420" spans="1:47" s="64" customFormat="1" x14ac:dyDescent="0.25">
      <c r="A420" s="63"/>
      <c r="U420" s="64" t="str">
        <f t="shared" si="24"/>
        <v>Exclude</v>
      </c>
      <c r="W420" s="65" t="str">
        <f t="shared" si="25"/>
        <v>Exclude</v>
      </c>
      <c r="Y420" s="63"/>
      <c r="AS420" s="64" t="str">
        <f t="shared" si="26"/>
        <v>Exclude</v>
      </c>
      <c r="AU420" s="65" t="str">
        <f t="shared" si="27"/>
        <v>Exclude</v>
      </c>
    </row>
    <row r="421" spans="1:47" s="64" customFormat="1" x14ac:dyDescent="0.25">
      <c r="A421" s="63"/>
      <c r="U421" s="64" t="str">
        <f t="shared" si="24"/>
        <v>Exclude</v>
      </c>
      <c r="W421" s="65" t="str">
        <f t="shared" si="25"/>
        <v>Exclude</v>
      </c>
      <c r="Y421" s="63"/>
      <c r="AS421" s="64" t="str">
        <f t="shared" si="26"/>
        <v>Exclude</v>
      </c>
      <c r="AU421" s="65" t="str">
        <f t="shared" si="27"/>
        <v>Exclude</v>
      </c>
    </row>
    <row r="422" spans="1:47" s="64" customFormat="1" x14ac:dyDescent="0.25">
      <c r="A422" s="63"/>
      <c r="U422" s="64" t="str">
        <f t="shared" si="24"/>
        <v>Exclude</v>
      </c>
      <c r="W422" s="65" t="str">
        <f t="shared" si="25"/>
        <v>Exclude</v>
      </c>
      <c r="Y422" s="63"/>
      <c r="AS422" s="64" t="str">
        <f t="shared" si="26"/>
        <v>Exclude</v>
      </c>
      <c r="AU422" s="65" t="str">
        <f t="shared" si="27"/>
        <v>Exclude</v>
      </c>
    </row>
    <row r="423" spans="1:47" s="64" customFormat="1" x14ac:dyDescent="0.25">
      <c r="A423" s="63"/>
      <c r="U423" s="64" t="str">
        <f t="shared" si="24"/>
        <v>Exclude</v>
      </c>
      <c r="W423" s="65" t="str">
        <f t="shared" si="25"/>
        <v>Exclude</v>
      </c>
      <c r="Y423" s="63"/>
      <c r="AS423" s="64" t="str">
        <f t="shared" si="26"/>
        <v>Exclude</v>
      </c>
      <c r="AU423" s="65" t="str">
        <f t="shared" si="27"/>
        <v>Exclude</v>
      </c>
    </row>
    <row r="424" spans="1:47" s="64" customFormat="1" x14ac:dyDescent="0.25">
      <c r="A424" s="63"/>
      <c r="U424" s="64" t="str">
        <f t="shared" si="24"/>
        <v>Exclude</v>
      </c>
      <c r="W424" s="65" t="str">
        <f t="shared" si="25"/>
        <v>Exclude</v>
      </c>
      <c r="Y424" s="63"/>
      <c r="AS424" s="64" t="str">
        <f t="shared" si="26"/>
        <v>Exclude</v>
      </c>
      <c r="AU424" s="65" t="str">
        <f t="shared" si="27"/>
        <v>Exclude</v>
      </c>
    </row>
    <row r="425" spans="1:47" s="64" customFormat="1" x14ac:dyDescent="0.25">
      <c r="A425" s="63"/>
      <c r="U425" s="64" t="str">
        <f t="shared" si="24"/>
        <v>Exclude</v>
      </c>
      <c r="W425" s="65" t="str">
        <f t="shared" si="25"/>
        <v>Exclude</v>
      </c>
      <c r="Y425" s="63"/>
      <c r="AS425" s="64" t="str">
        <f t="shared" si="26"/>
        <v>Exclude</v>
      </c>
      <c r="AU425" s="65" t="str">
        <f t="shared" si="27"/>
        <v>Exclude</v>
      </c>
    </row>
    <row r="426" spans="1:47" s="64" customFormat="1" x14ac:dyDescent="0.25">
      <c r="A426" s="63"/>
      <c r="U426" s="64" t="str">
        <f t="shared" si="24"/>
        <v>Exclude</v>
      </c>
      <c r="W426" s="65" t="str">
        <f t="shared" si="25"/>
        <v>Exclude</v>
      </c>
      <c r="Y426" s="63"/>
      <c r="AS426" s="64" t="str">
        <f t="shared" si="26"/>
        <v>Exclude</v>
      </c>
      <c r="AU426" s="65" t="str">
        <f t="shared" si="27"/>
        <v>Exclude</v>
      </c>
    </row>
    <row r="427" spans="1:47" s="64" customFormat="1" x14ac:dyDescent="0.25">
      <c r="A427" s="63"/>
      <c r="U427" s="64" t="str">
        <f t="shared" si="24"/>
        <v>Exclude</v>
      </c>
      <c r="W427" s="65" t="str">
        <f t="shared" si="25"/>
        <v>Exclude</v>
      </c>
      <c r="Y427" s="63"/>
      <c r="AS427" s="64" t="str">
        <f t="shared" si="26"/>
        <v>Exclude</v>
      </c>
      <c r="AU427" s="65" t="str">
        <f t="shared" si="27"/>
        <v>Exclude</v>
      </c>
    </row>
    <row r="428" spans="1:47" s="64" customFormat="1" x14ac:dyDescent="0.25">
      <c r="A428" s="63"/>
      <c r="U428" s="64" t="str">
        <f t="shared" si="24"/>
        <v>Exclude</v>
      </c>
      <c r="W428" s="65" t="str">
        <f t="shared" si="25"/>
        <v>Exclude</v>
      </c>
      <c r="Y428" s="63"/>
      <c r="AS428" s="64" t="str">
        <f t="shared" si="26"/>
        <v>Exclude</v>
      </c>
      <c r="AU428" s="65" t="str">
        <f t="shared" si="27"/>
        <v>Exclude</v>
      </c>
    </row>
    <row r="429" spans="1:47" s="64" customFormat="1" x14ac:dyDescent="0.25">
      <c r="A429" s="63"/>
      <c r="U429" s="64" t="str">
        <f t="shared" si="24"/>
        <v>Exclude</v>
      </c>
      <c r="W429" s="65" t="str">
        <f t="shared" si="25"/>
        <v>Exclude</v>
      </c>
      <c r="Y429" s="63"/>
      <c r="AS429" s="64" t="str">
        <f t="shared" si="26"/>
        <v>Exclude</v>
      </c>
      <c r="AU429" s="65" t="str">
        <f t="shared" si="27"/>
        <v>Exclude</v>
      </c>
    </row>
    <row r="430" spans="1:47" s="64" customFormat="1" x14ac:dyDescent="0.25">
      <c r="A430" s="63"/>
      <c r="U430" s="64" t="str">
        <f t="shared" si="24"/>
        <v>Exclude</v>
      </c>
      <c r="W430" s="65" t="str">
        <f t="shared" si="25"/>
        <v>Exclude</v>
      </c>
      <c r="Y430" s="63"/>
      <c r="AS430" s="64" t="str">
        <f t="shared" si="26"/>
        <v>Exclude</v>
      </c>
      <c r="AU430" s="65" t="str">
        <f t="shared" si="27"/>
        <v>Exclude</v>
      </c>
    </row>
    <row r="431" spans="1:47" s="64" customFormat="1" x14ac:dyDescent="0.25">
      <c r="A431" s="63"/>
      <c r="U431" s="64" t="str">
        <f t="shared" si="24"/>
        <v>Exclude</v>
      </c>
      <c r="W431" s="65" t="str">
        <f t="shared" si="25"/>
        <v>Exclude</v>
      </c>
      <c r="Y431" s="63"/>
      <c r="AS431" s="64" t="str">
        <f t="shared" si="26"/>
        <v>Exclude</v>
      </c>
      <c r="AU431" s="65" t="str">
        <f t="shared" si="27"/>
        <v>Exclude</v>
      </c>
    </row>
    <row r="432" spans="1:47" s="64" customFormat="1" x14ac:dyDescent="0.25">
      <c r="A432" s="63"/>
      <c r="U432" s="64" t="str">
        <f t="shared" si="24"/>
        <v>Exclude</v>
      </c>
      <c r="W432" s="65" t="str">
        <f t="shared" si="25"/>
        <v>Exclude</v>
      </c>
      <c r="Y432" s="63"/>
      <c r="AS432" s="64" t="str">
        <f t="shared" si="26"/>
        <v>Exclude</v>
      </c>
      <c r="AU432" s="65" t="str">
        <f t="shared" si="27"/>
        <v>Exclude</v>
      </c>
    </row>
    <row r="433" spans="1:47" s="64" customFormat="1" x14ac:dyDescent="0.25">
      <c r="A433" s="63"/>
      <c r="U433" s="64" t="str">
        <f t="shared" si="24"/>
        <v>Exclude</v>
      </c>
      <c r="W433" s="65" t="str">
        <f t="shared" si="25"/>
        <v>Exclude</v>
      </c>
      <c r="Y433" s="63"/>
      <c r="AS433" s="64" t="str">
        <f t="shared" si="26"/>
        <v>Exclude</v>
      </c>
      <c r="AU433" s="65" t="str">
        <f t="shared" si="27"/>
        <v>Exclude</v>
      </c>
    </row>
    <row r="434" spans="1:47" s="64" customFormat="1" x14ac:dyDescent="0.25">
      <c r="A434" s="63"/>
      <c r="U434" s="64" t="str">
        <f t="shared" si="24"/>
        <v>Exclude</v>
      </c>
      <c r="W434" s="65" t="str">
        <f t="shared" si="25"/>
        <v>Exclude</v>
      </c>
      <c r="Y434" s="63"/>
      <c r="AS434" s="64" t="str">
        <f t="shared" si="26"/>
        <v>Exclude</v>
      </c>
      <c r="AU434" s="65" t="str">
        <f t="shared" si="27"/>
        <v>Exclude</v>
      </c>
    </row>
    <row r="435" spans="1:47" s="64" customFormat="1" x14ac:dyDescent="0.25">
      <c r="A435" s="63"/>
      <c r="U435" s="64" t="str">
        <f t="shared" si="24"/>
        <v>Exclude</v>
      </c>
      <c r="W435" s="65" t="str">
        <f t="shared" si="25"/>
        <v>Exclude</v>
      </c>
      <c r="Y435" s="63"/>
      <c r="AS435" s="64" t="str">
        <f t="shared" si="26"/>
        <v>Exclude</v>
      </c>
      <c r="AU435" s="65" t="str">
        <f t="shared" si="27"/>
        <v>Exclude</v>
      </c>
    </row>
    <row r="436" spans="1:47" s="64" customFormat="1" x14ac:dyDescent="0.25">
      <c r="A436" s="63"/>
      <c r="U436" s="64" t="str">
        <f t="shared" si="24"/>
        <v>Exclude</v>
      </c>
      <c r="W436" s="65" t="str">
        <f t="shared" si="25"/>
        <v>Exclude</v>
      </c>
      <c r="Y436" s="63"/>
      <c r="AS436" s="64" t="str">
        <f t="shared" si="26"/>
        <v>Exclude</v>
      </c>
      <c r="AU436" s="65" t="str">
        <f t="shared" si="27"/>
        <v>Exclude</v>
      </c>
    </row>
    <row r="437" spans="1:47" s="64" customFormat="1" x14ac:dyDescent="0.25">
      <c r="A437" s="63"/>
      <c r="U437" s="64" t="str">
        <f t="shared" si="24"/>
        <v>Exclude</v>
      </c>
      <c r="W437" s="65" t="str">
        <f t="shared" si="25"/>
        <v>Exclude</v>
      </c>
      <c r="Y437" s="63"/>
      <c r="AS437" s="64" t="str">
        <f t="shared" si="26"/>
        <v>Exclude</v>
      </c>
      <c r="AU437" s="65" t="str">
        <f t="shared" si="27"/>
        <v>Exclude</v>
      </c>
    </row>
    <row r="438" spans="1:47" s="64" customFormat="1" x14ac:dyDescent="0.25">
      <c r="A438" s="63"/>
      <c r="U438" s="64" t="str">
        <f t="shared" si="24"/>
        <v>Exclude</v>
      </c>
      <c r="W438" s="65" t="str">
        <f t="shared" si="25"/>
        <v>Exclude</v>
      </c>
      <c r="Y438" s="63"/>
      <c r="AS438" s="64" t="str">
        <f t="shared" si="26"/>
        <v>Exclude</v>
      </c>
      <c r="AU438" s="65" t="str">
        <f t="shared" si="27"/>
        <v>Exclude</v>
      </c>
    </row>
    <row r="439" spans="1:47" s="64" customFormat="1" x14ac:dyDescent="0.25">
      <c r="A439" s="63"/>
      <c r="U439" s="64" t="str">
        <f t="shared" si="24"/>
        <v>Exclude</v>
      </c>
      <c r="W439" s="65" t="str">
        <f t="shared" si="25"/>
        <v>Exclude</v>
      </c>
      <c r="Y439" s="63"/>
      <c r="AS439" s="64" t="str">
        <f t="shared" si="26"/>
        <v>Exclude</v>
      </c>
      <c r="AU439" s="65" t="str">
        <f t="shared" si="27"/>
        <v>Exclude</v>
      </c>
    </row>
    <row r="440" spans="1:47" s="64" customFormat="1" x14ac:dyDescent="0.25">
      <c r="A440" s="63"/>
      <c r="U440" s="64" t="str">
        <f t="shared" si="24"/>
        <v>Exclude</v>
      </c>
      <c r="W440" s="65" t="str">
        <f t="shared" si="25"/>
        <v>Exclude</v>
      </c>
      <c r="Y440" s="63"/>
      <c r="AS440" s="64" t="str">
        <f t="shared" si="26"/>
        <v>Exclude</v>
      </c>
      <c r="AU440" s="65" t="str">
        <f t="shared" si="27"/>
        <v>Exclude</v>
      </c>
    </row>
    <row r="441" spans="1:47" s="64" customFormat="1" x14ac:dyDescent="0.25">
      <c r="A441" s="63"/>
      <c r="U441" s="64" t="str">
        <f t="shared" si="24"/>
        <v>Exclude</v>
      </c>
      <c r="W441" s="65" t="str">
        <f t="shared" si="25"/>
        <v>Exclude</v>
      </c>
      <c r="Y441" s="63"/>
      <c r="AS441" s="64" t="str">
        <f t="shared" si="26"/>
        <v>Exclude</v>
      </c>
      <c r="AU441" s="65" t="str">
        <f t="shared" si="27"/>
        <v>Exclude</v>
      </c>
    </row>
    <row r="442" spans="1:47" s="64" customFormat="1" x14ac:dyDescent="0.25">
      <c r="A442" s="63"/>
      <c r="U442" s="64" t="str">
        <f t="shared" si="24"/>
        <v>Exclude</v>
      </c>
      <c r="W442" s="65" t="str">
        <f t="shared" si="25"/>
        <v>Exclude</v>
      </c>
      <c r="Y442" s="63"/>
      <c r="AS442" s="64" t="str">
        <f t="shared" si="26"/>
        <v>Exclude</v>
      </c>
      <c r="AU442" s="65" t="str">
        <f t="shared" si="27"/>
        <v>Exclude</v>
      </c>
    </row>
    <row r="443" spans="1:47" s="64" customFormat="1" x14ac:dyDescent="0.25">
      <c r="A443" s="63"/>
      <c r="U443" s="64" t="str">
        <f t="shared" si="24"/>
        <v>Exclude</v>
      </c>
      <c r="W443" s="65" t="str">
        <f t="shared" si="25"/>
        <v>Exclude</v>
      </c>
      <c r="Y443" s="63"/>
      <c r="AS443" s="64" t="str">
        <f t="shared" si="26"/>
        <v>Exclude</v>
      </c>
      <c r="AU443" s="65" t="str">
        <f t="shared" si="27"/>
        <v>Exclude</v>
      </c>
    </row>
    <row r="444" spans="1:47" s="64" customFormat="1" x14ac:dyDescent="0.25">
      <c r="A444" s="63"/>
      <c r="U444" s="64" t="str">
        <f t="shared" si="24"/>
        <v>Exclude</v>
      </c>
      <c r="W444" s="65" t="str">
        <f t="shared" si="25"/>
        <v>Exclude</v>
      </c>
      <c r="Y444" s="63"/>
      <c r="AS444" s="64" t="str">
        <f t="shared" si="26"/>
        <v>Exclude</v>
      </c>
      <c r="AU444" s="65" t="str">
        <f t="shared" si="27"/>
        <v>Exclude</v>
      </c>
    </row>
    <row r="445" spans="1:47" s="64" customFormat="1" x14ac:dyDescent="0.25">
      <c r="A445" s="63"/>
      <c r="U445" s="64" t="str">
        <f t="shared" si="24"/>
        <v>Exclude</v>
      </c>
      <c r="W445" s="65" t="str">
        <f t="shared" si="25"/>
        <v>Exclude</v>
      </c>
      <c r="Y445" s="63"/>
      <c r="AS445" s="64" t="str">
        <f t="shared" si="26"/>
        <v>Exclude</v>
      </c>
      <c r="AU445" s="65" t="str">
        <f t="shared" si="27"/>
        <v>Exclude</v>
      </c>
    </row>
    <row r="446" spans="1:47" s="64" customFormat="1" x14ac:dyDescent="0.25">
      <c r="A446" s="63"/>
      <c r="U446" s="64" t="str">
        <f t="shared" si="24"/>
        <v>Exclude</v>
      </c>
      <c r="W446" s="65" t="str">
        <f t="shared" si="25"/>
        <v>Exclude</v>
      </c>
      <c r="Y446" s="63"/>
      <c r="AS446" s="64" t="str">
        <f t="shared" si="26"/>
        <v>Exclude</v>
      </c>
      <c r="AU446" s="65" t="str">
        <f t="shared" si="27"/>
        <v>Exclude</v>
      </c>
    </row>
    <row r="447" spans="1:47" s="64" customFormat="1" x14ac:dyDescent="0.25">
      <c r="A447" s="63"/>
      <c r="U447" s="64" t="str">
        <f t="shared" si="24"/>
        <v>Exclude</v>
      </c>
      <c r="W447" s="65" t="str">
        <f t="shared" si="25"/>
        <v>Exclude</v>
      </c>
      <c r="Y447" s="63"/>
      <c r="AS447" s="64" t="str">
        <f t="shared" si="26"/>
        <v>Exclude</v>
      </c>
      <c r="AU447" s="65" t="str">
        <f t="shared" si="27"/>
        <v>Exclude</v>
      </c>
    </row>
    <row r="448" spans="1:47" s="64" customFormat="1" x14ac:dyDescent="0.25">
      <c r="A448" s="63"/>
      <c r="U448" s="64" t="str">
        <f t="shared" si="24"/>
        <v>Exclude</v>
      </c>
      <c r="W448" s="65" t="str">
        <f t="shared" si="25"/>
        <v>Exclude</v>
      </c>
      <c r="Y448" s="63"/>
      <c r="AS448" s="64" t="str">
        <f t="shared" si="26"/>
        <v>Exclude</v>
      </c>
      <c r="AU448" s="65" t="str">
        <f t="shared" si="27"/>
        <v>Exclude</v>
      </c>
    </row>
    <row r="449" spans="1:47" s="64" customFormat="1" x14ac:dyDescent="0.25">
      <c r="A449" s="63"/>
      <c r="U449" s="64" t="str">
        <f t="shared" si="24"/>
        <v>Exclude</v>
      </c>
      <c r="W449" s="65" t="str">
        <f t="shared" si="25"/>
        <v>Exclude</v>
      </c>
      <c r="Y449" s="63"/>
      <c r="AS449" s="64" t="str">
        <f t="shared" si="26"/>
        <v>Exclude</v>
      </c>
      <c r="AU449" s="65" t="str">
        <f t="shared" si="27"/>
        <v>Exclude</v>
      </c>
    </row>
    <row r="450" spans="1:47" s="64" customFormat="1" x14ac:dyDescent="0.25">
      <c r="A450" s="63"/>
      <c r="U450" s="64" t="str">
        <f t="shared" si="24"/>
        <v>Exclude</v>
      </c>
      <c r="W450" s="65" t="str">
        <f t="shared" si="25"/>
        <v>Exclude</v>
      </c>
      <c r="Y450" s="63"/>
      <c r="AS450" s="64" t="str">
        <f t="shared" si="26"/>
        <v>Exclude</v>
      </c>
      <c r="AU450" s="65" t="str">
        <f t="shared" si="27"/>
        <v>Exclude</v>
      </c>
    </row>
    <row r="451" spans="1:47" s="64" customFormat="1" x14ac:dyDescent="0.25">
      <c r="A451" s="63"/>
      <c r="U451" s="64" t="str">
        <f t="shared" si="24"/>
        <v>Exclude</v>
      </c>
      <c r="W451" s="65" t="str">
        <f t="shared" si="25"/>
        <v>Exclude</v>
      </c>
      <c r="Y451" s="63"/>
      <c r="AS451" s="64" t="str">
        <f t="shared" si="26"/>
        <v>Exclude</v>
      </c>
      <c r="AU451" s="65" t="str">
        <f t="shared" si="27"/>
        <v>Exclude</v>
      </c>
    </row>
    <row r="452" spans="1:47" s="64" customFormat="1" x14ac:dyDescent="0.25">
      <c r="A452" s="63"/>
      <c r="U452" s="64" t="str">
        <f t="shared" si="24"/>
        <v>Exclude</v>
      </c>
      <c r="W452" s="65" t="str">
        <f t="shared" si="25"/>
        <v>Exclude</v>
      </c>
      <c r="Y452" s="63"/>
      <c r="AS452" s="64" t="str">
        <f t="shared" si="26"/>
        <v>Exclude</v>
      </c>
      <c r="AU452" s="65" t="str">
        <f t="shared" si="27"/>
        <v>Exclude</v>
      </c>
    </row>
    <row r="453" spans="1:47" s="64" customFormat="1" x14ac:dyDescent="0.25">
      <c r="A453" s="63"/>
      <c r="U453" s="64" t="str">
        <f t="shared" si="24"/>
        <v>Exclude</v>
      </c>
      <c r="W453" s="65" t="str">
        <f t="shared" si="25"/>
        <v>Exclude</v>
      </c>
      <c r="Y453" s="63"/>
      <c r="AS453" s="64" t="str">
        <f t="shared" si="26"/>
        <v>Exclude</v>
      </c>
      <c r="AU453" s="65" t="str">
        <f t="shared" si="27"/>
        <v>Exclude</v>
      </c>
    </row>
    <row r="454" spans="1:47" s="64" customFormat="1" x14ac:dyDescent="0.25">
      <c r="A454" s="63"/>
      <c r="U454" s="64" t="str">
        <f t="shared" si="24"/>
        <v>Exclude</v>
      </c>
      <c r="W454" s="65" t="str">
        <f t="shared" si="25"/>
        <v>Exclude</v>
      </c>
      <c r="Y454" s="63"/>
      <c r="AS454" s="64" t="str">
        <f t="shared" si="26"/>
        <v>Exclude</v>
      </c>
      <c r="AU454" s="65" t="str">
        <f t="shared" si="27"/>
        <v>Exclude</v>
      </c>
    </row>
    <row r="455" spans="1:47" s="64" customFormat="1" x14ac:dyDescent="0.25">
      <c r="A455" s="63"/>
      <c r="U455" s="64" t="str">
        <f t="shared" si="24"/>
        <v>Exclude</v>
      </c>
      <c r="W455" s="65" t="str">
        <f t="shared" si="25"/>
        <v>Exclude</v>
      </c>
      <c r="Y455" s="63"/>
      <c r="AS455" s="64" t="str">
        <f t="shared" si="26"/>
        <v>Exclude</v>
      </c>
      <c r="AU455" s="65" t="str">
        <f t="shared" si="27"/>
        <v>Exclude</v>
      </c>
    </row>
    <row r="456" spans="1:47" s="64" customFormat="1" x14ac:dyDescent="0.25">
      <c r="A456" s="63"/>
      <c r="U456" s="64" t="str">
        <f t="shared" si="24"/>
        <v>Exclude</v>
      </c>
      <c r="W456" s="65" t="str">
        <f t="shared" si="25"/>
        <v>Exclude</v>
      </c>
      <c r="Y456" s="63"/>
      <c r="AS456" s="64" t="str">
        <f t="shared" si="26"/>
        <v>Exclude</v>
      </c>
      <c r="AU456" s="65" t="str">
        <f t="shared" si="27"/>
        <v>Exclude</v>
      </c>
    </row>
    <row r="457" spans="1:47" s="64" customFormat="1" x14ac:dyDescent="0.25">
      <c r="A457" s="63"/>
      <c r="U457" s="64" t="str">
        <f t="shared" si="24"/>
        <v>Exclude</v>
      </c>
      <c r="W457" s="65" t="str">
        <f t="shared" si="25"/>
        <v>Exclude</v>
      </c>
      <c r="Y457" s="63"/>
      <c r="AS457" s="64" t="str">
        <f t="shared" si="26"/>
        <v>Exclude</v>
      </c>
      <c r="AU457" s="65" t="str">
        <f t="shared" si="27"/>
        <v>Exclude</v>
      </c>
    </row>
    <row r="458" spans="1:47" s="64" customFormat="1" x14ac:dyDescent="0.25">
      <c r="A458" s="63"/>
      <c r="U458" s="64" t="str">
        <f t="shared" si="24"/>
        <v>Exclude</v>
      </c>
      <c r="W458" s="65" t="str">
        <f t="shared" si="25"/>
        <v>Exclude</v>
      </c>
      <c r="Y458" s="63"/>
      <c r="AS458" s="64" t="str">
        <f t="shared" si="26"/>
        <v>Exclude</v>
      </c>
      <c r="AU458" s="65" t="str">
        <f t="shared" si="27"/>
        <v>Exclude</v>
      </c>
    </row>
    <row r="459" spans="1:47" s="64" customFormat="1" x14ac:dyDescent="0.25">
      <c r="A459" s="63"/>
      <c r="U459" s="64" t="str">
        <f t="shared" si="24"/>
        <v>Exclude</v>
      </c>
      <c r="W459" s="65" t="str">
        <f t="shared" si="25"/>
        <v>Exclude</v>
      </c>
      <c r="Y459" s="63"/>
      <c r="AS459" s="64" t="str">
        <f t="shared" si="26"/>
        <v>Exclude</v>
      </c>
      <c r="AU459" s="65" t="str">
        <f t="shared" si="27"/>
        <v>Exclude</v>
      </c>
    </row>
    <row r="460" spans="1:47" s="64" customFormat="1" x14ac:dyDescent="0.25">
      <c r="A460" s="63"/>
      <c r="U460" s="64" t="str">
        <f t="shared" si="24"/>
        <v>Exclude</v>
      </c>
      <c r="W460" s="65" t="str">
        <f t="shared" si="25"/>
        <v>Exclude</v>
      </c>
      <c r="Y460" s="63"/>
      <c r="AS460" s="64" t="str">
        <f t="shared" si="26"/>
        <v>Exclude</v>
      </c>
      <c r="AU460" s="65" t="str">
        <f t="shared" si="27"/>
        <v>Exclude</v>
      </c>
    </row>
    <row r="461" spans="1:47" s="64" customFormat="1" x14ac:dyDescent="0.25">
      <c r="A461" s="63"/>
      <c r="U461" s="64" t="str">
        <f t="shared" si="24"/>
        <v>Exclude</v>
      </c>
      <c r="W461" s="65" t="str">
        <f t="shared" si="25"/>
        <v>Exclude</v>
      </c>
      <c r="Y461" s="63"/>
      <c r="AS461" s="64" t="str">
        <f t="shared" si="26"/>
        <v>Exclude</v>
      </c>
      <c r="AU461" s="65" t="str">
        <f t="shared" si="27"/>
        <v>Exclude</v>
      </c>
    </row>
    <row r="462" spans="1:47" s="64" customFormat="1" x14ac:dyDescent="0.25">
      <c r="A462" s="63"/>
      <c r="U462" s="64" t="str">
        <f t="shared" si="24"/>
        <v>Exclude</v>
      </c>
      <c r="W462" s="65" t="str">
        <f t="shared" si="25"/>
        <v>Exclude</v>
      </c>
      <c r="Y462" s="63"/>
      <c r="AS462" s="64" t="str">
        <f t="shared" si="26"/>
        <v>Exclude</v>
      </c>
      <c r="AU462" s="65" t="str">
        <f t="shared" si="27"/>
        <v>Exclude</v>
      </c>
    </row>
    <row r="463" spans="1:47" s="64" customFormat="1" x14ac:dyDescent="0.25">
      <c r="A463" s="63"/>
      <c r="U463" s="64" t="str">
        <f t="shared" si="24"/>
        <v>Exclude</v>
      </c>
      <c r="W463" s="65" t="str">
        <f t="shared" si="25"/>
        <v>Exclude</v>
      </c>
      <c r="Y463" s="63"/>
      <c r="AS463" s="64" t="str">
        <f t="shared" si="26"/>
        <v>Exclude</v>
      </c>
      <c r="AU463" s="65" t="str">
        <f t="shared" si="27"/>
        <v>Exclude</v>
      </c>
    </row>
    <row r="464" spans="1:47" s="64" customFormat="1" x14ac:dyDescent="0.25">
      <c r="A464" s="63"/>
      <c r="U464" s="64" t="str">
        <f t="shared" si="24"/>
        <v>Exclude</v>
      </c>
      <c r="W464" s="65" t="str">
        <f t="shared" si="25"/>
        <v>Exclude</v>
      </c>
      <c r="Y464" s="63"/>
      <c r="AS464" s="64" t="str">
        <f t="shared" si="26"/>
        <v>Exclude</v>
      </c>
      <c r="AU464" s="65" t="str">
        <f t="shared" si="27"/>
        <v>Exclude</v>
      </c>
    </row>
    <row r="465" spans="1:47" s="64" customFormat="1" x14ac:dyDescent="0.25">
      <c r="A465" s="63"/>
      <c r="U465" s="64" t="str">
        <f t="shared" si="24"/>
        <v>Exclude</v>
      </c>
      <c r="W465" s="65" t="str">
        <f t="shared" si="25"/>
        <v>Exclude</v>
      </c>
      <c r="Y465" s="63"/>
      <c r="AS465" s="64" t="str">
        <f t="shared" si="26"/>
        <v>Exclude</v>
      </c>
      <c r="AU465" s="65" t="str">
        <f t="shared" si="27"/>
        <v>Exclude</v>
      </c>
    </row>
    <row r="466" spans="1:47" s="64" customFormat="1" x14ac:dyDescent="0.25">
      <c r="A466" s="63"/>
      <c r="U466" s="64" t="str">
        <f t="shared" si="24"/>
        <v>Exclude</v>
      </c>
      <c r="W466" s="65" t="str">
        <f t="shared" si="25"/>
        <v>Exclude</v>
      </c>
      <c r="Y466" s="63"/>
      <c r="AS466" s="64" t="str">
        <f t="shared" si="26"/>
        <v>Exclude</v>
      </c>
      <c r="AU466" s="65" t="str">
        <f t="shared" si="27"/>
        <v>Exclude</v>
      </c>
    </row>
    <row r="467" spans="1:47" s="64" customFormat="1" x14ac:dyDescent="0.25">
      <c r="A467" s="63"/>
      <c r="U467" s="64" t="str">
        <f t="shared" si="24"/>
        <v>Exclude</v>
      </c>
      <c r="W467" s="65" t="str">
        <f t="shared" si="25"/>
        <v>Exclude</v>
      </c>
      <c r="Y467" s="63"/>
      <c r="AS467" s="64" t="str">
        <f t="shared" si="26"/>
        <v>Exclude</v>
      </c>
      <c r="AU467" s="65" t="str">
        <f t="shared" si="27"/>
        <v>Exclude</v>
      </c>
    </row>
    <row r="468" spans="1:47" s="64" customFormat="1" x14ac:dyDescent="0.25">
      <c r="A468" s="63"/>
      <c r="U468" s="64" t="str">
        <f t="shared" si="24"/>
        <v>Exclude</v>
      </c>
      <c r="W468" s="65" t="str">
        <f t="shared" si="25"/>
        <v>Exclude</v>
      </c>
      <c r="Y468" s="63"/>
      <c r="AS468" s="64" t="str">
        <f t="shared" si="26"/>
        <v>Exclude</v>
      </c>
      <c r="AU468" s="65" t="str">
        <f t="shared" si="27"/>
        <v>Exclude</v>
      </c>
    </row>
    <row r="469" spans="1:47" s="64" customFormat="1" x14ac:dyDescent="0.25">
      <c r="A469" s="63"/>
      <c r="U469" s="64" t="str">
        <f t="shared" ref="U469:U532" si="28">IF(OR(R469="TruePositive",R469="TrueNegative"),IF(R468&lt;&gt;"Anticipatory",(N469),"Pant"),"Exclude")</f>
        <v>Exclude</v>
      </c>
      <c r="W469" s="65" t="str">
        <f t="shared" ref="W469:W532" si="29">IF(OR(R469="TruePositive",R469="TrueNegative"),IF(R468&lt;&gt;"Anticipatory",LOG10(N469),"Exclude"),"Exclude")</f>
        <v>Exclude</v>
      </c>
      <c r="Y469" s="63"/>
      <c r="AS469" s="64" t="str">
        <f t="shared" ref="AS469:AS532" si="30">IF(OR(AP469="TruePositive",AP469="TrueNegative"),IF(AP468&lt;&gt;"Anticipatory",(AL469),"Pant"),"Exclude")</f>
        <v>Exclude</v>
      </c>
      <c r="AU469" s="65" t="str">
        <f t="shared" ref="AU469:AU532" si="31">IF(OR(AP469="TruePositive",AP469="TrueNegative"),IF(AP468&lt;&gt;"Anticipatory",LOG10(AL469),"Exclude"),"Exclude")</f>
        <v>Exclude</v>
      </c>
    </row>
    <row r="470" spans="1:47" s="64" customFormat="1" x14ac:dyDescent="0.25">
      <c r="A470" s="63"/>
      <c r="U470" s="64" t="str">
        <f t="shared" si="28"/>
        <v>Exclude</v>
      </c>
      <c r="W470" s="65" t="str">
        <f t="shared" si="29"/>
        <v>Exclude</v>
      </c>
      <c r="Y470" s="63"/>
      <c r="AS470" s="64" t="str">
        <f t="shared" si="30"/>
        <v>Exclude</v>
      </c>
      <c r="AU470" s="65" t="str">
        <f t="shared" si="31"/>
        <v>Exclude</v>
      </c>
    </row>
    <row r="471" spans="1:47" s="64" customFormat="1" x14ac:dyDescent="0.25">
      <c r="A471" s="63"/>
      <c r="U471" s="64" t="str">
        <f t="shared" si="28"/>
        <v>Exclude</v>
      </c>
      <c r="W471" s="65" t="str">
        <f t="shared" si="29"/>
        <v>Exclude</v>
      </c>
      <c r="Y471" s="63"/>
      <c r="AS471" s="64" t="str">
        <f t="shared" si="30"/>
        <v>Exclude</v>
      </c>
      <c r="AU471" s="65" t="str">
        <f t="shared" si="31"/>
        <v>Exclude</v>
      </c>
    </row>
    <row r="472" spans="1:47" s="64" customFormat="1" x14ac:dyDescent="0.25">
      <c r="A472" s="63"/>
      <c r="U472" s="64" t="str">
        <f t="shared" si="28"/>
        <v>Exclude</v>
      </c>
      <c r="W472" s="65" t="str">
        <f t="shared" si="29"/>
        <v>Exclude</v>
      </c>
      <c r="Y472" s="63"/>
      <c r="AS472" s="64" t="str">
        <f t="shared" si="30"/>
        <v>Exclude</v>
      </c>
      <c r="AU472" s="65" t="str">
        <f t="shared" si="31"/>
        <v>Exclude</v>
      </c>
    </row>
    <row r="473" spans="1:47" s="64" customFormat="1" x14ac:dyDescent="0.25">
      <c r="A473" s="63"/>
      <c r="U473" s="64" t="str">
        <f t="shared" si="28"/>
        <v>Exclude</v>
      </c>
      <c r="W473" s="65" t="str">
        <f t="shared" si="29"/>
        <v>Exclude</v>
      </c>
      <c r="Y473" s="63"/>
      <c r="AS473" s="64" t="str">
        <f t="shared" si="30"/>
        <v>Exclude</v>
      </c>
      <c r="AU473" s="65" t="str">
        <f t="shared" si="31"/>
        <v>Exclude</v>
      </c>
    </row>
    <row r="474" spans="1:47" s="64" customFormat="1" x14ac:dyDescent="0.25">
      <c r="A474" s="63"/>
      <c r="U474" s="64" t="str">
        <f t="shared" si="28"/>
        <v>Exclude</v>
      </c>
      <c r="W474" s="65" t="str">
        <f t="shared" si="29"/>
        <v>Exclude</v>
      </c>
      <c r="Y474" s="63"/>
      <c r="AS474" s="64" t="str">
        <f t="shared" si="30"/>
        <v>Exclude</v>
      </c>
      <c r="AU474" s="65" t="str">
        <f t="shared" si="31"/>
        <v>Exclude</v>
      </c>
    </row>
    <row r="475" spans="1:47" s="64" customFormat="1" x14ac:dyDescent="0.25">
      <c r="A475" s="63"/>
      <c r="U475" s="64" t="str">
        <f t="shared" si="28"/>
        <v>Exclude</v>
      </c>
      <c r="W475" s="65" t="str">
        <f t="shared" si="29"/>
        <v>Exclude</v>
      </c>
      <c r="Y475" s="63"/>
      <c r="AS475" s="64" t="str">
        <f t="shared" si="30"/>
        <v>Exclude</v>
      </c>
      <c r="AU475" s="65" t="str">
        <f t="shared" si="31"/>
        <v>Exclude</v>
      </c>
    </row>
    <row r="476" spans="1:47" s="64" customFormat="1" x14ac:dyDescent="0.25">
      <c r="A476" s="63"/>
      <c r="U476" s="64" t="str">
        <f t="shared" si="28"/>
        <v>Exclude</v>
      </c>
      <c r="W476" s="65" t="str">
        <f t="shared" si="29"/>
        <v>Exclude</v>
      </c>
      <c r="Y476" s="63"/>
      <c r="AS476" s="64" t="str">
        <f t="shared" si="30"/>
        <v>Exclude</v>
      </c>
      <c r="AU476" s="65" t="str">
        <f t="shared" si="31"/>
        <v>Exclude</v>
      </c>
    </row>
    <row r="477" spans="1:47" s="64" customFormat="1" x14ac:dyDescent="0.25">
      <c r="A477" s="63"/>
      <c r="U477" s="64" t="str">
        <f t="shared" si="28"/>
        <v>Exclude</v>
      </c>
      <c r="W477" s="65" t="str">
        <f t="shared" si="29"/>
        <v>Exclude</v>
      </c>
      <c r="Y477" s="63"/>
      <c r="AS477" s="64" t="str">
        <f t="shared" si="30"/>
        <v>Exclude</v>
      </c>
      <c r="AU477" s="65" t="str">
        <f t="shared" si="31"/>
        <v>Exclude</v>
      </c>
    </row>
    <row r="478" spans="1:47" s="64" customFormat="1" x14ac:dyDescent="0.25">
      <c r="A478" s="63"/>
      <c r="U478" s="64" t="str">
        <f t="shared" si="28"/>
        <v>Exclude</v>
      </c>
      <c r="W478" s="65" t="str">
        <f t="shared" si="29"/>
        <v>Exclude</v>
      </c>
      <c r="Y478" s="63"/>
      <c r="AS478" s="64" t="str">
        <f t="shared" si="30"/>
        <v>Exclude</v>
      </c>
      <c r="AU478" s="65" t="str">
        <f t="shared" si="31"/>
        <v>Exclude</v>
      </c>
    </row>
    <row r="479" spans="1:47" s="64" customFormat="1" x14ac:dyDescent="0.25">
      <c r="A479" s="63"/>
      <c r="U479" s="64" t="str">
        <f t="shared" si="28"/>
        <v>Exclude</v>
      </c>
      <c r="W479" s="65" t="str">
        <f t="shared" si="29"/>
        <v>Exclude</v>
      </c>
      <c r="Y479" s="63"/>
      <c r="AS479" s="64" t="str">
        <f t="shared" si="30"/>
        <v>Exclude</v>
      </c>
      <c r="AU479" s="65" t="str">
        <f t="shared" si="31"/>
        <v>Exclude</v>
      </c>
    </row>
    <row r="480" spans="1:47" s="64" customFormat="1" x14ac:dyDescent="0.25">
      <c r="A480" s="63"/>
      <c r="U480" s="64" t="str">
        <f t="shared" si="28"/>
        <v>Exclude</v>
      </c>
      <c r="W480" s="65" t="str">
        <f t="shared" si="29"/>
        <v>Exclude</v>
      </c>
      <c r="Y480" s="63"/>
      <c r="AS480" s="64" t="str">
        <f t="shared" si="30"/>
        <v>Exclude</v>
      </c>
      <c r="AU480" s="65" t="str">
        <f t="shared" si="31"/>
        <v>Exclude</v>
      </c>
    </row>
    <row r="481" spans="1:47" s="64" customFormat="1" x14ac:dyDescent="0.25">
      <c r="A481" s="63"/>
      <c r="U481" s="64" t="str">
        <f t="shared" si="28"/>
        <v>Exclude</v>
      </c>
      <c r="W481" s="65" t="str">
        <f t="shared" si="29"/>
        <v>Exclude</v>
      </c>
      <c r="Y481" s="63"/>
      <c r="AS481" s="64" t="str">
        <f t="shared" si="30"/>
        <v>Exclude</v>
      </c>
      <c r="AU481" s="65" t="str">
        <f t="shared" si="31"/>
        <v>Exclude</v>
      </c>
    </row>
    <row r="482" spans="1:47" s="64" customFormat="1" x14ac:dyDescent="0.25">
      <c r="A482" s="63"/>
      <c r="U482" s="64" t="str">
        <f t="shared" si="28"/>
        <v>Exclude</v>
      </c>
      <c r="W482" s="65" t="str">
        <f t="shared" si="29"/>
        <v>Exclude</v>
      </c>
      <c r="Y482" s="63"/>
      <c r="AS482" s="64" t="str">
        <f t="shared" si="30"/>
        <v>Exclude</v>
      </c>
      <c r="AU482" s="65" t="str">
        <f t="shared" si="31"/>
        <v>Exclude</v>
      </c>
    </row>
    <row r="483" spans="1:47" s="64" customFormat="1" x14ac:dyDescent="0.25">
      <c r="A483" s="63"/>
      <c r="U483" s="64" t="str">
        <f t="shared" si="28"/>
        <v>Exclude</v>
      </c>
      <c r="W483" s="65" t="str">
        <f t="shared" si="29"/>
        <v>Exclude</v>
      </c>
      <c r="Y483" s="63"/>
      <c r="AS483" s="64" t="str">
        <f t="shared" si="30"/>
        <v>Exclude</v>
      </c>
      <c r="AU483" s="65" t="str">
        <f t="shared" si="31"/>
        <v>Exclude</v>
      </c>
    </row>
    <row r="484" spans="1:47" s="64" customFormat="1" x14ac:dyDescent="0.25">
      <c r="A484" s="63"/>
      <c r="U484" s="64" t="str">
        <f t="shared" si="28"/>
        <v>Exclude</v>
      </c>
      <c r="W484" s="65" t="str">
        <f t="shared" si="29"/>
        <v>Exclude</v>
      </c>
      <c r="Y484" s="63"/>
      <c r="AS484" s="64" t="str">
        <f t="shared" si="30"/>
        <v>Exclude</v>
      </c>
      <c r="AU484" s="65" t="str">
        <f t="shared" si="31"/>
        <v>Exclude</v>
      </c>
    </row>
    <row r="485" spans="1:47" s="64" customFormat="1" x14ac:dyDescent="0.25">
      <c r="A485" s="63"/>
      <c r="U485" s="64" t="str">
        <f t="shared" si="28"/>
        <v>Exclude</v>
      </c>
      <c r="W485" s="65" t="str">
        <f t="shared" si="29"/>
        <v>Exclude</v>
      </c>
      <c r="Y485" s="63"/>
      <c r="AS485" s="64" t="str">
        <f t="shared" si="30"/>
        <v>Exclude</v>
      </c>
      <c r="AU485" s="65" t="str">
        <f t="shared" si="31"/>
        <v>Exclude</v>
      </c>
    </row>
    <row r="486" spans="1:47" s="64" customFormat="1" x14ac:dyDescent="0.25">
      <c r="A486" s="63"/>
      <c r="U486" s="64" t="str">
        <f t="shared" si="28"/>
        <v>Exclude</v>
      </c>
      <c r="W486" s="65" t="str">
        <f t="shared" si="29"/>
        <v>Exclude</v>
      </c>
      <c r="Y486" s="63"/>
      <c r="AS486" s="64" t="str">
        <f t="shared" si="30"/>
        <v>Exclude</v>
      </c>
      <c r="AU486" s="65" t="str">
        <f t="shared" si="31"/>
        <v>Exclude</v>
      </c>
    </row>
    <row r="487" spans="1:47" s="64" customFormat="1" x14ac:dyDescent="0.25">
      <c r="A487" s="63"/>
      <c r="U487" s="64" t="str">
        <f t="shared" si="28"/>
        <v>Exclude</v>
      </c>
      <c r="W487" s="65" t="str">
        <f t="shared" si="29"/>
        <v>Exclude</v>
      </c>
      <c r="Y487" s="63"/>
      <c r="AS487" s="64" t="str">
        <f t="shared" si="30"/>
        <v>Exclude</v>
      </c>
      <c r="AU487" s="65" t="str">
        <f t="shared" si="31"/>
        <v>Exclude</v>
      </c>
    </row>
    <row r="488" spans="1:47" s="64" customFormat="1" x14ac:dyDescent="0.25">
      <c r="A488" s="63"/>
      <c r="U488" s="64" t="str">
        <f t="shared" si="28"/>
        <v>Exclude</v>
      </c>
      <c r="W488" s="65" t="str">
        <f t="shared" si="29"/>
        <v>Exclude</v>
      </c>
      <c r="Y488" s="63"/>
      <c r="AS488" s="64" t="str">
        <f t="shared" si="30"/>
        <v>Exclude</v>
      </c>
      <c r="AU488" s="65" t="str">
        <f t="shared" si="31"/>
        <v>Exclude</v>
      </c>
    </row>
    <row r="489" spans="1:47" s="64" customFormat="1" x14ac:dyDescent="0.25">
      <c r="A489" s="63"/>
      <c r="U489" s="64" t="str">
        <f t="shared" si="28"/>
        <v>Exclude</v>
      </c>
      <c r="W489" s="65" t="str">
        <f t="shared" si="29"/>
        <v>Exclude</v>
      </c>
      <c r="Y489" s="63"/>
      <c r="AS489" s="64" t="str">
        <f t="shared" si="30"/>
        <v>Exclude</v>
      </c>
      <c r="AU489" s="65" t="str">
        <f t="shared" si="31"/>
        <v>Exclude</v>
      </c>
    </row>
    <row r="490" spans="1:47" s="64" customFormat="1" x14ac:dyDescent="0.25">
      <c r="A490" s="63"/>
      <c r="U490" s="64" t="str">
        <f t="shared" si="28"/>
        <v>Exclude</v>
      </c>
      <c r="W490" s="65" t="str">
        <f t="shared" si="29"/>
        <v>Exclude</v>
      </c>
      <c r="Y490" s="63"/>
      <c r="AS490" s="64" t="str">
        <f t="shared" si="30"/>
        <v>Exclude</v>
      </c>
      <c r="AU490" s="65" t="str">
        <f t="shared" si="31"/>
        <v>Exclude</v>
      </c>
    </row>
    <row r="491" spans="1:47" s="64" customFormat="1" x14ac:dyDescent="0.25">
      <c r="A491" s="63"/>
      <c r="U491" s="64" t="str">
        <f t="shared" si="28"/>
        <v>Exclude</v>
      </c>
      <c r="W491" s="65" t="str">
        <f t="shared" si="29"/>
        <v>Exclude</v>
      </c>
      <c r="Y491" s="63"/>
      <c r="AS491" s="64" t="str">
        <f t="shared" si="30"/>
        <v>Exclude</v>
      </c>
      <c r="AU491" s="65" t="str">
        <f t="shared" si="31"/>
        <v>Exclude</v>
      </c>
    </row>
    <row r="492" spans="1:47" s="64" customFormat="1" x14ac:dyDescent="0.25">
      <c r="A492" s="63"/>
      <c r="U492" s="64" t="str">
        <f t="shared" si="28"/>
        <v>Exclude</v>
      </c>
      <c r="W492" s="65" t="str">
        <f t="shared" si="29"/>
        <v>Exclude</v>
      </c>
      <c r="Y492" s="63"/>
      <c r="AS492" s="64" t="str">
        <f t="shared" si="30"/>
        <v>Exclude</v>
      </c>
      <c r="AU492" s="65" t="str">
        <f t="shared" si="31"/>
        <v>Exclude</v>
      </c>
    </row>
    <row r="493" spans="1:47" s="64" customFormat="1" x14ac:dyDescent="0.25">
      <c r="A493" s="63"/>
      <c r="U493" s="64" t="str">
        <f t="shared" si="28"/>
        <v>Exclude</v>
      </c>
      <c r="W493" s="65" t="str">
        <f t="shared" si="29"/>
        <v>Exclude</v>
      </c>
      <c r="Y493" s="63"/>
      <c r="AS493" s="64" t="str">
        <f t="shared" si="30"/>
        <v>Exclude</v>
      </c>
      <c r="AU493" s="65" t="str">
        <f t="shared" si="31"/>
        <v>Exclude</v>
      </c>
    </row>
    <row r="494" spans="1:47" s="64" customFormat="1" x14ac:dyDescent="0.25">
      <c r="A494" s="63"/>
      <c r="U494" s="64" t="str">
        <f t="shared" si="28"/>
        <v>Exclude</v>
      </c>
      <c r="W494" s="65" t="str">
        <f t="shared" si="29"/>
        <v>Exclude</v>
      </c>
      <c r="Y494" s="63"/>
      <c r="AS494" s="64" t="str">
        <f t="shared" si="30"/>
        <v>Exclude</v>
      </c>
      <c r="AU494" s="65" t="str">
        <f t="shared" si="31"/>
        <v>Exclude</v>
      </c>
    </row>
    <row r="495" spans="1:47" s="64" customFormat="1" x14ac:dyDescent="0.25">
      <c r="A495" s="63"/>
      <c r="U495" s="64" t="str">
        <f t="shared" si="28"/>
        <v>Exclude</v>
      </c>
      <c r="W495" s="65" t="str">
        <f t="shared" si="29"/>
        <v>Exclude</v>
      </c>
      <c r="Y495" s="63"/>
      <c r="AS495" s="64" t="str">
        <f t="shared" si="30"/>
        <v>Exclude</v>
      </c>
      <c r="AU495" s="65" t="str">
        <f t="shared" si="31"/>
        <v>Exclude</v>
      </c>
    </row>
    <row r="496" spans="1:47" s="64" customFormat="1" x14ac:dyDescent="0.25">
      <c r="A496" s="63"/>
      <c r="U496" s="64" t="str">
        <f t="shared" si="28"/>
        <v>Exclude</v>
      </c>
      <c r="W496" s="65" t="str">
        <f t="shared" si="29"/>
        <v>Exclude</v>
      </c>
      <c r="Y496" s="63"/>
      <c r="AS496" s="64" t="str">
        <f t="shared" si="30"/>
        <v>Exclude</v>
      </c>
      <c r="AU496" s="65" t="str">
        <f t="shared" si="31"/>
        <v>Exclude</v>
      </c>
    </row>
    <row r="497" spans="1:47" s="64" customFormat="1" x14ac:dyDescent="0.25">
      <c r="A497" s="63"/>
      <c r="U497" s="64" t="str">
        <f t="shared" si="28"/>
        <v>Exclude</v>
      </c>
      <c r="W497" s="65" t="str">
        <f t="shared" si="29"/>
        <v>Exclude</v>
      </c>
      <c r="Y497" s="63"/>
      <c r="AS497" s="64" t="str">
        <f t="shared" si="30"/>
        <v>Exclude</v>
      </c>
      <c r="AU497" s="65" t="str">
        <f t="shared" si="31"/>
        <v>Exclude</v>
      </c>
    </row>
    <row r="498" spans="1:47" s="64" customFormat="1" x14ac:dyDescent="0.25">
      <c r="A498" s="63"/>
      <c r="U498" s="64" t="str">
        <f t="shared" si="28"/>
        <v>Exclude</v>
      </c>
      <c r="W498" s="65" t="str">
        <f t="shared" si="29"/>
        <v>Exclude</v>
      </c>
      <c r="Y498" s="63"/>
      <c r="AS498" s="64" t="str">
        <f t="shared" si="30"/>
        <v>Exclude</v>
      </c>
      <c r="AU498" s="65" t="str">
        <f t="shared" si="31"/>
        <v>Exclude</v>
      </c>
    </row>
    <row r="499" spans="1:47" s="64" customFormat="1" x14ac:dyDescent="0.25">
      <c r="A499" s="63"/>
      <c r="U499" s="64" t="str">
        <f t="shared" si="28"/>
        <v>Exclude</v>
      </c>
      <c r="W499" s="65" t="str">
        <f t="shared" si="29"/>
        <v>Exclude</v>
      </c>
      <c r="Y499" s="63"/>
      <c r="AS499" s="64" t="str">
        <f t="shared" si="30"/>
        <v>Exclude</v>
      </c>
      <c r="AU499" s="65" t="str">
        <f t="shared" si="31"/>
        <v>Exclude</v>
      </c>
    </row>
    <row r="500" spans="1:47" s="64" customFormat="1" x14ac:dyDescent="0.25">
      <c r="A500" s="63"/>
      <c r="U500" s="64" t="str">
        <f t="shared" si="28"/>
        <v>Exclude</v>
      </c>
      <c r="W500" s="65" t="str">
        <f t="shared" si="29"/>
        <v>Exclude</v>
      </c>
      <c r="Y500" s="63"/>
      <c r="AS500" s="64" t="str">
        <f t="shared" si="30"/>
        <v>Exclude</v>
      </c>
      <c r="AU500" s="65" t="str">
        <f t="shared" si="31"/>
        <v>Exclude</v>
      </c>
    </row>
    <row r="501" spans="1:47" s="64" customFormat="1" x14ac:dyDescent="0.25">
      <c r="A501" s="63"/>
      <c r="U501" s="64" t="str">
        <f t="shared" si="28"/>
        <v>Exclude</v>
      </c>
      <c r="W501" s="65" t="str">
        <f t="shared" si="29"/>
        <v>Exclude</v>
      </c>
      <c r="Y501" s="63"/>
      <c r="AS501" s="64" t="str">
        <f t="shared" si="30"/>
        <v>Exclude</v>
      </c>
      <c r="AU501" s="65" t="str">
        <f t="shared" si="31"/>
        <v>Exclude</v>
      </c>
    </row>
    <row r="502" spans="1:47" s="64" customFormat="1" x14ac:dyDescent="0.25">
      <c r="A502" s="63"/>
      <c r="U502" s="64" t="str">
        <f t="shared" si="28"/>
        <v>Exclude</v>
      </c>
      <c r="W502" s="65" t="str">
        <f t="shared" si="29"/>
        <v>Exclude</v>
      </c>
      <c r="Y502" s="63"/>
      <c r="AS502" s="64" t="str">
        <f t="shared" si="30"/>
        <v>Exclude</v>
      </c>
      <c r="AU502" s="65" t="str">
        <f t="shared" si="31"/>
        <v>Exclude</v>
      </c>
    </row>
    <row r="503" spans="1:47" s="64" customFormat="1" x14ac:dyDescent="0.25">
      <c r="A503" s="63"/>
      <c r="U503" s="64" t="str">
        <f t="shared" si="28"/>
        <v>Exclude</v>
      </c>
      <c r="W503" s="65" t="str">
        <f t="shared" si="29"/>
        <v>Exclude</v>
      </c>
      <c r="Y503" s="63"/>
      <c r="AS503" s="64" t="str">
        <f t="shared" si="30"/>
        <v>Exclude</v>
      </c>
      <c r="AU503" s="65" t="str">
        <f t="shared" si="31"/>
        <v>Exclude</v>
      </c>
    </row>
    <row r="504" spans="1:47" s="64" customFormat="1" x14ac:dyDescent="0.25">
      <c r="A504" s="63"/>
      <c r="U504" s="64" t="str">
        <f t="shared" si="28"/>
        <v>Exclude</v>
      </c>
      <c r="W504" s="65" t="str">
        <f t="shared" si="29"/>
        <v>Exclude</v>
      </c>
      <c r="Y504" s="63"/>
      <c r="AS504" s="64" t="str">
        <f t="shared" si="30"/>
        <v>Exclude</v>
      </c>
      <c r="AU504" s="65" t="str">
        <f t="shared" si="31"/>
        <v>Exclude</v>
      </c>
    </row>
    <row r="505" spans="1:47" s="64" customFormat="1" x14ac:dyDescent="0.25">
      <c r="A505" s="63"/>
      <c r="U505" s="64" t="str">
        <f t="shared" si="28"/>
        <v>Exclude</v>
      </c>
      <c r="W505" s="65" t="str">
        <f t="shared" si="29"/>
        <v>Exclude</v>
      </c>
      <c r="Y505" s="63"/>
      <c r="AS505" s="64" t="str">
        <f t="shared" si="30"/>
        <v>Exclude</v>
      </c>
      <c r="AU505" s="65" t="str">
        <f t="shared" si="31"/>
        <v>Exclude</v>
      </c>
    </row>
    <row r="506" spans="1:47" s="64" customFormat="1" x14ac:dyDescent="0.25">
      <c r="A506" s="63"/>
      <c r="U506" s="64" t="str">
        <f t="shared" si="28"/>
        <v>Exclude</v>
      </c>
      <c r="W506" s="65" t="str">
        <f t="shared" si="29"/>
        <v>Exclude</v>
      </c>
      <c r="Y506" s="63"/>
      <c r="AS506" s="64" t="str">
        <f t="shared" si="30"/>
        <v>Exclude</v>
      </c>
      <c r="AU506" s="65" t="str">
        <f t="shared" si="31"/>
        <v>Exclude</v>
      </c>
    </row>
    <row r="507" spans="1:47" s="64" customFormat="1" x14ac:dyDescent="0.25">
      <c r="A507" s="63"/>
      <c r="U507" s="64" t="str">
        <f t="shared" si="28"/>
        <v>Exclude</v>
      </c>
      <c r="W507" s="65" t="str">
        <f t="shared" si="29"/>
        <v>Exclude</v>
      </c>
      <c r="Y507" s="63"/>
      <c r="AS507" s="64" t="str">
        <f t="shared" si="30"/>
        <v>Exclude</v>
      </c>
      <c r="AU507" s="65" t="str">
        <f t="shared" si="31"/>
        <v>Exclude</v>
      </c>
    </row>
    <row r="508" spans="1:47" s="64" customFormat="1" x14ac:dyDescent="0.25">
      <c r="A508" s="63"/>
      <c r="U508" s="64" t="str">
        <f t="shared" si="28"/>
        <v>Exclude</v>
      </c>
      <c r="W508" s="65" t="str">
        <f t="shared" si="29"/>
        <v>Exclude</v>
      </c>
      <c r="Y508" s="63"/>
      <c r="AS508" s="64" t="str">
        <f t="shared" si="30"/>
        <v>Exclude</v>
      </c>
      <c r="AU508" s="65" t="str">
        <f t="shared" si="31"/>
        <v>Exclude</v>
      </c>
    </row>
    <row r="509" spans="1:47" s="64" customFormat="1" x14ac:dyDescent="0.25">
      <c r="A509" s="63"/>
      <c r="U509" s="64" t="str">
        <f t="shared" si="28"/>
        <v>Exclude</v>
      </c>
      <c r="W509" s="65" t="str">
        <f t="shared" si="29"/>
        <v>Exclude</v>
      </c>
      <c r="Y509" s="63"/>
      <c r="AS509" s="64" t="str">
        <f t="shared" si="30"/>
        <v>Exclude</v>
      </c>
      <c r="AU509" s="65" t="str">
        <f t="shared" si="31"/>
        <v>Exclude</v>
      </c>
    </row>
    <row r="510" spans="1:47" s="64" customFormat="1" x14ac:dyDescent="0.25">
      <c r="A510" s="63"/>
      <c r="U510" s="64" t="str">
        <f t="shared" si="28"/>
        <v>Exclude</v>
      </c>
      <c r="W510" s="65" t="str">
        <f t="shared" si="29"/>
        <v>Exclude</v>
      </c>
      <c r="Y510" s="63"/>
      <c r="AS510" s="64" t="str">
        <f t="shared" si="30"/>
        <v>Exclude</v>
      </c>
      <c r="AU510" s="65" t="str">
        <f t="shared" si="31"/>
        <v>Exclude</v>
      </c>
    </row>
    <row r="511" spans="1:47" s="64" customFormat="1" x14ac:dyDescent="0.25">
      <c r="A511" s="63"/>
      <c r="U511" s="64" t="str">
        <f t="shared" si="28"/>
        <v>Exclude</v>
      </c>
      <c r="W511" s="65" t="str">
        <f t="shared" si="29"/>
        <v>Exclude</v>
      </c>
      <c r="Y511" s="63"/>
      <c r="AS511" s="64" t="str">
        <f t="shared" si="30"/>
        <v>Exclude</v>
      </c>
      <c r="AU511" s="65" t="str">
        <f t="shared" si="31"/>
        <v>Exclude</v>
      </c>
    </row>
    <row r="512" spans="1:47" s="64" customFormat="1" x14ac:dyDescent="0.25">
      <c r="A512" s="63"/>
      <c r="U512" s="64" t="str">
        <f t="shared" si="28"/>
        <v>Exclude</v>
      </c>
      <c r="W512" s="65" t="str">
        <f t="shared" si="29"/>
        <v>Exclude</v>
      </c>
      <c r="Y512" s="63"/>
      <c r="AS512" s="64" t="str">
        <f t="shared" si="30"/>
        <v>Exclude</v>
      </c>
      <c r="AU512" s="65" t="str">
        <f t="shared" si="31"/>
        <v>Exclude</v>
      </c>
    </row>
    <row r="513" spans="1:47" s="64" customFormat="1" x14ac:dyDescent="0.25">
      <c r="A513" s="63"/>
      <c r="U513" s="64" t="str">
        <f t="shared" si="28"/>
        <v>Exclude</v>
      </c>
      <c r="W513" s="65" t="str">
        <f t="shared" si="29"/>
        <v>Exclude</v>
      </c>
      <c r="Y513" s="63"/>
      <c r="AS513" s="64" t="str">
        <f t="shared" si="30"/>
        <v>Exclude</v>
      </c>
      <c r="AU513" s="65" t="str">
        <f t="shared" si="31"/>
        <v>Exclude</v>
      </c>
    </row>
    <row r="514" spans="1:47" s="64" customFormat="1" x14ac:dyDescent="0.25">
      <c r="A514" s="63"/>
      <c r="U514" s="64" t="str">
        <f t="shared" si="28"/>
        <v>Exclude</v>
      </c>
      <c r="W514" s="65" t="str">
        <f t="shared" si="29"/>
        <v>Exclude</v>
      </c>
      <c r="Y514" s="63"/>
      <c r="AS514" s="64" t="str">
        <f t="shared" si="30"/>
        <v>Exclude</v>
      </c>
      <c r="AU514" s="65" t="str">
        <f t="shared" si="31"/>
        <v>Exclude</v>
      </c>
    </row>
    <row r="515" spans="1:47" s="64" customFormat="1" x14ac:dyDescent="0.25">
      <c r="A515" s="63"/>
      <c r="U515" s="64" t="str">
        <f t="shared" si="28"/>
        <v>Exclude</v>
      </c>
      <c r="W515" s="65" t="str">
        <f t="shared" si="29"/>
        <v>Exclude</v>
      </c>
      <c r="Y515" s="63"/>
      <c r="AS515" s="64" t="str">
        <f t="shared" si="30"/>
        <v>Exclude</v>
      </c>
      <c r="AU515" s="65" t="str">
        <f t="shared" si="31"/>
        <v>Exclude</v>
      </c>
    </row>
    <row r="516" spans="1:47" s="64" customFormat="1" x14ac:dyDescent="0.25">
      <c r="A516" s="63"/>
      <c r="U516" s="64" t="str">
        <f t="shared" si="28"/>
        <v>Exclude</v>
      </c>
      <c r="W516" s="65" t="str">
        <f t="shared" si="29"/>
        <v>Exclude</v>
      </c>
      <c r="Y516" s="63"/>
      <c r="AS516" s="64" t="str">
        <f t="shared" si="30"/>
        <v>Exclude</v>
      </c>
      <c r="AU516" s="65" t="str">
        <f t="shared" si="31"/>
        <v>Exclude</v>
      </c>
    </row>
    <row r="517" spans="1:47" s="64" customFormat="1" x14ac:dyDescent="0.25">
      <c r="A517" s="63"/>
      <c r="U517" s="64" t="str">
        <f t="shared" si="28"/>
        <v>Exclude</v>
      </c>
      <c r="W517" s="65" t="str">
        <f t="shared" si="29"/>
        <v>Exclude</v>
      </c>
      <c r="Y517" s="63"/>
      <c r="AS517" s="64" t="str">
        <f t="shared" si="30"/>
        <v>Exclude</v>
      </c>
      <c r="AU517" s="65" t="str">
        <f t="shared" si="31"/>
        <v>Exclude</v>
      </c>
    </row>
    <row r="518" spans="1:47" s="64" customFormat="1" x14ac:dyDescent="0.25">
      <c r="A518" s="63"/>
      <c r="U518" s="64" t="str">
        <f t="shared" si="28"/>
        <v>Exclude</v>
      </c>
      <c r="W518" s="65" t="str">
        <f t="shared" si="29"/>
        <v>Exclude</v>
      </c>
      <c r="Y518" s="63"/>
      <c r="AS518" s="64" t="str">
        <f t="shared" si="30"/>
        <v>Exclude</v>
      </c>
      <c r="AU518" s="65" t="str">
        <f t="shared" si="31"/>
        <v>Exclude</v>
      </c>
    </row>
    <row r="519" spans="1:47" s="64" customFormat="1" x14ac:dyDescent="0.25">
      <c r="A519" s="63"/>
      <c r="U519" s="64" t="str">
        <f t="shared" si="28"/>
        <v>Exclude</v>
      </c>
      <c r="W519" s="65" t="str">
        <f t="shared" si="29"/>
        <v>Exclude</v>
      </c>
      <c r="Y519" s="63"/>
      <c r="AS519" s="64" t="str">
        <f t="shared" si="30"/>
        <v>Exclude</v>
      </c>
      <c r="AU519" s="65" t="str">
        <f t="shared" si="31"/>
        <v>Exclude</v>
      </c>
    </row>
    <row r="520" spans="1:47" s="64" customFormat="1" x14ac:dyDescent="0.25">
      <c r="A520" s="63"/>
      <c r="U520" s="64" t="str">
        <f t="shared" si="28"/>
        <v>Exclude</v>
      </c>
      <c r="W520" s="65" t="str">
        <f t="shared" si="29"/>
        <v>Exclude</v>
      </c>
      <c r="Y520" s="63"/>
      <c r="AS520" s="64" t="str">
        <f t="shared" si="30"/>
        <v>Exclude</v>
      </c>
      <c r="AU520" s="65" t="str">
        <f t="shared" si="31"/>
        <v>Exclude</v>
      </c>
    </row>
    <row r="521" spans="1:47" s="64" customFormat="1" x14ac:dyDescent="0.25">
      <c r="A521" s="63"/>
      <c r="U521" s="64" t="str">
        <f t="shared" si="28"/>
        <v>Exclude</v>
      </c>
      <c r="W521" s="65" t="str">
        <f t="shared" si="29"/>
        <v>Exclude</v>
      </c>
      <c r="Y521" s="63"/>
      <c r="AS521" s="64" t="str">
        <f t="shared" si="30"/>
        <v>Exclude</v>
      </c>
      <c r="AU521" s="65" t="str">
        <f t="shared" si="31"/>
        <v>Exclude</v>
      </c>
    </row>
    <row r="522" spans="1:47" s="64" customFormat="1" x14ac:dyDescent="0.25">
      <c r="A522" s="63"/>
      <c r="U522" s="64" t="str">
        <f t="shared" si="28"/>
        <v>Exclude</v>
      </c>
      <c r="W522" s="65" t="str">
        <f t="shared" si="29"/>
        <v>Exclude</v>
      </c>
      <c r="Y522" s="63"/>
      <c r="AS522" s="64" t="str">
        <f t="shared" si="30"/>
        <v>Exclude</v>
      </c>
      <c r="AU522" s="65" t="str">
        <f t="shared" si="31"/>
        <v>Exclude</v>
      </c>
    </row>
    <row r="523" spans="1:47" s="64" customFormat="1" x14ac:dyDescent="0.25">
      <c r="A523" s="63"/>
      <c r="U523" s="64" t="str">
        <f t="shared" si="28"/>
        <v>Exclude</v>
      </c>
      <c r="W523" s="65" t="str">
        <f t="shared" si="29"/>
        <v>Exclude</v>
      </c>
      <c r="Y523" s="63"/>
      <c r="AS523" s="64" t="str">
        <f t="shared" si="30"/>
        <v>Exclude</v>
      </c>
      <c r="AU523" s="65" t="str">
        <f t="shared" si="31"/>
        <v>Exclude</v>
      </c>
    </row>
    <row r="524" spans="1:47" s="64" customFormat="1" x14ac:dyDescent="0.25">
      <c r="A524" s="63"/>
      <c r="U524" s="64" t="str">
        <f t="shared" si="28"/>
        <v>Exclude</v>
      </c>
      <c r="W524" s="65" t="str">
        <f t="shared" si="29"/>
        <v>Exclude</v>
      </c>
      <c r="Y524" s="63"/>
      <c r="AS524" s="64" t="str">
        <f t="shared" si="30"/>
        <v>Exclude</v>
      </c>
      <c r="AU524" s="65" t="str">
        <f t="shared" si="31"/>
        <v>Exclude</v>
      </c>
    </row>
    <row r="525" spans="1:47" s="64" customFormat="1" x14ac:dyDescent="0.25">
      <c r="A525" s="63"/>
      <c r="U525" s="64" t="str">
        <f t="shared" si="28"/>
        <v>Exclude</v>
      </c>
      <c r="W525" s="65" t="str">
        <f t="shared" si="29"/>
        <v>Exclude</v>
      </c>
      <c r="Y525" s="63"/>
      <c r="AS525" s="64" t="str">
        <f t="shared" si="30"/>
        <v>Exclude</v>
      </c>
      <c r="AU525" s="65" t="str">
        <f t="shared" si="31"/>
        <v>Exclude</v>
      </c>
    </row>
    <row r="526" spans="1:47" s="64" customFormat="1" x14ac:dyDescent="0.25">
      <c r="A526" s="63"/>
      <c r="U526" s="64" t="str">
        <f t="shared" si="28"/>
        <v>Exclude</v>
      </c>
      <c r="W526" s="65" t="str">
        <f t="shared" si="29"/>
        <v>Exclude</v>
      </c>
      <c r="Y526" s="63"/>
      <c r="AS526" s="64" t="str">
        <f t="shared" si="30"/>
        <v>Exclude</v>
      </c>
      <c r="AU526" s="65" t="str">
        <f t="shared" si="31"/>
        <v>Exclude</v>
      </c>
    </row>
    <row r="527" spans="1:47" s="64" customFormat="1" x14ac:dyDescent="0.25">
      <c r="A527" s="63"/>
      <c r="U527" s="64" t="str">
        <f t="shared" si="28"/>
        <v>Exclude</v>
      </c>
      <c r="W527" s="65" t="str">
        <f t="shared" si="29"/>
        <v>Exclude</v>
      </c>
      <c r="Y527" s="63"/>
      <c r="AS527" s="64" t="str">
        <f t="shared" si="30"/>
        <v>Exclude</v>
      </c>
      <c r="AU527" s="65" t="str">
        <f t="shared" si="31"/>
        <v>Exclude</v>
      </c>
    </row>
    <row r="528" spans="1:47" s="64" customFormat="1" x14ac:dyDescent="0.25">
      <c r="A528" s="63"/>
      <c r="U528" s="64" t="str">
        <f t="shared" si="28"/>
        <v>Exclude</v>
      </c>
      <c r="W528" s="65" t="str">
        <f t="shared" si="29"/>
        <v>Exclude</v>
      </c>
      <c r="Y528" s="63"/>
      <c r="AS528" s="64" t="str">
        <f t="shared" si="30"/>
        <v>Exclude</v>
      </c>
      <c r="AU528" s="65" t="str">
        <f t="shared" si="31"/>
        <v>Exclude</v>
      </c>
    </row>
    <row r="529" spans="1:47" s="64" customFormat="1" x14ac:dyDescent="0.25">
      <c r="A529" s="63"/>
      <c r="U529" s="64" t="str">
        <f t="shared" si="28"/>
        <v>Exclude</v>
      </c>
      <c r="W529" s="65" t="str">
        <f t="shared" si="29"/>
        <v>Exclude</v>
      </c>
      <c r="Y529" s="63"/>
      <c r="AS529" s="64" t="str">
        <f t="shared" si="30"/>
        <v>Exclude</v>
      </c>
      <c r="AU529" s="65" t="str">
        <f t="shared" si="31"/>
        <v>Exclude</v>
      </c>
    </row>
    <row r="530" spans="1:47" s="64" customFormat="1" x14ac:dyDescent="0.25">
      <c r="A530" s="63"/>
      <c r="U530" s="64" t="str">
        <f t="shared" si="28"/>
        <v>Exclude</v>
      </c>
      <c r="W530" s="65" t="str">
        <f t="shared" si="29"/>
        <v>Exclude</v>
      </c>
      <c r="Y530" s="63"/>
      <c r="AS530" s="64" t="str">
        <f t="shared" si="30"/>
        <v>Exclude</v>
      </c>
      <c r="AU530" s="65" t="str">
        <f t="shared" si="31"/>
        <v>Exclude</v>
      </c>
    </row>
    <row r="531" spans="1:47" s="64" customFormat="1" x14ac:dyDescent="0.25">
      <c r="A531" s="63"/>
      <c r="U531" s="64" t="str">
        <f t="shared" si="28"/>
        <v>Exclude</v>
      </c>
      <c r="W531" s="65" t="str">
        <f t="shared" si="29"/>
        <v>Exclude</v>
      </c>
      <c r="Y531" s="63"/>
      <c r="AS531" s="64" t="str">
        <f t="shared" si="30"/>
        <v>Exclude</v>
      </c>
      <c r="AU531" s="65" t="str">
        <f t="shared" si="31"/>
        <v>Exclude</v>
      </c>
    </row>
    <row r="532" spans="1:47" s="64" customFormat="1" x14ac:dyDescent="0.25">
      <c r="A532" s="63"/>
      <c r="U532" s="64" t="str">
        <f t="shared" si="28"/>
        <v>Exclude</v>
      </c>
      <c r="W532" s="65" t="str">
        <f t="shared" si="29"/>
        <v>Exclude</v>
      </c>
      <c r="Y532" s="63"/>
      <c r="AS532" s="64" t="str">
        <f t="shared" si="30"/>
        <v>Exclude</v>
      </c>
      <c r="AU532" s="65" t="str">
        <f t="shared" si="31"/>
        <v>Exclude</v>
      </c>
    </row>
    <row r="533" spans="1:47" s="64" customFormat="1" x14ac:dyDescent="0.25">
      <c r="A533" s="63"/>
      <c r="U533" s="64" t="str">
        <f t="shared" ref="U533:U535" si="32">IF(OR(R533="TruePositive",R533="TrueNegative"),IF(R532&lt;&gt;"Anticipatory",(N533),"Pant"),"Exclude")</f>
        <v>Exclude</v>
      </c>
      <c r="W533" s="65" t="str">
        <f t="shared" ref="W533:W535" si="33">IF(OR(R533="TruePositive",R533="TrueNegative"),IF(R532&lt;&gt;"Anticipatory",LOG10(N533),"Exclude"),"Exclude")</f>
        <v>Exclude</v>
      </c>
      <c r="Y533" s="63"/>
      <c r="AS533" s="64" t="str">
        <f t="shared" ref="AS533:AS535" si="34">IF(OR(AP533="TruePositive",AP533="TrueNegative"),IF(AP532&lt;&gt;"Anticipatory",(AL533),"Pant"),"Exclude")</f>
        <v>Exclude</v>
      </c>
      <c r="AU533" s="65" t="str">
        <f t="shared" ref="AU533:AU535" si="35">IF(OR(AP533="TruePositive",AP533="TrueNegative"),IF(AP532&lt;&gt;"Anticipatory",LOG10(AL533),"Exclude"),"Exclude")</f>
        <v>Exclude</v>
      </c>
    </row>
    <row r="534" spans="1:47" s="64" customFormat="1" x14ac:dyDescent="0.25">
      <c r="A534" s="63"/>
      <c r="U534" s="64" t="str">
        <f t="shared" si="32"/>
        <v>Exclude</v>
      </c>
      <c r="W534" s="65" t="str">
        <f t="shared" si="33"/>
        <v>Exclude</v>
      </c>
      <c r="Y534" s="63"/>
      <c r="AS534" s="64" t="str">
        <f t="shared" si="34"/>
        <v>Exclude</v>
      </c>
      <c r="AU534" s="65" t="str">
        <f t="shared" si="35"/>
        <v>Exclude</v>
      </c>
    </row>
    <row r="535" spans="1:47" s="64" customFormat="1" x14ac:dyDescent="0.25">
      <c r="A535" s="63"/>
      <c r="U535" s="64" t="str">
        <f t="shared" si="32"/>
        <v>Exclude</v>
      </c>
      <c r="W535" s="65" t="str">
        <f t="shared" si="33"/>
        <v>Exclude</v>
      </c>
      <c r="Y535" s="63"/>
      <c r="AS535" s="64" t="str">
        <f t="shared" si="34"/>
        <v>Exclude</v>
      </c>
      <c r="AU535" s="65" t="str">
        <f t="shared" si="35"/>
        <v>Exclude</v>
      </c>
    </row>
    <row r="536" spans="1:47" s="64" customFormat="1" x14ac:dyDescent="0.25">
      <c r="A536" s="63"/>
      <c r="U536" s="64" t="str">
        <f t="shared" ref="U536" si="36">IF(OR(R536="TruePositive",R536="TrueNegative"),IF(R535&lt;&gt;"Anticipatory",(N536),"Exclude"),"Exclude")</f>
        <v>Exclude</v>
      </c>
      <c r="W536" s="65"/>
      <c r="Y536" s="63"/>
      <c r="AS536" s="64" t="str">
        <f t="shared" ref="AS536" si="37">IF(OR(AP536="TruePositive",AP536="TrueNegative"),IF(AP535&lt;&gt;"Anticipatory",(AL536),"Exclude"),"Exclude")</f>
        <v>Exclude</v>
      </c>
      <c r="AU536" s="65"/>
    </row>
    <row r="537" spans="1:47" s="64" customFormat="1" x14ac:dyDescent="0.25">
      <c r="A537" s="63"/>
      <c r="W537" s="65"/>
      <c r="Y537" s="63"/>
    </row>
    <row r="538" spans="1:47" s="64" customFormat="1" x14ac:dyDescent="0.25">
      <c r="A538" s="63"/>
      <c r="W538" s="65"/>
      <c r="Y538" s="63"/>
    </row>
    <row r="539" spans="1:47" s="64" customFormat="1" x14ac:dyDescent="0.25">
      <c r="A539" s="63"/>
      <c r="W539" s="65"/>
      <c r="Y539" s="63"/>
    </row>
    <row r="540" spans="1:47" s="64" customFormat="1" x14ac:dyDescent="0.25">
      <c r="A540" s="63"/>
      <c r="W540" s="65"/>
      <c r="Y540" s="63"/>
    </row>
    <row r="541" spans="1:47" s="64" customFormat="1" x14ac:dyDescent="0.25">
      <c r="A541" s="63"/>
      <c r="W541" s="65"/>
      <c r="Y541" s="63"/>
    </row>
    <row r="542" spans="1:47" s="64" customFormat="1" x14ac:dyDescent="0.25">
      <c r="A542" s="63"/>
      <c r="W542" s="65"/>
      <c r="Y542" s="63"/>
    </row>
    <row r="543" spans="1:47" s="64" customFormat="1" x14ac:dyDescent="0.25">
      <c r="A543" s="63"/>
      <c r="W543" s="65"/>
      <c r="Y543" s="63"/>
    </row>
    <row r="544" spans="1:47" s="64" customFormat="1" x14ac:dyDescent="0.25">
      <c r="A544" s="63"/>
      <c r="W544" s="65"/>
      <c r="Y544" s="63"/>
    </row>
    <row r="545" spans="1:25" s="64" customFormat="1" x14ac:dyDescent="0.25">
      <c r="A545" s="63"/>
      <c r="W545" s="65"/>
      <c r="Y545" s="63"/>
    </row>
    <row r="546" spans="1:25" s="64" customFormat="1" x14ac:dyDescent="0.25">
      <c r="A546" s="63"/>
      <c r="W546" s="65"/>
      <c r="Y546" s="63"/>
    </row>
    <row r="547" spans="1:25" s="64" customFormat="1" x14ac:dyDescent="0.25">
      <c r="A547" s="63"/>
      <c r="W547" s="65"/>
      <c r="Y547" s="63"/>
    </row>
    <row r="548" spans="1:25" s="64" customFormat="1" x14ac:dyDescent="0.25">
      <c r="A548" s="63"/>
      <c r="W548" s="65"/>
      <c r="Y548" s="63"/>
    </row>
    <row r="549" spans="1:25" s="64" customFormat="1" x14ac:dyDescent="0.25">
      <c r="A549" s="63"/>
      <c r="W549" s="65"/>
      <c r="Y549" s="63"/>
    </row>
    <row r="550" spans="1:25" s="64" customFormat="1" x14ac:dyDescent="0.25">
      <c r="A550" s="63"/>
      <c r="W550" s="65"/>
      <c r="Y550" s="63"/>
    </row>
    <row r="551" spans="1:25" s="64" customFormat="1" x14ac:dyDescent="0.25">
      <c r="A551" s="63"/>
      <c r="W551" s="65"/>
      <c r="Y551" s="63"/>
    </row>
    <row r="552" spans="1:25" s="64" customFormat="1" x14ac:dyDescent="0.25">
      <c r="A552" s="63"/>
      <c r="W552" s="65"/>
      <c r="Y552" s="63"/>
    </row>
    <row r="553" spans="1:25" s="64" customFormat="1" x14ac:dyDescent="0.25">
      <c r="A553" s="63"/>
      <c r="W553" s="65"/>
      <c r="Y553" s="63"/>
    </row>
    <row r="554" spans="1:25" s="64" customFormat="1" x14ac:dyDescent="0.25">
      <c r="A554" s="63"/>
      <c r="W554" s="65"/>
      <c r="Y554" s="63"/>
    </row>
    <row r="555" spans="1:25" s="64" customFormat="1" x14ac:dyDescent="0.25">
      <c r="A555" s="63"/>
      <c r="W555" s="65"/>
      <c r="Y555" s="63"/>
    </row>
    <row r="556" spans="1:25" s="64" customFormat="1" x14ac:dyDescent="0.25">
      <c r="A556" s="63"/>
      <c r="W556" s="65"/>
      <c r="Y556" s="63"/>
    </row>
    <row r="557" spans="1:25" s="64" customFormat="1" x14ac:dyDescent="0.25">
      <c r="A557" s="63"/>
      <c r="W557" s="65"/>
      <c r="Y557" s="63"/>
    </row>
    <row r="558" spans="1:25" s="64" customFormat="1" x14ac:dyDescent="0.25">
      <c r="A558" s="63"/>
      <c r="W558" s="65"/>
      <c r="Y558" s="63"/>
    </row>
    <row r="559" spans="1:25" s="64" customFormat="1" x14ac:dyDescent="0.25">
      <c r="A559" s="63"/>
      <c r="W559" s="65"/>
      <c r="Y559" s="63"/>
    </row>
    <row r="560" spans="1:25" s="64" customFormat="1" x14ac:dyDescent="0.25">
      <c r="A560" s="63"/>
      <c r="W560" s="65"/>
      <c r="Y560" s="63"/>
    </row>
    <row r="561" spans="1:25" s="64" customFormat="1" x14ac:dyDescent="0.25">
      <c r="A561" s="63"/>
      <c r="W561" s="65"/>
      <c r="Y561" s="63"/>
    </row>
    <row r="562" spans="1:25" s="64" customFormat="1" x14ac:dyDescent="0.25">
      <c r="A562" s="63"/>
      <c r="W562" s="65"/>
      <c r="Y562" s="63"/>
    </row>
    <row r="563" spans="1:25" s="64" customFormat="1" x14ac:dyDescent="0.25">
      <c r="A563" s="63"/>
      <c r="W563" s="65"/>
      <c r="Y563" s="63"/>
    </row>
    <row r="564" spans="1:25" s="64" customFormat="1" x14ac:dyDescent="0.25">
      <c r="A564" s="63"/>
      <c r="W564" s="65"/>
      <c r="Y564" s="63"/>
    </row>
    <row r="565" spans="1:25" s="64" customFormat="1" x14ac:dyDescent="0.25">
      <c r="A565" s="63"/>
      <c r="W565" s="65"/>
      <c r="Y565" s="63"/>
    </row>
    <row r="566" spans="1:25" s="64" customFormat="1" x14ac:dyDescent="0.25">
      <c r="A566" s="63"/>
      <c r="W566" s="65"/>
      <c r="Y566" s="63"/>
    </row>
    <row r="567" spans="1:25" s="64" customFormat="1" x14ac:dyDescent="0.25">
      <c r="A567" s="63"/>
      <c r="W567" s="65"/>
      <c r="Y567" s="63"/>
    </row>
    <row r="568" spans="1:25" s="64" customFormat="1" x14ac:dyDescent="0.25">
      <c r="A568" s="63"/>
      <c r="W568" s="65"/>
      <c r="Y568" s="63"/>
    </row>
    <row r="569" spans="1:25" s="64" customFormat="1" x14ac:dyDescent="0.25">
      <c r="A569" s="63"/>
      <c r="W569" s="65"/>
      <c r="Y569" s="63"/>
    </row>
    <row r="570" spans="1:25" s="64" customFormat="1" x14ac:dyDescent="0.25">
      <c r="A570" s="63"/>
      <c r="W570" s="65"/>
      <c r="Y570" s="63"/>
    </row>
    <row r="571" spans="1:25" s="64" customFormat="1" x14ac:dyDescent="0.25">
      <c r="A571" s="63"/>
      <c r="W571" s="65"/>
      <c r="Y571" s="63"/>
    </row>
    <row r="572" spans="1:25" s="64" customFormat="1" x14ac:dyDescent="0.25">
      <c r="A572" s="63"/>
      <c r="W572" s="65"/>
      <c r="Y572" s="63"/>
    </row>
    <row r="573" spans="1:25" s="64" customFormat="1" x14ac:dyDescent="0.25">
      <c r="A573" s="63"/>
      <c r="W573" s="65"/>
      <c r="Y573" s="63"/>
    </row>
    <row r="574" spans="1:25" s="64" customFormat="1" x14ac:dyDescent="0.25">
      <c r="A574" s="63"/>
      <c r="W574" s="65"/>
      <c r="Y574" s="63"/>
    </row>
    <row r="575" spans="1:25" s="64" customFormat="1" x14ac:dyDescent="0.25">
      <c r="A575" s="63"/>
      <c r="W575" s="65"/>
      <c r="Y575" s="63"/>
    </row>
    <row r="576" spans="1:25" s="64" customFormat="1" x14ac:dyDescent="0.25">
      <c r="A576" s="63"/>
      <c r="W576" s="65"/>
      <c r="Y576" s="63"/>
    </row>
    <row r="577" spans="1:25" s="64" customFormat="1" x14ac:dyDescent="0.25">
      <c r="A577" s="63"/>
      <c r="W577" s="65"/>
      <c r="Y577" s="63"/>
    </row>
    <row r="578" spans="1:25" s="64" customFormat="1" x14ac:dyDescent="0.25">
      <c r="A578" s="63"/>
      <c r="W578" s="65"/>
      <c r="Y578" s="63"/>
    </row>
    <row r="579" spans="1:25" s="64" customFormat="1" x14ac:dyDescent="0.25">
      <c r="A579" s="63"/>
      <c r="W579" s="65"/>
      <c r="Y579" s="63"/>
    </row>
    <row r="580" spans="1:25" s="64" customFormat="1" x14ac:dyDescent="0.25">
      <c r="A580" s="63"/>
      <c r="W580" s="65"/>
      <c r="Y580" s="63"/>
    </row>
    <row r="581" spans="1:25" s="64" customFormat="1" x14ac:dyDescent="0.25">
      <c r="A581" s="63"/>
      <c r="W581" s="65"/>
      <c r="Y581" s="63"/>
    </row>
    <row r="582" spans="1:25" s="64" customFormat="1" x14ac:dyDescent="0.25">
      <c r="A582" s="63"/>
      <c r="W582" s="65"/>
      <c r="Y582" s="63"/>
    </row>
    <row r="583" spans="1:25" s="64" customFormat="1" x14ac:dyDescent="0.25">
      <c r="A583" s="63"/>
      <c r="W583" s="65"/>
      <c r="Y583" s="63"/>
    </row>
    <row r="584" spans="1:25" s="64" customFormat="1" x14ac:dyDescent="0.25">
      <c r="A584" s="63"/>
      <c r="W584" s="65"/>
      <c r="Y584" s="63"/>
    </row>
    <row r="585" spans="1:25" s="64" customFormat="1" x14ac:dyDescent="0.25">
      <c r="A585" s="63"/>
      <c r="W585" s="65"/>
      <c r="Y585" s="63"/>
    </row>
    <row r="586" spans="1:25" s="64" customFormat="1" x14ac:dyDescent="0.25">
      <c r="A586" s="63"/>
      <c r="W586" s="65"/>
      <c r="Y586" s="63"/>
    </row>
    <row r="587" spans="1:25" s="64" customFormat="1" x14ac:dyDescent="0.25">
      <c r="A587" s="63"/>
      <c r="W587" s="65"/>
      <c r="Y587" s="63"/>
    </row>
    <row r="588" spans="1:25" s="64" customFormat="1" x14ac:dyDescent="0.25">
      <c r="A588" s="63"/>
      <c r="W588" s="65"/>
      <c r="Y588" s="63"/>
    </row>
    <row r="589" spans="1:25" s="64" customFormat="1" x14ac:dyDescent="0.25">
      <c r="A589" s="63"/>
      <c r="W589" s="65"/>
      <c r="Y589" s="63"/>
    </row>
    <row r="590" spans="1:25" s="64" customFormat="1" x14ac:dyDescent="0.25">
      <c r="A590" s="63"/>
      <c r="W590" s="65"/>
      <c r="Y590" s="63"/>
    </row>
    <row r="591" spans="1:25" s="64" customFormat="1" x14ac:dyDescent="0.25">
      <c r="A591" s="63"/>
      <c r="W591" s="65"/>
      <c r="Y591" s="63"/>
    </row>
    <row r="592" spans="1:25" s="64" customFormat="1" x14ac:dyDescent="0.25">
      <c r="A592" s="63"/>
      <c r="W592" s="65"/>
      <c r="Y592" s="63"/>
    </row>
    <row r="593" spans="1:25" s="64" customFormat="1" x14ac:dyDescent="0.25">
      <c r="A593" s="63"/>
      <c r="W593" s="65"/>
      <c r="Y593" s="63"/>
    </row>
    <row r="594" spans="1:25" s="64" customFormat="1" x14ac:dyDescent="0.25">
      <c r="A594" s="63"/>
      <c r="W594" s="65"/>
      <c r="Y594" s="63"/>
    </row>
    <row r="595" spans="1:25" s="64" customFormat="1" x14ac:dyDescent="0.25">
      <c r="A595" s="63"/>
      <c r="W595" s="65"/>
      <c r="Y595" s="63"/>
    </row>
    <row r="596" spans="1:25" s="64" customFormat="1" x14ac:dyDescent="0.25">
      <c r="A596" s="63"/>
      <c r="W596" s="65"/>
      <c r="Y596" s="63"/>
    </row>
    <row r="597" spans="1:25" s="64" customFormat="1" x14ac:dyDescent="0.25">
      <c r="A597" s="63"/>
      <c r="W597" s="65"/>
      <c r="Y597" s="63"/>
    </row>
    <row r="598" spans="1:25" s="64" customFormat="1" x14ac:dyDescent="0.25">
      <c r="A598" s="63"/>
      <c r="W598" s="65"/>
      <c r="Y598" s="63"/>
    </row>
    <row r="599" spans="1:25" s="64" customFormat="1" x14ac:dyDescent="0.25">
      <c r="A599" s="63"/>
      <c r="W599" s="65"/>
      <c r="Y599" s="63"/>
    </row>
    <row r="600" spans="1:25" s="64" customFormat="1" x14ac:dyDescent="0.25">
      <c r="A600" s="63"/>
      <c r="W600" s="65"/>
      <c r="Y600" s="63"/>
    </row>
    <row r="601" spans="1:25" s="64" customFormat="1" x14ac:dyDescent="0.25">
      <c r="A601" s="63"/>
      <c r="W601" s="65"/>
      <c r="Y601" s="63"/>
    </row>
    <row r="602" spans="1:25" s="64" customFormat="1" x14ac:dyDescent="0.25">
      <c r="A602" s="63"/>
      <c r="W602" s="65"/>
      <c r="Y602" s="63"/>
    </row>
    <row r="603" spans="1:25" s="64" customFormat="1" x14ac:dyDescent="0.25">
      <c r="A603" s="63"/>
      <c r="W603" s="65"/>
      <c r="Y603" s="63"/>
    </row>
    <row r="604" spans="1:25" s="64" customFormat="1" x14ac:dyDescent="0.25">
      <c r="A604" s="63"/>
      <c r="W604" s="65"/>
      <c r="Y604" s="63"/>
    </row>
    <row r="605" spans="1:25" s="64" customFormat="1" x14ac:dyDescent="0.25">
      <c r="A605" s="63"/>
      <c r="W605" s="65"/>
      <c r="Y605" s="63"/>
    </row>
    <row r="606" spans="1:25" s="64" customFormat="1" x14ac:dyDescent="0.25">
      <c r="A606" s="63"/>
      <c r="W606" s="65"/>
      <c r="Y606" s="63"/>
    </row>
    <row r="607" spans="1:25" s="64" customFormat="1" x14ac:dyDescent="0.25">
      <c r="A607" s="63"/>
      <c r="W607" s="65"/>
      <c r="Y607" s="63"/>
    </row>
    <row r="608" spans="1:25" s="64" customFormat="1" x14ac:dyDescent="0.25">
      <c r="A608" s="63"/>
      <c r="W608" s="65"/>
      <c r="Y608" s="63"/>
    </row>
    <row r="609" spans="1:25" s="64" customFormat="1" x14ac:dyDescent="0.25">
      <c r="A609" s="63"/>
      <c r="W609" s="65"/>
      <c r="Y609" s="63"/>
    </row>
    <row r="610" spans="1:25" s="64" customFormat="1" x14ac:dyDescent="0.25">
      <c r="A610" s="63"/>
      <c r="W610" s="65"/>
      <c r="Y610" s="63"/>
    </row>
    <row r="611" spans="1:25" s="64" customFormat="1" x14ac:dyDescent="0.25">
      <c r="A611" s="63"/>
      <c r="W611" s="65"/>
      <c r="Y611" s="63"/>
    </row>
    <row r="612" spans="1:25" s="64" customFormat="1" x14ac:dyDescent="0.25">
      <c r="A612" s="63"/>
      <c r="W612" s="65"/>
      <c r="Y612" s="63"/>
    </row>
    <row r="613" spans="1:25" s="64" customFormat="1" x14ac:dyDescent="0.25">
      <c r="A613" s="63"/>
      <c r="W613" s="65"/>
      <c r="Y613" s="63"/>
    </row>
    <row r="614" spans="1:25" s="64" customFormat="1" x14ac:dyDescent="0.25">
      <c r="A614" s="63"/>
      <c r="W614" s="65"/>
      <c r="Y614" s="63"/>
    </row>
    <row r="615" spans="1:25" s="64" customFormat="1" x14ac:dyDescent="0.25">
      <c r="A615" s="63"/>
      <c r="W615" s="65"/>
      <c r="Y615" s="63"/>
    </row>
    <row r="616" spans="1:25" s="64" customFormat="1" x14ac:dyDescent="0.25">
      <c r="A616" s="63"/>
      <c r="W616" s="65"/>
      <c r="Y616" s="63"/>
    </row>
    <row r="617" spans="1:25" s="64" customFormat="1" x14ac:dyDescent="0.25">
      <c r="A617" s="63"/>
      <c r="W617" s="65"/>
      <c r="Y617" s="63"/>
    </row>
    <row r="618" spans="1:25" s="64" customFormat="1" x14ac:dyDescent="0.25">
      <c r="A618" s="63"/>
      <c r="W618" s="65"/>
      <c r="Y618" s="63"/>
    </row>
    <row r="619" spans="1:25" s="64" customFormat="1" x14ac:dyDescent="0.25">
      <c r="A619" s="63"/>
      <c r="W619" s="65"/>
      <c r="Y619" s="63"/>
    </row>
    <row r="620" spans="1:25" s="64" customFormat="1" x14ac:dyDescent="0.25">
      <c r="A620" s="63"/>
      <c r="W620" s="65"/>
      <c r="Y620" s="63"/>
    </row>
    <row r="621" spans="1:25" s="64" customFormat="1" x14ac:dyDescent="0.25">
      <c r="A621" s="63"/>
      <c r="W621" s="65"/>
      <c r="Y621" s="63"/>
    </row>
    <row r="622" spans="1:25" s="64" customFormat="1" x14ac:dyDescent="0.25">
      <c r="A622" s="63"/>
      <c r="W622" s="65"/>
      <c r="Y622" s="63"/>
    </row>
    <row r="623" spans="1:25" s="64" customFormat="1" x14ac:dyDescent="0.25">
      <c r="A623" s="63"/>
      <c r="W623" s="65"/>
      <c r="Y623" s="63"/>
    </row>
    <row r="624" spans="1:25" s="64" customFormat="1" x14ac:dyDescent="0.25">
      <c r="A624" s="63"/>
      <c r="W624" s="65"/>
      <c r="Y624" s="63"/>
    </row>
    <row r="625" spans="1:25" s="64" customFormat="1" x14ac:dyDescent="0.25">
      <c r="A625" s="63"/>
      <c r="W625" s="65"/>
      <c r="Y625" s="63"/>
    </row>
    <row r="626" spans="1:25" s="64" customFormat="1" x14ac:dyDescent="0.25">
      <c r="A626" s="63"/>
      <c r="W626" s="65"/>
      <c r="Y626" s="63"/>
    </row>
    <row r="627" spans="1:25" s="64" customFormat="1" x14ac:dyDescent="0.25">
      <c r="A627" s="63"/>
      <c r="W627" s="65"/>
      <c r="Y627" s="63"/>
    </row>
    <row r="628" spans="1:25" s="64" customFormat="1" x14ac:dyDescent="0.25">
      <c r="A628" s="63"/>
      <c r="Y628" s="63"/>
    </row>
    <row r="629" spans="1:25" s="64" customFormat="1" x14ac:dyDescent="0.25">
      <c r="A629" s="63"/>
      <c r="Y629" s="63"/>
    </row>
    <row r="630" spans="1:25" s="64" customFormat="1" x14ac:dyDescent="0.25">
      <c r="A630" s="63"/>
      <c r="Y630" s="63"/>
    </row>
    <row r="631" spans="1:25" s="64" customFormat="1" x14ac:dyDescent="0.25">
      <c r="A631" s="63"/>
      <c r="Y631" s="63"/>
    </row>
    <row r="632" spans="1:25" s="64" customFormat="1" x14ac:dyDescent="0.25">
      <c r="A632" s="63"/>
      <c r="Y632" s="63"/>
    </row>
    <row r="633" spans="1:25" s="64" customFormat="1" x14ac:dyDescent="0.25">
      <c r="A633" s="63"/>
      <c r="Y633" s="63"/>
    </row>
    <row r="634" spans="1:25" s="64" customFormat="1" x14ac:dyDescent="0.25">
      <c r="A634" s="63"/>
      <c r="Y634" s="63"/>
    </row>
    <row r="635" spans="1:25" s="64" customFormat="1" x14ac:dyDescent="0.25">
      <c r="A635" s="63"/>
      <c r="Y635" s="63"/>
    </row>
    <row r="636" spans="1:25" s="64" customFormat="1" x14ac:dyDescent="0.25">
      <c r="A636" s="63"/>
      <c r="Y636" s="63"/>
    </row>
    <row r="637" spans="1:25" s="64" customFormat="1" x14ac:dyDescent="0.25">
      <c r="A637" s="63"/>
      <c r="Y637" s="63"/>
    </row>
    <row r="638" spans="1:25" s="64" customFormat="1" x14ac:dyDescent="0.25">
      <c r="A638" s="63"/>
      <c r="Y638" s="63"/>
    </row>
    <row r="639" spans="1:25" s="64" customFormat="1" x14ac:dyDescent="0.25">
      <c r="A639" s="63"/>
      <c r="Y639" s="63"/>
    </row>
    <row r="640" spans="1:25" s="64" customFormat="1" x14ac:dyDescent="0.25">
      <c r="A640" s="63"/>
      <c r="Y640" s="63"/>
    </row>
    <row r="641" spans="1:25" s="64" customFormat="1" x14ac:dyDescent="0.25">
      <c r="A641" s="63"/>
      <c r="Y641" s="63"/>
    </row>
    <row r="642" spans="1:25" s="64" customFormat="1" x14ac:dyDescent="0.25">
      <c r="A642" s="63"/>
      <c r="Y642" s="63"/>
    </row>
    <row r="643" spans="1:25" s="64" customFormat="1" x14ac:dyDescent="0.25">
      <c r="A643" s="63"/>
      <c r="Y643" s="63"/>
    </row>
    <row r="644" spans="1:25" s="64" customFormat="1" x14ac:dyDescent="0.25">
      <c r="A644" s="63"/>
      <c r="Y644" s="63"/>
    </row>
    <row r="645" spans="1:25" s="64" customFormat="1" x14ac:dyDescent="0.25">
      <c r="A645" s="63"/>
      <c r="Y645" s="63"/>
    </row>
    <row r="646" spans="1:25" s="64" customFormat="1" x14ac:dyDescent="0.25">
      <c r="A646" s="63"/>
      <c r="Y646" s="63"/>
    </row>
    <row r="647" spans="1:25" s="64" customFormat="1" x14ac:dyDescent="0.25">
      <c r="A647" s="63"/>
      <c r="Y647" s="63"/>
    </row>
    <row r="648" spans="1:25" s="64" customFormat="1" x14ac:dyDescent="0.25">
      <c r="A648" s="63"/>
      <c r="Y648" s="63"/>
    </row>
    <row r="649" spans="1:25" s="64" customFormat="1" x14ac:dyDescent="0.25">
      <c r="A649" s="63"/>
      <c r="Y649" s="63"/>
    </row>
    <row r="650" spans="1:25" s="64" customFormat="1" x14ac:dyDescent="0.25">
      <c r="A650" s="63"/>
      <c r="Y650" s="63"/>
    </row>
    <row r="651" spans="1:25" s="64" customFormat="1" x14ac:dyDescent="0.25">
      <c r="A651" s="63"/>
      <c r="Y651" s="63"/>
    </row>
    <row r="652" spans="1:25" s="64" customFormat="1" x14ac:dyDescent="0.25">
      <c r="A652" s="63"/>
      <c r="Y652" s="63"/>
    </row>
    <row r="653" spans="1:25" s="64" customFormat="1" x14ac:dyDescent="0.25">
      <c r="A653" s="63"/>
      <c r="Y653" s="63"/>
    </row>
  </sheetData>
  <conditionalFormatting sqref="X537:XFD645 X20:X536 AV20:XFD536 A20:V645">
    <cfRule type="expression" dxfId="98" priority="14">
      <formula>MOD(ROW(),2)=0</formula>
    </cfRule>
  </conditionalFormatting>
  <conditionalFormatting sqref="W20:W645">
    <cfRule type="expression" dxfId="97" priority="13">
      <formula>MOD(ROW(),2)=0</formula>
    </cfRule>
  </conditionalFormatting>
  <conditionalFormatting sqref="W1:W4 W6:W10 W16:W18 W20:W1048576">
    <cfRule type="containsText" dxfId="96" priority="12" operator="containsText" text="Exclude">
      <formula>NOT(ISERROR(SEARCH("Exclude",W1)))</formula>
    </cfRule>
  </conditionalFormatting>
  <conditionalFormatting sqref="A6:C6 H6">
    <cfRule type="containsErrors" dxfId="95" priority="11">
      <formula>ISERROR(A6)</formula>
    </cfRule>
  </conditionalFormatting>
  <conditionalFormatting sqref="W19">
    <cfRule type="containsText" dxfId="94" priority="10" operator="containsText" text="Exclude">
      <formula>NOT(ISERROR(SEARCH("Exclude",W19)))</formula>
    </cfRule>
  </conditionalFormatting>
  <conditionalFormatting sqref="U1:U1048576">
    <cfRule type="containsText" dxfId="93" priority="2" operator="containsText" text="Pant">
      <formula>NOT(ISERROR(SEARCH("Pant",U1)))</formula>
    </cfRule>
    <cfRule type="containsText" dxfId="92" priority="9" operator="containsText" text="Exclude">
      <formula>NOT(ISERROR(SEARCH("Exclude",U1)))</formula>
    </cfRule>
  </conditionalFormatting>
  <conditionalFormatting sqref="Y20:AT536">
    <cfRule type="expression" dxfId="91" priority="8">
      <formula>MOD(ROW(),2)=0</formula>
    </cfRule>
  </conditionalFormatting>
  <conditionalFormatting sqref="AU20:AU536">
    <cfRule type="expression" dxfId="90" priority="7">
      <formula>MOD(ROW(),2)=0</formula>
    </cfRule>
  </conditionalFormatting>
  <conditionalFormatting sqref="AU6:AU10 AU16:AU18 AU20:AU536">
    <cfRule type="containsText" dxfId="89" priority="6" operator="containsText" text="Exclude">
      <formula>NOT(ISERROR(SEARCH("Exclude",AU6)))</formula>
    </cfRule>
  </conditionalFormatting>
  <conditionalFormatting sqref="Y6:AA6 AF6">
    <cfRule type="containsErrors" dxfId="88" priority="5">
      <formula>ISERROR(Y6)</formula>
    </cfRule>
  </conditionalFormatting>
  <conditionalFormatting sqref="AU19">
    <cfRule type="containsText" dxfId="87" priority="4" operator="containsText" text="Exclude">
      <formula>NOT(ISERROR(SEARCH("Exclude",AU19)))</formula>
    </cfRule>
  </conditionalFormatting>
  <conditionalFormatting sqref="AS5:AS536">
    <cfRule type="containsText" dxfId="86" priority="3" operator="containsText" text="Exclude">
      <formula>NOT(ISERROR(SEARCH("Exclude",AS5)))</formula>
    </cfRule>
  </conditionalFormatting>
  <conditionalFormatting sqref="AS1:AS1048576">
    <cfRule type="containsText" dxfId="85" priority="1" operator="containsText" text="Pant">
      <formula>NOT(ISERROR(SEARCH("Pant",AS1)))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extToColumns">
                <anchor moveWithCells="1" sizeWithCells="1">
                  <from>
                    <xdr:col>7</xdr:col>
                    <xdr:colOff>857250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U653"/>
  <sheetViews>
    <sheetView workbookViewId="0">
      <selection activeCell="B6" sqref="B6"/>
    </sheetView>
  </sheetViews>
  <sheetFormatPr defaultColWidth="9.140625" defaultRowHeight="15" x14ac:dyDescent="0.25"/>
  <cols>
    <col min="1" max="1" width="19.85546875" style="65" customWidth="1"/>
    <col min="2" max="2" width="15.85546875" style="65" customWidth="1"/>
    <col min="3" max="3" width="16.7109375" style="65" customWidth="1"/>
    <col min="4" max="4" width="16.85546875" style="65" customWidth="1"/>
    <col min="5" max="5" width="17" style="65" customWidth="1"/>
    <col min="6" max="6" width="16.140625" style="65" customWidth="1"/>
    <col min="7" max="8" width="13" style="65" customWidth="1"/>
    <col min="9" max="9" width="15.28515625" style="65" customWidth="1"/>
    <col min="10" max="10" width="7.5703125" style="65" customWidth="1"/>
    <col min="11" max="11" width="10.85546875" style="65" customWidth="1"/>
    <col min="12" max="12" width="7" style="65" customWidth="1"/>
    <col min="13" max="13" width="12.7109375" style="65" customWidth="1"/>
    <col min="14" max="14" width="4" style="65" customWidth="1"/>
    <col min="15" max="15" width="15.42578125" style="65" customWidth="1"/>
    <col min="16" max="16" width="2.28515625" style="65" customWidth="1"/>
    <col min="17" max="17" width="13.5703125" style="65" customWidth="1"/>
    <col min="18" max="18" width="13.7109375" style="65" customWidth="1"/>
    <col min="19" max="20" width="12" style="65" customWidth="1"/>
    <col min="21" max="21" width="9" style="65" customWidth="1"/>
    <col min="22" max="22" width="9.140625" style="65"/>
    <col min="23" max="23" width="7.140625" style="65" customWidth="1"/>
    <col min="24" max="24" width="9.140625" style="65"/>
    <col min="25" max="25" width="19.85546875" style="63" customWidth="1"/>
    <col min="26" max="26" width="15.5703125" style="65" customWidth="1"/>
    <col min="27" max="27" width="21.85546875" style="65" customWidth="1"/>
    <col min="28" max="28" width="14.28515625" style="65" customWidth="1"/>
    <col min="29" max="29" width="17.7109375" style="65" customWidth="1"/>
    <col min="30" max="30" width="18" style="65" customWidth="1"/>
    <col min="31" max="31" width="15.28515625" style="65" customWidth="1"/>
    <col min="32" max="32" width="17.28515625" style="65" customWidth="1"/>
    <col min="33" max="33" width="13.42578125" style="65" customWidth="1"/>
    <col min="34" max="16384" width="9.140625" style="65"/>
  </cols>
  <sheetData>
    <row r="1" spans="1:47" s="28" customFormat="1" ht="22.5" x14ac:dyDescent="0.3">
      <c r="C1" s="1" t="s">
        <v>85</v>
      </c>
      <c r="I1" s="30"/>
      <c r="J1" s="30"/>
      <c r="K1" s="30"/>
      <c r="L1" s="30"/>
      <c r="M1" s="33"/>
      <c r="N1" s="33"/>
      <c r="O1" s="33"/>
      <c r="P1" s="33"/>
      <c r="Q1" s="33"/>
      <c r="R1" s="33"/>
      <c r="Y1" s="24"/>
    </row>
    <row r="2" spans="1:47" s="28" customFormat="1" x14ac:dyDescent="0.25">
      <c r="D2" s="29"/>
      <c r="I2" s="30"/>
      <c r="J2" s="30"/>
      <c r="K2" s="30"/>
      <c r="L2" s="30"/>
      <c r="M2" s="33"/>
      <c r="N2" s="33"/>
      <c r="O2" s="33"/>
      <c r="P2" s="33"/>
      <c r="Q2" s="33"/>
      <c r="R2" s="33"/>
      <c r="Y2" s="24"/>
    </row>
    <row r="3" spans="1:47" s="28" customFormat="1" x14ac:dyDescent="0.25">
      <c r="I3" s="30"/>
      <c r="J3" s="30"/>
      <c r="K3" s="30"/>
      <c r="L3" s="30"/>
      <c r="M3" s="33"/>
      <c r="N3" s="33"/>
      <c r="O3" s="33"/>
      <c r="P3" s="33"/>
      <c r="Q3" s="33"/>
      <c r="R3" s="33"/>
      <c r="Y3" s="24"/>
      <c r="AG3" s="33"/>
      <c r="AH3" s="33"/>
      <c r="AI3" s="33"/>
      <c r="AJ3" s="33"/>
      <c r="AK3" s="33"/>
    </row>
    <row r="4" spans="1:47" s="28" customFormat="1" x14ac:dyDescent="0.25">
      <c r="I4" s="30"/>
      <c r="J4" s="30"/>
      <c r="K4" s="30"/>
      <c r="L4" s="30"/>
      <c r="M4" s="33"/>
      <c r="N4" s="33"/>
      <c r="O4" s="33"/>
      <c r="P4" s="33"/>
      <c r="Q4" s="33"/>
      <c r="R4" s="33"/>
      <c r="Y4" s="24"/>
      <c r="AG4" s="33"/>
      <c r="AH4" s="33"/>
      <c r="AI4" s="33"/>
      <c r="AJ4" s="33"/>
      <c r="AK4" s="33"/>
    </row>
    <row r="5" spans="1:47" s="28" customFormat="1" x14ac:dyDescent="0.25">
      <c r="A5" s="29" t="s">
        <v>0</v>
      </c>
      <c r="B5" s="29" t="s">
        <v>1</v>
      </c>
      <c r="C5" s="29" t="s">
        <v>2</v>
      </c>
      <c r="D5" s="29" t="s">
        <v>3</v>
      </c>
      <c r="E5" s="29" t="s">
        <v>4</v>
      </c>
      <c r="F5" s="29" t="s">
        <v>5</v>
      </c>
      <c r="G5" s="29" t="s">
        <v>6</v>
      </c>
      <c r="H5" s="29"/>
      <c r="I5" s="30"/>
      <c r="J5" s="30"/>
      <c r="K5" s="30"/>
      <c r="L5" s="30"/>
      <c r="M5" s="33"/>
      <c r="N5" s="33"/>
      <c r="O5" s="33"/>
      <c r="P5" s="33"/>
      <c r="Q5" s="33"/>
      <c r="R5" s="33"/>
      <c r="S5" s="29"/>
      <c r="T5" s="29"/>
      <c r="Y5" s="37" t="s">
        <v>0</v>
      </c>
      <c r="Z5" s="29" t="s">
        <v>1</v>
      </c>
      <c r="AA5" s="29" t="s">
        <v>2</v>
      </c>
      <c r="AB5" s="29" t="s">
        <v>3</v>
      </c>
      <c r="AC5" s="29" t="s">
        <v>4</v>
      </c>
      <c r="AD5" s="29" t="s">
        <v>5</v>
      </c>
      <c r="AE5" s="29" t="s">
        <v>6</v>
      </c>
      <c r="AF5" s="29"/>
      <c r="AG5" s="40"/>
      <c r="AH5" s="33"/>
      <c r="AI5" s="33"/>
      <c r="AJ5" s="33"/>
      <c r="AK5" s="33"/>
      <c r="AL5" s="33"/>
      <c r="AM5" s="33"/>
      <c r="AN5" s="33"/>
      <c r="AO5" s="33"/>
      <c r="AP5" s="33"/>
      <c r="AQ5" s="29"/>
      <c r="AR5" s="29"/>
    </row>
    <row r="6" spans="1:47" s="28" customFormat="1" x14ac:dyDescent="0.25">
      <c r="A6" s="17" t="e">
        <f>AVERAGE(W20:W610)</f>
        <v>#DIV/0!</v>
      </c>
      <c r="B6" s="17" t="e">
        <f>STDEV(W20:W610)</f>
        <v>#DIV/0!</v>
      </c>
      <c r="C6" s="17" t="e">
        <f>ASIN(SQRT(D6/F6))</f>
        <v>#DIV/0!</v>
      </c>
      <c r="D6" s="28">
        <f>COUNTIF(R20:R535,"TruePositive")+COUNTIF(R20:R535,"TrueNegative")</f>
        <v>0</v>
      </c>
      <c r="E6" s="28">
        <f>COUNTIF(R20:R535,"FalsePositive")+COUNTIF(R20:R535,"FalseNegative")+COUNTIF(R20:R535,"Anticipatory")+COUNTIF(R20:R535,"Post")+COUNTIF(R20:R535,"MaxOut")</f>
        <v>0</v>
      </c>
      <c r="F6" s="28">
        <f>SUM(D6+E6)</f>
        <v>0</v>
      </c>
      <c r="G6" s="28">
        <f>SUM(D6+(COUNTIF(R20:R535,"MaxOut")+COUNTIF(R20:R535,"FalsePositive")+COUNTIF(R20:R535,"FalseNegative")))</f>
        <v>0</v>
      </c>
      <c r="I6" s="30"/>
      <c r="J6" s="30"/>
      <c r="K6" s="30"/>
      <c r="L6" s="30"/>
      <c r="M6" s="33"/>
      <c r="N6" s="33"/>
      <c r="O6" s="33"/>
      <c r="P6" s="33"/>
      <c r="Q6" s="33"/>
      <c r="R6" s="33"/>
      <c r="Y6" s="38" t="e">
        <f>AVERAGE(AU20:AU610)</f>
        <v>#DIV/0!</v>
      </c>
      <c r="Z6" s="17" t="e">
        <f>STDEV(AU20:AU610)</f>
        <v>#DIV/0!</v>
      </c>
      <c r="AA6" s="17" t="e">
        <f>ASIN(SQRT(AB6/AD6))</f>
        <v>#DIV/0!</v>
      </c>
      <c r="AB6" s="28">
        <f>COUNTIF(AP20:AP535,"TruePositive")+COUNTIF(AP20:AP535,"TrueNegative")</f>
        <v>0</v>
      </c>
      <c r="AC6" s="28">
        <f>COUNTIF(AP20:AP535,"FalsePositive")+COUNTIF(AP20:AP535,"FalseNegative")+COUNTIF(AP20:AP535,"Anticipatory")+COUNTIF(AP20:AP535,"Post")+COUNTIF(AP20:AP535,"MaxOut")</f>
        <v>0</v>
      </c>
      <c r="AD6" s="28">
        <f>SUM(AB6+AC6)</f>
        <v>0</v>
      </c>
      <c r="AE6" s="28">
        <f>SUM(AB6+(COUNTIF(AP20:AP535,"MaxOut")+COUNTIF(AP20:AP535,"FalsePositive")+COUNTIF(AP20:AP535,"FalseNegative")))</f>
        <v>0</v>
      </c>
      <c r="AG6" s="33"/>
      <c r="AH6" s="33"/>
      <c r="AI6" s="33"/>
      <c r="AJ6" s="33"/>
      <c r="AK6" s="33"/>
      <c r="AL6" s="33"/>
      <c r="AM6" s="33"/>
      <c r="AN6" s="33"/>
      <c r="AO6" s="33"/>
      <c r="AP6" s="33"/>
    </row>
    <row r="7" spans="1:47" s="28" customFormat="1" x14ac:dyDescent="0.25">
      <c r="I7" s="30"/>
      <c r="J7" s="30"/>
      <c r="K7" s="30"/>
      <c r="L7" s="30"/>
      <c r="M7" s="33"/>
      <c r="N7" s="33"/>
      <c r="O7" s="33"/>
      <c r="P7" s="33"/>
      <c r="Q7" s="33"/>
      <c r="R7" s="33"/>
      <c r="Y7" s="24"/>
      <c r="AG7" s="33"/>
      <c r="AH7" s="33"/>
      <c r="AI7" s="33"/>
      <c r="AJ7" s="33"/>
      <c r="AK7" s="33"/>
      <c r="AL7" s="33"/>
      <c r="AM7" s="33"/>
      <c r="AN7" s="33"/>
      <c r="AO7" s="33"/>
      <c r="AP7" s="33"/>
    </row>
    <row r="8" spans="1:47" s="28" customFormat="1" x14ac:dyDescent="0.25">
      <c r="A8" s="48" t="s">
        <v>63</v>
      </c>
      <c r="B8" s="29" t="s">
        <v>47</v>
      </c>
      <c r="C8" s="29" t="s">
        <v>64</v>
      </c>
      <c r="D8" s="29" t="s">
        <v>48</v>
      </c>
      <c r="E8" s="29" t="s">
        <v>49</v>
      </c>
      <c r="F8" s="29" t="s">
        <v>50</v>
      </c>
      <c r="G8" s="29" t="s">
        <v>51</v>
      </c>
      <c r="H8" s="29" t="s">
        <v>58</v>
      </c>
      <c r="I8" s="30"/>
      <c r="J8" s="30"/>
      <c r="K8" s="30"/>
      <c r="L8" s="30"/>
      <c r="M8" s="33"/>
      <c r="N8" s="33"/>
      <c r="O8" s="33"/>
      <c r="P8" s="33"/>
      <c r="Q8" s="33"/>
      <c r="R8" s="33"/>
      <c r="Y8" s="49" t="s">
        <v>63</v>
      </c>
      <c r="Z8" s="29" t="s">
        <v>47</v>
      </c>
      <c r="AA8" s="29" t="s">
        <v>64</v>
      </c>
      <c r="AB8" s="29" t="s">
        <v>48</v>
      </c>
      <c r="AC8" s="29" t="s">
        <v>49</v>
      </c>
      <c r="AD8" s="29" t="s">
        <v>50</v>
      </c>
      <c r="AE8" s="29" t="s">
        <v>51</v>
      </c>
      <c r="AF8" s="29" t="s">
        <v>58</v>
      </c>
      <c r="AG8" s="33"/>
      <c r="AH8" s="33"/>
      <c r="AI8" s="33"/>
      <c r="AJ8" s="33"/>
      <c r="AK8" s="33"/>
      <c r="AL8" s="33"/>
      <c r="AM8" s="33"/>
      <c r="AN8" s="33"/>
      <c r="AO8" s="33"/>
      <c r="AP8" s="33"/>
    </row>
    <row r="9" spans="1:47" s="28" customFormat="1" x14ac:dyDescent="0.25">
      <c r="A9" s="27">
        <f>(F12/32)*100</f>
        <v>0</v>
      </c>
      <c r="B9" s="28" t="str">
        <f>IF(A9&gt;=100,"Yes","No")</f>
        <v>No</v>
      </c>
      <c r="C9" s="28" t="e">
        <f>(D6/F6)*100</f>
        <v>#DIV/0!</v>
      </c>
      <c r="D9" s="28" t="e">
        <f>IF(C9&gt;60,"Yes","No")</f>
        <v>#DIV/0!</v>
      </c>
      <c r="E9" s="28" t="e">
        <f>AVERAGE(U20:U610)</f>
        <v>#DIV/0!</v>
      </c>
      <c r="F9" s="28" t="e">
        <f>STDEV(U20:U610)</f>
        <v>#DIV/0!</v>
      </c>
      <c r="G9" s="28" t="e">
        <f>D6/F6</f>
        <v>#DIV/0!</v>
      </c>
      <c r="H9" s="28">
        <f>COUNTIF(R20:R535,"FalsePositive")+COUNTIF(R20:R535,"FalseNegative")</f>
        <v>0</v>
      </c>
      <c r="I9" s="30"/>
      <c r="J9" s="30"/>
      <c r="K9" s="30"/>
      <c r="L9" s="30"/>
      <c r="M9" s="33"/>
      <c r="N9" s="33"/>
      <c r="O9" s="33"/>
      <c r="P9" s="33"/>
      <c r="Q9" s="33"/>
      <c r="R9" s="33"/>
      <c r="Y9" s="39">
        <f>(AD12/32)*100</f>
        <v>0</v>
      </c>
      <c r="Z9" s="28" t="str">
        <f>IF(Y9&gt;=100,"Yes","No")</f>
        <v>No</v>
      </c>
      <c r="AA9" s="28" t="e">
        <f>(AB6/AD6)*100</f>
        <v>#DIV/0!</v>
      </c>
      <c r="AB9" s="28" t="e">
        <f>IF(AA9&gt;60,"Yes","No")</f>
        <v>#DIV/0!</v>
      </c>
      <c r="AC9" s="28" t="e">
        <f>AVERAGE(AS20:AS610)</f>
        <v>#DIV/0!</v>
      </c>
      <c r="AD9" s="28" t="e">
        <f>STDEV(AS20:AS610)</f>
        <v>#DIV/0!</v>
      </c>
      <c r="AE9" s="28" t="e">
        <f>AB6/AD6</f>
        <v>#DIV/0!</v>
      </c>
      <c r="AF9" s="28">
        <f>COUNTIF(AP20:AP535,"FalsePositive")+COUNTIF(AP20:AP535,"FalseNegative")</f>
        <v>0</v>
      </c>
      <c r="AG9" s="33"/>
      <c r="AH9" s="33"/>
      <c r="AI9" s="33"/>
      <c r="AJ9" s="33"/>
      <c r="AK9" s="33"/>
      <c r="AL9" s="33"/>
      <c r="AM9" s="33"/>
      <c r="AN9" s="33"/>
      <c r="AO9" s="33"/>
      <c r="AP9" s="33"/>
    </row>
    <row r="10" spans="1:47" s="28" customFormat="1" x14ac:dyDescent="0.25">
      <c r="A10" s="29"/>
      <c r="B10" s="29"/>
      <c r="C10" s="29"/>
      <c r="D10" s="29"/>
      <c r="E10" s="29"/>
      <c r="F10" s="29"/>
      <c r="G10" s="29"/>
      <c r="H10" s="29"/>
      <c r="I10" s="30"/>
      <c r="J10" s="30"/>
      <c r="K10" s="30"/>
      <c r="L10" s="30"/>
      <c r="M10" s="33"/>
      <c r="N10" s="33"/>
      <c r="O10" s="33"/>
      <c r="P10" s="33"/>
      <c r="Q10" s="33"/>
      <c r="R10" s="33"/>
      <c r="Y10" s="37"/>
      <c r="Z10" s="29"/>
      <c r="AA10" s="29"/>
      <c r="AB10" s="29"/>
      <c r="AC10" s="29"/>
      <c r="AD10" s="29"/>
      <c r="AE10" s="29"/>
      <c r="AF10" s="29"/>
      <c r="AG10" s="33"/>
      <c r="AH10" s="33"/>
      <c r="AI10" s="33"/>
      <c r="AJ10" s="33"/>
      <c r="AK10" s="33"/>
      <c r="AL10" s="33"/>
      <c r="AM10" s="33"/>
      <c r="AN10" s="33"/>
      <c r="AO10" s="33"/>
      <c r="AP10" s="33"/>
    </row>
    <row r="11" spans="1:47" s="28" customFormat="1" x14ac:dyDescent="0.25">
      <c r="A11" s="29" t="s">
        <v>52</v>
      </c>
      <c r="B11" s="29" t="s">
        <v>65</v>
      </c>
      <c r="C11" s="29" t="s">
        <v>54</v>
      </c>
      <c r="D11" s="29" t="s">
        <v>55</v>
      </c>
      <c r="E11" s="29" t="s">
        <v>56</v>
      </c>
      <c r="F11" s="48" t="s">
        <v>66</v>
      </c>
      <c r="G11" s="29" t="s">
        <v>68</v>
      </c>
      <c r="H11" s="29" t="s">
        <v>84</v>
      </c>
      <c r="Y11" s="37" t="s">
        <v>52</v>
      </c>
      <c r="Z11" s="29" t="s">
        <v>53</v>
      </c>
      <c r="AA11" s="29" t="s">
        <v>54</v>
      </c>
      <c r="AB11" s="29" t="s">
        <v>55</v>
      </c>
      <c r="AC11" s="29" t="s">
        <v>56</v>
      </c>
      <c r="AD11" s="48" t="s">
        <v>66</v>
      </c>
      <c r="AE11" s="29" t="s">
        <v>68</v>
      </c>
      <c r="AF11" s="29" t="s">
        <v>62</v>
      </c>
      <c r="AG11" s="40" t="s">
        <v>84</v>
      </c>
      <c r="AH11" s="33"/>
      <c r="AI11" s="33"/>
      <c r="AJ11" s="33"/>
      <c r="AK11" s="33"/>
    </row>
    <row r="12" spans="1:47" s="28" customFormat="1" x14ac:dyDescent="0.25">
      <c r="A12" s="27">
        <f>COUNTIF(R20:R535,"Anticipatory")+COUNTIF(R20:R535,"Post")+COUNTIF(R20:R535,"MaxOut")</f>
        <v>0</v>
      </c>
      <c r="B12" s="28" t="str">
        <f>IF(B9="No","",(('One Back'!C6-VLOOKUP(Detection!E2,Norms!A50:E56,2,TRUE))*1)/VLOOKUP(Detection!E2,Norms!A50:E56,3,TRUE))</f>
        <v/>
      </c>
      <c r="C12" s="28">
        <f>COUNTIF(R20:R535,"Anticipatory")</f>
        <v>0</v>
      </c>
      <c r="D12" s="28">
        <f>COUNTIF(R20:R535,"Post")</f>
        <v>0</v>
      </c>
      <c r="E12" s="28">
        <f>COUNTIF(R20:R535,"MaxOut")</f>
        <v>0</v>
      </c>
      <c r="F12" s="28">
        <f>SUM(D6)-COUNTIF(U20:U535,"Pant")</f>
        <v>0</v>
      </c>
      <c r="G12" s="28" t="str">
        <f>IF(B9="No","",SUM(B12*10)+100)</f>
        <v/>
      </c>
      <c r="Y12" s="39">
        <f>COUNTIF(AP20:AP535,"Anticipatory")+COUNTIF(AP20:AP535,"Post")+COUNTIF(AP20:AP535,"MaxOut")</f>
        <v>0</v>
      </c>
      <c r="Z12" s="28" t="str">
        <f>IF(Z9="No","",(('One Back'!AA6-VLOOKUP(Detection!E2,Norms!A50:E56,2,TRUE))*1)/VLOOKUP(Detection!E2,Norms!A50:E56,3,TRUE))</f>
        <v/>
      </c>
      <c r="AA12" s="28">
        <f>COUNTIF(AP20:AP535,"Anticipatory")</f>
        <v>0</v>
      </c>
      <c r="AB12" s="28">
        <f>COUNTIF(AP20:AP535,"Post")</f>
        <v>0</v>
      </c>
      <c r="AC12" s="28">
        <f>COUNTIF(AP20:AP535,"MaxOut")</f>
        <v>0</v>
      </c>
      <c r="AD12" s="28">
        <f>SUM(AB6)-COUNTIF(AS20:AS535,"Pant")</f>
        <v>0</v>
      </c>
      <c r="AE12" s="28" t="str">
        <f>IF(Z9="No","",SUM(Z12*10)+100)</f>
        <v/>
      </c>
      <c r="AF12" s="28" t="str">
        <f>IF(OR(Z9="No",B9="No"),"",SUM((Y6-A6)*-1)/(VLOOKUP(Detection!E2,Norms!A38:E44,5)*SQRT(2)))</f>
        <v/>
      </c>
    </row>
    <row r="13" spans="1:47" s="28" customFormat="1" x14ac:dyDescent="0.25">
      <c r="A13" s="27"/>
      <c r="Y13" s="39"/>
    </row>
    <row r="14" spans="1:47" s="28" customFormat="1" x14ac:dyDescent="0.25">
      <c r="A14" s="27"/>
      <c r="B14" s="29"/>
      <c r="G14" s="29"/>
      <c r="Y14" s="39"/>
      <c r="Z14" s="29"/>
      <c r="AE14" s="29"/>
    </row>
    <row r="15" spans="1:47" s="28" customFormat="1" x14ac:dyDescent="0.25">
      <c r="A15" s="27"/>
      <c r="Y15" s="39"/>
    </row>
    <row r="16" spans="1:47" s="28" customFormat="1" x14ac:dyDescent="0.25">
      <c r="U16" s="29" t="s">
        <v>57</v>
      </c>
      <c r="W16" s="29" t="s">
        <v>7</v>
      </c>
      <c r="Y16" s="24"/>
      <c r="AS16" s="29" t="s">
        <v>57</v>
      </c>
      <c r="AU16" s="29" t="s">
        <v>7</v>
      </c>
    </row>
    <row r="17" spans="1:47" s="3" customFormat="1" x14ac:dyDescent="0.25">
      <c r="Y17" s="36"/>
    </row>
    <row r="18" spans="1:47" s="3" customFormat="1" x14ac:dyDescent="0.25">
      <c r="Y18" s="36"/>
    </row>
    <row r="19" spans="1:47" s="35" customFormat="1" ht="18.75" x14ac:dyDescent="0.3">
      <c r="A19" s="34" t="s">
        <v>60</v>
      </c>
      <c r="Y19" s="34" t="s">
        <v>61</v>
      </c>
    </row>
    <row r="20" spans="1:47" s="67" customFormat="1" x14ac:dyDescent="0.25">
      <c r="A20" s="66"/>
      <c r="U20" s="64" t="str">
        <f>IF(OR(R20="TruePositive",R20="TrueNegative"),IF(R19&lt;&gt;"Anticipatory",(N20),"Pant"),"Exclude")</f>
        <v>Exclude</v>
      </c>
      <c r="W20" s="65" t="str">
        <f>IF(OR(R20="TruePositive",R20="TrueNegative"),IF(R19&lt;&gt;"Anticipatory",LOG10(N20),"Exclude"),"Exclude")</f>
        <v>Exclude</v>
      </c>
      <c r="Y20" s="66"/>
      <c r="AS20" s="64" t="str">
        <f>IF(OR(AP20="TruePositive",AP20="TrueNegative"),IF(AP19&lt;&gt;"Anticipatory",(AL20),"Pant"),"Exclude")</f>
        <v>Exclude</v>
      </c>
      <c r="AU20" s="65" t="str">
        <f>IF(OR(AP20="TruePositive",AP20="TrueNegative"),IF(AP19&lt;&gt;"Anticipatory",LOG10(AL20),"Exclude"),"Exclude")</f>
        <v>Exclude</v>
      </c>
    </row>
    <row r="21" spans="1:47" s="64" customFormat="1" x14ac:dyDescent="0.25">
      <c r="A21" s="63"/>
      <c r="U21" s="64" t="str">
        <f t="shared" ref="U21:U84" si="0">IF(OR(R21="TruePositive",R21="TrueNegative"),IF(R20&lt;&gt;"Anticipatory",(N21),"Pant"),"Exclude")</f>
        <v>Exclude</v>
      </c>
      <c r="W21" s="65" t="str">
        <f t="shared" ref="W21:W84" si="1">IF(OR(R21="TruePositive",R21="TrueNegative"),IF(R20&lt;&gt;"Anticipatory",LOG10(N21),"Exclude"),"Exclude")</f>
        <v>Exclude</v>
      </c>
      <c r="Y21" s="63"/>
      <c r="AS21" s="64" t="str">
        <f t="shared" ref="AS21:AS84" si="2">IF(OR(AP21="TruePositive",AP21="TrueNegative"),IF(AP20&lt;&gt;"Anticipatory",(AL21),"Pant"),"Exclude")</f>
        <v>Exclude</v>
      </c>
      <c r="AU21" s="65" t="str">
        <f t="shared" ref="AU21:AU84" si="3">IF(OR(AP21="TruePositive",AP21="TrueNegative"),IF(AP20&lt;&gt;"Anticipatory",LOG10(AL21),"Exclude"),"Exclude")</f>
        <v>Exclude</v>
      </c>
    </row>
    <row r="22" spans="1:47" s="64" customFormat="1" x14ac:dyDescent="0.25">
      <c r="A22" s="63"/>
      <c r="U22" s="64" t="str">
        <f t="shared" si="0"/>
        <v>Exclude</v>
      </c>
      <c r="W22" s="65" t="str">
        <f t="shared" si="1"/>
        <v>Exclude</v>
      </c>
      <c r="Y22" s="63"/>
      <c r="AS22" s="64" t="str">
        <f t="shared" si="2"/>
        <v>Exclude</v>
      </c>
      <c r="AU22" s="65" t="str">
        <f t="shared" si="3"/>
        <v>Exclude</v>
      </c>
    </row>
    <row r="23" spans="1:47" s="64" customFormat="1" x14ac:dyDescent="0.25">
      <c r="A23" s="63"/>
      <c r="U23" s="64" t="str">
        <f t="shared" si="0"/>
        <v>Exclude</v>
      </c>
      <c r="W23" s="65" t="str">
        <f t="shared" si="1"/>
        <v>Exclude</v>
      </c>
      <c r="Y23" s="63"/>
      <c r="AS23" s="64" t="str">
        <f t="shared" si="2"/>
        <v>Exclude</v>
      </c>
      <c r="AU23" s="65" t="str">
        <f t="shared" si="3"/>
        <v>Exclude</v>
      </c>
    </row>
    <row r="24" spans="1:47" s="64" customFormat="1" x14ac:dyDescent="0.25">
      <c r="A24" s="63"/>
      <c r="U24" s="64" t="str">
        <f t="shared" si="0"/>
        <v>Exclude</v>
      </c>
      <c r="W24" s="65" t="str">
        <f t="shared" si="1"/>
        <v>Exclude</v>
      </c>
      <c r="Y24" s="63"/>
      <c r="AS24" s="64" t="str">
        <f t="shared" si="2"/>
        <v>Exclude</v>
      </c>
      <c r="AU24" s="65" t="str">
        <f t="shared" si="3"/>
        <v>Exclude</v>
      </c>
    </row>
    <row r="25" spans="1:47" s="64" customFormat="1" x14ac:dyDescent="0.25">
      <c r="A25" s="63"/>
      <c r="U25" s="64" t="str">
        <f t="shared" si="0"/>
        <v>Exclude</v>
      </c>
      <c r="W25" s="65" t="str">
        <f t="shared" si="1"/>
        <v>Exclude</v>
      </c>
      <c r="Y25" s="63"/>
      <c r="AS25" s="64" t="str">
        <f t="shared" si="2"/>
        <v>Exclude</v>
      </c>
      <c r="AU25" s="65" t="str">
        <f t="shared" si="3"/>
        <v>Exclude</v>
      </c>
    </row>
    <row r="26" spans="1:47" s="64" customFormat="1" x14ac:dyDescent="0.25">
      <c r="A26" s="63"/>
      <c r="U26" s="64" t="str">
        <f t="shared" si="0"/>
        <v>Exclude</v>
      </c>
      <c r="W26" s="65" t="str">
        <f t="shared" si="1"/>
        <v>Exclude</v>
      </c>
      <c r="Y26" s="63"/>
      <c r="AS26" s="64" t="str">
        <f t="shared" si="2"/>
        <v>Exclude</v>
      </c>
      <c r="AU26" s="65" t="str">
        <f t="shared" si="3"/>
        <v>Exclude</v>
      </c>
    </row>
    <row r="27" spans="1:47" s="64" customFormat="1" x14ac:dyDescent="0.25">
      <c r="A27" s="63"/>
      <c r="U27" s="64" t="str">
        <f t="shared" si="0"/>
        <v>Exclude</v>
      </c>
      <c r="W27" s="65" t="str">
        <f t="shared" si="1"/>
        <v>Exclude</v>
      </c>
      <c r="Y27" s="63"/>
      <c r="AS27" s="64" t="str">
        <f t="shared" si="2"/>
        <v>Exclude</v>
      </c>
      <c r="AU27" s="65" t="str">
        <f t="shared" si="3"/>
        <v>Exclude</v>
      </c>
    </row>
    <row r="28" spans="1:47" s="64" customFormat="1" x14ac:dyDescent="0.25">
      <c r="A28" s="63"/>
      <c r="U28" s="64" t="str">
        <f t="shared" si="0"/>
        <v>Exclude</v>
      </c>
      <c r="W28" s="65" t="str">
        <f t="shared" si="1"/>
        <v>Exclude</v>
      </c>
      <c r="Y28" s="63"/>
      <c r="AS28" s="64" t="str">
        <f t="shared" si="2"/>
        <v>Exclude</v>
      </c>
      <c r="AU28" s="65" t="str">
        <f t="shared" si="3"/>
        <v>Exclude</v>
      </c>
    </row>
    <row r="29" spans="1:47" s="64" customFormat="1" x14ac:dyDescent="0.25">
      <c r="A29" s="63"/>
      <c r="U29" s="64" t="str">
        <f t="shared" si="0"/>
        <v>Exclude</v>
      </c>
      <c r="W29" s="65" t="str">
        <f t="shared" si="1"/>
        <v>Exclude</v>
      </c>
      <c r="Y29" s="63"/>
      <c r="AS29" s="64" t="str">
        <f t="shared" si="2"/>
        <v>Exclude</v>
      </c>
      <c r="AU29" s="65" t="str">
        <f t="shared" si="3"/>
        <v>Exclude</v>
      </c>
    </row>
    <row r="30" spans="1:47" s="64" customFormat="1" x14ac:dyDescent="0.25">
      <c r="A30" s="63"/>
      <c r="U30" s="64" t="str">
        <f t="shared" si="0"/>
        <v>Exclude</v>
      </c>
      <c r="W30" s="65" t="str">
        <f t="shared" si="1"/>
        <v>Exclude</v>
      </c>
      <c r="Y30" s="63"/>
      <c r="AS30" s="64" t="str">
        <f t="shared" si="2"/>
        <v>Exclude</v>
      </c>
      <c r="AU30" s="65" t="str">
        <f t="shared" si="3"/>
        <v>Exclude</v>
      </c>
    </row>
    <row r="31" spans="1:47" s="64" customFormat="1" x14ac:dyDescent="0.25">
      <c r="A31" s="63"/>
      <c r="U31" s="64" t="str">
        <f t="shared" si="0"/>
        <v>Exclude</v>
      </c>
      <c r="W31" s="65" t="str">
        <f t="shared" si="1"/>
        <v>Exclude</v>
      </c>
      <c r="Y31" s="63"/>
      <c r="AS31" s="64" t="str">
        <f t="shared" si="2"/>
        <v>Exclude</v>
      </c>
      <c r="AU31" s="65" t="str">
        <f t="shared" si="3"/>
        <v>Exclude</v>
      </c>
    </row>
    <row r="32" spans="1:47" s="64" customFormat="1" x14ac:dyDescent="0.25">
      <c r="A32" s="63"/>
      <c r="U32" s="64" t="str">
        <f t="shared" si="0"/>
        <v>Exclude</v>
      </c>
      <c r="W32" s="65" t="str">
        <f t="shared" si="1"/>
        <v>Exclude</v>
      </c>
      <c r="Y32" s="63"/>
      <c r="AS32" s="64" t="str">
        <f t="shared" si="2"/>
        <v>Exclude</v>
      </c>
      <c r="AU32" s="65" t="str">
        <f t="shared" si="3"/>
        <v>Exclude</v>
      </c>
    </row>
    <row r="33" spans="1:47" s="64" customFormat="1" x14ac:dyDescent="0.25">
      <c r="A33" s="63"/>
      <c r="U33" s="64" t="str">
        <f t="shared" si="0"/>
        <v>Exclude</v>
      </c>
      <c r="W33" s="65" t="str">
        <f t="shared" si="1"/>
        <v>Exclude</v>
      </c>
      <c r="Y33" s="63"/>
      <c r="AS33" s="64" t="str">
        <f t="shared" si="2"/>
        <v>Exclude</v>
      </c>
      <c r="AU33" s="65" t="str">
        <f t="shared" si="3"/>
        <v>Exclude</v>
      </c>
    </row>
    <row r="34" spans="1:47" s="64" customFormat="1" x14ac:dyDescent="0.25">
      <c r="A34" s="63"/>
      <c r="U34" s="64" t="str">
        <f t="shared" si="0"/>
        <v>Exclude</v>
      </c>
      <c r="W34" s="65" t="str">
        <f t="shared" si="1"/>
        <v>Exclude</v>
      </c>
      <c r="Y34" s="63"/>
      <c r="AS34" s="64" t="str">
        <f t="shared" si="2"/>
        <v>Exclude</v>
      </c>
      <c r="AU34" s="65" t="str">
        <f t="shared" si="3"/>
        <v>Exclude</v>
      </c>
    </row>
    <row r="35" spans="1:47" s="64" customFormat="1" x14ac:dyDescent="0.25">
      <c r="A35" s="63"/>
      <c r="U35" s="64" t="str">
        <f t="shared" si="0"/>
        <v>Exclude</v>
      </c>
      <c r="W35" s="65" t="str">
        <f t="shared" si="1"/>
        <v>Exclude</v>
      </c>
      <c r="Y35" s="63"/>
      <c r="AS35" s="64" t="str">
        <f t="shared" si="2"/>
        <v>Exclude</v>
      </c>
      <c r="AU35" s="65" t="str">
        <f t="shared" si="3"/>
        <v>Exclude</v>
      </c>
    </row>
    <row r="36" spans="1:47" s="64" customFormat="1" x14ac:dyDescent="0.25">
      <c r="A36" s="63"/>
      <c r="U36" s="64" t="str">
        <f t="shared" si="0"/>
        <v>Exclude</v>
      </c>
      <c r="W36" s="65" t="str">
        <f t="shared" si="1"/>
        <v>Exclude</v>
      </c>
      <c r="Y36" s="63"/>
      <c r="AS36" s="64" t="str">
        <f t="shared" si="2"/>
        <v>Exclude</v>
      </c>
      <c r="AU36" s="65" t="str">
        <f t="shared" si="3"/>
        <v>Exclude</v>
      </c>
    </row>
    <row r="37" spans="1:47" s="64" customFormat="1" x14ac:dyDescent="0.25">
      <c r="A37" s="63"/>
      <c r="U37" s="64" t="str">
        <f t="shared" si="0"/>
        <v>Exclude</v>
      </c>
      <c r="W37" s="65" t="str">
        <f t="shared" si="1"/>
        <v>Exclude</v>
      </c>
      <c r="Y37" s="63"/>
      <c r="AS37" s="64" t="str">
        <f t="shared" si="2"/>
        <v>Exclude</v>
      </c>
      <c r="AU37" s="65" t="str">
        <f t="shared" si="3"/>
        <v>Exclude</v>
      </c>
    </row>
    <row r="38" spans="1:47" s="64" customFormat="1" x14ac:dyDescent="0.25">
      <c r="A38" s="63"/>
      <c r="U38" s="64" t="str">
        <f t="shared" si="0"/>
        <v>Exclude</v>
      </c>
      <c r="W38" s="65" t="str">
        <f t="shared" si="1"/>
        <v>Exclude</v>
      </c>
      <c r="Y38" s="63"/>
      <c r="AS38" s="64" t="str">
        <f t="shared" si="2"/>
        <v>Exclude</v>
      </c>
      <c r="AU38" s="65" t="str">
        <f t="shared" si="3"/>
        <v>Exclude</v>
      </c>
    </row>
    <row r="39" spans="1:47" s="64" customFormat="1" x14ac:dyDescent="0.25">
      <c r="A39" s="63"/>
      <c r="U39" s="64" t="str">
        <f t="shared" si="0"/>
        <v>Exclude</v>
      </c>
      <c r="W39" s="65" t="str">
        <f t="shared" si="1"/>
        <v>Exclude</v>
      </c>
      <c r="Y39" s="63"/>
      <c r="AS39" s="64" t="str">
        <f t="shared" si="2"/>
        <v>Exclude</v>
      </c>
      <c r="AU39" s="65" t="str">
        <f t="shared" si="3"/>
        <v>Exclude</v>
      </c>
    </row>
    <row r="40" spans="1:47" s="64" customFormat="1" x14ac:dyDescent="0.25">
      <c r="A40" s="63"/>
      <c r="U40" s="64" t="str">
        <f t="shared" si="0"/>
        <v>Exclude</v>
      </c>
      <c r="W40" s="65" t="str">
        <f t="shared" si="1"/>
        <v>Exclude</v>
      </c>
      <c r="Y40" s="63"/>
      <c r="AS40" s="64" t="str">
        <f t="shared" si="2"/>
        <v>Exclude</v>
      </c>
      <c r="AU40" s="65" t="str">
        <f t="shared" si="3"/>
        <v>Exclude</v>
      </c>
    </row>
    <row r="41" spans="1:47" s="64" customFormat="1" x14ac:dyDescent="0.25">
      <c r="A41" s="63"/>
      <c r="U41" s="64" t="str">
        <f t="shared" si="0"/>
        <v>Exclude</v>
      </c>
      <c r="W41" s="65" t="str">
        <f t="shared" si="1"/>
        <v>Exclude</v>
      </c>
      <c r="Y41" s="63"/>
      <c r="AS41" s="64" t="str">
        <f t="shared" si="2"/>
        <v>Exclude</v>
      </c>
      <c r="AU41" s="65" t="str">
        <f t="shared" si="3"/>
        <v>Exclude</v>
      </c>
    </row>
    <row r="42" spans="1:47" s="64" customFormat="1" x14ac:dyDescent="0.25">
      <c r="A42" s="63"/>
      <c r="U42" s="64" t="str">
        <f t="shared" si="0"/>
        <v>Exclude</v>
      </c>
      <c r="W42" s="65" t="str">
        <f t="shared" si="1"/>
        <v>Exclude</v>
      </c>
      <c r="Y42" s="63"/>
      <c r="AS42" s="64" t="str">
        <f t="shared" si="2"/>
        <v>Exclude</v>
      </c>
      <c r="AU42" s="65" t="str">
        <f t="shared" si="3"/>
        <v>Exclude</v>
      </c>
    </row>
    <row r="43" spans="1:47" s="64" customFormat="1" x14ac:dyDescent="0.25">
      <c r="A43" s="63"/>
      <c r="U43" s="64" t="str">
        <f>IF(OR(R43="TruePositive",R43="TrueNegative"),IF(R42&lt;&gt;"Anticipatory",(N43),"Pant"),"Exclude")</f>
        <v>Exclude</v>
      </c>
      <c r="W43" s="65" t="str">
        <f>IF(OR(R43="TruePositive",R43="TrueNegative"),IF(R42&lt;&gt;"Anticipatory",LOG10(N43),"Exclude"),"Exclude")</f>
        <v>Exclude</v>
      </c>
      <c r="Y43" s="63"/>
      <c r="AS43" s="64" t="str">
        <f t="shared" si="2"/>
        <v>Exclude</v>
      </c>
      <c r="AU43" s="65" t="str">
        <f t="shared" si="3"/>
        <v>Exclude</v>
      </c>
    </row>
    <row r="44" spans="1:47" s="64" customFormat="1" x14ac:dyDescent="0.25">
      <c r="A44" s="63"/>
      <c r="U44" s="64" t="str">
        <f>IF(OR(R44="TruePositive",R44="TrueNegative"),IF(R43&lt;&gt;"Anticipatory",(N44),"Pant"),"Exclude")</f>
        <v>Exclude</v>
      </c>
      <c r="W44" s="65" t="str">
        <f>IF(OR(R44="TruePositive",R44="TrueNegative"),IF(R43&lt;&gt;"Anticipatory",LOG10(N44),"Exclude"),"Exclude")</f>
        <v>Exclude</v>
      </c>
      <c r="Y44" s="63"/>
      <c r="AS44" s="64" t="str">
        <f t="shared" si="2"/>
        <v>Exclude</v>
      </c>
      <c r="AU44" s="65" t="str">
        <f t="shared" si="3"/>
        <v>Exclude</v>
      </c>
    </row>
    <row r="45" spans="1:47" s="64" customFormat="1" x14ac:dyDescent="0.25">
      <c r="A45" s="63"/>
      <c r="U45" s="64" t="str">
        <f t="shared" si="0"/>
        <v>Exclude</v>
      </c>
      <c r="W45" s="65" t="str">
        <f t="shared" si="1"/>
        <v>Exclude</v>
      </c>
      <c r="Y45" s="63"/>
      <c r="AS45" s="64" t="str">
        <f t="shared" si="2"/>
        <v>Exclude</v>
      </c>
      <c r="AU45" s="65" t="str">
        <f t="shared" si="3"/>
        <v>Exclude</v>
      </c>
    </row>
    <row r="46" spans="1:47" s="64" customFormat="1" x14ac:dyDescent="0.25">
      <c r="A46" s="63"/>
      <c r="U46" s="64" t="str">
        <f t="shared" si="0"/>
        <v>Exclude</v>
      </c>
      <c r="W46" s="65" t="str">
        <f t="shared" si="1"/>
        <v>Exclude</v>
      </c>
      <c r="Y46" s="63"/>
      <c r="AS46" s="64" t="str">
        <f t="shared" si="2"/>
        <v>Exclude</v>
      </c>
      <c r="AU46" s="65" t="str">
        <f t="shared" si="3"/>
        <v>Exclude</v>
      </c>
    </row>
    <row r="47" spans="1:47" s="64" customFormat="1" x14ac:dyDescent="0.25">
      <c r="A47" s="63"/>
      <c r="U47" s="64" t="str">
        <f t="shared" si="0"/>
        <v>Exclude</v>
      </c>
      <c r="W47" s="65" t="str">
        <f t="shared" si="1"/>
        <v>Exclude</v>
      </c>
      <c r="Y47" s="63"/>
      <c r="AS47" s="64" t="str">
        <f t="shared" si="2"/>
        <v>Exclude</v>
      </c>
      <c r="AU47" s="65" t="str">
        <f t="shared" si="3"/>
        <v>Exclude</v>
      </c>
    </row>
    <row r="48" spans="1:47" s="64" customFormat="1" x14ac:dyDescent="0.25">
      <c r="A48" s="63"/>
      <c r="U48" s="64" t="str">
        <f t="shared" si="0"/>
        <v>Exclude</v>
      </c>
      <c r="W48" s="65" t="str">
        <f t="shared" si="1"/>
        <v>Exclude</v>
      </c>
      <c r="Y48" s="63"/>
      <c r="AS48" s="64" t="str">
        <f t="shared" si="2"/>
        <v>Exclude</v>
      </c>
      <c r="AU48" s="65" t="str">
        <f t="shared" si="3"/>
        <v>Exclude</v>
      </c>
    </row>
    <row r="49" spans="1:47" s="64" customFormat="1" x14ac:dyDescent="0.25">
      <c r="A49" s="63"/>
      <c r="U49" s="64" t="str">
        <f t="shared" si="0"/>
        <v>Exclude</v>
      </c>
      <c r="W49" s="65" t="str">
        <f t="shared" si="1"/>
        <v>Exclude</v>
      </c>
      <c r="Y49" s="63"/>
      <c r="AS49" s="64" t="str">
        <f t="shared" si="2"/>
        <v>Exclude</v>
      </c>
      <c r="AU49" s="65" t="str">
        <f t="shared" si="3"/>
        <v>Exclude</v>
      </c>
    </row>
    <row r="50" spans="1:47" s="64" customFormat="1" x14ac:dyDescent="0.25">
      <c r="A50" s="63"/>
      <c r="U50" s="64" t="str">
        <f t="shared" si="0"/>
        <v>Exclude</v>
      </c>
      <c r="W50" s="65" t="str">
        <f t="shared" si="1"/>
        <v>Exclude</v>
      </c>
      <c r="Y50" s="63"/>
      <c r="AS50" s="64" t="str">
        <f t="shared" si="2"/>
        <v>Exclude</v>
      </c>
      <c r="AU50" s="65" t="str">
        <f t="shared" si="3"/>
        <v>Exclude</v>
      </c>
    </row>
    <row r="51" spans="1:47" s="64" customFormat="1" x14ac:dyDescent="0.25">
      <c r="A51" s="63"/>
      <c r="U51" s="64" t="str">
        <f t="shared" si="0"/>
        <v>Exclude</v>
      </c>
      <c r="W51" s="65" t="str">
        <f t="shared" si="1"/>
        <v>Exclude</v>
      </c>
      <c r="Y51" s="63"/>
      <c r="AS51" s="64" t="str">
        <f t="shared" si="2"/>
        <v>Exclude</v>
      </c>
      <c r="AU51" s="65" t="str">
        <f t="shared" si="3"/>
        <v>Exclude</v>
      </c>
    </row>
    <row r="52" spans="1:47" s="64" customFormat="1" x14ac:dyDescent="0.25">
      <c r="A52" s="63"/>
      <c r="U52" s="64" t="str">
        <f t="shared" si="0"/>
        <v>Exclude</v>
      </c>
      <c r="W52" s="65" t="str">
        <f t="shared" si="1"/>
        <v>Exclude</v>
      </c>
      <c r="Y52" s="63"/>
      <c r="AS52" s="64" t="str">
        <f t="shared" si="2"/>
        <v>Exclude</v>
      </c>
      <c r="AU52" s="65" t="str">
        <f t="shared" si="3"/>
        <v>Exclude</v>
      </c>
    </row>
    <row r="53" spans="1:47" s="64" customFormat="1" x14ac:dyDescent="0.25">
      <c r="A53" s="63"/>
      <c r="U53" s="64" t="str">
        <f t="shared" si="0"/>
        <v>Exclude</v>
      </c>
      <c r="W53" s="65" t="str">
        <f t="shared" si="1"/>
        <v>Exclude</v>
      </c>
      <c r="Y53" s="63"/>
      <c r="AS53" s="64" t="str">
        <f t="shared" si="2"/>
        <v>Exclude</v>
      </c>
      <c r="AU53" s="65" t="str">
        <f t="shared" si="3"/>
        <v>Exclude</v>
      </c>
    </row>
    <row r="54" spans="1:47" s="64" customFormat="1" x14ac:dyDescent="0.25">
      <c r="A54" s="63"/>
      <c r="U54" s="64" t="str">
        <f t="shared" si="0"/>
        <v>Exclude</v>
      </c>
      <c r="W54" s="65" t="str">
        <f t="shared" si="1"/>
        <v>Exclude</v>
      </c>
      <c r="Y54" s="63"/>
      <c r="AS54" s="64" t="str">
        <f t="shared" si="2"/>
        <v>Exclude</v>
      </c>
      <c r="AU54" s="65" t="str">
        <f t="shared" si="3"/>
        <v>Exclude</v>
      </c>
    </row>
    <row r="55" spans="1:47" s="64" customFormat="1" x14ac:dyDescent="0.25">
      <c r="A55" s="63"/>
      <c r="U55" s="64" t="str">
        <f t="shared" si="0"/>
        <v>Exclude</v>
      </c>
      <c r="W55" s="65" t="str">
        <f t="shared" si="1"/>
        <v>Exclude</v>
      </c>
      <c r="Y55" s="63"/>
      <c r="AS55" s="64" t="str">
        <f t="shared" si="2"/>
        <v>Exclude</v>
      </c>
      <c r="AU55" s="65" t="str">
        <f t="shared" si="3"/>
        <v>Exclude</v>
      </c>
    </row>
    <row r="56" spans="1:47" s="64" customFormat="1" x14ac:dyDescent="0.25">
      <c r="A56" s="63"/>
      <c r="U56" s="64" t="str">
        <f t="shared" si="0"/>
        <v>Exclude</v>
      </c>
      <c r="W56" s="65" t="str">
        <f t="shared" si="1"/>
        <v>Exclude</v>
      </c>
      <c r="Y56" s="63"/>
      <c r="AS56" s="64" t="str">
        <f t="shared" si="2"/>
        <v>Exclude</v>
      </c>
      <c r="AU56" s="65" t="str">
        <f t="shared" si="3"/>
        <v>Exclude</v>
      </c>
    </row>
    <row r="57" spans="1:47" s="64" customFormat="1" x14ac:dyDescent="0.25">
      <c r="A57" s="63"/>
      <c r="U57" s="64" t="str">
        <f t="shared" si="0"/>
        <v>Exclude</v>
      </c>
      <c r="W57" s="65" t="str">
        <f t="shared" si="1"/>
        <v>Exclude</v>
      </c>
      <c r="Y57" s="63"/>
      <c r="AS57" s="64" t="str">
        <f t="shared" si="2"/>
        <v>Exclude</v>
      </c>
      <c r="AU57" s="65" t="str">
        <f t="shared" si="3"/>
        <v>Exclude</v>
      </c>
    </row>
    <row r="58" spans="1:47" s="64" customFormat="1" x14ac:dyDescent="0.25">
      <c r="A58" s="63"/>
      <c r="U58" s="64" t="str">
        <f t="shared" si="0"/>
        <v>Exclude</v>
      </c>
      <c r="W58" s="65" t="str">
        <f t="shared" si="1"/>
        <v>Exclude</v>
      </c>
      <c r="Y58" s="63"/>
      <c r="AS58" s="64" t="str">
        <f t="shared" si="2"/>
        <v>Exclude</v>
      </c>
      <c r="AU58" s="65" t="str">
        <f t="shared" si="3"/>
        <v>Exclude</v>
      </c>
    </row>
    <row r="59" spans="1:47" s="64" customFormat="1" x14ac:dyDescent="0.25">
      <c r="A59" s="63"/>
      <c r="U59" s="64" t="str">
        <f t="shared" si="0"/>
        <v>Exclude</v>
      </c>
      <c r="W59" s="65" t="str">
        <f t="shared" si="1"/>
        <v>Exclude</v>
      </c>
      <c r="Y59" s="63"/>
      <c r="AS59" s="64" t="str">
        <f t="shared" si="2"/>
        <v>Exclude</v>
      </c>
      <c r="AU59" s="65" t="str">
        <f t="shared" si="3"/>
        <v>Exclude</v>
      </c>
    </row>
    <row r="60" spans="1:47" s="64" customFormat="1" x14ac:dyDescent="0.25">
      <c r="A60" s="63"/>
      <c r="U60" s="64" t="str">
        <f t="shared" si="0"/>
        <v>Exclude</v>
      </c>
      <c r="W60" s="65" t="str">
        <f t="shared" si="1"/>
        <v>Exclude</v>
      </c>
      <c r="Y60" s="63"/>
      <c r="AS60" s="64" t="str">
        <f t="shared" si="2"/>
        <v>Exclude</v>
      </c>
      <c r="AU60" s="65" t="str">
        <f t="shared" si="3"/>
        <v>Exclude</v>
      </c>
    </row>
    <row r="61" spans="1:47" s="64" customFormat="1" x14ac:dyDescent="0.25">
      <c r="A61" s="63"/>
      <c r="U61" s="64" t="str">
        <f t="shared" si="0"/>
        <v>Exclude</v>
      </c>
      <c r="W61" s="65" t="str">
        <f t="shared" si="1"/>
        <v>Exclude</v>
      </c>
      <c r="Y61" s="63"/>
      <c r="AS61" s="64" t="str">
        <f t="shared" si="2"/>
        <v>Exclude</v>
      </c>
      <c r="AU61" s="65" t="str">
        <f t="shared" si="3"/>
        <v>Exclude</v>
      </c>
    </row>
    <row r="62" spans="1:47" s="64" customFormat="1" x14ac:dyDescent="0.25">
      <c r="A62" s="63"/>
      <c r="U62" s="64" t="str">
        <f t="shared" si="0"/>
        <v>Exclude</v>
      </c>
      <c r="W62" s="65" t="str">
        <f t="shared" si="1"/>
        <v>Exclude</v>
      </c>
      <c r="Y62" s="63"/>
      <c r="AS62" s="64" t="str">
        <f t="shared" si="2"/>
        <v>Exclude</v>
      </c>
      <c r="AU62" s="65" t="str">
        <f t="shared" si="3"/>
        <v>Exclude</v>
      </c>
    </row>
    <row r="63" spans="1:47" s="64" customFormat="1" x14ac:dyDescent="0.25">
      <c r="A63" s="63"/>
      <c r="U63" s="64" t="str">
        <f t="shared" si="0"/>
        <v>Exclude</v>
      </c>
      <c r="W63" s="65" t="str">
        <f t="shared" si="1"/>
        <v>Exclude</v>
      </c>
      <c r="Y63" s="63"/>
      <c r="AS63" s="64" t="str">
        <f t="shared" si="2"/>
        <v>Exclude</v>
      </c>
      <c r="AU63" s="65" t="str">
        <f t="shared" si="3"/>
        <v>Exclude</v>
      </c>
    </row>
    <row r="64" spans="1:47" s="64" customFormat="1" x14ac:dyDescent="0.25">
      <c r="A64" s="63"/>
      <c r="U64" s="64" t="str">
        <f t="shared" si="0"/>
        <v>Exclude</v>
      </c>
      <c r="W64" s="65" t="str">
        <f t="shared" si="1"/>
        <v>Exclude</v>
      </c>
      <c r="Y64" s="63"/>
      <c r="AS64" s="64" t="str">
        <f t="shared" si="2"/>
        <v>Exclude</v>
      </c>
      <c r="AU64" s="65" t="str">
        <f t="shared" si="3"/>
        <v>Exclude</v>
      </c>
    </row>
    <row r="65" spans="1:47" s="64" customFormat="1" x14ac:dyDescent="0.25">
      <c r="A65" s="63"/>
      <c r="U65" s="64" t="str">
        <f t="shared" si="0"/>
        <v>Exclude</v>
      </c>
      <c r="W65" s="65" t="str">
        <f t="shared" si="1"/>
        <v>Exclude</v>
      </c>
      <c r="Y65" s="63"/>
      <c r="AS65" s="64" t="str">
        <f t="shared" si="2"/>
        <v>Exclude</v>
      </c>
      <c r="AU65" s="65" t="str">
        <f t="shared" si="3"/>
        <v>Exclude</v>
      </c>
    </row>
    <row r="66" spans="1:47" s="64" customFormat="1" x14ac:dyDescent="0.25">
      <c r="A66" s="63"/>
      <c r="U66" s="64" t="str">
        <f t="shared" si="0"/>
        <v>Exclude</v>
      </c>
      <c r="W66" s="65" t="str">
        <f t="shared" si="1"/>
        <v>Exclude</v>
      </c>
      <c r="Y66" s="63"/>
      <c r="AS66" s="64" t="str">
        <f t="shared" si="2"/>
        <v>Exclude</v>
      </c>
      <c r="AU66" s="65" t="str">
        <f t="shared" si="3"/>
        <v>Exclude</v>
      </c>
    </row>
    <row r="67" spans="1:47" s="64" customFormat="1" x14ac:dyDescent="0.25">
      <c r="A67" s="63"/>
      <c r="U67" s="64" t="str">
        <f t="shared" si="0"/>
        <v>Exclude</v>
      </c>
      <c r="W67" s="65" t="str">
        <f t="shared" si="1"/>
        <v>Exclude</v>
      </c>
      <c r="Y67" s="63"/>
      <c r="AS67" s="64" t="str">
        <f t="shared" si="2"/>
        <v>Exclude</v>
      </c>
      <c r="AU67" s="65" t="str">
        <f t="shared" si="3"/>
        <v>Exclude</v>
      </c>
    </row>
    <row r="68" spans="1:47" s="64" customFormat="1" x14ac:dyDescent="0.25">
      <c r="A68" s="63"/>
      <c r="U68" s="64" t="str">
        <f t="shared" si="0"/>
        <v>Exclude</v>
      </c>
      <c r="W68" s="65" t="str">
        <f t="shared" si="1"/>
        <v>Exclude</v>
      </c>
      <c r="Y68" s="63"/>
      <c r="AS68" s="64" t="str">
        <f t="shared" si="2"/>
        <v>Exclude</v>
      </c>
      <c r="AU68" s="65" t="str">
        <f t="shared" si="3"/>
        <v>Exclude</v>
      </c>
    </row>
    <row r="69" spans="1:47" s="64" customFormat="1" x14ac:dyDescent="0.25">
      <c r="A69" s="63"/>
      <c r="U69" s="64" t="str">
        <f t="shared" si="0"/>
        <v>Exclude</v>
      </c>
      <c r="W69" s="65" t="str">
        <f t="shared" si="1"/>
        <v>Exclude</v>
      </c>
      <c r="Y69" s="63"/>
      <c r="AS69" s="64" t="str">
        <f t="shared" si="2"/>
        <v>Exclude</v>
      </c>
      <c r="AU69" s="65" t="str">
        <f t="shared" si="3"/>
        <v>Exclude</v>
      </c>
    </row>
    <row r="70" spans="1:47" s="64" customFormat="1" x14ac:dyDescent="0.25">
      <c r="A70" s="63"/>
      <c r="U70" s="64" t="str">
        <f t="shared" si="0"/>
        <v>Exclude</v>
      </c>
      <c r="W70" s="65" t="str">
        <f t="shared" si="1"/>
        <v>Exclude</v>
      </c>
      <c r="Y70" s="63"/>
      <c r="AS70" s="64" t="str">
        <f t="shared" si="2"/>
        <v>Exclude</v>
      </c>
      <c r="AU70" s="65" t="str">
        <f t="shared" si="3"/>
        <v>Exclude</v>
      </c>
    </row>
    <row r="71" spans="1:47" s="64" customFormat="1" x14ac:dyDescent="0.25">
      <c r="A71" s="63"/>
      <c r="U71" s="64" t="str">
        <f t="shared" si="0"/>
        <v>Exclude</v>
      </c>
      <c r="W71" s="65" t="str">
        <f t="shared" si="1"/>
        <v>Exclude</v>
      </c>
      <c r="Y71" s="63"/>
      <c r="AS71" s="64" t="str">
        <f t="shared" si="2"/>
        <v>Exclude</v>
      </c>
      <c r="AU71" s="65" t="str">
        <f t="shared" si="3"/>
        <v>Exclude</v>
      </c>
    </row>
    <row r="72" spans="1:47" s="64" customFormat="1" x14ac:dyDescent="0.25">
      <c r="A72" s="63"/>
      <c r="U72" s="64" t="str">
        <f t="shared" si="0"/>
        <v>Exclude</v>
      </c>
      <c r="W72" s="65" t="str">
        <f t="shared" si="1"/>
        <v>Exclude</v>
      </c>
      <c r="Y72" s="63"/>
      <c r="AS72" s="64" t="str">
        <f t="shared" si="2"/>
        <v>Exclude</v>
      </c>
      <c r="AU72" s="65" t="str">
        <f t="shared" si="3"/>
        <v>Exclude</v>
      </c>
    </row>
    <row r="73" spans="1:47" s="64" customFormat="1" x14ac:dyDescent="0.25">
      <c r="A73" s="63"/>
      <c r="U73" s="64" t="str">
        <f t="shared" si="0"/>
        <v>Exclude</v>
      </c>
      <c r="W73" s="65" t="str">
        <f t="shared" si="1"/>
        <v>Exclude</v>
      </c>
      <c r="Y73" s="63"/>
      <c r="AS73" s="64" t="str">
        <f t="shared" si="2"/>
        <v>Exclude</v>
      </c>
      <c r="AU73" s="65" t="str">
        <f t="shared" si="3"/>
        <v>Exclude</v>
      </c>
    </row>
    <row r="74" spans="1:47" s="64" customFormat="1" x14ac:dyDescent="0.25">
      <c r="A74" s="63"/>
      <c r="U74" s="64" t="str">
        <f t="shared" si="0"/>
        <v>Exclude</v>
      </c>
      <c r="W74" s="65" t="str">
        <f t="shared" si="1"/>
        <v>Exclude</v>
      </c>
      <c r="Y74" s="63"/>
      <c r="AS74" s="64" t="str">
        <f t="shared" si="2"/>
        <v>Exclude</v>
      </c>
      <c r="AU74" s="65" t="str">
        <f t="shared" si="3"/>
        <v>Exclude</v>
      </c>
    </row>
    <row r="75" spans="1:47" s="64" customFormat="1" x14ac:dyDescent="0.25">
      <c r="A75" s="63"/>
      <c r="U75" s="64" t="str">
        <f t="shared" si="0"/>
        <v>Exclude</v>
      </c>
      <c r="W75" s="65" t="str">
        <f t="shared" si="1"/>
        <v>Exclude</v>
      </c>
      <c r="Y75" s="63"/>
      <c r="AS75" s="64" t="str">
        <f t="shared" si="2"/>
        <v>Exclude</v>
      </c>
      <c r="AU75" s="65" t="str">
        <f t="shared" si="3"/>
        <v>Exclude</v>
      </c>
    </row>
    <row r="76" spans="1:47" s="64" customFormat="1" x14ac:dyDescent="0.25">
      <c r="A76" s="63"/>
      <c r="U76" s="64" t="str">
        <f t="shared" si="0"/>
        <v>Exclude</v>
      </c>
      <c r="W76" s="65" t="str">
        <f t="shared" si="1"/>
        <v>Exclude</v>
      </c>
      <c r="Y76" s="63"/>
      <c r="AS76" s="64" t="str">
        <f t="shared" si="2"/>
        <v>Exclude</v>
      </c>
      <c r="AU76" s="65" t="str">
        <f t="shared" si="3"/>
        <v>Exclude</v>
      </c>
    </row>
    <row r="77" spans="1:47" s="64" customFormat="1" x14ac:dyDescent="0.25">
      <c r="A77" s="63"/>
      <c r="U77" s="64" t="str">
        <f t="shared" si="0"/>
        <v>Exclude</v>
      </c>
      <c r="W77" s="65" t="str">
        <f t="shared" si="1"/>
        <v>Exclude</v>
      </c>
      <c r="Y77" s="63"/>
      <c r="AS77" s="64" t="str">
        <f t="shared" si="2"/>
        <v>Exclude</v>
      </c>
      <c r="AU77" s="65" t="str">
        <f t="shared" si="3"/>
        <v>Exclude</v>
      </c>
    </row>
    <row r="78" spans="1:47" s="64" customFormat="1" x14ac:dyDescent="0.25">
      <c r="A78" s="63"/>
      <c r="U78" s="64" t="str">
        <f t="shared" si="0"/>
        <v>Exclude</v>
      </c>
      <c r="W78" s="65" t="str">
        <f t="shared" si="1"/>
        <v>Exclude</v>
      </c>
      <c r="Y78" s="63"/>
      <c r="AS78" s="64" t="str">
        <f t="shared" si="2"/>
        <v>Exclude</v>
      </c>
      <c r="AU78" s="65" t="str">
        <f t="shared" si="3"/>
        <v>Exclude</v>
      </c>
    </row>
    <row r="79" spans="1:47" s="64" customFormat="1" x14ac:dyDescent="0.25">
      <c r="A79" s="63"/>
      <c r="U79" s="64" t="str">
        <f t="shared" si="0"/>
        <v>Exclude</v>
      </c>
      <c r="W79" s="65" t="str">
        <f t="shared" si="1"/>
        <v>Exclude</v>
      </c>
      <c r="Y79" s="63"/>
      <c r="AS79" s="64" t="str">
        <f t="shared" si="2"/>
        <v>Exclude</v>
      </c>
      <c r="AU79" s="65" t="str">
        <f t="shared" si="3"/>
        <v>Exclude</v>
      </c>
    </row>
    <row r="80" spans="1:47" s="64" customFormat="1" x14ac:dyDescent="0.25">
      <c r="A80" s="63"/>
      <c r="U80" s="64" t="str">
        <f t="shared" si="0"/>
        <v>Exclude</v>
      </c>
      <c r="W80" s="65" t="str">
        <f t="shared" si="1"/>
        <v>Exclude</v>
      </c>
      <c r="Y80" s="63"/>
      <c r="AS80" s="64" t="str">
        <f t="shared" si="2"/>
        <v>Exclude</v>
      </c>
      <c r="AU80" s="65" t="str">
        <f t="shared" si="3"/>
        <v>Exclude</v>
      </c>
    </row>
    <row r="81" spans="1:47" s="64" customFormat="1" x14ac:dyDescent="0.25">
      <c r="A81" s="63"/>
      <c r="U81" s="64" t="str">
        <f t="shared" si="0"/>
        <v>Exclude</v>
      </c>
      <c r="W81" s="65" t="str">
        <f t="shared" si="1"/>
        <v>Exclude</v>
      </c>
      <c r="Y81" s="63"/>
      <c r="AS81" s="64" t="str">
        <f t="shared" si="2"/>
        <v>Exclude</v>
      </c>
      <c r="AU81" s="65" t="str">
        <f t="shared" si="3"/>
        <v>Exclude</v>
      </c>
    </row>
    <row r="82" spans="1:47" s="64" customFormat="1" x14ac:dyDescent="0.25">
      <c r="A82" s="63"/>
      <c r="U82" s="64" t="str">
        <f t="shared" si="0"/>
        <v>Exclude</v>
      </c>
      <c r="W82" s="65" t="str">
        <f t="shared" si="1"/>
        <v>Exclude</v>
      </c>
      <c r="Y82" s="63"/>
      <c r="AS82" s="64" t="str">
        <f t="shared" si="2"/>
        <v>Exclude</v>
      </c>
      <c r="AU82" s="65" t="str">
        <f t="shared" si="3"/>
        <v>Exclude</v>
      </c>
    </row>
    <row r="83" spans="1:47" s="64" customFormat="1" x14ac:dyDescent="0.25">
      <c r="A83" s="63"/>
      <c r="U83" s="64" t="str">
        <f t="shared" si="0"/>
        <v>Exclude</v>
      </c>
      <c r="W83" s="65" t="str">
        <f t="shared" si="1"/>
        <v>Exclude</v>
      </c>
      <c r="Y83" s="63"/>
      <c r="AS83" s="64" t="str">
        <f t="shared" si="2"/>
        <v>Exclude</v>
      </c>
      <c r="AU83" s="65" t="str">
        <f t="shared" si="3"/>
        <v>Exclude</v>
      </c>
    </row>
    <row r="84" spans="1:47" s="64" customFormat="1" x14ac:dyDescent="0.25">
      <c r="A84" s="63"/>
      <c r="U84" s="64" t="str">
        <f t="shared" si="0"/>
        <v>Exclude</v>
      </c>
      <c r="W84" s="65" t="str">
        <f t="shared" si="1"/>
        <v>Exclude</v>
      </c>
      <c r="Y84" s="63"/>
      <c r="AS84" s="64" t="str">
        <f t="shared" si="2"/>
        <v>Exclude</v>
      </c>
      <c r="AU84" s="65" t="str">
        <f t="shared" si="3"/>
        <v>Exclude</v>
      </c>
    </row>
    <row r="85" spans="1:47" s="64" customFormat="1" x14ac:dyDescent="0.25">
      <c r="A85" s="63"/>
      <c r="U85" s="64" t="str">
        <f t="shared" ref="U85:U148" si="4">IF(OR(R85="TruePositive",R85="TrueNegative"),IF(R84&lt;&gt;"Anticipatory",(N85),"Pant"),"Exclude")</f>
        <v>Exclude</v>
      </c>
      <c r="W85" s="65" t="str">
        <f t="shared" ref="W85:W148" si="5">IF(OR(R85="TruePositive",R85="TrueNegative"),IF(R84&lt;&gt;"Anticipatory",LOG10(N85),"Exclude"),"Exclude")</f>
        <v>Exclude</v>
      </c>
      <c r="Y85" s="63"/>
      <c r="AS85" s="64" t="str">
        <f t="shared" ref="AS85:AS148" si="6">IF(OR(AP85="TruePositive",AP85="TrueNegative"),IF(AP84&lt;&gt;"Anticipatory",(AL85),"Pant"),"Exclude")</f>
        <v>Exclude</v>
      </c>
      <c r="AU85" s="65" t="str">
        <f t="shared" ref="AU85:AU148" si="7">IF(OR(AP85="TruePositive",AP85="TrueNegative"),IF(AP84&lt;&gt;"Anticipatory",LOG10(AL85),"Exclude"),"Exclude")</f>
        <v>Exclude</v>
      </c>
    </row>
    <row r="86" spans="1:47" s="64" customFormat="1" x14ac:dyDescent="0.25">
      <c r="A86" s="63"/>
      <c r="U86" s="64" t="str">
        <f t="shared" si="4"/>
        <v>Exclude</v>
      </c>
      <c r="W86" s="65" t="str">
        <f t="shared" si="5"/>
        <v>Exclude</v>
      </c>
      <c r="Y86" s="63"/>
      <c r="AS86" s="64" t="str">
        <f t="shared" si="6"/>
        <v>Exclude</v>
      </c>
      <c r="AU86" s="65" t="str">
        <f t="shared" si="7"/>
        <v>Exclude</v>
      </c>
    </row>
    <row r="87" spans="1:47" s="64" customFormat="1" x14ac:dyDescent="0.25">
      <c r="A87" s="63"/>
      <c r="U87" s="64" t="str">
        <f t="shared" si="4"/>
        <v>Exclude</v>
      </c>
      <c r="W87" s="65" t="str">
        <f t="shared" si="5"/>
        <v>Exclude</v>
      </c>
      <c r="Y87" s="63"/>
      <c r="AS87" s="64" t="str">
        <f t="shared" si="6"/>
        <v>Exclude</v>
      </c>
      <c r="AU87" s="65" t="str">
        <f t="shared" si="7"/>
        <v>Exclude</v>
      </c>
    </row>
    <row r="88" spans="1:47" s="64" customFormat="1" x14ac:dyDescent="0.25">
      <c r="A88" s="63"/>
      <c r="U88" s="64" t="str">
        <f t="shared" si="4"/>
        <v>Exclude</v>
      </c>
      <c r="W88" s="65" t="str">
        <f t="shared" si="5"/>
        <v>Exclude</v>
      </c>
      <c r="Y88" s="63"/>
      <c r="AS88" s="64" t="str">
        <f t="shared" si="6"/>
        <v>Exclude</v>
      </c>
      <c r="AU88" s="65" t="str">
        <f t="shared" si="7"/>
        <v>Exclude</v>
      </c>
    </row>
    <row r="89" spans="1:47" s="64" customFormat="1" x14ac:dyDescent="0.25">
      <c r="A89" s="63"/>
      <c r="U89" s="64" t="str">
        <f t="shared" si="4"/>
        <v>Exclude</v>
      </c>
      <c r="W89" s="65" t="str">
        <f t="shared" si="5"/>
        <v>Exclude</v>
      </c>
      <c r="Y89" s="63"/>
      <c r="AS89" s="64" t="str">
        <f t="shared" si="6"/>
        <v>Exclude</v>
      </c>
      <c r="AU89" s="65" t="str">
        <f t="shared" si="7"/>
        <v>Exclude</v>
      </c>
    </row>
    <row r="90" spans="1:47" s="64" customFormat="1" x14ac:dyDescent="0.25">
      <c r="A90" s="63"/>
      <c r="U90" s="64" t="str">
        <f t="shared" si="4"/>
        <v>Exclude</v>
      </c>
      <c r="W90" s="65" t="str">
        <f t="shared" si="5"/>
        <v>Exclude</v>
      </c>
      <c r="Y90" s="63"/>
      <c r="AS90" s="64" t="str">
        <f t="shared" si="6"/>
        <v>Exclude</v>
      </c>
      <c r="AU90" s="65" t="str">
        <f t="shared" si="7"/>
        <v>Exclude</v>
      </c>
    </row>
    <row r="91" spans="1:47" s="64" customFormat="1" x14ac:dyDescent="0.25">
      <c r="A91" s="63"/>
      <c r="U91" s="64" t="str">
        <f t="shared" si="4"/>
        <v>Exclude</v>
      </c>
      <c r="W91" s="65" t="str">
        <f t="shared" si="5"/>
        <v>Exclude</v>
      </c>
      <c r="Y91" s="63"/>
      <c r="AS91" s="64" t="str">
        <f t="shared" si="6"/>
        <v>Exclude</v>
      </c>
      <c r="AU91" s="65" t="str">
        <f t="shared" si="7"/>
        <v>Exclude</v>
      </c>
    </row>
    <row r="92" spans="1:47" s="64" customFormat="1" x14ac:dyDescent="0.25">
      <c r="A92" s="63"/>
      <c r="U92" s="64" t="str">
        <f t="shared" si="4"/>
        <v>Exclude</v>
      </c>
      <c r="W92" s="65" t="str">
        <f t="shared" si="5"/>
        <v>Exclude</v>
      </c>
      <c r="Y92" s="63"/>
      <c r="AS92" s="64" t="str">
        <f t="shared" si="6"/>
        <v>Exclude</v>
      </c>
      <c r="AU92" s="65" t="str">
        <f t="shared" si="7"/>
        <v>Exclude</v>
      </c>
    </row>
    <row r="93" spans="1:47" s="64" customFormat="1" x14ac:dyDescent="0.25">
      <c r="A93" s="63"/>
      <c r="U93" s="64" t="str">
        <f t="shared" si="4"/>
        <v>Exclude</v>
      </c>
      <c r="W93" s="65" t="str">
        <f t="shared" si="5"/>
        <v>Exclude</v>
      </c>
      <c r="Y93" s="63"/>
      <c r="AS93" s="64" t="str">
        <f t="shared" si="6"/>
        <v>Exclude</v>
      </c>
      <c r="AU93" s="65" t="str">
        <f t="shared" si="7"/>
        <v>Exclude</v>
      </c>
    </row>
    <row r="94" spans="1:47" s="64" customFormat="1" x14ac:dyDescent="0.25">
      <c r="A94" s="63"/>
      <c r="U94" s="64" t="str">
        <f t="shared" si="4"/>
        <v>Exclude</v>
      </c>
      <c r="W94" s="65" t="str">
        <f t="shared" si="5"/>
        <v>Exclude</v>
      </c>
      <c r="Y94" s="63"/>
      <c r="AS94" s="64" t="str">
        <f t="shared" si="6"/>
        <v>Exclude</v>
      </c>
      <c r="AU94" s="65" t="str">
        <f t="shared" si="7"/>
        <v>Exclude</v>
      </c>
    </row>
    <row r="95" spans="1:47" s="64" customFormat="1" x14ac:dyDescent="0.25">
      <c r="A95" s="63"/>
      <c r="U95" s="64" t="str">
        <f t="shared" si="4"/>
        <v>Exclude</v>
      </c>
      <c r="W95" s="65" t="str">
        <f t="shared" si="5"/>
        <v>Exclude</v>
      </c>
      <c r="Y95" s="63"/>
      <c r="AS95" s="64" t="str">
        <f t="shared" si="6"/>
        <v>Exclude</v>
      </c>
      <c r="AU95" s="65" t="str">
        <f t="shared" si="7"/>
        <v>Exclude</v>
      </c>
    </row>
    <row r="96" spans="1:47" s="64" customFormat="1" x14ac:dyDescent="0.25">
      <c r="A96" s="63"/>
      <c r="U96" s="64" t="str">
        <f t="shared" si="4"/>
        <v>Exclude</v>
      </c>
      <c r="W96" s="65" t="str">
        <f t="shared" si="5"/>
        <v>Exclude</v>
      </c>
      <c r="Y96" s="63"/>
      <c r="AS96" s="64" t="str">
        <f t="shared" si="6"/>
        <v>Exclude</v>
      </c>
      <c r="AU96" s="65" t="str">
        <f t="shared" si="7"/>
        <v>Exclude</v>
      </c>
    </row>
    <row r="97" spans="1:47" s="64" customFormat="1" x14ac:dyDescent="0.25">
      <c r="A97" s="63"/>
      <c r="U97" s="64" t="str">
        <f t="shared" si="4"/>
        <v>Exclude</v>
      </c>
      <c r="W97" s="65" t="str">
        <f t="shared" si="5"/>
        <v>Exclude</v>
      </c>
      <c r="Y97" s="63"/>
      <c r="AS97" s="64" t="str">
        <f t="shared" si="6"/>
        <v>Exclude</v>
      </c>
      <c r="AU97" s="65" t="str">
        <f t="shared" si="7"/>
        <v>Exclude</v>
      </c>
    </row>
    <row r="98" spans="1:47" s="64" customFormat="1" x14ac:dyDescent="0.25">
      <c r="A98" s="63"/>
      <c r="U98" s="64" t="str">
        <f t="shared" si="4"/>
        <v>Exclude</v>
      </c>
      <c r="W98" s="65" t="str">
        <f t="shared" si="5"/>
        <v>Exclude</v>
      </c>
      <c r="Y98" s="63"/>
      <c r="AS98" s="64" t="str">
        <f t="shared" si="6"/>
        <v>Exclude</v>
      </c>
      <c r="AU98" s="65" t="str">
        <f t="shared" si="7"/>
        <v>Exclude</v>
      </c>
    </row>
    <row r="99" spans="1:47" s="64" customFormat="1" x14ac:dyDescent="0.25">
      <c r="A99" s="63"/>
      <c r="U99" s="64" t="str">
        <f t="shared" si="4"/>
        <v>Exclude</v>
      </c>
      <c r="W99" s="65" t="str">
        <f t="shared" si="5"/>
        <v>Exclude</v>
      </c>
      <c r="Y99" s="63"/>
      <c r="AS99" s="64" t="str">
        <f t="shared" si="6"/>
        <v>Exclude</v>
      </c>
      <c r="AU99" s="65" t="str">
        <f t="shared" si="7"/>
        <v>Exclude</v>
      </c>
    </row>
    <row r="100" spans="1:47" s="64" customFormat="1" x14ac:dyDescent="0.25">
      <c r="A100" s="63"/>
      <c r="U100" s="64" t="str">
        <f t="shared" si="4"/>
        <v>Exclude</v>
      </c>
      <c r="W100" s="65" t="str">
        <f t="shared" si="5"/>
        <v>Exclude</v>
      </c>
      <c r="Y100" s="63"/>
      <c r="AS100" s="64" t="str">
        <f t="shared" si="6"/>
        <v>Exclude</v>
      </c>
      <c r="AU100" s="65" t="str">
        <f t="shared" si="7"/>
        <v>Exclude</v>
      </c>
    </row>
    <row r="101" spans="1:47" s="64" customFormat="1" x14ac:dyDescent="0.25">
      <c r="A101" s="63"/>
      <c r="U101" s="64" t="str">
        <f t="shared" si="4"/>
        <v>Exclude</v>
      </c>
      <c r="W101" s="65" t="str">
        <f t="shared" si="5"/>
        <v>Exclude</v>
      </c>
      <c r="Y101" s="63"/>
      <c r="AS101" s="64" t="str">
        <f t="shared" si="6"/>
        <v>Exclude</v>
      </c>
      <c r="AU101" s="65" t="str">
        <f t="shared" si="7"/>
        <v>Exclude</v>
      </c>
    </row>
    <row r="102" spans="1:47" s="64" customFormat="1" x14ac:dyDescent="0.25">
      <c r="A102" s="63"/>
      <c r="U102" s="64" t="str">
        <f t="shared" si="4"/>
        <v>Exclude</v>
      </c>
      <c r="W102" s="65" t="str">
        <f t="shared" si="5"/>
        <v>Exclude</v>
      </c>
      <c r="Y102" s="63"/>
      <c r="AS102" s="64" t="str">
        <f t="shared" si="6"/>
        <v>Exclude</v>
      </c>
      <c r="AU102" s="65" t="str">
        <f t="shared" si="7"/>
        <v>Exclude</v>
      </c>
    </row>
    <row r="103" spans="1:47" s="64" customFormat="1" x14ac:dyDescent="0.25">
      <c r="A103" s="63"/>
      <c r="U103" s="64" t="str">
        <f t="shared" si="4"/>
        <v>Exclude</v>
      </c>
      <c r="W103" s="65" t="str">
        <f t="shared" si="5"/>
        <v>Exclude</v>
      </c>
      <c r="Y103" s="63"/>
      <c r="AS103" s="64" t="str">
        <f t="shared" si="6"/>
        <v>Exclude</v>
      </c>
      <c r="AU103" s="65" t="str">
        <f t="shared" si="7"/>
        <v>Exclude</v>
      </c>
    </row>
    <row r="104" spans="1:47" s="64" customFormat="1" x14ac:dyDescent="0.25">
      <c r="A104" s="63"/>
      <c r="U104" s="64" t="str">
        <f t="shared" si="4"/>
        <v>Exclude</v>
      </c>
      <c r="W104" s="65" t="str">
        <f t="shared" si="5"/>
        <v>Exclude</v>
      </c>
      <c r="Y104" s="63"/>
      <c r="AS104" s="64" t="str">
        <f t="shared" si="6"/>
        <v>Exclude</v>
      </c>
      <c r="AU104" s="65" t="str">
        <f t="shared" si="7"/>
        <v>Exclude</v>
      </c>
    </row>
    <row r="105" spans="1:47" s="64" customFormat="1" x14ac:dyDescent="0.25">
      <c r="A105" s="63"/>
      <c r="U105" s="64" t="str">
        <f t="shared" si="4"/>
        <v>Exclude</v>
      </c>
      <c r="W105" s="65" t="str">
        <f t="shared" si="5"/>
        <v>Exclude</v>
      </c>
      <c r="Y105" s="63"/>
      <c r="AS105" s="64" t="str">
        <f t="shared" si="6"/>
        <v>Exclude</v>
      </c>
      <c r="AU105" s="65" t="str">
        <f t="shared" si="7"/>
        <v>Exclude</v>
      </c>
    </row>
    <row r="106" spans="1:47" s="64" customFormat="1" x14ac:dyDescent="0.25">
      <c r="A106" s="63"/>
      <c r="U106" s="64" t="str">
        <f t="shared" si="4"/>
        <v>Exclude</v>
      </c>
      <c r="W106" s="65" t="str">
        <f t="shared" si="5"/>
        <v>Exclude</v>
      </c>
      <c r="Y106" s="63"/>
      <c r="AS106" s="64" t="str">
        <f t="shared" si="6"/>
        <v>Exclude</v>
      </c>
      <c r="AU106" s="65" t="str">
        <f t="shared" si="7"/>
        <v>Exclude</v>
      </c>
    </row>
    <row r="107" spans="1:47" s="64" customFormat="1" x14ac:dyDescent="0.25">
      <c r="A107" s="63"/>
      <c r="U107" s="64" t="str">
        <f t="shared" si="4"/>
        <v>Exclude</v>
      </c>
      <c r="W107" s="65" t="str">
        <f t="shared" si="5"/>
        <v>Exclude</v>
      </c>
      <c r="Y107" s="63"/>
      <c r="AS107" s="64" t="str">
        <f t="shared" si="6"/>
        <v>Exclude</v>
      </c>
      <c r="AU107" s="65" t="str">
        <f t="shared" si="7"/>
        <v>Exclude</v>
      </c>
    </row>
    <row r="108" spans="1:47" s="64" customFormat="1" x14ac:dyDescent="0.25">
      <c r="A108" s="63"/>
      <c r="U108" s="64" t="str">
        <f t="shared" si="4"/>
        <v>Exclude</v>
      </c>
      <c r="W108" s="65" t="str">
        <f t="shared" si="5"/>
        <v>Exclude</v>
      </c>
      <c r="Y108" s="63"/>
      <c r="AS108" s="64" t="str">
        <f t="shared" si="6"/>
        <v>Exclude</v>
      </c>
      <c r="AU108" s="65" t="str">
        <f t="shared" si="7"/>
        <v>Exclude</v>
      </c>
    </row>
    <row r="109" spans="1:47" s="64" customFormat="1" x14ac:dyDescent="0.25">
      <c r="A109" s="63"/>
      <c r="U109" s="64" t="str">
        <f t="shared" si="4"/>
        <v>Exclude</v>
      </c>
      <c r="W109" s="65" t="str">
        <f t="shared" si="5"/>
        <v>Exclude</v>
      </c>
      <c r="Y109" s="63"/>
      <c r="AS109" s="64" t="str">
        <f t="shared" si="6"/>
        <v>Exclude</v>
      </c>
      <c r="AU109" s="65" t="str">
        <f t="shared" si="7"/>
        <v>Exclude</v>
      </c>
    </row>
    <row r="110" spans="1:47" s="64" customFormat="1" x14ac:dyDescent="0.25">
      <c r="A110" s="63"/>
      <c r="U110" s="64" t="str">
        <f t="shared" si="4"/>
        <v>Exclude</v>
      </c>
      <c r="W110" s="65" t="str">
        <f t="shared" si="5"/>
        <v>Exclude</v>
      </c>
      <c r="Y110" s="63"/>
      <c r="AS110" s="64" t="str">
        <f t="shared" si="6"/>
        <v>Exclude</v>
      </c>
      <c r="AU110" s="65" t="str">
        <f t="shared" si="7"/>
        <v>Exclude</v>
      </c>
    </row>
    <row r="111" spans="1:47" s="64" customFormat="1" x14ac:dyDescent="0.25">
      <c r="A111" s="63"/>
      <c r="U111" s="64" t="str">
        <f t="shared" si="4"/>
        <v>Exclude</v>
      </c>
      <c r="W111" s="65" t="str">
        <f t="shared" si="5"/>
        <v>Exclude</v>
      </c>
      <c r="Y111" s="63"/>
      <c r="AS111" s="64" t="str">
        <f t="shared" si="6"/>
        <v>Exclude</v>
      </c>
      <c r="AU111" s="65" t="str">
        <f t="shared" si="7"/>
        <v>Exclude</v>
      </c>
    </row>
    <row r="112" spans="1:47" s="64" customFormat="1" x14ac:dyDescent="0.25">
      <c r="A112" s="63"/>
      <c r="U112" s="64" t="str">
        <f t="shared" si="4"/>
        <v>Exclude</v>
      </c>
      <c r="W112" s="65" t="str">
        <f t="shared" si="5"/>
        <v>Exclude</v>
      </c>
      <c r="Y112" s="63"/>
      <c r="AS112" s="64" t="str">
        <f t="shared" si="6"/>
        <v>Exclude</v>
      </c>
      <c r="AU112" s="65" t="str">
        <f t="shared" si="7"/>
        <v>Exclude</v>
      </c>
    </row>
    <row r="113" spans="1:47" s="64" customFormat="1" x14ac:dyDescent="0.25">
      <c r="A113" s="63"/>
      <c r="U113" s="64" t="str">
        <f t="shared" si="4"/>
        <v>Exclude</v>
      </c>
      <c r="W113" s="65" t="str">
        <f t="shared" si="5"/>
        <v>Exclude</v>
      </c>
      <c r="Y113" s="63"/>
      <c r="AS113" s="64" t="str">
        <f t="shared" si="6"/>
        <v>Exclude</v>
      </c>
      <c r="AU113" s="65" t="str">
        <f t="shared" si="7"/>
        <v>Exclude</v>
      </c>
    </row>
    <row r="114" spans="1:47" s="64" customFormat="1" x14ac:dyDescent="0.25">
      <c r="A114" s="63"/>
      <c r="U114" s="64" t="str">
        <f t="shared" si="4"/>
        <v>Exclude</v>
      </c>
      <c r="W114" s="65" t="str">
        <f t="shared" si="5"/>
        <v>Exclude</v>
      </c>
      <c r="Y114" s="63"/>
      <c r="AS114" s="64" t="str">
        <f t="shared" si="6"/>
        <v>Exclude</v>
      </c>
      <c r="AU114" s="65" t="str">
        <f t="shared" si="7"/>
        <v>Exclude</v>
      </c>
    </row>
    <row r="115" spans="1:47" s="64" customFormat="1" x14ac:dyDescent="0.25">
      <c r="A115" s="63"/>
      <c r="U115" s="64" t="str">
        <f t="shared" si="4"/>
        <v>Exclude</v>
      </c>
      <c r="W115" s="65" t="str">
        <f t="shared" si="5"/>
        <v>Exclude</v>
      </c>
      <c r="Y115" s="63"/>
      <c r="AS115" s="64" t="str">
        <f t="shared" si="6"/>
        <v>Exclude</v>
      </c>
      <c r="AU115" s="65" t="str">
        <f t="shared" si="7"/>
        <v>Exclude</v>
      </c>
    </row>
    <row r="116" spans="1:47" s="64" customFormat="1" x14ac:dyDescent="0.25">
      <c r="A116" s="63"/>
      <c r="U116" s="64" t="str">
        <f t="shared" si="4"/>
        <v>Exclude</v>
      </c>
      <c r="W116" s="65" t="str">
        <f t="shared" si="5"/>
        <v>Exclude</v>
      </c>
      <c r="Y116" s="63"/>
      <c r="AS116" s="64" t="str">
        <f t="shared" si="6"/>
        <v>Exclude</v>
      </c>
      <c r="AU116" s="65" t="str">
        <f t="shared" si="7"/>
        <v>Exclude</v>
      </c>
    </row>
    <row r="117" spans="1:47" s="64" customFormat="1" x14ac:dyDescent="0.25">
      <c r="A117" s="63"/>
      <c r="U117" s="64" t="str">
        <f t="shared" si="4"/>
        <v>Exclude</v>
      </c>
      <c r="W117" s="65" t="str">
        <f t="shared" si="5"/>
        <v>Exclude</v>
      </c>
      <c r="Y117" s="63"/>
      <c r="AS117" s="64" t="str">
        <f t="shared" si="6"/>
        <v>Exclude</v>
      </c>
      <c r="AU117" s="65" t="str">
        <f t="shared" si="7"/>
        <v>Exclude</v>
      </c>
    </row>
    <row r="118" spans="1:47" s="64" customFormat="1" x14ac:dyDescent="0.25">
      <c r="A118" s="63"/>
      <c r="U118" s="64" t="str">
        <f t="shared" si="4"/>
        <v>Exclude</v>
      </c>
      <c r="W118" s="65" t="str">
        <f t="shared" si="5"/>
        <v>Exclude</v>
      </c>
      <c r="Y118" s="63"/>
      <c r="AS118" s="64" t="str">
        <f t="shared" si="6"/>
        <v>Exclude</v>
      </c>
      <c r="AU118" s="65" t="str">
        <f t="shared" si="7"/>
        <v>Exclude</v>
      </c>
    </row>
    <row r="119" spans="1:47" s="64" customFormat="1" x14ac:dyDescent="0.25">
      <c r="A119" s="63"/>
      <c r="U119" s="64" t="str">
        <f t="shared" si="4"/>
        <v>Exclude</v>
      </c>
      <c r="W119" s="65" t="str">
        <f t="shared" si="5"/>
        <v>Exclude</v>
      </c>
      <c r="Y119" s="63"/>
      <c r="AS119" s="64" t="str">
        <f t="shared" si="6"/>
        <v>Exclude</v>
      </c>
      <c r="AU119" s="65" t="str">
        <f t="shared" si="7"/>
        <v>Exclude</v>
      </c>
    </row>
    <row r="120" spans="1:47" s="64" customFormat="1" x14ac:dyDescent="0.25">
      <c r="A120" s="63"/>
      <c r="U120" s="64" t="str">
        <f t="shared" si="4"/>
        <v>Exclude</v>
      </c>
      <c r="W120" s="65" t="str">
        <f t="shared" si="5"/>
        <v>Exclude</v>
      </c>
      <c r="Y120" s="63"/>
      <c r="AS120" s="64" t="str">
        <f t="shared" si="6"/>
        <v>Exclude</v>
      </c>
      <c r="AU120" s="65" t="str">
        <f t="shared" si="7"/>
        <v>Exclude</v>
      </c>
    </row>
    <row r="121" spans="1:47" s="64" customFormat="1" x14ac:dyDescent="0.25">
      <c r="A121" s="63"/>
      <c r="U121" s="64" t="str">
        <f t="shared" si="4"/>
        <v>Exclude</v>
      </c>
      <c r="W121" s="65" t="str">
        <f t="shared" si="5"/>
        <v>Exclude</v>
      </c>
      <c r="Y121" s="63"/>
      <c r="AS121" s="64" t="str">
        <f t="shared" si="6"/>
        <v>Exclude</v>
      </c>
      <c r="AU121" s="65" t="str">
        <f t="shared" si="7"/>
        <v>Exclude</v>
      </c>
    </row>
    <row r="122" spans="1:47" s="64" customFormat="1" x14ac:dyDescent="0.25">
      <c r="A122" s="63"/>
      <c r="U122" s="64" t="str">
        <f t="shared" si="4"/>
        <v>Exclude</v>
      </c>
      <c r="W122" s="65" t="str">
        <f t="shared" si="5"/>
        <v>Exclude</v>
      </c>
      <c r="Y122" s="63"/>
      <c r="AS122" s="64" t="str">
        <f t="shared" si="6"/>
        <v>Exclude</v>
      </c>
      <c r="AU122" s="65" t="str">
        <f t="shared" si="7"/>
        <v>Exclude</v>
      </c>
    </row>
    <row r="123" spans="1:47" s="64" customFormat="1" x14ac:dyDescent="0.25">
      <c r="A123" s="63"/>
      <c r="U123" s="64" t="str">
        <f t="shared" si="4"/>
        <v>Exclude</v>
      </c>
      <c r="W123" s="65" t="str">
        <f t="shared" si="5"/>
        <v>Exclude</v>
      </c>
      <c r="Y123" s="63"/>
      <c r="AS123" s="64" t="str">
        <f t="shared" si="6"/>
        <v>Exclude</v>
      </c>
      <c r="AU123" s="65" t="str">
        <f t="shared" si="7"/>
        <v>Exclude</v>
      </c>
    </row>
    <row r="124" spans="1:47" s="64" customFormat="1" x14ac:dyDescent="0.25">
      <c r="A124" s="63"/>
      <c r="U124" s="64" t="str">
        <f t="shared" si="4"/>
        <v>Exclude</v>
      </c>
      <c r="W124" s="65" t="str">
        <f t="shared" si="5"/>
        <v>Exclude</v>
      </c>
      <c r="Y124" s="63"/>
      <c r="AS124" s="64" t="str">
        <f t="shared" si="6"/>
        <v>Exclude</v>
      </c>
      <c r="AU124" s="65" t="str">
        <f t="shared" si="7"/>
        <v>Exclude</v>
      </c>
    </row>
    <row r="125" spans="1:47" s="64" customFormat="1" x14ac:dyDescent="0.25">
      <c r="A125" s="63"/>
      <c r="U125" s="64" t="str">
        <f t="shared" si="4"/>
        <v>Exclude</v>
      </c>
      <c r="W125" s="65" t="str">
        <f t="shared" si="5"/>
        <v>Exclude</v>
      </c>
      <c r="Y125" s="63"/>
      <c r="AS125" s="64" t="str">
        <f t="shared" si="6"/>
        <v>Exclude</v>
      </c>
      <c r="AU125" s="65" t="str">
        <f t="shared" si="7"/>
        <v>Exclude</v>
      </c>
    </row>
    <row r="126" spans="1:47" s="64" customFormat="1" x14ac:dyDescent="0.25">
      <c r="A126" s="63"/>
      <c r="U126" s="64" t="str">
        <f t="shared" si="4"/>
        <v>Exclude</v>
      </c>
      <c r="W126" s="65" t="str">
        <f t="shared" si="5"/>
        <v>Exclude</v>
      </c>
      <c r="Y126" s="63"/>
      <c r="AS126" s="64" t="str">
        <f t="shared" si="6"/>
        <v>Exclude</v>
      </c>
      <c r="AU126" s="65" t="str">
        <f t="shared" si="7"/>
        <v>Exclude</v>
      </c>
    </row>
    <row r="127" spans="1:47" s="64" customFormat="1" x14ac:dyDescent="0.25">
      <c r="A127" s="63"/>
      <c r="U127" s="64" t="str">
        <f t="shared" si="4"/>
        <v>Exclude</v>
      </c>
      <c r="W127" s="65" t="str">
        <f t="shared" si="5"/>
        <v>Exclude</v>
      </c>
      <c r="Y127" s="63"/>
      <c r="AS127" s="64" t="str">
        <f t="shared" si="6"/>
        <v>Exclude</v>
      </c>
      <c r="AU127" s="65" t="str">
        <f t="shared" si="7"/>
        <v>Exclude</v>
      </c>
    </row>
    <row r="128" spans="1:47" s="64" customFormat="1" x14ac:dyDescent="0.25">
      <c r="A128" s="63"/>
      <c r="U128" s="64" t="str">
        <f t="shared" si="4"/>
        <v>Exclude</v>
      </c>
      <c r="W128" s="65" t="str">
        <f t="shared" si="5"/>
        <v>Exclude</v>
      </c>
      <c r="Y128" s="63"/>
      <c r="AS128" s="64" t="str">
        <f t="shared" si="6"/>
        <v>Exclude</v>
      </c>
      <c r="AU128" s="65" t="str">
        <f t="shared" si="7"/>
        <v>Exclude</v>
      </c>
    </row>
    <row r="129" spans="1:47" s="64" customFormat="1" x14ac:dyDescent="0.25">
      <c r="A129" s="63"/>
      <c r="U129" s="64" t="str">
        <f t="shared" si="4"/>
        <v>Exclude</v>
      </c>
      <c r="W129" s="65" t="str">
        <f t="shared" si="5"/>
        <v>Exclude</v>
      </c>
      <c r="Y129" s="63"/>
      <c r="AS129" s="64" t="str">
        <f t="shared" si="6"/>
        <v>Exclude</v>
      </c>
      <c r="AU129" s="65" t="str">
        <f t="shared" si="7"/>
        <v>Exclude</v>
      </c>
    </row>
    <row r="130" spans="1:47" s="64" customFormat="1" x14ac:dyDescent="0.25">
      <c r="A130" s="63"/>
      <c r="U130" s="64" t="str">
        <f t="shared" si="4"/>
        <v>Exclude</v>
      </c>
      <c r="W130" s="65" t="str">
        <f t="shared" si="5"/>
        <v>Exclude</v>
      </c>
      <c r="Y130" s="63"/>
      <c r="AS130" s="64" t="str">
        <f t="shared" si="6"/>
        <v>Exclude</v>
      </c>
      <c r="AU130" s="65" t="str">
        <f t="shared" si="7"/>
        <v>Exclude</v>
      </c>
    </row>
    <row r="131" spans="1:47" s="64" customFormat="1" x14ac:dyDescent="0.25">
      <c r="A131" s="63"/>
      <c r="U131" s="64" t="str">
        <f t="shared" si="4"/>
        <v>Exclude</v>
      </c>
      <c r="W131" s="65" t="str">
        <f t="shared" si="5"/>
        <v>Exclude</v>
      </c>
      <c r="Y131" s="63"/>
      <c r="AS131" s="64" t="str">
        <f t="shared" si="6"/>
        <v>Exclude</v>
      </c>
      <c r="AU131" s="65" t="str">
        <f t="shared" si="7"/>
        <v>Exclude</v>
      </c>
    </row>
    <row r="132" spans="1:47" s="64" customFormat="1" x14ac:dyDescent="0.25">
      <c r="A132" s="63"/>
      <c r="U132" s="64" t="str">
        <f t="shared" si="4"/>
        <v>Exclude</v>
      </c>
      <c r="W132" s="65" t="str">
        <f t="shared" si="5"/>
        <v>Exclude</v>
      </c>
      <c r="Y132" s="63"/>
      <c r="AS132" s="64" t="str">
        <f t="shared" si="6"/>
        <v>Exclude</v>
      </c>
      <c r="AU132" s="65" t="str">
        <f t="shared" si="7"/>
        <v>Exclude</v>
      </c>
    </row>
    <row r="133" spans="1:47" s="64" customFormat="1" x14ac:dyDescent="0.25">
      <c r="A133" s="63"/>
      <c r="U133" s="64" t="str">
        <f t="shared" si="4"/>
        <v>Exclude</v>
      </c>
      <c r="W133" s="65" t="str">
        <f t="shared" si="5"/>
        <v>Exclude</v>
      </c>
      <c r="Y133" s="63"/>
      <c r="AS133" s="64" t="str">
        <f t="shared" si="6"/>
        <v>Exclude</v>
      </c>
      <c r="AU133" s="65" t="str">
        <f t="shared" si="7"/>
        <v>Exclude</v>
      </c>
    </row>
    <row r="134" spans="1:47" s="64" customFormat="1" x14ac:dyDescent="0.25">
      <c r="A134" s="63"/>
      <c r="U134" s="64" t="str">
        <f t="shared" si="4"/>
        <v>Exclude</v>
      </c>
      <c r="W134" s="65" t="str">
        <f t="shared" si="5"/>
        <v>Exclude</v>
      </c>
      <c r="Y134" s="63"/>
      <c r="AS134" s="64" t="str">
        <f t="shared" si="6"/>
        <v>Exclude</v>
      </c>
      <c r="AU134" s="65" t="str">
        <f t="shared" si="7"/>
        <v>Exclude</v>
      </c>
    </row>
    <row r="135" spans="1:47" s="64" customFormat="1" x14ac:dyDescent="0.25">
      <c r="A135" s="63"/>
      <c r="U135" s="64" t="str">
        <f t="shared" si="4"/>
        <v>Exclude</v>
      </c>
      <c r="W135" s="65" t="str">
        <f t="shared" si="5"/>
        <v>Exclude</v>
      </c>
      <c r="Y135" s="63"/>
      <c r="AS135" s="64" t="str">
        <f t="shared" si="6"/>
        <v>Exclude</v>
      </c>
      <c r="AU135" s="65" t="str">
        <f t="shared" si="7"/>
        <v>Exclude</v>
      </c>
    </row>
    <row r="136" spans="1:47" s="64" customFormat="1" x14ac:dyDescent="0.25">
      <c r="A136" s="63"/>
      <c r="U136" s="64" t="str">
        <f t="shared" si="4"/>
        <v>Exclude</v>
      </c>
      <c r="W136" s="65" t="str">
        <f t="shared" si="5"/>
        <v>Exclude</v>
      </c>
      <c r="Y136" s="63"/>
      <c r="AS136" s="64" t="str">
        <f t="shared" si="6"/>
        <v>Exclude</v>
      </c>
      <c r="AU136" s="65" t="str">
        <f t="shared" si="7"/>
        <v>Exclude</v>
      </c>
    </row>
    <row r="137" spans="1:47" s="64" customFormat="1" x14ac:dyDescent="0.25">
      <c r="A137" s="63"/>
      <c r="U137" s="64" t="str">
        <f t="shared" si="4"/>
        <v>Exclude</v>
      </c>
      <c r="W137" s="65" t="str">
        <f t="shared" si="5"/>
        <v>Exclude</v>
      </c>
      <c r="Y137" s="63"/>
      <c r="AS137" s="64" t="str">
        <f t="shared" si="6"/>
        <v>Exclude</v>
      </c>
      <c r="AU137" s="65" t="str">
        <f t="shared" si="7"/>
        <v>Exclude</v>
      </c>
    </row>
    <row r="138" spans="1:47" s="64" customFormat="1" x14ac:dyDescent="0.25">
      <c r="A138" s="63"/>
      <c r="U138" s="64" t="str">
        <f t="shared" si="4"/>
        <v>Exclude</v>
      </c>
      <c r="W138" s="65" t="str">
        <f t="shared" si="5"/>
        <v>Exclude</v>
      </c>
      <c r="Y138" s="63"/>
      <c r="AS138" s="64" t="str">
        <f t="shared" si="6"/>
        <v>Exclude</v>
      </c>
      <c r="AU138" s="65" t="str">
        <f t="shared" si="7"/>
        <v>Exclude</v>
      </c>
    </row>
    <row r="139" spans="1:47" s="64" customFormat="1" x14ac:dyDescent="0.25">
      <c r="A139" s="63"/>
      <c r="U139" s="64" t="str">
        <f t="shared" si="4"/>
        <v>Exclude</v>
      </c>
      <c r="W139" s="65" t="str">
        <f t="shared" si="5"/>
        <v>Exclude</v>
      </c>
      <c r="Y139" s="63"/>
      <c r="AS139" s="64" t="str">
        <f t="shared" si="6"/>
        <v>Exclude</v>
      </c>
      <c r="AU139" s="65" t="str">
        <f t="shared" si="7"/>
        <v>Exclude</v>
      </c>
    </row>
    <row r="140" spans="1:47" s="64" customFormat="1" x14ac:dyDescent="0.25">
      <c r="A140" s="63"/>
      <c r="U140" s="64" t="str">
        <f t="shared" si="4"/>
        <v>Exclude</v>
      </c>
      <c r="W140" s="65" t="str">
        <f t="shared" si="5"/>
        <v>Exclude</v>
      </c>
      <c r="Y140" s="63"/>
      <c r="AS140" s="64" t="str">
        <f t="shared" si="6"/>
        <v>Exclude</v>
      </c>
      <c r="AU140" s="65" t="str">
        <f t="shared" si="7"/>
        <v>Exclude</v>
      </c>
    </row>
    <row r="141" spans="1:47" s="64" customFormat="1" x14ac:dyDescent="0.25">
      <c r="A141" s="63"/>
      <c r="U141" s="64" t="str">
        <f t="shared" si="4"/>
        <v>Exclude</v>
      </c>
      <c r="W141" s="65" t="str">
        <f t="shared" si="5"/>
        <v>Exclude</v>
      </c>
      <c r="Y141" s="63"/>
      <c r="AS141" s="64" t="str">
        <f t="shared" si="6"/>
        <v>Exclude</v>
      </c>
      <c r="AU141" s="65" t="str">
        <f t="shared" si="7"/>
        <v>Exclude</v>
      </c>
    </row>
    <row r="142" spans="1:47" s="64" customFormat="1" x14ac:dyDescent="0.25">
      <c r="A142" s="63"/>
      <c r="U142" s="64" t="str">
        <f t="shared" si="4"/>
        <v>Exclude</v>
      </c>
      <c r="W142" s="65" t="str">
        <f t="shared" si="5"/>
        <v>Exclude</v>
      </c>
      <c r="Y142" s="63"/>
      <c r="AS142" s="64" t="str">
        <f t="shared" si="6"/>
        <v>Exclude</v>
      </c>
      <c r="AU142" s="65" t="str">
        <f t="shared" si="7"/>
        <v>Exclude</v>
      </c>
    </row>
    <row r="143" spans="1:47" s="64" customFormat="1" x14ac:dyDescent="0.25">
      <c r="A143" s="63"/>
      <c r="U143" s="64" t="str">
        <f t="shared" si="4"/>
        <v>Exclude</v>
      </c>
      <c r="W143" s="65" t="str">
        <f t="shared" si="5"/>
        <v>Exclude</v>
      </c>
      <c r="Y143" s="63"/>
      <c r="AS143" s="64" t="str">
        <f t="shared" si="6"/>
        <v>Exclude</v>
      </c>
      <c r="AU143" s="65" t="str">
        <f t="shared" si="7"/>
        <v>Exclude</v>
      </c>
    </row>
    <row r="144" spans="1:47" s="64" customFormat="1" x14ac:dyDescent="0.25">
      <c r="A144" s="63"/>
      <c r="U144" s="64" t="str">
        <f t="shared" si="4"/>
        <v>Exclude</v>
      </c>
      <c r="W144" s="65" t="str">
        <f t="shared" si="5"/>
        <v>Exclude</v>
      </c>
      <c r="Y144" s="63"/>
      <c r="AS144" s="64" t="str">
        <f t="shared" si="6"/>
        <v>Exclude</v>
      </c>
      <c r="AU144" s="65" t="str">
        <f t="shared" si="7"/>
        <v>Exclude</v>
      </c>
    </row>
    <row r="145" spans="1:47" s="64" customFormat="1" x14ac:dyDescent="0.25">
      <c r="A145" s="63"/>
      <c r="U145" s="64" t="str">
        <f t="shared" si="4"/>
        <v>Exclude</v>
      </c>
      <c r="W145" s="65" t="str">
        <f t="shared" si="5"/>
        <v>Exclude</v>
      </c>
      <c r="Y145" s="63"/>
      <c r="AS145" s="64" t="str">
        <f t="shared" si="6"/>
        <v>Exclude</v>
      </c>
      <c r="AU145" s="65" t="str">
        <f t="shared" si="7"/>
        <v>Exclude</v>
      </c>
    </row>
    <row r="146" spans="1:47" s="64" customFormat="1" x14ac:dyDescent="0.25">
      <c r="A146" s="63"/>
      <c r="U146" s="64" t="str">
        <f t="shared" si="4"/>
        <v>Exclude</v>
      </c>
      <c r="W146" s="65" t="str">
        <f t="shared" si="5"/>
        <v>Exclude</v>
      </c>
      <c r="Y146" s="63"/>
      <c r="AS146" s="64" t="str">
        <f t="shared" si="6"/>
        <v>Exclude</v>
      </c>
      <c r="AU146" s="65" t="str">
        <f t="shared" si="7"/>
        <v>Exclude</v>
      </c>
    </row>
    <row r="147" spans="1:47" s="64" customFormat="1" x14ac:dyDescent="0.25">
      <c r="A147" s="63"/>
      <c r="U147" s="64" t="str">
        <f t="shared" si="4"/>
        <v>Exclude</v>
      </c>
      <c r="W147" s="65" t="str">
        <f t="shared" si="5"/>
        <v>Exclude</v>
      </c>
      <c r="Y147" s="63"/>
      <c r="AS147" s="64" t="str">
        <f t="shared" si="6"/>
        <v>Exclude</v>
      </c>
      <c r="AU147" s="65" t="str">
        <f t="shared" si="7"/>
        <v>Exclude</v>
      </c>
    </row>
    <row r="148" spans="1:47" s="64" customFormat="1" x14ac:dyDescent="0.25">
      <c r="A148" s="63"/>
      <c r="U148" s="64" t="str">
        <f t="shared" si="4"/>
        <v>Exclude</v>
      </c>
      <c r="W148" s="65" t="str">
        <f t="shared" si="5"/>
        <v>Exclude</v>
      </c>
      <c r="Y148" s="63"/>
      <c r="AS148" s="64" t="str">
        <f t="shared" si="6"/>
        <v>Exclude</v>
      </c>
      <c r="AU148" s="65" t="str">
        <f t="shared" si="7"/>
        <v>Exclude</v>
      </c>
    </row>
    <row r="149" spans="1:47" s="64" customFormat="1" x14ac:dyDescent="0.25">
      <c r="A149" s="63"/>
      <c r="U149" s="64" t="str">
        <f t="shared" ref="U149:U212" si="8">IF(OR(R149="TruePositive",R149="TrueNegative"),IF(R148&lt;&gt;"Anticipatory",(N149),"Pant"),"Exclude")</f>
        <v>Exclude</v>
      </c>
      <c r="W149" s="65" t="str">
        <f t="shared" ref="W149:W212" si="9">IF(OR(R149="TruePositive",R149="TrueNegative"),IF(R148&lt;&gt;"Anticipatory",LOG10(N149),"Exclude"),"Exclude")</f>
        <v>Exclude</v>
      </c>
      <c r="Y149" s="63"/>
      <c r="AS149" s="64" t="str">
        <f t="shared" ref="AS149:AS212" si="10">IF(OR(AP149="TruePositive",AP149="TrueNegative"),IF(AP148&lt;&gt;"Anticipatory",(AL149),"Pant"),"Exclude")</f>
        <v>Exclude</v>
      </c>
      <c r="AU149" s="65" t="str">
        <f t="shared" ref="AU149:AU212" si="11">IF(OR(AP149="TruePositive",AP149="TrueNegative"),IF(AP148&lt;&gt;"Anticipatory",LOG10(AL149),"Exclude"),"Exclude")</f>
        <v>Exclude</v>
      </c>
    </row>
    <row r="150" spans="1:47" s="64" customFormat="1" x14ac:dyDescent="0.25">
      <c r="A150" s="63"/>
      <c r="U150" s="64" t="str">
        <f t="shared" si="8"/>
        <v>Exclude</v>
      </c>
      <c r="W150" s="65" t="str">
        <f t="shared" si="9"/>
        <v>Exclude</v>
      </c>
      <c r="Y150" s="63"/>
      <c r="AS150" s="64" t="str">
        <f t="shared" si="10"/>
        <v>Exclude</v>
      </c>
      <c r="AU150" s="65" t="str">
        <f t="shared" si="11"/>
        <v>Exclude</v>
      </c>
    </row>
    <row r="151" spans="1:47" s="64" customFormat="1" x14ac:dyDescent="0.25">
      <c r="A151" s="63"/>
      <c r="U151" s="64" t="str">
        <f t="shared" si="8"/>
        <v>Exclude</v>
      </c>
      <c r="W151" s="65" t="str">
        <f t="shared" si="9"/>
        <v>Exclude</v>
      </c>
      <c r="Y151" s="63"/>
      <c r="AS151" s="64" t="str">
        <f t="shared" si="10"/>
        <v>Exclude</v>
      </c>
      <c r="AU151" s="65" t="str">
        <f t="shared" si="11"/>
        <v>Exclude</v>
      </c>
    </row>
    <row r="152" spans="1:47" s="64" customFormat="1" x14ac:dyDescent="0.25">
      <c r="A152" s="63"/>
      <c r="U152" s="64" t="str">
        <f t="shared" si="8"/>
        <v>Exclude</v>
      </c>
      <c r="W152" s="65" t="str">
        <f t="shared" si="9"/>
        <v>Exclude</v>
      </c>
      <c r="Y152" s="63"/>
      <c r="AS152" s="64" t="str">
        <f t="shared" si="10"/>
        <v>Exclude</v>
      </c>
      <c r="AU152" s="65" t="str">
        <f t="shared" si="11"/>
        <v>Exclude</v>
      </c>
    </row>
    <row r="153" spans="1:47" s="64" customFormat="1" x14ac:dyDescent="0.25">
      <c r="A153" s="63"/>
      <c r="U153" s="64" t="str">
        <f t="shared" si="8"/>
        <v>Exclude</v>
      </c>
      <c r="W153" s="65" t="str">
        <f t="shared" si="9"/>
        <v>Exclude</v>
      </c>
      <c r="Y153" s="63"/>
      <c r="AS153" s="64" t="str">
        <f t="shared" si="10"/>
        <v>Exclude</v>
      </c>
      <c r="AU153" s="65" t="str">
        <f t="shared" si="11"/>
        <v>Exclude</v>
      </c>
    </row>
    <row r="154" spans="1:47" s="64" customFormat="1" x14ac:dyDescent="0.25">
      <c r="A154" s="63"/>
      <c r="U154" s="64" t="str">
        <f t="shared" si="8"/>
        <v>Exclude</v>
      </c>
      <c r="W154" s="65" t="str">
        <f t="shared" si="9"/>
        <v>Exclude</v>
      </c>
      <c r="Y154" s="63"/>
      <c r="AS154" s="64" t="str">
        <f t="shared" si="10"/>
        <v>Exclude</v>
      </c>
      <c r="AU154" s="65" t="str">
        <f t="shared" si="11"/>
        <v>Exclude</v>
      </c>
    </row>
    <row r="155" spans="1:47" s="64" customFormat="1" x14ac:dyDescent="0.25">
      <c r="A155" s="63"/>
      <c r="U155" s="64" t="str">
        <f t="shared" si="8"/>
        <v>Exclude</v>
      </c>
      <c r="W155" s="65" t="str">
        <f t="shared" si="9"/>
        <v>Exclude</v>
      </c>
      <c r="Y155" s="63"/>
      <c r="AS155" s="64" t="str">
        <f t="shared" si="10"/>
        <v>Exclude</v>
      </c>
      <c r="AU155" s="65" t="str">
        <f t="shared" si="11"/>
        <v>Exclude</v>
      </c>
    </row>
    <row r="156" spans="1:47" s="64" customFormat="1" x14ac:dyDescent="0.25">
      <c r="A156" s="63"/>
      <c r="U156" s="64" t="str">
        <f t="shared" si="8"/>
        <v>Exclude</v>
      </c>
      <c r="W156" s="65" t="str">
        <f t="shared" si="9"/>
        <v>Exclude</v>
      </c>
      <c r="Y156" s="63"/>
      <c r="AS156" s="64" t="str">
        <f t="shared" si="10"/>
        <v>Exclude</v>
      </c>
      <c r="AU156" s="65" t="str">
        <f t="shared" si="11"/>
        <v>Exclude</v>
      </c>
    </row>
    <row r="157" spans="1:47" s="64" customFormat="1" x14ac:dyDescent="0.25">
      <c r="A157" s="63"/>
      <c r="U157" s="64" t="str">
        <f t="shared" si="8"/>
        <v>Exclude</v>
      </c>
      <c r="W157" s="65" t="str">
        <f t="shared" si="9"/>
        <v>Exclude</v>
      </c>
      <c r="Y157" s="63"/>
      <c r="AS157" s="64" t="str">
        <f t="shared" si="10"/>
        <v>Exclude</v>
      </c>
      <c r="AU157" s="65" t="str">
        <f t="shared" si="11"/>
        <v>Exclude</v>
      </c>
    </row>
    <row r="158" spans="1:47" s="64" customFormat="1" x14ac:dyDescent="0.25">
      <c r="A158" s="63"/>
      <c r="U158" s="64" t="str">
        <f t="shared" si="8"/>
        <v>Exclude</v>
      </c>
      <c r="W158" s="65" t="str">
        <f t="shared" si="9"/>
        <v>Exclude</v>
      </c>
      <c r="Y158" s="63"/>
      <c r="AS158" s="64" t="str">
        <f t="shared" si="10"/>
        <v>Exclude</v>
      </c>
      <c r="AU158" s="65" t="str">
        <f t="shared" si="11"/>
        <v>Exclude</v>
      </c>
    </row>
    <row r="159" spans="1:47" s="64" customFormat="1" x14ac:dyDescent="0.25">
      <c r="A159" s="63"/>
      <c r="U159" s="64" t="str">
        <f t="shared" si="8"/>
        <v>Exclude</v>
      </c>
      <c r="W159" s="65" t="str">
        <f t="shared" si="9"/>
        <v>Exclude</v>
      </c>
      <c r="Y159" s="63"/>
      <c r="AS159" s="64" t="str">
        <f t="shared" si="10"/>
        <v>Exclude</v>
      </c>
      <c r="AU159" s="65" t="str">
        <f t="shared" si="11"/>
        <v>Exclude</v>
      </c>
    </row>
    <row r="160" spans="1:47" s="64" customFormat="1" x14ac:dyDescent="0.25">
      <c r="A160" s="63"/>
      <c r="U160" s="64" t="str">
        <f t="shared" si="8"/>
        <v>Exclude</v>
      </c>
      <c r="W160" s="65" t="str">
        <f t="shared" si="9"/>
        <v>Exclude</v>
      </c>
      <c r="Y160" s="63"/>
      <c r="AS160" s="64" t="str">
        <f t="shared" si="10"/>
        <v>Exclude</v>
      </c>
      <c r="AU160" s="65" t="str">
        <f t="shared" si="11"/>
        <v>Exclude</v>
      </c>
    </row>
    <row r="161" spans="1:47" s="64" customFormat="1" x14ac:dyDescent="0.25">
      <c r="A161" s="63"/>
      <c r="U161" s="64" t="str">
        <f t="shared" si="8"/>
        <v>Exclude</v>
      </c>
      <c r="W161" s="65" t="str">
        <f t="shared" si="9"/>
        <v>Exclude</v>
      </c>
      <c r="Y161" s="63"/>
      <c r="AS161" s="64" t="str">
        <f t="shared" si="10"/>
        <v>Exclude</v>
      </c>
      <c r="AU161" s="65" t="str">
        <f t="shared" si="11"/>
        <v>Exclude</v>
      </c>
    </row>
    <row r="162" spans="1:47" s="64" customFormat="1" x14ac:dyDescent="0.25">
      <c r="A162" s="63"/>
      <c r="U162" s="64" t="str">
        <f t="shared" si="8"/>
        <v>Exclude</v>
      </c>
      <c r="W162" s="65" t="str">
        <f t="shared" si="9"/>
        <v>Exclude</v>
      </c>
      <c r="Y162" s="63"/>
      <c r="AS162" s="64" t="str">
        <f t="shared" si="10"/>
        <v>Exclude</v>
      </c>
      <c r="AU162" s="65" t="str">
        <f t="shared" si="11"/>
        <v>Exclude</v>
      </c>
    </row>
    <row r="163" spans="1:47" s="64" customFormat="1" x14ac:dyDescent="0.25">
      <c r="A163" s="63"/>
      <c r="U163" s="64" t="str">
        <f t="shared" si="8"/>
        <v>Exclude</v>
      </c>
      <c r="W163" s="65" t="str">
        <f t="shared" si="9"/>
        <v>Exclude</v>
      </c>
      <c r="Y163" s="63"/>
      <c r="AS163" s="64" t="str">
        <f t="shared" si="10"/>
        <v>Exclude</v>
      </c>
      <c r="AU163" s="65" t="str">
        <f t="shared" si="11"/>
        <v>Exclude</v>
      </c>
    </row>
    <row r="164" spans="1:47" s="64" customFormat="1" x14ac:dyDescent="0.25">
      <c r="A164" s="63"/>
      <c r="U164" s="64" t="str">
        <f t="shared" si="8"/>
        <v>Exclude</v>
      </c>
      <c r="W164" s="65" t="str">
        <f t="shared" si="9"/>
        <v>Exclude</v>
      </c>
      <c r="Y164" s="63"/>
      <c r="AS164" s="64" t="str">
        <f t="shared" si="10"/>
        <v>Exclude</v>
      </c>
      <c r="AU164" s="65" t="str">
        <f t="shared" si="11"/>
        <v>Exclude</v>
      </c>
    </row>
    <row r="165" spans="1:47" s="64" customFormat="1" x14ac:dyDescent="0.25">
      <c r="A165" s="63"/>
      <c r="U165" s="64" t="str">
        <f t="shared" si="8"/>
        <v>Exclude</v>
      </c>
      <c r="W165" s="65" t="str">
        <f t="shared" si="9"/>
        <v>Exclude</v>
      </c>
      <c r="Y165" s="63"/>
      <c r="AS165" s="64" t="str">
        <f t="shared" si="10"/>
        <v>Exclude</v>
      </c>
      <c r="AU165" s="65" t="str">
        <f t="shared" si="11"/>
        <v>Exclude</v>
      </c>
    </row>
    <row r="166" spans="1:47" s="64" customFormat="1" x14ac:dyDescent="0.25">
      <c r="A166" s="63"/>
      <c r="U166" s="64" t="str">
        <f t="shared" si="8"/>
        <v>Exclude</v>
      </c>
      <c r="W166" s="65" t="str">
        <f t="shared" si="9"/>
        <v>Exclude</v>
      </c>
      <c r="Y166" s="63"/>
      <c r="AS166" s="64" t="str">
        <f t="shared" si="10"/>
        <v>Exclude</v>
      </c>
      <c r="AU166" s="65" t="str">
        <f t="shared" si="11"/>
        <v>Exclude</v>
      </c>
    </row>
    <row r="167" spans="1:47" s="64" customFormat="1" x14ac:dyDescent="0.25">
      <c r="A167" s="63"/>
      <c r="U167" s="64" t="str">
        <f t="shared" si="8"/>
        <v>Exclude</v>
      </c>
      <c r="W167" s="65" t="str">
        <f t="shared" si="9"/>
        <v>Exclude</v>
      </c>
      <c r="Y167" s="63"/>
      <c r="AS167" s="64" t="str">
        <f t="shared" si="10"/>
        <v>Exclude</v>
      </c>
      <c r="AU167" s="65" t="str">
        <f t="shared" si="11"/>
        <v>Exclude</v>
      </c>
    </row>
    <row r="168" spans="1:47" s="64" customFormat="1" x14ac:dyDescent="0.25">
      <c r="A168" s="63"/>
      <c r="U168" s="64" t="str">
        <f t="shared" si="8"/>
        <v>Exclude</v>
      </c>
      <c r="W168" s="65" t="str">
        <f t="shared" si="9"/>
        <v>Exclude</v>
      </c>
      <c r="Y168" s="63"/>
      <c r="AS168" s="64" t="str">
        <f t="shared" si="10"/>
        <v>Exclude</v>
      </c>
      <c r="AU168" s="65" t="str">
        <f t="shared" si="11"/>
        <v>Exclude</v>
      </c>
    </row>
    <row r="169" spans="1:47" s="64" customFormat="1" x14ac:dyDescent="0.25">
      <c r="A169" s="63"/>
      <c r="U169" s="64" t="str">
        <f t="shared" si="8"/>
        <v>Exclude</v>
      </c>
      <c r="W169" s="65" t="str">
        <f t="shared" si="9"/>
        <v>Exclude</v>
      </c>
      <c r="Y169" s="63"/>
      <c r="AS169" s="64" t="str">
        <f t="shared" si="10"/>
        <v>Exclude</v>
      </c>
      <c r="AU169" s="65" t="str">
        <f t="shared" si="11"/>
        <v>Exclude</v>
      </c>
    </row>
    <row r="170" spans="1:47" s="64" customFormat="1" x14ac:dyDescent="0.25">
      <c r="A170" s="63"/>
      <c r="U170" s="64" t="str">
        <f t="shared" si="8"/>
        <v>Exclude</v>
      </c>
      <c r="W170" s="65" t="str">
        <f t="shared" si="9"/>
        <v>Exclude</v>
      </c>
      <c r="Y170" s="63"/>
      <c r="AS170" s="64" t="str">
        <f t="shared" si="10"/>
        <v>Exclude</v>
      </c>
      <c r="AU170" s="65" t="str">
        <f t="shared" si="11"/>
        <v>Exclude</v>
      </c>
    </row>
    <row r="171" spans="1:47" s="64" customFormat="1" x14ac:dyDescent="0.25">
      <c r="A171" s="63"/>
      <c r="U171" s="64" t="str">
        <f t="shared" si="8"/>
        <v>Exclude</v>
      </c>
      <c r="W171" s="65" t="str">
        <f t="shared" si="9"/>
        <v>Exclude</v>
      </c>
      <c r="Y171" s="63"/>
      <c r="AS171" s="64" t="str">
        <f t="shared" si="10"/>
        <v>Exclude</v>
      </c>
      <c r="AU171" s="65" t="str">
        <f t="shared" si="11"/>
        <v>Exclude</v>
      </c>
    </row>
    <row r="172" spans="1:47" s="64" customFormat="1" x14ac:dyDescent="0.25">
      <c r="A172" s="63"/>
      <c r="U172" s="64" t="str">
        <f t="shared" si="8"/>
        <v>Exclude</v>
      </c>
      <c r="W172" s="65" t="str">
        <f t="shared" si="9"/>
        <v>Exclude</v>
      </c>
      <c r="Y172" s="63"/>
      <c r="AS172" s="64" t="str">
        <f t="shared" si="10"/>
        <v>Exclude</v>
      </c>
      <c r="AU172" s="65" t="str">
        <f t="shared" si="11"/>
        <v>Exclude</v>
      </c>
    </row>
    <row r="173" spans="1:47" s="64" customFormat="1" x14ac:dyDescent="0.25">
      <c r="A173" s="63"/>
      <c r="U173" s="64" t="str">
        <f t="shared" si="8"/>
        <v>Exclude</v>
      </c>
      <c r="W173" s="65" t="str">
        <f t="shared" si="9"/>
        <v>Exclude</v>
      </c>
      <c r="Y173" s="63"/>
      <c r="AS173" s="64" t="str">
        <f t="shared" si="10"/>
        <v>Exclude</v>
      </c>
      <c r="AU173" s="65" t="str">
        <f t="shared" si="11"/>
        <v>Exclude</v>
      </c>
    </row>
    <row r="174" spans="1:47" s="64" customFormat="1" x14ac:dyDescent="0.25">
      <c r="A174" s="63"/>
      <c r="U174" s="64" t="str">
        <f t="shared" si="8"/>
        <v>Exclude</v>
      </c>
      <c r="W174" s="65" t="str">
        <f t="shared" si="9"/>
        <v>Exclude</v>
      </c>
      <c r="Y174" s="63"/>
      <c r="AS174" s="64" t="str">
        <f t="shared" si="10"/>
        <v>Exclude</v>
      </c>
      <c r="AU174" s="65" t="str">
        <f t="shared" si="11"/>
        <v>Exclude</v>
      </c>
    </row>
    <row r="175" spans="1:47" s="64" customFormat="1" x14ac:dyDescent="0.25">
      <c r="A175" s="63"/>
      <c r="U175" s="64" t="str">
        <f t="shared" si="8"/>
        <v>Exclude</v>
      </c>
      <c r="W175" s="65" t="str">
        <f t="shared" si="9"/>
        <v>Exclude</v>
      </c>
      <c r="Y175" s="63"/>
      <c r="AS175" s="64" t="str">
        <f t="shared" si="10"/>
        <v>Exclude</v>
      </c>
      <c r="AU175" s="65" t="str">
        <f t="shared" si="11"/>
        <v>Exclude</v>
      </c>
    </row>
    <row r="176" spans="1:47" s="64" customFormat="1" x14ac:dyDescent="0.25">
      <c r="A176" s="63"/>
      <c r="U176" s="64" t="str">
        <f t="shared" si="8"/>
        <v>Exclude</v>
      </c>
      <c r="W176" s="65" t="str">
        <f t="shared" si="9"/>
        <v>Exclude</v>
      </c>
      <c r="Y176" s="63"/>
      <c r="AS176" s="64" t="str">
        <f t="shared" si="10"/>
        <v>Exclude</v>
      </c>
      <c r="AU176" s="65" t="str">
        <f t="shared" si="11"/>
        <v>Exclude</v>
      </c>
    </row>
    <row r="177" spans="1:47" s="64" customFormat="1" x14ac:dyDescent="0.25">
      <c r="A177" s="63"/>
      <c r="U177" s="64" t="str">
        <f t="shared" si="8"/>
        <v>Exclude</v>
      </c>
      <c r="W177" s="65" t="str">
        <f t="shared" si="9"/>
        <v>Exclude</v>
      </c>
      <c r="Y177" s="63"/>
      <c r="AS177" s="64" t="str">
        <f t="shared" si="10"/>
        <v>Exclude</v>
      </c>
      <c r="AU177" s="65" t="str">
        <f t="shared" si="11"/>
        <v>Exclude</v>
      </c>
    </row>
    <row r="178" spans="1:47" s="64" customFormat="1" x14ac:dyDescent="0.25">
      <c r="A178" s="63"/>
      <c r="U178" s="64" t="str">
        <f t="shared" si="8"/>
        <v>Exclude</v>
      </c>
      <c r="W178" s="65" t="str">
        <f t="shared" si="9"/>
        <v>Exclude</v>
      </c>
      <c r="Y178" s="63"/>
      <c r="AS178" s="64" t="str">
        <f t="shared" si="10"/>
        <v>Exclude</v>
      </c>
      <c r="AU178" s="65" t="str">
        <f t="shared" si="11"/>
        <v>Exclude</v>
      </c>
    </row>
    <row r="179" spans="1:47" s="64" customFormat="1" x14ac:dyDescent="0.25">
      <c r="A179" s="63"/>
      <c r="U179" s="64" t="str">
        <f t="shared" si="8"/>
        <v>Exclude</v>
      </c>
      <c r="W179" s="65" t="str">
        <f t="shared" si="9"/>
        <v>Exclude</v>
      </c>
      <c r="Y179" s="63"/>
      <c r="AS179" s="64" t="str">
        <f t="shared" si="10"/>
        <v>Exclude</v>
      </c>
      <c r="AU179" s="65" t="str">
        <f t="shared" si="11"/>
        <v>Exclude</v>
      </c>
    </row>
    <row r="180" spans="1:47" s="64" customFormat="1" x14ac:dyDescent="0.25">
      <c r="A180" s="63"/>
      <c r="U180" s="64" t="str">
        <f t="shared" si="8"/>
        <v>Exclude</v>
      </c>
      <c r="W180" s="65" t="str">
        <f t="shared" si="9"/>
        <v>Exclude</v>
      </c>
      <c r="Y180" s="63"/>
      <c r="AS180" s="64" t="str">
        <f t="shared" si="10"/>
        <v>Exclude</v>
      </c>
      <c r="AU180" s="65" t="str">
        <f t="shared" si="11"/>
        <v>Exclude</v>
      </c>
    </row>
    <row r="181" spans="1:47" s="64" customFormat="1" x14ac:dyDescent="0.25">
      <c r="A181" s="63"/>
      <c r="U181" s="64" t="str">
        <f t="shared" si="8"/>
        <v>Exclude</v>
      </c>
      <c r="W181" s="65" t="str">
        <f t="shared" si="9"/>
        <v>Exclude</v>
      </c>
      <c r="Y181" s="63"/>
      <c r="AS181" s="64" t="str">
        <f t="shared" si="10"/>
        <v>Exclude</v>
      </c>
      <c r="AU181" s="65" t="str">
        <f t="shared" si="11"/>
        <v>Exclude</v>
      </c>
    </row>
    <row r="182" spans="1:47" s="64" customFormat="1" x14ac:dyDescent="0.25">
      <c r="A182" s="63"/>
      <c r="U182" s="64" t="str">
        <f t="shared" si="8"/>
        <v>Exclude</v>
      </c>
      <c r="W182" s="65" t="str">
        <f t="shared" si="9"/>
        <v>Exclude</v>
      </c>
      <c r="Y182" s="63"/>
      <c r="AS182" s="64" t="str">
        <f t="shared" si="10"/>
        <v>Exclude</v>
      </c>
      <c r="AU182" s="65" t="str">
        <f t="shared" si="11"/>
        <v>Exclude</v>
      </c>
    </row>
    <row r="183" spans="1:47" s="64" customFormat="1" x14ac:dyDescent="0.25">
      <c r="A183" s="63"/>
      <c r="U183" s="64" t="str">
        <f t="shared" si="8"/>
        <v>Exclude</v>
      </c>
      <c r="W183" s="65" t="str">
        <f t="shared" si="9"/>
        <v>Exclude</v>
      </c>
      <c r="Y183" s="63"/>
      <c r="AS183" s="64" t="str">
        <f t="shared" si="10"/>
        <v>Exclude</v>
      </c>
      <c r="AU183" s="65" t="str">
        <f t="shared" si="11"/>
        <v>Exclude</v>
      </c>
    </row>
    <row r="184" spans="1:47" s="64" customFormat="1" x14ac:dyDescent="0.25">
      <c r="A184" s="63"/>
      <c r="U184" s="64" t="str">
        <f t="shared" si="8"/>
        <v>Exclude</v>
      </c>
      <c r="W184" s="65" t="str">
        <f t="shared" si="9"/>
        <v>Exclude</v>
      </c>
      <c r="Y184" s="63"/>
      <c r="AS184" s="64" t="str">
        <f t="shared" si="10"/>
        <v>Exclude</v>
      </c>
      <c r="AU184" s="65" t="str">
        <f t="shared" si="11"/>
        <v>Exclude</v>
      </c>
    </row>
    <row r="185" spans="1:47" s="64" customFormat="1" x14ac:dyDescent="0.25">
      <c r="A185" s="63"/>
      <c r="U185" s="64" t="str">
        <f t="shared" si="8"/>
        <v>Exclude</v>
      </c>
      <c r="W185" s="65" t="str">
        <f t="shared" si="9"/>
        <v>Exclude</v>
      </c>
      <c r="Y185" s="63"/>
      <c r="AS185" s="64" t="str">
        <f t="shared" si="10"/>
        <v>Exclude</v>
      </c>
      <c r="AU185" s="65" t="str">
        <f t="shared" si="11"/>
        <v>Exclude</v>
      </c>
    </row>
    <row r="186" spans="1:47" s="64" customFormat="1" x14ac:dyDescent="0.25">
      <c r="A186" s="63"/>
      <c r="U186" s="64" t="str">
        <f t="shared" si="8"/>
        <v>Exclude</v>
      </c>
      <c r="W186" s="65" t="str">
        <f t="shared" si="9"/>
        <v>Exclude</v>
      </c>
      <c r="Y186" s="63"/>
      <c r="AS186" s="64" t="str">
        <f t="shared" si="10"/>
        <v>Exclude</v>
      </c>
      <c r="AU186" s="65" t="str">
        <f t="shared" si="11"/>
        <v>Exclude</v>
      </c>
    </row>
    <row r="187" spans="1:47" s="64" customFormat="1" x14ac:dyDescent="0.25">
      <c r="A187" s="63"/>
      <c r="U187" s="64" t="str">
        <f t="shared" si="8"/>
        <v>Exclude</v>
      </c>
      <c r="W187" s="65" t="str">
        <f t="shared" si="9"/>
        <v>Exclude</v>
      </c>
      <c r="Y187" s="63"/>
      <c r="AS187" s="64" t="str">
        <f t="shared" si="10"/>
        <v>Exclude</v>
      </c>
      <c r="AU187" s="65" t="str">
        <f t="shared" si="11"/>
        <v>Exclude</v>
      </c>
    </row>
    <row r="188" spans="1:47" s="64" customFormat="1" x14ac:dyDescent="0.25">
      <c r="A188" s="63"/>
      <c r="U188" s="64" t="str">
        <f t="shared" si="8"/>
        <v>Exclude</v>
      </c>
      <c r="W188" s="65" t="str">
        <f t="shared" si="9"/>
        <v>Exclude</v>
      </c>
      <c r="Y188" s="63"/>
      <c r="AS188" s="64" t="str">
        <f t="shared" si="10"/>
        <v>Exclude</v>
      </c>
      <c r="AU188" s="65" t="str">
        <f t="shared" si="11"/>
        <v>Exclude</v>
      </c>
    </row>
    <row r="189" spans="1:47" s="64" customFormat="1" x14ac:dyDescent="0.25">
      <c r="A189" s="63"/>
      <c r="U189" s="64" t="str">
        <f t="shared" si="8"/>
        <v>Exclude</v>
      </c>
      <c r="W189" s="65" t="str">
        <f t="shared" si="9"/>
        <v>Exclude</v>
      </c>
      <c r="Y189" s="63"/>
      <c r="AS189" s="64" t="str">
        <f t="shared" si="10"/>
        <v>Exclude</v>
      </c>
      <c r="AU189" s="65" t="str">
        <f t="shared" si="11"/>
        <v>Exclude</v>
      </c>
    </row>
    <row r="190" spans="1:47" s="64" customFormat="1" x14ac:dyDescent="0.25">
      <c r="A190" s="63"/>
      <c r="U190" s="64" t="str">
        <f t="shared" si="8"/>
        <v>Exclude</v>
      </c>
      <c r="W190" s="65" t="str">
        <f t="shared" si="9"/>
        <v>Exclude</v>
      </c>
      <c r="Y190" s="63"/>
      <c r="AS190" s="64" t="str">
        <f t="shared" si="10"/>
        <v>Exclude</v>
      </c>
      <c r="AU190" s="65" t="str">
        <f t="shared" si="11"/>
        <v>Exclude</v>
      </c>
    </row>
    <row r="191" spans="1:47" s="64" customFormat="1" x14ac:dyDescent="0.25">
      <c r="A191" s="63"/>
      <c r="U191" s="64" t="str">
        <f t="shared" si="8"/>
        <v>Exclude</v>
      </c>
      <c r="W191" s="65" t="str">
        <f t="shared" si="9"/>
        <v>Exclude</v>
      </c>
      <c r="Y191" s="63"/>
      <c r="AS191" s="64" t="str">
        <f t="shared" si="10"/>
        <v>Exclude</v>
      </c>
      <c r="AU191" s="65" t="str">
        <f t="shared" si="11"/>
        <v>Exclude</v>
      </c>
    </row>
    <row r="192" spans="1:47" s="64" customFormat="1" x14ac:dyDescent="0.25">
      <c r="A192" s="63"/>
      <c r="U192" s="64" t="str">
        <f t="shared" si="8"/>
        <v>Exclude</v>
      </c>
      <c r="W192" s="65" t="str">
        <f t="shared" si="9"/>
        <v>Exclude</v>
      </c>
      <c r="Y192" s="63"/>
      <c r="AS192" s="64" t="str">
        <f t="shared" si="10"/>
        <v>Exclude</v>
      </c>
      <c r="AU192" s="65" t="str">
        <f t="shared" si="11"/>
        <v>Exclude</v>
      </c>
    </row>
    <row r="193" spans="1:47" s="64" customFormat="1" x14ac:dyDescent="0.25">
      <c r="A193" s="63"/>
      <c r="U193" s="64" t="str">
        <f t="shared" si="8"/>
        <v>Exclude</v>
      </c>
      <c r="W193" s="65" t="str">
        <f t="shared" si="9"/>
        <v>Exclude</v>
      </c>
      <c r="Y193" s="63"/>
      <c r="AS193" s="64" t="str">
        <f t="shared" si="10"/>
        <v>Exclude</v>
      </c>
      <c r="AU193" s="65" t="str">
        <f t="shared" si="11"/>
        <v>Exclude</v>
      </c>
    </row>
    <row r="194" spans="1:47" s="64" customFormat="1" x14ac:dyDescent="0.25">
      <c r="A194" s="63"/>
      <c r="U194" s="64" t="str">
        <f t="shared" si="8"/>
        <v>Exclude</v>
      </c>
      <c r="W194" s="65" t="str">
        <f t="shared" si="9"/>
        <v>Exclude</v>
      </c>
      <c r="Y194" s="63"/>
      <c r="AS194" s="64" t="str">
        <f t="shared" si="10"/>
        <v>Exclude</v>
      </c>
      <c r="AU194" s="65" t="str">
        <f t="shared" si="11"/>
        <v>Exclude</v>
      </c>
    </row>
    <row r="195" spans="1:47" s="64" customFormat="1" x14ac:dyDescent="0.25">
      <c r="A195" s="63"/>
      <c r="U195" s="64" t="str">
        <f t="shared" si="8"/>
        <v>Exclude</v>
      </c>
      <c r="W195" s="65" t="str">
        <f t="shared" si="9"/>
        <v>Exclude</v>
      </c>
      <c r="Y195" s="63"/>
      <c r="AS195" s="64" t="str">
        <f t="shared" si="10"/>
        <v>Exclude</v>
      </c>
      <c r="AU195" s="65" t="str">
        <f t="shared" si="11"/>
        <v>Exclude</v>
      </c>
    </row>
    <row r="196" spans="1:47" s="64" customFormat="1" x14ac:dyDescent="0.25">
      <c r="A196" s="63"/>
      <c r="U196" s="64" t="str">
        <f t="shared" si="8"/>
        <v>Exclude</v>
      </c>
      <c r="W196" s="65" t="str">
        <f t="shared" si="9"/>
        <v>Exclude</v>
      </c>
      <c r="Y196" s="63"/>
      <c r="AS196" s="64" t="str">
        <f t="shared" si="10"/>
        <v>Exclude</v>
      </c>
      <c r="AU196" s="65" t="str">
        <f t="shared" si="11"/>
        <v>Exclude</v>
      </c>
    </row>
    <row r="197" spans="1:47" s="64" customFormat="1" x14ac:dyDescent="0.25">
      <c r="A197" s="63"/>
      <c r="U197" s="64" t="str">
        <f t="shared" si="8"/>
        <v>Exclude</v>
      </c>
      <c r="W197" s="65" t="str">
        <f t="shared" si="9"/>
        <v>Exclude</v>
      </c>
      <c r="Y197" s="63"/>
      <c r="AS197" s="64" t="str">
        <f t="shared" si="10"/>
        <v>Exclude</v>
      </c>
      <c r="AU197" s="65" t="str">
        <f t="shared" si="11"/>
        <v>Exclude</v>
      </c>
    </row>
    <row r="198" spans="1:47" s="64" customFormat="1" x14ac:dyDescent="0.25">
      <c r="A198" s="63"/>
      <c r="U198" s="64" t="str">
        <f t="shared" si="8"/>
        <v>Exclude</v>
      </c>
      <c r="W198" s="65" t="str">
        <f t="shared" si="9"/>
        <v>Exclude</v>
      </c>
      <c r="Y198" s="63"/>
      <c r="AS198" s="64" t="str">
        <f t="shared" si="10"/>
        <v>Exclude</v>
      </c>
      <c r="AU198" s="65" t="str">
        <f t="shared" si="11"/>
        <v>Exclude</v>
      </c>
    </row>
    <row r="199" spans="1:47" s="64" customFormat="1" x14ac:dyDescent="0.25">
      <c r="A199" s="63"/>
      <c r="U199" s="64" t="str">
        <f t="shared" si="8"/>
        <v>Exclude</v>
      </c>
      <c r="W199" s="65" t="str">
        <f t="shared" si="9"/>
        <v>Exclude</v>
      </c>
      <c r="Y199" s="63"/>
      <c r="AS199" s="64" t="str">
        <f t="shared" si="10"/>
        <v>Exclude</v>
      </c>
      <c r="AU199" s="65" t="str">
        <f t="shared" si="11"/>
        <v>Exclude</v>
      </c>
    </row>
    <row r="200" spans="1:47" s="64" customFormat="1" x14ac:dyDescent="0.25">
      <c r="A200" s="63"/>
      <c r="U200" s="64" t="str">
        <f t="shared" si="8"/>
        <v>Exclude</v>
      </c>
      <c r="W200" s="65" t="str">
        <f t="shared" si="9"/>
        <v>Exclude</v>
      </c>
      <c r="Y200" s="63"/>
      <c r="AS200" s="64" t="str">
        <f t="shared" si="10"/>
        <v>Exclude</v>
      </c>
      <c r="AU200" s="65" t="str">
        <f t="shared" si="11"/>
        <v>Exclude</v>
      </c>
    </row>
    <row r="201" spans="1:47" s="64" customFormat="1" x14ac:dyDescent="0.25">
      <c r="A201" s="63"/>
      <c r="U201" s="64" t="str">
        <f t="shared" si="8"/>
        <v>Exclude</v>
      </c>
      <c r="W201" s="65" t="str">
        <f t="shared" si="9"/>
        <v>Exclude</v>
      </c>
      <c r="Y201" s="63"/>
      <c r="AS201" s="64" t="str">
        <f t="shared" si="10"/>
        <v>Exclude</v>
      </c>
      <c r="AU201" s="65" t="str">
        <f t="shared" si="11"/>
        <v>Exclude</v>
      </c>
    </row>
    <row r="202" spans="1:47" s="64" customFormat="1" x14ac:dyDescent="0.25">
      <c r="A202" s="63"/>
      <c r="U202" s="64" t="str">
        <f t="shared" si="8"/>
        <v>Exclude</v>
      </c>
      <c r="W202" s="65" t="str">
        <f t="shared" si="9"/>
        <v>Exclude</v>
      </c>
      <c r="Y202" s="63"/>
      <c r="AS202" s="64" t="str">
        <f t="shared" si="10"/>
        <v>Exclude</v>
      </c>
      <c r="AU202" s="65" t="str">
        <f t="shared" si="11"/>
        <v>Exclude</v>
      </c>
    </row>
    <row r="203" spans="1:47" s="64" customFormat="1" x14ac:dyDescent="0.25">
      <c r="A203" s="63"/>
      <c r="U203" s="64" t="str">
        <f t="shared" si="8"/>
        <v>Exclude</v>
      </c>
      <c r="W203" s="65" t="str">
        <f t="shared" si="9"/>
        <v>Exclude</v>
      </c>
      <c r="Y203" s="63"/>
      <c r="AS203" s="64" t="str">
        <f t="shared" si="10"/>
        <v>Exclude</v>
      </c>
      <c r="AU203" s="65" t="str">
        <f t="shared" si="11"/>
        <v>Exclude</v>
      </c>
    </row>
    <row r="204" spans="1:47" s="64" customFormat="1" x14ac:dyDescent="0.25">
      <c r="A204" s="63"/>
      <c r="U204" s="64" t="str">
        <f t="shared" si="8"/>
        <v>Exclude</v>
      </c>
      <c r="W204" s="65" t="str">
        <f t="shared" si="9"/>
        <v>Exclude</v>
      </c>
      <c r="Y204" s="63"/>
      <c r="AS204" s="64" t="str">
        <f t="shared" si="10"/>
        <v>Exclude</v>
      </c>
      <c r="AU204" s="65" t="str">
        <f t="shared" si="11"/>
        <v>Exclude</v>
      </c>
    </row>
    <row r="205" spans="1:47" s="64" customFormat="1" x14ac:dyDescent="0.25">
      <c r="A205" s="63"/>
      <c r="U205" s="64" t="str">
        <f t="shared" si="8"/>
        <v>Exclude</v>
      </c>
      <c r="W205" s="65" t="str">
        <f t="shared" si="9"/>
        <v>Exclude</v>
      </c>
      <c r="Y205" s="63"/>
      <c r="AS205" s="64" t="str">
        <f t="shared" si="10"/>
        <v>Exclude</v>
      </c>
      <c r="AU205" s="65" t="str">
        <f t="shared" si="11"/>
        <v>Exclude</v>
      </c>
    </row>
    <row r="206" spans="1:47" s="64" customFormat="1" x14ac:dyDescent="0.25">
      <c r="A206" s="63"/>
      <c r="U206" s="64" t="str">
        <f t="shared" si="8"/>
        <v>Exclude</v>
      </c>
      <c r="W206" s="65" t="str">
        <f t="shared" si="9"/>
        <v>Exclude</v>
      </c>
      <c r="Y206" s="63"/>
      <c r="AS206" s="64" t="str">
        <f t="shared" si="10"/>
        <v>Exclude</v>
      </c>
      <c r="AU206" s="65" t="str">
        <f t="shared" si="11"/>
        <v>Exclude</v>
      </c>
    </row>
    <row r="207" spans="1:47" s="64" customFormat="1" x14ac:dyDescent="0.25">
      <c r="A207" s="63"/>
      <c r="U207" s="64" t="str">
        <f t="shared" si="8"/>
        <v>Exclude</v>
      </c>
      <c r="W207" s="65" t="str">
        <f t="shared" si="9"/>
        <v>Exclude</v>
      </c>
      <c r="Y207" s="63"/>
      <c r="AS207" s="64" t="str">
        <f t="shared" si="10"/>
        <v>Exclude</v>
      </c>
      <c r="AU207" s="65" t="str">
        <f t="shared" si="11"/>
        <v>Exclude</v>
      </c>
    </row>
    <row r="208" spans="1:47" s="64" customFormat="1" x14ac:dyDescent="0.25">
      <c r="A208" s="63"/>
      <c r="U208" s="64" t="str">
        <f t="shared" si="8"/>
        <v>Exclude</v>
      </c>
      <c r="W208" s="65" t="str">
        <f t="shared" si="9"/>
        <v>Exclude</v>
      </c>
      <c r="Y208" s="63"/>
      <c r="AS208" s="64" t="str">
        <f t="shared" si="10"/>
        <v>Exclude</v>
      </c>
      <c r="AU208" s="65" t="str">
        <f t="shared" si="11"/>
        <v>Exclude</v>
      </c>
    </row>
    <row r="209" spans="1:47" s="64" customFormat="1" x14ac:dyDescent="0.25">
      <c r="A209" s="63"/>
      <c r="U209" s="64" t="str">
        <f t="shared" si="8"/>
        <v>Exclude</v>
      </c>
      <c r="W209" s="65" t="str">
        <f t="shared" si="9"/>
        <v>Exclude</v>
      </c>
      <c r="Y209" s="63"/>
      <c r="AS209" s="64" t="str">
        <f t="shared" si="10"/>
        <v>Exclude</v>
      </c>
      <c r="AU209" s="65" t="str">
        <f t="shared" si="11"/>
        <v>Exclude</v>
      </c>
    </row>
    <row r="210" spans="1:47" s="64" customFormat="1" x14ac:dyDescent="0.25">
      <c r="A210" s="63"/>
      <c r="U210" s="64" t="str">
        <f t="shared" si="8"/>
        <v>Exclude</v>
      </c>
      <c r="W210" s="65" t="str">
        <f t="shared" si="9"/>
        <v>Exclude</v>
      </c>
      <c r="Y210" s="63"/>
      <c r="AS210" s="64" t="str">
        <f t="shared" si="10"/>
        <v>Exclude</v>
      </c>
      <c r="AU210" s="65" t="str">
        <f t="shared" si="11"/>
        <v>Exclude</v>
      </c>
    </row>
    <row r="211" spans="1:47" s="64" customFormat="1" x14ac:dyDescent="0.25">
      <c r="A211" s="63"/>
      <c r="U211" s="64" t="str">
        <f t="shared" si="8"/>
        <v>Exclude</v>
      </c>
      <c r="W211" s="65" t="str">
        <f t="shared" si="9"/>
        <v>Exclude</v>
      </c>
      <c r="Y211" s="63"/>
      <c r="AS211" s="64" t="str">
        <f t="shared" si="10"/>
        <v>Exclude</v>
      </c>
      <c r="AU211" s="65" t="str">
        <f t="shared" si="11"/>
        <v>Exclude</v>
      </c>
    </row>
    <row r="212" spans="1:47" s="64" customFormat="1" x14ac:dyDescent="0.25">
      <c r="A212" s="63"/>
      <c r="U212" s="64" t="str">
        <f t="shared" si="8"/>
        <v>Exclude</v>
      </c>
      <c r="W212" s="65" t="str">
        <f t="shared" si="9"/>
        <v>Exclude</v>
      </c>
      <c r="Y212" s="63"/>
      <c r="AS212" s="64" t="str">
        <f t="shared" si="10"/>
        <v>Exclude</v>
      </c>
      <c r="AU212" s="65" t="str">
        <f t="shared" si="11"/>
        <v>Exclude</v>
      </c>
    </row>
    <row r="213" spans="1:47" s="64" customFormat="1" x14ac:dyDescent="0.25">
      <c r="A213" s="63"/>
      <c r="U213" s="64" t="str">
        <f t="shared" ref="U213:U276" si="12">IF(OR(R213="TruePositive",R213="TrueNegative"),IF(R212&lt;&gt;"Anticipatory",(N213),"Pant"),"Exclude")</f>
        <v>Exclude</v>
      </c>
      <c r="W213" s="65" t="str">
        <f t="shared" ref="W213:W276" si="13">IF(OR(R213="TruePositive",R213="TrueNegative"),IF(R212&lt;&gt;"Anticipatory",LOG10(N213),"Exclude"),"Exclude")</f>
        <v>Exclude</v>
      </c>
      <c r="Y213" s="63"/>
      <c r="AS213" s="64" t="str">
        <f t="shared" ref="AS213:AS276" si="14">IF(OR(AP213="TruePositive",AP213="TrueNegative"),IF(AP212&lt;&gt;"Anticipatory",(AL213),"Pant"),"Exclude")</f>
        <v>Exclude</v>
      </c>
      <c r="AU213" s="65" t="str">
        <f t="shared" ref="AU213:AU276" si="15">IF(OR(AP213="TruePositive",AP213="TrueNegative"),IF(AP212&lt;&gt;"Anticipatory",LOG10(AL213),"Exclude"),"Exclude")</f>
        <v>Exclude</v>
      </c>
    </row>
    <row r="214" spans="1:47" s="64" customFormat="1" x14ac:dyDescent="0.25">
      <c r="A214" s="63"/>
      <c r="U214" s="64" t="str">
        <f t="shared" si="12"/>
        <v>Exclude</v>
      </c>
      <c r="W214" s="65" t="str">
        <f t="shared" si="13"/>
        <v>Exclude</v>
      </c>
      <c r="Y214" s="63"/>
      <c r="AS214" s="64" t="str">
        <f t="shared" si="14"/>
        <v>Exclude</v>
      </c>
      <c r="AU214" s="65" t="str">
        <f t="shared" si="15"/>
        <v>Exclude</v>
      </c>
    </row>
    <row r="215" spans="1:47" s="64" customFormat="1" x14ac:dyDescent="0.25">
      <c r="A215" s="63"/>
      <c r="U215" s="64" t="str">
        <f t="shared" si="12"/>
        <v>Exclude</v>
      </c>
      <c r="W215" s="65" t="str">
        <f t="shared" si="13"/>
        <v>Exclude</v>
      </c>
      <c r="Y215" s="63"/>
      <c r="AS215" s="64" t="str">
        <f t="shared" si="14"/>
        <v>Exclude</v>
      </c>
      <c r="AU215" s="65" t="str">
        <f t="shared" si="15"/>
        <v>Exclude</v>
      </c>
    </row>
    <row r="216" spans="1:47" s="64" customFormat="1" x14ac:dyDescent="0.25">
      <c r="A216" s="63"/>
      <c r="U216" s="64" t="str">
        <f t="shared" si="12"/>
        <v>Exclude</v>
      </c>
      <c r="W216" s="65" t="str">
        <f t="shared" si="13"/>
        <v>Exclude</v>
      </c>
      <c r="Y216" s="63"/>
      <c r="AS216" s="64" t="str">
        <f t="shared" si="14"/>
        <v>Exclude</v>
      </c>
      <c r="AU216" s="65" t="str">
        <f t="shared" si="15"/>
        <v>Exclude</v>
      </c>
    </row>
    <row r="217" spans="1:47" s="64" customFormat="1" x14ac:dyDescent="0.25">
      <c r="A217" s="63"/>
      <c r="U217" s="64" t="str">
        <f t="shared" si="12"/>
        <v>Exclude</v>
      </c>
      <c r="W217" s="65" t="str">
        <f t="shared" si="13"/>
        <v>Exclude</v>
      </c>
      <c r="Y217" s="63"/>
      <c r="AS217" s="64" t="str">
        <f t="shared" si="14"/>
        <v>Exclude</v>
      </c>
      <c r="AU217" s="65" t="str">
        <f t="shared" si="15"/>
        <v>Exclude</v>
      </c>
    </row>
    <row r="218" spans="1:47" s="64" customFormat="1" x14ac:dyDescent="0.25">
      <c r="A218" s="63"/>
      <c r="U218" s="64" t="str">
        <f t="shared" si="12"/>
        <v>Exclude</v>
      </c>
      <c r="W218" s="65" t="str">
        <f t="shared" si="13"/>
        <v>Exclude</v>
      </c>
      <c r="Y218" s="63"/>
      <c r="AS218" s="64" t="str">
        <f t="shared" si="14"/>
        <v>Exclude</v>
      </c>
      <c r="AU218" s="65" t="str">
        <f t="shared" si="15"/>
        <v>Exclude</v>
      </c>
    </row>
    <row r="219" spans="1:47" s="64" customFormat="1" x14ac:dyDescent="0.25">
      <c r="A219" s="63"/>
      <c r="U219" s="64" t="str">
        <f t="shared" si="12"/>
        <v>Exclude</v>
      </c>
      <c r="W219" s="65" t="str">
        <f t="shared" si="13"/>
        <v>Exclude</v>
      </c>
      <c r="Y219" s="63"/>
      <c r="AS219" s="64" t="str">
        <f t="shared" si="14"/>
        <v>Exclude</v>
      </c>
      <c r="AU219" s="65" t="str">
        <f t="shared" si="15"/>
        <v>Exclude</v>
      </c>
    </row>
    <row r="220" spans="1:47" s="64" customFormat="1" x14ac:dyDescent="0.25">
      <c r="A220" s="63"/>
      <c r="U220" s="64" t="str">
        <f t="shared" si="12"/>
        <v>Exclude</v>
      </c>
      <c r="W220" s="65" t="str">
        <f t="shared" si="13"/>
        <v>Exclude</v>
      </c>
      <c r="Y220" s="63"/>
      <c r="AS220" s="64" t="str">
        <f t="shared" si="14"/>
        <v>Exclude</v>
      </c>
      <c r="AU220" s="65" t="str">
        <f t="shared" si="15"/>
        <v>Exclude</v>
      </c>
    </row>
    <row r="221" spans="1:47" s="64" customFormat="1" x14ac:dyDescent="0.25">
      <c r="A221" s="63"/>
      <c r="U221" s="64" t="str">
        <f t="shared" si="12"/>
        <v>Exclude</v>
      </c>
      <c r="W221" s="65" t="str">
        <f t="shared" si="13"/>
        <v>Exclude</v>
      </c>
      <c r="Y221" s="63"/>
      <c r="AS221" s="64" t="str">
        <f t="shared" si="14"/>
        <v>Exclude</v>
      </c>
      <c r="AU221" s="65" t="str">
        <f t="shared" si="15"/>
        <v>Exclude</v>
      </c>
    </row>
    <row r="222" spans="1:47" s="64" customFormat="1" x14ac:dyDescent="0.25">
      <c r="A222" s="63"/>
      <c r="U222" s="64" t="str">
        <f t="shared" si="12"/>
        <v>Exclude</v>
      </c>
      <c r="W222" s="65" t="str">
        <f t="shared" si="13"/>
        <v>Exclude</v>
      </c>
      <c r="Y222" s="63"/>
      <c r="AS222" s="64" t="str">
        <f t="shared" si="14"/>
        <v>Exclude</v>
      </c>
      <c r="AU222" s="65" t="str">
        <f t="shared" si="15"/>
        <v>Exclude</v>
      </c>
    </row>
    <row r="223" spans="1:47" s="64" customFormat="1" x14ac:dyDescent="0.25">
      <c r="A223" s="63"/>
      <c r="U223" s="64" t="str">
        <f t="shared" si="12"/>
        <v>Exclude</v>
      </c>
      <c r="W223" s="65" t="str">
        <f t="shared" si="13"/>
        <v>Exclude</v>
      </c>
      <c r="Y223" s="63"/>
      <c r="AS223" s="64" t="str">
        <f t="shared" si="14"/>
        <v>Exclude</v>
      </c>
      <c r="AU223" s="65" t="str">
        <f t="shared" si="15"/>
        <v>Exclude</v>
      </c>
    </row>
    <row r="224" spans="1:47" s="64" customFormat="1" x14ac:dyDescent="0.25">
      <c r="A224" s="63"/>
      <c r="U224" s="64" t="str">
        <f t="shared" si="12"/>
        <v>Exclude</v>
      </c>
      <c r="W224" s="65" t="str">
        <f t="shared" si="13"/>
        <v>Exclude</v>
      </c>
      <c r="Y224" s="63"/>
      <c r="AS224" s="64" t="str">
        <f t="shared" si="14"/>
        <v>Exclude</v>
      </c>
      <c r="AU224" s="65" t="str">
        <f t="shared" si="15"/>
        <v>Exclude</v>
      </c>
    </row>
    <row r="225" spans="1:47" s="64" customFormat="1" x14ac:dyDescent="0.25">
      <c r="A225" s="63"/>
      <c r="U225" s="64" t="str">
        <f t="shared" si="12"/>
        <v>Exclude</v>
      </c>
      <c r="W225" s="65" t="str">
        <f t="shared" si="13"/>
        <v>Exclude</v>
      </c>
      <c r="Y225" s="63"/>
      <c r="AS225" s="64" t="str">
        <f t="shared" si="14"/>
        <v>Exclude</v>
      </c>
      <c r="AU225" s="65" t="str">
        <f t="shared" si="15"/>
        <v>Exclude</v>
      </c>
    </row>
    <row r="226" spans="1:47" s="64" customFormat="1" x14ac:dyDescent="0.25">
      <c r="A226" s="63"/>
      <c r="U226" s="64" t="str">
        <f t="shared" si="12"/>
        <v>Exclude</v>
      </c>
      <c r="W226" s="65" t="str">
        <f t="shared" si="13"/>
        <v>Exclude</v>
      </c>
      <c r="Y226" s="63"/>
      <c r="AS226" s="64" t="str">
        <f t="shared" si="14"/>
        <v>Exclude</v>
      </c>
      <c r="AU226" s="65" t="str">
        <f t="shared" si="15"/>
        <v>Exclude</v>
      </c>
    </row>
    <row r="227" spans="1:47" s="64" customFormat="1" x14ac:dyDescent="0.25">
      <c r="A227" s="63"/>
      <c r="U227" s="64" t="str">
        <f t="shared" si="12"/>
        <v>Exclude</v>
      </c>
      <c r="W227" s="65" t="str">
        <f t="shared" si="13"/>
        <v>Exclude</v>
      </c>
      <c r="Y227" s="63"/>
      <c r="AS227" s="64" t="str">
        <f t="shared" si="14"/>
        <v>Exclude</v>
      </c>
      <c r="AU227" s="65" t="str">
        <f t="shared" si="15"/>
        <v>Exclude</v>
      </c>
    </row>
    <row r="228" spans="1:47" s="64" customFormat="1" x14ac:dyDescent="0.25">
      <c r="A228" s="63"/>
      <c r="U228" s="64" t="str">
        <f t="shared" si="12"/>
        <v>Exclude</v>
      </c>
      <c r="W228" s="65" t="str">
        <f t="shared" si="13"/>
        <v>Exclude</v>
      </c>
      <c r="Y228" s="63"/>
      <c r="AS228" s="64" t="str">
        <f t="shared" si="14"/>
        <v>Exclude</v>
      </c>
      <c r="AU228" s="65" t="str">
        <f t="shared" si="15"/>
        <v>Exclude</v>
      </c>
    </row>
    <row r="229" spans="1:47" s="64" customFormat="1" x14ac:dyDescent="0.25">
      <c r="A229" s="63"/>
      <c r="U229" s="64" t="str">
        <f t="shared" si="12"/>
        <v>Exclude</v>
      </c>
      <c r="W229" s="65" t="str">
        <f t="shared" si="13"/>
        <v>Exclude</v>
      </c>
      <c r="Y229" s="63"/>
      <c r="AS229" s="64" t="str">
        <f t="shared" si="14"/>
        <v>Exclude</v>
      </c>
      <c r="AU229" s="65" t="str">
        <f t="shared" si="15"/>
        <v>Exclude</v>
      </c>
    </row>
    <row r="230" spans="1:47" s="64" customFormat="1" x14ac:dyDescent="0.25">
      <c r="A230" s="63"/>
      <c r="U230" s="64" t="str">
        <f t="shared" si="12"/>
        <v>Exclude</v>
      </c>
      <c r="W230" s="65" t="str">
        <f t="shared" si="13"/>
        <v>Exclude</v>
      </c>
      <c r="Y230" s="63"/>
      <c r="AS230" s="64" t="str">
        <f t="shared" si="14"/>
        <v>Exclude</v>
      </c>
      <c r="AU230" s="65" t="str">
        <f t="shared" si="15"/>
        <v>Exclude</v>
      </c>
    </row>
    <row r="231" spans="1:47" s="64" customFormat="1" x14ac:dyDescent="0.25">
      <c r="A231" s="63"/>
      <c r="U231" s="64" t="str">
        <f t="shared" si="12"/>
        <v>Exclude</v>
      </c>
      <c r="W231" s="65" t="str">
        <f t="shared" si="13"/>
        <v>Exclude</v>
      </c>
      <c r="Y231" s="63"/>
      <c r="AS231" s="64" t="str">
        <f t="shared" si="14"/>
        <v>Exclude</v>
      </c>
      <c r="AU231" s="65" t="str">
        <f t="shared" si="15"/>
        <v>Exclude</v>
      </c>
    </row>
    <row r="232" spans="1:47" s="64" customFormat="1" x14ac:dyDescent="0.25">
      <c r="A232" s="63"/>
      <c r="U232" s="64" t="str">
        <f t="shared" si="12"/>
        <v>Exclude</v>
      </c>
      <c r="W232" s="65" t="str">
        <f t="shared" si="13"/>
        <v>Exclude</v>
      </c>
      <c r="Y232" s="63"/>
      <c r="AS232" s="64" t="str">
        <f t="shared" si="14"/>
        <v>Exclude</v>
      </c>
      <c r="AU232" s="65" t="str">
        <f t="shared" si="15"/>
        <v>Exclude</v>
      </c>
    </row>
    <row r="233" spans="1:47" s="64" customFormat="1" x14ac:dyDescent="0.25">
      <c r="A233" s="63"/>
      <c r="U233" s="64" t="str">
        <f t="shared" si="12"/>
        <v>Exclude</v>
      </c>
      <c r="W233" s="65" t="str">
        <f t="shared" si="13"/>
        <v>Exclude</v>
      </c>
      <c r="Y233" s="63"/>
      <c r="AS233" s="64" t="str">
        <f t="shared" si="14"/>
        <v>Exclude</v>
      </c>
      <c r="AU233" s="65" t="str">
        <f t="shared" si="15"/>
        <v>Exclude</v>
      </c>
    </row>
    <row r="234" spans="1:47" s="64" customFormat="1" x14ac:dyDescent="0.25">
      <c r="A234" s="63"/>
      <c r="U234" s="64" t="str">
        <f t="shared" si="12"/>
        <v>Exclude</v>
      </c>
      <c r="W234" s="65" t="str">
        <f t="shared" si="13"/>
        <v>Exclude</v>
      </c>
      <c r="Y234" s="63"/>
      <c r="AS234" s="64" t="str">
        <f t="shared" si="14"/>
        <v>Exclude</v>
      </c>
      <c r="AU234" s="65" t="str">
        <f t="shared" si="15"/>
        <v>Exclude</v>
      </c>
    </row>
    <row r="235" spans="1:47" s="64" customFormat="1" x14ac:dyDescent="0.25">
      <c r="A235" s="63"/>
      <c r="U235" s="64" t="str">
        <f t="shared" si="12"/>
        <v>Exclude</v>
      </c>
      <c r="W235" s="65" t="str">
        <f t="shared" si="13"/>
        <v>Exclude</v>
      </c>
      <c r="Y235" s="63"/>
      <c r="AS235" s="64" t="str">
        <f t="shared" si="14"/>
        <v>Exclude</v>
      </c>
      <c r="AU235" s="65" t="str">
        <f t="shared" si="15"/>
        <v>Exclude</v>
      </c>
    </row>
    <row r="236" spans="1:47" s="64" customFormat="1" x14ac:dyDescent="0.25">
      <c r="A236" s="63"/>
      <c r="U236" s="64" t="str">
        <f t="shared" si="12"/>
        <v>Exclude</v>
      </c>
      <c r="W236" s="65" t="str">
        <f t="shared" si="13"/>
        <v>Exclude</v>
      </c>
      <c r="Y236" s="63"/>
      <c r="AS236" s="64" t="str">
        <f t="shared" si="14"/>
        <v>Exclude</v>
      </c>
      <c r="AU236" s="65" t="str">
        <f t="shared" si="15"/>
        <v>Exclude</v>
      </c>
    </row>
    <row r="237" spans="1:47" s="64" customFormat="1" x14ac:dyDescent="0.25">
      <c r="A237" s="63"/>
      <c r="U237" s="64" t="str">
        <f t="shared" si="12"/>
        <v>Exclude</v>
      </c>
      <c r="W237" s="65" t="str">
        <f t="shared" si="13"/>
        <v>Exclude</v>
      </c>
      <c r="Y237" s="63"/>
      <c r="AS237" s="64" t="str">
        <f t="shared" si="14"/>
        <v>Exclude</v>
      </c>
      <c r="AU237" s="65" t="str">
        <f t="shared" si="15"/>
        <v>Exclude</v>
      </c>
    </row>
    <row r="238" spans="1:47" s="64" customFormat="1" x14ac:dyDescent="0.25">
      <c r="A238" s="63"/>
      <c r="U238" s="64" t="str">
        <f t="shared" si="12"/>
        <v>Exclude</v>
      </c>
      <c r="W238" s="65" t="str">
        <f t="shared" si="13"/>
        <v>Exclude</v>
      </c>
      <c r="Y238" s="63"/>
      <c r="AS238" s="64" t="str">
        <f t="shared" si="14"/>
        <v>Exclude</v>
      </c>
      <c r="AU238" s="65" t="str">
        <f t="shared" si="15"/>
        <v>Exclude</v>
      </c>
    </row>
    <row r="239" spans="1:47" s="64" customFormat="1" x14ac:dyDescent="0.25">
      <c r="A239" s="63"/>
      <c r="U239" s="64" t="str">
        <f t="shared" si="12"/>
        <v>Exclude</v>
      </c>
      <c r="W239" s="65" t="str">
        <f t="shared" si="13"/>
        <v>Exclude</v>
      </c>
      <c r="Y239" s="63"/>
      <c r="AS239" s="64" t="str">
        <f t="shared" si="14"/>
        <v>Exclude</v>
      </c>
      <c r="AU239" s="65" t="str">
        <f t="shared" si="15"/>
        <v>Exclude</v>
      </c>
    </row>
    <row r="240" spans="1:47" s="64" customFormat="1" x14ac:dyDescent="0.25">
      <c r="A240" s="63"/>
      <c r="U240" s="64" t="str">
        <f t="shared" si="12"/>
        <v>Exclude</v>
      </c>
      <c r="W240" s="65" t="str">
        <f t="shared" si="13"/>
        <v>Exclude</v>
      </c>
      <c r="Y240" s="63"/>
      <c r="AS240" s="64" t="str">
        <f t="shared" si="14"/>
        <v>Exclude</v>
      </c>
      <c r="AU240" s="65" t="str">
        <f t="shared" si="15"/>
        <v>Exclude</v>
      </c>
    </row>
    <row r="241" spans="1:47" s="64" customFormat="1" x14ac:dyDescent="0.25">
      <c r="A241" s="63"/>
      <c r="U241" s="64" t="str">
        <f t="shared" si="12"/>
        <v>Exclude</v>
      </c>
      <c r="W241" s="65" t="str">
        <f t="shared" si="13"/>
        <v>Exclude</v>
      </c>
      <c r="Y241" s="63"/>
      <c r="AS241" s="64" t="str">
        <f t="shared" si="14"/>
        <v>Exclude</v>
      </c>
      <c r="AU241" s="65" t="str">
        <f t="shared" si="15"/>
        <v>Exclude</v>
      </c>
    </row>
    <row r="242" spans="1:47" s="64" customFormat="1" x14ac:dyDescent="0.25">
      <c r="A242" s="63"/>
      <c r="U242" s="64" t="str">
        <f t="shared" si="12"/>
        <v>Exclude</v>
      </c>
      <c r="W242" s="65" t="str">
        <f t="shared" si="13"/>
        <v>Exclude</v>
      </c>
      <c r="Y242" s="63"/>
      <c r="AS242" s="64" t="str">
        <f t="shared" si="14"/>
        <v>Exclude</v>
      </c>
      <c r="AU242" s="65" t="str">
        <f t="shared" si="15"/>
        <v>Exclude</v>
      </c>
    </row>
    <row r="243" spans="1:47" s="64" customFormat="1" x14ac:dyDescent="0.25">
      <c r="A243" s="63"/>
      <c r="U243" s="64" t="str">
        <f t="shared" si="12"/>
        <v>Exclude</v>
      </c>
      <c r="W243" s="65" t="str">
        <f t="shared" si="13"/>
        <v>Exclude</v>
      </c>
      <c r="Y243" s="63"/>
      <c r="AS243" s="64" t="str">
        <f t="shared" si="14"/>
        <v>Exclude</v>
      </c>
      <c r="AU243" s="65" t="str">
        <f t="shared" si="15"/>
        <v>Exclude</v>
      </c>
    </row>
    <row r="244" spans="1:47" s="64" customFormat="1" x14ac:dyDescent="0.25">
      <c r="A244" s="63"/>
      <c r="U244" s="64" t="str">
        <f t="shared" si="12"/>
        <v>Exclude</v>
      </c>
      <c r="W244" s="65" t="str">
        <f t="shared" si="13"/>
        <v>Exclude</v>
      </c>
      <c r="Y244" s="63"/>
      <c r="AS244" s="64" t="str">
        <f t="shared" si="14"/>
        <v>Exclude</v>
      </c>
      <c r="AU244" s="65" t="str">
        <f t="shared" si="15"/>
        <v>Exclude</v>
      </c>
    </row>
    <row r="245" spans="1:47" s="64" customFormat="1" x14ac:dyDescent="0.25">
      <c r="A245" s="63"/>
      <c r="U245" s="64" t="str">
        <f t="shared" si="12"/>
        <v>Exclude</v>
      </c>
      <c r="W245" s="65" t="str">
        <f t="shared" si="13"/>
        <v>Exclude</v>
      </c>
      <c r="Y245" s="63"/>
      <c r="AS245" s="64" t="str">
        <f t="shared" si="14"/>
        <v>Exclude</v>
      </c>
      <c r="AU245" s="65" t="str">
        <f t="shared" si="15"/>
        <v>Exclude</v>
      </c>
    </row>
    <row r="246" spans="1:47" s="64" customFormat="1" x14ac:dyDescent="0.25">
      <c r="A246" s="63"/>
      <c r="U246" s="64" t="str">
        <f t="shared" si="12"/>
        <v>Exclude</v>
      </c>
      <c r="W246" s="65" t="str">
        <f t="shared" si="13"/>
        <v>Exclude</v>
      </c>
      <c r="Y246" s="63"/>
      <c r="AS246" s="64" t="str">
        <f t="shared" si="14"/>
        <v>Exclude</v>
      </c>
      <c r="AU246" s="65" t="str">
        <f t="shared" si="15"/>
        <v>Exclude</v>
      </c>
    </row>
    <row r="247" spans="1:47" s="64" customFormat="1" x14ac:dyDescent="0.25">
      <c r="A247" s="63"/>
      <c r="U247" s="64" t="str">
        <f t="shared" si="12"/>
        <v>Exclude</v>
      </c>
      <c r="W247" s="65" t="str">
        <f t="shared" si="13"/>
        <v>Exclude</v>
      </c>
      <c r="Y247" s="63"/>
      <c r="AS247" s="64" t="str">
        <f t="shared" si="14"/>
        <v>Exclude</v>
      </c>
      <c r="AU247" s="65" t="str">
        <f t="shared" si="15"/>
        <v>Exclude</v>
      </c>
    </row>
    <row r="248" spans="1:47" s="64" customFormat="1" x14ac:dyDescent="0.25">
      <c r="A248" s="63"/>
      <c r="U248" s="64" t="str">
        <f t="shared" si="12"/>
        <v>Exclude</v>
      </c>
      <c r="W248" s="65" t="str">
        <f t="shared" si="13"/>
        <v>Exclude</v>
      </c>
      <c r="Y248" s="63"/>
      <c r="AS248" s="64" t="str">
        <f t="shared" si="14"/>
        <v>Exclude</v>
      </c>
      <c r="AU248" s="65" t="str">
        <f t="shared" si="15"/>
        <v>Exclude</v>
      </c>
    </row>
    <row r="249" spans="1:47" s="64" customFormat="1" x14ac:dyDescent="0.25">
      <c r="A249" s="63"/>
      <c r="U249" s="64" t="str">
        <f t="shared" si="12"/>
        <v>Exclude</v>
      </c>
      <c r="W249" s="65" t="str">
        <f t="shared" si="13"/>
        <v>Exclude</v>
      </c>
      <c r="Y249" s="63"/>
      <c r="AS249" s="64" t="str">
        <f t="shared" si="14"/>
        <v>Exclude</v>
      </c>
      <c r="AU249" s="65" t="str">
        <f t="shared" si="15"/>
        <v>Exclude</v>
      </c>
    </row>
    <row r="250" spans="1:47" s="64" customFormat="1" x14ac:dyDescent="0.25">
      <c r="A250" s="63"/>
      <c r="U250" s="64" t="str">
        <f t="shared" si="12"/>
        <v>Exclude</v>
      </c>
      <c r="W250" s="65" t="str">
        <f t="shared" si="13"/>
        <v>Exclude</v>
      </c>
      <c r="Y250" s="63"/>
      <c r="AS250" s="64" t="str">
        <f t="shared" si="14"/>
        <v>Exclude</v>
      </c>
      <c r="AU250" s="65" t="str">
        <f t="shared" si="15"/>
        <v>Exclude</v>
      </c>
    </row>
    <row r="251" spans="1:47" s="64" customFormat="1" x14ac:dyDescent="0.25">
      <c r="A251" s="63"/>
      <c r="U251" s="64" t="str">
        <f t="shared" si="12"/>
        <v>Exclude</v>
      </c>
      <c r="W251" s="65" t="str">
        <f t="shared" si="13"/>
        <v>Exclude</v>
      </c>
      <c r="Y251" s="63"/>
      <c r="AS251" s="64" t="str">
        <f t="shared" si="14"/>
        <v>Exclude</v>
      </c>
      <c r="AU251" s="65" t="str">
        <f t="shared" si="15"/>
        <v>Exclude</v>
      </c>
    </row>
    <row r="252" spans="1:47" s="64" customFormat="1" x14ac:dyDescent="0.25">
      <c r="A252" s="63"/>
      <c r="U252" s="64" t="str">
        <f t="shared" si="12"/>
        <v>Exclude</v>
      </c>
      <c r="W252" s="65" t="str">
        <f t="shared" si="13"/>
        <v>Exclude</v>
      </c>
      <c r="Y252" s="63"/>
      <c r="AS252" s="64" t="str">
        <f t="shared" si="14"/>
        <v>Exclude</v>
      </c>
      <c r="AU252" s="65" t="str">
        <f t="shared" si="15"/>
        <v>Exclude</v>
      </c>
    </row>
    <row r="253" spans="1:47" s="64" customFormat="1" x14ac:dyDescent="0.25">
      <c r="A253" s="63"/>
      <c r="U253" s="64" t="str">
        <f t="shared" si="12"/>
        <v>Exclude</v>
      </c>
      <c r="W253" s="65" t="str">
        <f t="shared" si="13"/>
        <v>Exclude</v>
      </c>
      <c r="Y253" s="63"/>
      <c r="AS253" s="64" t="str">
        <f t="shared" si="14"/>
        <v>Exclude</v>
      </c>
      <c r="AU253" s="65" t="str">
        <f t="shared" si="15"/>
        <v>Exclude</v>
      </c>
    </row>
    <row r="254" spans="1:47" s="64" customFormat="1" x14ac:dyDescent="0.25">
      <c r="A254" s="63"/>
      <c r="U254" s="64" t="str">
        <f t="shared" si="12"/>
        <v>Exclude</v>
      </c>
      <c r="W254" s="65" t="str">
        <f t="shared" si="13"/>
        <v>Exclude</v>
      </c>
      <c r="Y254" s="63"/>
      <c r="AS254" s="64" t="str">
        <f t="shared" si="14"/>
        <v>Exclude</v>
      </c>
      <c r="AU254" s="65" t="str">
        <f t="shared" si="15"/>
        <v>Exclude</v>
      </c>
    </row>
    <row r="255" spans="1:47" s="64" customFormat="1" x14ac:dyDescent="0.25">
      <c r="A255" s="63"/>
      <c r="U255" s="64" t="str">
        <f t="shared" si="12"/>
        <v>Exclude</v>
      </c>
      <c r="W255" s="65" t="str">
        <f t="shared" si="13"/>
        <v>Exclude</v>
      </c>
      <c r="Y255" s="63"/>
      <c r="AS255" s="64" t="str">
        <f t="shared" si="14"/>
        <v>Exclude</v>
      </c>
      <c r="AU255" s="65" t="str">
        <f t="shared" si="15"/>
        <v>Exclude</v>
      </c>
    </row>
    <row r="256" spans="1:47" s="64" customFormat="1" x14ac:dyDescent="0.25">
      <c r="A256" s="63"/>
      <c r="U256" s="64" t="str">
        <f t="shared" si="12"/>
        <v>Exclude</v>
      </c>
      <c r="W256" s="65" t="str">
        <f t="shared" si="13"/>
        <v>Exclude</v>
      </c>
      <c r="Y256" s="63"/>
      <c r="AS256" s="64" t="str">
        <f t="shared" si="14"/>
        <v>Exclude</v>
      </c>
      <c r="AU256" s="65" t="str">
        <f t="shared" si="15"/>
        <v>Exclude</v>
      </c>
    </row>
    <row r="257" spans="1:47" s="64" customFormat="1" x14ac:dyDescent="0.25">
      <c r="A257" s="63"/>
      <c r="U257" s="64" t="str">
        <f t="shared" si="12"/>
        <v>Exclude</v>
      </c>
      <c r="W257" s="65" t="str">
        <f t="shared" si="13"/>
        <v>Exclude</v>
      </c>
      <c r="Y257" s="63"/>
      <c r="AS257" s="64" t="str">
        <f t="shared" si="14"/>
        <v>Exclude</v>
      </c>
      <c r="AU257" s="65" t="str">
        <f t="shared" si="15"/>
        <v>Exclude</v>
      </c>
    </row>
    <row r="258" spans="1:47" s="64" customFormat="1" x14ac:dyDescent="0.25">
      <c r="A258" s="63"/>
      <c r="U258" s="64" t="str">
        <f t="shared" si="12"/>
        <v>Exclude</v>
      </c>
      <c r="W258" s="65" t="str">
        <f t="shared" si="13"/>
        <v>Exclude</v>
      </c>
      <c r="Y258" s="63"/>
      <c r="AS258" s="64" t="str">
        <f t="shared" si="14"/>
        <v>Exclude</v>
      </c>
      <c r="AU258" s="65" t="str">
        <f t="shared" si="15"/>
        <v>Exclude</v>
      </c>
    </row>
    <row r="259" spans="1:47" s="64" customFormat="1" x14ac:dyDescent="0.25">
      <c r="A259" s="63"/>
      <c r="U259" s="64" t="str">
        <f t="shared" si="12"/>
        <v>Exclude</v>
      </c>
      <c r="W259" s="65" t="str">
        <f t="shared" si="13"/>
        <v>Exclude</v>
      </c>
      <c r="Y259" s="63"/>
      <c r="AS259" s="64" t="str">
        <f t="shared" si="14"/>
        <v>Exclude</v>
      </c>
      <c r="AU259" s="65" t="str">
        <f t="shared" si="15"/>
        <v>Exclude</v>
      </c>
    </row>
    <row r="260" spans="1:47" s="64" customFormat="1" x14ac:dyDescent="0.25">
      <c r="A260" s="63"/>
      <c r="U260" s="64" t="str">
        <f t="shared" si="12"/>
        <v>Exclude</v>
      </c>
      <c r="W260" s="65" t="str">
        <f t="shared" si="13"/>
        <v>Exclude</v>
      </c>
      <c r="Y260" s="63"/>
      <c r="AS260" s="64" t="str">
        <f t="shared" si="14"/>
        <v>Exclude</v>
      </c>
      <c r="AU260" s="65" t="str">
        <f t="shared" si="15"/>
        <v>Exclude</v>
      </c>
    </row>
    <row r="261" spans="1:47" s="64" customFormat="1" x14ac:dyDescent="0.25">
      <c r="A261" s="63"/>
      <c r="U261" s="64" t="str">
        <f t="shared" si="12"/>
        <v>Exclude</v>
      </c>
      <c r="W261" s="65" t="str">
        <f t="shared" si="13"/>
        <v>Exclude</v>
      </c>
      <c r="Y261" s="63"/>
      <c r="AS261" s="64" t="str">
        <f t="shared" si="14"/>
        <v>Exclude</v>
      </c>
      <c r="AU261" s="65" t="str">
        <f t="shared" si="15"/>
        <v>Exclude</v>
      </c>
    </row>
    <row r="262" spans="1:47" s="64" customFormat="1" x14ac:dyDescent="0.25">
      <c r="A262" s="63"/>
      <c r="U262" s="64" t="str">
        <f t="shared" si="12"/>
        <v>Exclude</v>
      </c>
      <c r="W262" s="65" t="str">
        <f t="shared" si="13"/>
        <v>Exclude</v>
      </c>
      <c r="Y262" s="63"/>
      <c r="AS262" s="64" t="str">
        <f t="shared" si="14"/>
        <v>Exclude</v>
      </c>
      <c r="AU262" s="65" t="str">
        <f t="shared" si="15"/>
        <v>Exclude</v>
      </c>
    </row>
    <row r="263" spans="1:47" s="64" customFormat="1" x14ac:dyDescent="0.25">
      <c r="A263" s="63"/>
      <c r="U263" s="64" t="str">
        <f t="shared" si="12"/>
        <v>Exclude</v>
      </c>
      <c r="W263" s="65" t="str">
        <f t="shared" si="13"/>
        <v>Exclude</v>
      </c>
      <c r="Y263" s="63"/>
      <c r="AS263" s="64" t="str">
        <f t="shared" si="14"/>
        <v>Exclude</v>
      </c>
      <c r="AU263" s="65" t="str">
        <f t="shared" si="15"/>
        <v>Exclude</v>
      </c>
    </row>
    <row r="264" spans="1:47" s="64" customFormat="1" x14ac:dyDescent="0.25">
      <c r="A264" s="63"/>
      <c r="U264" s="64" t="str">
        <f t="shared" si="12"/>
        <v>Exclude</v>
      </c>
      <c r="W264" s="65" t="str">
        <f t="shared" si="13"/>
        <v>Exclude</v>
      </c>
      <c r="Y264" s="63"/>
      <c r="AS264" s="64" t="str">
        <f t="shared" si="14"/>
        <v>Exclude</v>
      </c>
      <c r="AU264" s="65" t="str">
        <f t="shared" si="15"/>
        <v>Exclude</v>
      </c>
    </row>
    <row r="265" spans="1:47" s="64" customFormat="1" x14ac:dyDescent="0.25">
      <c r="A265" s="63"/>
      <c r="U265" s="64" t="str">
        <f t="shared" si="12"/>
        <v>Exclude</v>
      </c>
      <c r="W265" s="65" t="str">
        <f t="shared" si="13"/>
        <v>Exclude</v>
      </c>
      <c r="Y265" s="63"/>
      <c r="AS265" s="64" t="str">
        <f t="shared" si="14"/>
        <v>Exclude</v>
      </c>
      <c r="AU265" s="65" t="str">
        <f t="shared" si="15"/>
        <v>Exclude</v>
      </c>
    </row>
    <row r="266" spans="1:47" s="64" customFormat="1" x14ac:dyDescent="0.25">
      <c r="A266" s="63"/>
      <c r="U266" s="64" t="str">
        <f t="shared" si="12"/>
        <v>Exclude</v>
      </c>
      <c r="W266" s="65" t="str">
        <f t="shared" si="13"/>
        <v>Exclude</v>
      </c>
      <c r="Y266" s="63"/>
      <c r="AS266" s="64" t="str">
        <f t="shared" si="14"/>
        <v>Exclude</v>
      </c>
      <c r="AU266" s="65" t="str">
        <f t="shared" si="15"/>
        <v>Exclude</v>
      </c>
    </row>
    <row r="267" spans="1:47" s="64" customFormat="1" x14ac:dyDescent="0.25">
      <c r="A267" s="63"/>
      <c r="U267" s="64" t="str">
        <f t="shared" si="12"/>
        <v>Exclude</v>
      </c>
      <c r="W267" s="65" t="str">
        <f t="shared" si="13"/>
        <v>Exclude</v>
      </c>
      <c r="Y267" s="63"/>
      <c r="AS267" s="64" t="str">
        <f t="shared" si="14"/>
        <v>Exclude</v>
      </c>
      <c r="AU267" s="65" t="str">
        <f t="shared" si="15"/>
        <v>Exclude</v>
      </c>
    </row>
    <row r="268" spans="1:47" s="64" customFormat="1" x14ac:dyDescent="0.25">
      <c r="A268" s="63"/>
      <c r="U268" s="64" t="str">
        <f t="shared" si="12"/>
        <v>Exclude</v>
      </c>
      <c r="W268" s="65" t="str">
        <f t="shared" si="13"/>
        <v>Exclude</v>
      </c>
      <c r="Y268" s="63"/>
      <c r="AS268" s="64" t="str">
        <f t="shared" si="14"/>
        <v>Exclude</v>
      </c>
      <c r="AU268" s="65" t="str">
        <f t="shared" si="15"/>
        <v>Exclude</v>
      </c>
    </row>
    <row r="269" spans="1:47" s="64" customFormat="1" x14ac:dyDescent="0.25">
      <c r="A269" s="63"/>
      <c r="U269" s="64" t="str">
        <f t="shared" si="12"/>
        <v>Exclude</v>
      </c>
      <c r="W269" s="65" t="str">
        <f t="shared" si="13"/>
        <v>Exclude</v>
      </c>
      <c r="Y269" s="63"/>
      <c r="AS269" s="64" t="str">
        <f t="shared" si="14"/>
        <v>Exclude</v>
      </c>
      <c r="AU269" s="65" t="str">
        <f t="shared" si="15"/>
        <v>Exclude</v>
      </c>
    </row>
    <row r="270" spans="1:47" s="64" customFormat="1" x14ac:dyDescent="0.25">
      <c r="A270" s="63"/>
      <c r="U270" s="64" t="str">
        <f t="shared" si="12"/>
        <v>Exclude</v>
      </c>
      <c r="W270" s="65" t="str">
        <f t="shared" si="13"/>
        <v>Exclude</v>
      </c>
      <c r="Y270" s="63"/>
      <c r="AS270" s="64" t="str">
        <f t="shared" si="14"/>
        <v>Exclude</v>
      </c>
      <c r="AU270" s="65" t="str">
        <f t="shared" si="15"/>
        <v>Exclude</v>
      </c>
    </row>
    <row r="271" spans="1:47" s="64" customFormat="1" x14ac:dyDescent="0.25">
      <c r="A271" s="63"/>
      <c r="U271" s="64" t="str">
        <f t="shared" si="12"/>
        <v>Exclude</v>
      </c>
      <c r="W271" s="65" t="str">
        <f t="shared" si="13"/>
        <v>Exclude</v>
      </c>
      <c r="Y271" s="63"/>
      <c r="AS271" s="64" t="str">
        <f t="shared" si="14"/>
        <v>Exclude</v>
      </c>
      <c r="AU271" s="65" t="str">
        <f t="shared" si="15"/>
        <v>Exclude</v>
      </c>
    </row>
    <row r="272" spans="1:47" s="64" customFormat="1" x14ac:dyDescent="0.25">
      <c r="A272" s="63"/>
      <c r="U272" s="64" t="str">
        <f t="shared" si="12"/>
        <v>Exclude</v>
      </c>
      <c r="W272" s="65" t="str">
        <f t="shared" si="13"/>
        <v>Exclude</v>
      </c>
      <c r="Y272" s="63"/>
      <c r="AS272" s="64" t="str">
        <f t="shared" si="14"/>
        <v>Exclude</v>
      </c>
      <c r="AU272" s="65" t="str">
        <f t="shared" si="15"/>
        <v>Exclude</v>
      </c>
    </row>
    <row r="273" spans="1:47" s="64" customFormat="1" x14ac:dyDescent="0.25">
      <c r="A273" s="63"/>
      <c r="U273" s="64" t="str">
        <f t="shared" si="12"/>
        <v>Exclude</v>
      </c>
      <c r="W273" s="65" t="str">
        <f t="shared" si="13"/>
        <v>Exclude</v>
      </c>
      <c r="Y273" s="63"/>
      <c r="AS273" s="64" t="str">
        <f t="shared" si="14"/>
        <v>Exclude</v>
      </c>
      <c r="AU273" s="65" t="str">
        <f t="shared" si="15"/>
        <v>Exclude</v>
      </c>
    </row>
    <row r="274" spans="1:47" s="64" customFormat="1" x14ac:dyDescent="0.25">
      <c r="A274" s="63"/>
      <c r="U274" s="64" t="str">
        <f t="shared" si="12"/>
        <v>Exclude</v>
      </c>
      <c r="W274" s="65" t="str">
        <f t="shared" si="13"/>
        <v>Exclude</v>
      </c>
      <c r="Y274" s="63"/>
      <c r="AS274" s="64" t="str">
        <f t="shared" si="14"/>
        <v>Exclude</v>
      </c>
      <c r="AU274" s="65" t="str">
        <f t="shared" si="15"/>
        <v>Exclude</v>
      </c>
    </row>
    <row r="275" spans="1:47" s="64" customFormat="1" x14ac:dyDescent="0.25">
      <c r="A275" s="63"/>
      <c r="U275" s="64" t="str">
        <f t="shared" si="12"/>
        <v>Exclude</v>
      </c>
      <c r="W275" s="65" t="str">
        <f t="shared" si="13"/>
        <v>Exclude</v>
      </c>
      <c r="Y275" s="63"/>
      <c r="AS275" s="64" t="str">
        <f t="shared" si="14"/>
        <v>Exclude</v>
      </c>
      <c r="AU275" s="65" t="str">
        <f t="shared" si="15"/>
        <v>Exclude</v>
      </c>
    </row>
    <row r="276" spans="1:47" s="64" customFormat="1" x14ac:dyDescent="0.25">
      <c r="A276" s="63"/>
      <c r="U276" s="64" t="str">
        <f t="shared" si="12"/>
        <v>Exclude</v>
      </c>
      <c r="W276" s="65" t="str">
        <f t="shared" si="13"/>
        <v>Exclude</v>
      </c>
      <c r="Y276" s="63"/>
      <c r="AS276" s="64" t="str">
        <f t="shared" si="14"/>
        <v>Exclude</v>
      </c>
      <c r="AU276" s="65" t="str">
        <f t="shared" si="15"/>
        <v>Exclude</v>
      </c>
    </row>
    <row r="277" spans="1:47" s="64" customFormat="1" x14ac:dyDescent="0.25">
      <c r="A277" s="63"/>
      <c r="U277" s="64" t="str">
        <f t="shared" ref="U277:U340" si="16">IF(OR(R277="TruePositive",R277="TrueNegative"),IF(R276&lt;&gt;"Anticipatory",(N277),"Pant"),"Exclude")</f>
        <v>Exclude</v>
      </c>
      <c r="W277" s="65" t="str">
        <f t="shared" ref="W277:W340" si="17">IF(OR(R277="TruePositive",R277="TrueNegative"),IF(R276&lt;&gt;"Anticipatory",LOG10(N277),"Exclude"),"Exclude")</f>
        <v>Exclude</v>
      </c>
      <c r="Y277" s="63"/>
      <c r="AS277" s="64" t="str">
        <f t="shared" ref="AS277:AS340" si="18">IF(OR(AP277="TruePositive",AP277="TrueNegative"),IF(AP276&lt;&gt;"Anticipatory",(AL277),"Pant"),"Exclude")</f>
        <v>Exclude</v>
      </c>
      <c r="AU277" s="65" t="str">
        <f t="shared" ref="AU277:AU340" si="19">IF(OR(AP277="TruePositive",AP277="TrueNegative"),IF(AP276&lt;&gt;"Anticipatory",LOG10(AL277),"Exclude"),"Exclude")</f>
        <v>Exclude</v>
      </c>
    </row>
    <row r="278" spans="1:47" s="64" customFormat="1" x14ac:dyDescent="0.25">
      <c r="A278" s="63"/>
      <c r="U278" s="64" t="str">
        <f t="shared" si="16"/>
        <v>Exclude</v>
      </c>
      <c r="W278" s="65" t="str">
        <f t="shared" si="17"/>
        <v>Exclude</v>
      </c>
      <c r="Y278" s="63"/>
      <c r="AS278" s="64" t="str">
        <f t="shared" si="18"/>
        <v>Exclude</v>
      </c>
      <c r="AU278" s="65" t="str">
        <f t="shared" si="19"/>
        <v>Exclude</v>
      </c>
    </row>
    <row r="279" spans="1:47" s="64" customFormat="1" x14ac:dyDescent="0.25">
      <c r="A279" s="63"/>
      <c r="U279" s="64" t="str">
        <f t="shared" si="16"/>
        <v>Exclude</v>
      </c>
      <c r="W279" s="65" t="str">
        <f t="shared" si="17"/>
        <v>Exclude</v>
      </c>
      <c r="Y279" s="63"/>
      <c r="AS279" s="64" t="str">
        <f t="shared" si="18"/>
        <v>Exclude</v>
      </c>
      <c r="AU279" s="65" t="str">
        <f t="shared" si="19"/>
        <v>Exclude</v>
      </c>
    </row>
    <row r="280" spans="1:47" s="64" customFormat="1" x14ac:dyDescent="0.25">
      <c r="A280" s="63"/>
      <c r="U280" s="64" t="str">
        <f t="shared" si="16"/>
        <v>Exclude</v>
      </c>
      <c r="W280" s="65" t="str">
        <f t="shared" si="17"/>
        <v>Exclude</v>
      </c>
      <c r="Y280" s="63"/>
      <c r="AS280" s="64" t="str">
        <f t="shared" si="18"/>
        <v>Exclude</v>
      </c>
      <c r="AU280" s="65" t="str">
        <f t="shared" si="19"/>
        <v>Exclude</v>
      </c>
    </row>
    <row r="281" spans="1:47" s="64" customFormat="1" x14ac:dyDescent="0.25">
      <c r="A281" s="63"/>
      <c r="U281" s="64" t="str">
        <f t="shared" si="16"/>
        <v>Exclude</v>
      </c>
      <c r="W281" s="65" t="str">
        <f t="shared" si="17"/>
        <v>Exclude</v>
      </c>
      <c r="Y281" s="63"/>
      <c r="AS281" s="64" t="str">
        <f t="shared" si="18"/>
        <v>Exclude</v>
      </c>
      <c r="AU281" s="65" t="str">
        <f t="shared" si="19"/>
        <v>Exclude</v>
      </c>
    </row>
    <row r="282" spans="1:47" s="64" customFormat="1" x14ac:dyDescent="0.25">
      <c r="A282" s="63"/>
      <c r="U282" s="64" t="str">
        <f t="shared" si="16"/>
        <v>Exclude</v>
      </c>
      <c r="W282" s="65" t="str">
        <f t="shared" si="17"/>
        <v>Exclude</v>
      </c>
      <c r="Y282" s="63"/>
      <c r="AS282" s="64" t="str">
        <f t="shared" si="18"/>
        <v>Exclude</v>
      </c>
      <c r="AU282" s="65" t="str">
        <f t="shared" si="19"/>
        <v>Exclude</v>
      </c>
    </row>
    <row r="283" spans="1:47" s="64" customFormat="1" x14ac:dyDescent="0.25">
      <c r="A283" s="63"/>
      <c r="U283" s="64" t="str">
        <f t="shared" si="16"/>
        <v>Exclude</v>
      </c>
      <c r="W283" s="65" t="str">
        <f t="shared" si="17"/>
        <v>Exclude</v>
      </c>
      <c r="Y283" s="63"/>
      <c r="AS283" s="64" t="str">
        <f t="shared" si="18"/>
        <v>Exclude</v>
      </c>
      <c r="AU283" s="65" t="str">
        <f t="shared" si="19"/>
        <v>Exclude</v>
      </c>
    </row>
    <row r="284" spans="1:47" s="64" customFormat="1" x14ac:dyDescent="0.25">
      <c r="A284" s="63"/>
      <c r="U284" s="64" t="str">
        <f t="shared" si="16"/>
        <v>Exclude</v>
      </c>
      <c r="W284" s="65" t="str">
        <f t="shared" si="17"/>
        <v>Exclude</v>
      </c>
      <c r="Y284" s="63"/>
      <c r="AS284" s="64" t="str">
        <f t="shared" si="18"/>
        <v>Exclude</v>
      </c>
      <c r="AU284" s="65" t="str">
        <f t="shared" si="19"/>
        <v>Exclude</v>
      </c>
    </row>
    <row r="285" spans="1:47" s="64" customFormat="1" x14ac:dyDescent="0.25">
      <c r="A285" s="63"/>
      <c r="U285" s="64" t="str">
        <f t="shared" si="16"/>
        <v>Exclude</v>
      </c>
      <c r="W285" s="65" t="str">
        <f t="shared" si="17"/>
        <v>Exclude</v>
      </c>
      <c r="Y285" s="63"/>
      <c r="AS285" s="64" t="str">
        <f t="shared" si="18"/>
        <v>Exclude</v>
      </c>
      <c r="AU285" s="65" t="str">
        <f t="shared" si="19"/>
        <v>Exclude</v>
      </c>
    </row>
    <row r="286" spans="1:47" s="64" customFormat="1" x14ac:dyDescent="0.25">
      <c r="A286" s="63"/>
      <c r="U286" s="64" t="str">
        <f t="shared" si="16"/>
        <v>Exclude</v>
      </c>
      <c r="W286" s="65" t="str">
        <f t="shared" si="17"/>
        <v>Exclude</v>
      </c>
      <c r="Y286" s="63"/>
      <c r="AS286" s="64" t="str">
        <f t="shared" si="18"/>
        <v>Exclude</v>
      </c>
      <c r="AU286" s="65" t="str">
        <f t="shared" si="19"/>
        <v>Exclude</v>
      </c>
    </row>
    <row r="287" spans="1:47" s="64" customFormat="1" x14ac:dyDescent="0.25">
      <c r="A287" s="63"/>
      <c r="U287" s="64" t="str">
        <f t="shared" si="16"/>
        <v>Exclude</v>
      </c>
      <c r="W287" s="65" t="str">
        <f t="shared" si="17"/>
        <v>Exclude</v>
      </c>
      <c r="Y287" s="63"/>
      <c r="AS287" s="64" t="str">
        <f t="shared" si="18"/>
        <v>Exclude</v>
      </c>
      <c r="AU287" s="65" t="str">
        <f t="shared" si="19"/>
        <v>Exclude</v>
      </c>
    </row>
    <row r="288" spans="1:47" s="64" customFormat="1" x14ac:dyDescent="0.25">
      <c r="A288" s="63"/>
      <c r="U288" s="64" t="str">
        <f t="shared" si="16"/>
        <v>Exclude</v>
      </c>
      <c r="W288" s="65" t="str">
        <f t="shared" si="17"/>
        <v>Exclude</v>
      </c>
      <c r="Y288" s="63"/>
      <c r="AS288" s="64" t="str">
        <f t="shared" si="18"/>
        <v>Exclude</v>
      </c>
      <c r="AU288" s="65" t="str">
        <f t="shared" si="19"/>
        <v>Exclude</v>
      </c>
    </row>
    <row r="289" spans="1:47" s="64" customFormat="1" x14ac:dyDescent="0.25">
      <c r="A289" s="63"/>
      <c r="U289" s="64" t="str">
        <f t="shared" si="16"/>
        <v>Exclude</v>
      </c>
      <c r="W289" s="65" t="str">
        <f t="shared" si="17"/>
        <v>Exclude</v>
      </c>
      <c r="Y289" s="63"/>
      <c r="AS289" s="64" t="str">
        <f t="shared" si="18"/>
        <v>Exclude</v>
      </c>
      <c r="AU289" s="65" t="str">
        <f t="shared" si="19"/>
        <v>Exclude</v>
      </c>
    </row>
    <row r="290" spans="1:47" s="64" customFormat="1" x14ac:dyDescent="0.25">
      <c r="A290" s="63"/>
      <c r="U290" s="64" t="str">
        <f t="shared" si="16"/>
        <v>Exclude</v>
      </c>
      <c r="W290" s="65" t="str">
        <f t="shared" si="17"/>
        <v>Exclude</v>
      </c>
      <c r="Y290" s="63"/>
      <c r="AS290" s="64" t="str">
        <f t="shared" si="18"/>
        <v>Exclude</v>
      </c>
      <c r="AU290" s="65" t="str">
        <f t="shared" si="19"/>
        <v>Exclude</v>
      </c>
    </row>
    <row r="291" spans="1:47" s="64" customFormat="1" x14ac:dyDescent="0.25">
      <c r="A291" s="63"/>
      <c r="U291" s="64" t="str">
        <f t="shared" si="16"/>
        <v>Exclude</v>
      </c>
      <c r="W291" s="65" t="str">
        <f t="shared" si="17"/>
        <v>Exclude</v>
      </c>
      <c r="Y291" s="63"/>
      <c r="AS291" s="64" t="str">
        <f t="shared" si="18"/>
        <v>Exclude</v>
      </c>
      <c r="AU291" s="65" t="str">
        <f t="shared" si="19"/>
        <v>Exclude</v>
      </c>
    </row>
    <row r="292" spans="1:47" s="64" customFormat="1" x14ac:dyDescent="0.25">
      <c r="A292" s="63"/>
      <c r="U292" s="64" t="str">
        <f t="shared" si="16"/>
        <v>Exclude</v>
      </c>
      <c r="W292" s="65" t="str">
        <f t="shared" si="17"/>
        <v>Exclude</v>
      </c>
      <c r="Y292" s="63"/>
      <c r="AS292" s="64" t="str">
        <f t="shared" si="18"/>
        <v>Exclude</v>
      </c>
      <c r="AU292" s="65" t="str">
        <f t="shared" si="19"/>
        <v>Exclude</v>
      </c>
    </row>
    <row r="293" spans="1:47" s="64" customFormat="1" x14ac:dyDescent="0.25">
      <c r="A293" s="63"/>
      <c r="U293" s="64" t="str">
        <f t="shared" si="16"/>
        <v>Exclude</v>
      </c>
      <c r="W293" s="65" t="str">
        <f t="shared" si="17"/>
        <v>Exclude</v>
      </c>
      <c r="Y293" s="63"/>
      <c r="AS293" s="64" t="str">
        <f t="shared" si="18"/>
        <v>Exclude</v>
      </c>
      <c r="AU293" s="65" t="str">
        <f t="shared" si="19"/>
        <v>Exclude</v>
      </c>
    </row>
    <row r="294" spans="1:47" s="64" customFormat="1" x14ac:dyDescent="0.25">
      <c r="A294" s="63"/>
      <c r="U294" s="64" t="str">
        <f t="shared" si="16"/>
        <v>Exclude</v>
      </c>
      <c r="W294" s="65" t="str">
        <f t="shared" si="17"/>
        <v>Exclude</v>
      </c>
      <c r="Y294" s="63"/>
      <c r="AS294" s="64" t="str">
        <f t="shared" si="18"/>
        <v>Exclude</v>
      </c>
      <c r="AU294" s="65" t="str">
        <f t="shared" si="19"/>
        <v>Exclude</v>
      </c>
    </row>
    <row r="295" spans="1:47" s="64" customFormat="1" x14ac:dyDescent="0.25">
      <c r="A295" s="63"/>
      <c r="U295" s="64" t="str">
        <f t="shared" si="16"/>
        <v>Exclude</v>
      </c>
      <c r="W295" s="65" t="str">
        <f t="shared" si="17"/>
        <v>Exclude</v>
      </c>
      <c r="Y295" s="63"/>
      <c r="AS295" s="64" t="str">
        <f t="shared" si="18"/>
        <v>Exclude</v>
      </c>
      <c r="AU295" s="65" t="str">
        <f t="shared" si="19"/>
        <v>Exclude</v>
      </c>
    </row>
    <row r="296" spans="1:47" s="64" customFormat="1" x14ac:dyDescent="0.25">
      <c r="A296" s="63"/>
      <c r="U296" s="64" t="str">
        <f t="shared" si="16"/>
        <v>Exclude</v>
      </c>
      <c r="W296" s="65" t="str">
        <f t="shared" si="17"/>
        <v>Exclude</v>
      </c>
      <c r="Y296" s="63"/>
      <c r="AS296" s="64" t="str">
        <f t="shared" si="18"/>
        <v>Exclude</v>
      </c>
      <c r="AU296" s="65" t="str">
        <f t="shared" si="19"/>
        <v>Exclude</v>
      </c>
    </row>
    <row r="297" spans="1:47" s="64" customFormat="1" x14ac:dyDescent="0.25">
      <c r="A297" s="63"/>
      <c r="U297" s="64" t="str">
        <f t="shared" si="16"/>
        <v>Exclude</v>
      </c>
      <c r="W297" s="65" t="str">
        <f t="shared" si="17"/>
        <v>Exclude</v>
      </c>
      <c r="Y297" s="63"/>
      <c r="AS297" s="64" t="str">
        <f t="shared" si="18"/>
        <v>Exclude</v>
      </c>
      <c r="AU297" s="65" t="str">
        <f t="shared" si="19"/>
        <v>Exclude</v>
      </c>
    </row>
    <row r="298" spans="1:47" s="64" customFormat="1" x14ac:dyDescent="0.25">
      <c r="A298" s="63"/>
      <c r="U298" s="64" t="str">
        <f t="shared" si="16"/>
        <v>Exclude</v>
      </c>
      <c r="W298" s="65" t="str">
        <f t="shared" si="17"/>
        <v>Exclude</v>
      </c>
      <c r="Y298" s="63"/>
      <c r="AS298" s="64" t="str">
        <f t="shared" si="18"/>
        <v>Exclude</v>
      </c>
      <c r="AU298" s="65" t="str">
        <f t="shared" si="19"/>
        <v>Exclude</v>
      </c>
    </row>
    <row r="299" spans="1:47" s="64" customFormat="1" x14ac:dyDescent="0.25">
      <c r="A299" s="63"/>
      <c r="U299" s="64" t="str">
        <f t="shared" si="16"/>
        <v>Exclude</v>
      </c>
      <c r="W299" s="65" t="str">
        <f t="shared" si="17"/>
        <v>Exclude</v>
      </c>
      <c r="Y299" s="63"/>
      <c r="AS299" s="64" t="str">
        <f t="shared" si="18"/>
        <v>Exclude</v>
      </c>
      <c r="AU299" s="65" t="str">
        <f t="shared" si="19"/>
        <v>Exclude</v>
      </c>
    </row>
    <row r="300" spans="1:47" s="64" customFormat="1" x14ac:dyDescent="0.25">
      <c r="A300" s="63"/>
      <c r="U300" s="64" t="str">
        <f t="shared" si="16"/>
        <v>Exclude</v>
      </c>
      <c r="W300" s="65" t="str">
        <f t="shared" si="17"/>
        <v>Exclude</v>
      </c>
      <c r="Y300" s="63"/>
      <c r="AS300" s="64" t="str">
        <f t="shared" si="18"/>
        <v>Exclude</v>
      </c>
      <c r="AU300" s="65" t="str">
        <f t="shared" si="19"/>
        <v>Exclude</v>
      </c>
    </row>
    <row r="301" spans="1:47" s="64" customFormat="1" x14ac:dyDescent="0.25">
      <c r="A301" s="63"/>
      <c r="U301" s="64" t="str">
        <f t="shared" si="16"/>
        <v>Exclude</v>
      </c>
      <c r="W301" s="65" t="str">
        <f t="shared" si="17"/>
        <v>Exclude</v>
      </c>
      <c r="Y301" s="63"/>
      <c r="AS301" s="64" t="str">
        <f t="shared" si="18"/>
        <v>Exclude</v>
      </c>
      <c r="AU301" s="65" t="str">
        <f t="shared" si="19"/>
        <v>Exclude</v>
      </c>
    </row>
    <row r="302" spans="1:47" s="64" customFormat="1" x14ac:dyDescent="0.25">
      <c r="A302" s="63"/>
      <c r="U302" s="64" t="str">
        <f t="shared" si="16"/>
        <v>Exclude</v>
      </c>
      <c r="W302" s="65" t="str">
        <f t="shared" si="17"/>
        <v>Exclude</v>
      </c>
      <c r="Y302" s="63"/>
      <c r="AS302" s="64" t="str">
        <f t="shared" si="18"/>
        <v>Exclude</v>
      </c>
      <c r="AU302" s="65" t="str">
        <f t="shared" si="19"/>
        <v>Exclude</v>
      </c>
    </row>
    <row r="303" spans="1:47" s="64" customFormat="1" x14ac:dyDescent="0.25">
      <c r="A303" s="63"/>
      <c r="U303" s="64" t="str">
        <f t="shared" si="16"/>
        <v>Exclude</v>
      </c>
      <c r="W303" s="65" t="str">
        <f t="shared" si="17"/>
        <v>Exclude</v>
      </c>
      <c r="Y303" s="63"/>
      <c r="AS303" s="64" t="str">
        <f t="shared" si="18"/>
        <v>Exclude</v>
      </c>
      <c r="AU303" s="65" t="str">
        <f t="shared" si="19"/>
        <v>Exclude</v>
      </c>
    </row>
    <row r="304" spans="1:47" s="64" customFormat="1" x14ac:dyDescent="0.25">
      <c r="A304" s="63"/>
      <c r="U304" s="64" t="str">
        <f t="shared" si="16"/>
        <v>Exclude</v>
      </c>
      <c r="W304" s="65" t="str">
        <f t="shared" si="17"/>
        <v>Exclude</v>
      </c>
      <c r="Y304" s="63"/>
      <c r="AS304" s="64" t="str">
        <f t="shared" si="18"/>
        <v>Exclude</v>
      </c>
      <c r="AU304" s="65" t="str">
        <f t="shared" si="19"/>
        <v>Exclude</v>
      </c>
    </row>
    <row r="305" spans="1:47" s="64" customFormat="1" x14ac:dyDescent="0.25">
      <c r="A305" s="63"/>
      <c r="U305" s="64" t="str">
        <f t="shared" si="16"/>
        <v>Exclude</v>
      </c>
      <c r="W305" s="65" t="str">
        <f t="shared" si="17"/>
        <v>Exclude</v>
      </c>
      <c r="Y305" s="63"/>
      <c r="AS305" s="64" t="str">
        <f t="shared" si="18"/>
        <v>Exclude</v>
      </c>
      <c r="AU305" s="65" t="str">
        <f t="shared" si="19"/>
        <v>Exclude</v>
      </c>
    </row>
    <row r="306" spans="1:47" s="64" customFormat="1" x14ac:dyDescent="0.25">
      <c r="A306" s="63"/>
      <c r="U306" s="64" t="str">
        <f t="shared" si="16"/>
        <v>Exclude</v>
      </c>
      <c r="W306" s="65" t="str">
        <f t="shared" si="17"/>
        <v>Exclude</v>
      </c>
      <c r="Y306" s="63"/>
      <c r="AS306" s="64" t="str">
        <f t="shared" si="18"/>
        <v>Exclude</v>
      </c>
      <c r="AU306" s="65" t="str">
        <f t="shared" si="19"/>
        <v>Exclude</v>
      </c>
    </row>
    <row r="307" spans="1:47" s="64" customFormat="1" x14ac:dyDescent="0.25">
      <c r="A307" s="63"/>
      <c r="U307" s="64" t="str">
        <f t="shared" si="16"/>
        <v>Exclude</v>
      </c>
      <c r="W307" s="65" t="str">
        <f t="shared" si="17"/>
        <v>Exclude</v>
      </c>
      <c r="Y307" s="63"/>
      <c r="AS307" s="64" t="str">
        <f t="shared" si="18"/>
        <v>Exclude</v>
      </c>
      <c r="AU307" s="65" t="str">
        <f t="shared" si="19"/>
        <v>Exclude</v>
      </c>
    </row>
    <row r="308" spans="1:47" s="64" customFormat="1" x14ac:dyDescent="0.25">
      <c r="A308" s="63"/>
      <c r="U308" s="64" t="str">
        <f t="shared" si="16"/>
        <v>Exclude</v>
      </c>
      <c r="W308" s="65" t="str">
        <f t="shared" si="17"/>
        <v>Exclude</v>
      </c>
      <c r="Y308" s="63"/>
      <c r="AS308" s="64" t="str">
        <f t="shared" si="18"/>
        <v>Exclude</v>
      </c>
      <c r="AU308" s="65" t="str">
        <f t="shared" si="19"/>
        <v>Exclude</v>
      </c>
    </row>
    <row r="309" spans="1:47" s="64" customFormat="1" x14ac:dyDescent="0.25">
      <c r="A309" s="63"/>
      <c r="U309" s="64" t="str">
        <f t="shared" si="16"/>
        <v>Exclude</v>
      </c>
      <c r="W309" s="65" t="str">
        <f t="shared" si="17"/>
        <v>Exclude</v>
      </c>
      <c r="Y309" s="63"/>
      <c r="AS309" s="64" t="str">
        <f t="shared" si="18"/>
        <v>Exclude</v>
      </c>
      <c r="AU309" s="65" t="str">
        <f t="shared" si="19"/>
        <v>Exclude</v>
      </c>
    </row>
    <row r="310" spans="1:47" s="64" customFormat="1" x14ac:dyDescent="0.25">
      <c r="A310" s="63"/>
      <c r="U310" s="64" t="str">
        <f t="shared" si="16"/>
        <v>Exclude</v>
      </c>
      <c r="W310" s="65" t="str">
        <f t="shared" si="17"/>
        <v>Exclude</v>
      </c>
      <c r="Y310" s="63"/>
      <c r="AS310" s="64" t="str">
        <f t="shared" si="18"/>
        <v>Exclude</v>
      </c>
      <c r="AU310" s="65" t="str">
        <f t="shared" si="19"/>
        <v>Exclude</v>
      </c>
    </row>
    <row r="311" spans="1:47" s="64" customFormat="1" x14ac:dyDescent="0.25">
      <c r="A311" s="63"/>
      <c r="U311" s="64" t="str">
        <f t="shared" si="16"/>
        <v>Exclude</v>
      </c>
      <c r="W311" s="65" t="str">
        <f t="shared" si="17"/>
        <v>Exclude</v>
      </c>
      <c r="Y311" s="63"/>
      <c r="AS311" s="64" t="str">
        <f t="shared" si="18"/>
        <v>Exclude</v>
      </c>
      <c r="AU311" s="65" t="str">
        <f t="shared" si="19"/>
        <v>Exclude</v>
      </c>
    </row>
    <row r="312" spans="1:47" s="64" customFormat="1" x14ac:dyDescent="0.25">
      <c r="A312" s="63"/>
      <c r="U312" s="64" t="str">
        <f t="shared" si="16"/>
        <v>Exclude</v>
      </c>
      <c r="W312" s="65" t="str">
        <f t="shared" si="17"/>
        <v>Exclude</v>
      </c>
      <c r="Y312" s="63"/>
      <c r="AS312" s="64" t="str">
        <f t="shared" si="18"/>
        <v>Exclude</v>
      </c>
      <c r="AU312" s="65" t="str">
        <f t="shared" si="19"/>
        <v>Exclude</v>
      </c>
    </row>
    <row r="313" spans="1:47" s="64" customFormat="1" x14ac:dyDescent="0.25">
      <c r="A313" s="63"/>
      <c r="U313" s="64" t="str">
        <f t="shared" si="16"/>
        <v>Exclude</v>
      </c>
      <c r="W313" s="65" t="str">
        <f t="shared" si="17"/>
        <v>Exclude</v>
      </c>
      <c r="Y313" s="63"/>
      <c r="AS313" s="64" t="str">
        <f t="shared" si="18"/>
        <v>Exclude</v>
      </c>
      <c r="AU313" s="65" t="str">
        <f t="shared" si="19"/>
        <v>Exclude</v>
      </c>
    </row>
    <row r="314" spans="1:47" s="64" customFormat="1" x14ac:dyDescent="0.25">
      <c r="A314" s="63"/>
      <c r="U314" s="64" t="str">
        <f t="shared" si="16"/>
        <v>Exclude</v>
      </c>
      <c r="W314" s="65" t="str">
        <f t="shared" si="17"/>
        <v>Exclude</v>
      </c>
      <c r="Y314" s="63"/>
      <c r="AS314" s="64" t="str">
        <f t="shared" si="18"/>
        <v>Exclude</v>
      </c>
      <c r="AU314" s="65" t="str">
        <f t="shared" si="19"/>
        <v>Exclude</v>
      </c>
    </row>
    <row r="315" spans="1:47" s="64" customFormat="1" x14ac:dyDescent="0.25">
      <c r="A315" s="63"/>
      <c r="U315" s="64" t="str">
        <f t="shared" si="16"/>
        <v>Exclude</v>
      </c>
      <c r="W315" s="65" t="str">
        <f t="shared" si="17"/>
        <v>Exclude</v>
      </c>
      <c r="Y315" s="63"/>
      <c r="AS315" s="64" t="str">
        <f t="shared" si="18"/>
        <v>Exclude</v>
      </c>
      <c r="AU315" s="65" t="str">
        <f t="shared" si="19"/>
        <v>Exclude</v>
      </c>
    </row>
    <row r="316" spans="1:47" s="64" customFormat="1" x14ac:dyDescent="0.25">
      <c r="A316" s="63"/>
      <c r="U316" s="64" t="str">
        <f t="shared" si="16"/>
        <v>Exclude</v>
      </c>
      <c r="W316" s="65" t="str">
        <f t="shared" si="17"/>
        <v>Exclude</v>
      </c>
      <c r="Y316" s="63"/>
      <c r="AS316" s="64" t="str">
        <f t="shared" si="18"/>
        <v>Exclude</v>
      </c>
      <c r="AU316" s="65" t="str">
        <f t="shared" si="19"/>
        <v>Exclude</v>
      </c>
    </row>
    <row r="317" spans="1:47" s="64" customFormat="1" x14ac:dyDescent="0.25">
      <c r="A317" s="63"/>
      <c r="U317" s="64" t="str">
        <f t="shared" si="16"/>
        <v>Exclude</v>
      </c>
      <c r="W317" s="65" t="str">
        <f t="shared" si="17"/>
        <v>Exclude</v>
      </c>
      <c r="Y317" s="63"/>
      <c r="AS317" s="64" t="str">
        <f t="shared" si="18"/>
        <v>Exclude</v>
      </c>
      <c r="AU317" s="65" t="str">
        <f t="shared" si="19"/>
        <v>Exclude</v>
      </c>
    </row>
    <row r="318" spans="1:47" s="64" customFormat="1" x14ac:dyDescent="0.25">
      <c r="A318" s="63"/>
      <c r="U318" s="64" t="str">
        <f t="shared" si="16"/>
        <v>Exclude</v>
      </c>
      <c r="W318" s="65" t="str">
        <f t="shared" si="17"/>
        <v>Exclude</v>
      </c>
      <c r="Y318" s="63"/>
      <c r="AS318" s="64" t="str">
        <f t="shared" si="18"/>
        <v>Exclude</v>
      </c>
      <c r="AU318" s="65" t="str">
        <f t="shared" si="19"/>
        <v>Exclude</v>
      </c>
    </row>
    <row r="319" spans="1:47" s="64" customFormat="1" x14ac:dyDescent="0.25">
      <c r="A319" s="63"/>
      <c r="U319" s="64" t="str">
        <f t="shared" si="16"/>
        <v>Exclude</v>
      </c>
      <c r="W319" s="65" t="str">
        <f t="shared" si="17"/>
        <v>Exclude</v>
      </c>
      <c r="Y319" s="63"/>
      <c r="AS319" s="64" t="str">
        <f t="shared" si="18"/>
        <v>Exclude</v>
      </c>
      <c r="AU319" s="65" t="str">
        <f t="shared" si="19"/>
        <v>Exclude</v>
      </c>
    </row>
    <row r="320" spans="1:47" s="64" customFormat="1" x14ac:dyDescent="0.25">
      <c r="A320" s="63"/>
      <c r="U320" s="64" t="str">
        <f t="shared" si="16"/>
        <v>Exclude</v>
      </c>
      <c r="W320" s="65" t="str">
        <f t="shared" si="17"/>
        <v>Exclude</v>
      </c>
      <c r="Y320" s="63"/>
      <c r="AS320" s="64" t="str">
        <f t="shared" si="18"/>
        <v>Exclude</v>
      </c>
      <c r="AU320" s="65" t="str">
        <f t="shared" si="19"/>
        <v>Exclude</v>
      </c>
    </row>
    <row r="321" spans="1:47" s="64" customFormat="1" x14ac:dyDescent="0.25">
      <c r="A321" s="63"/>
      <c r="U321" s="64" t="str">
        <f t="shared" si="16"/>
        <v>Exclude</v>
      </c>
      <c r="W321" s="65" t="str">
        <f t="shared" si="17"/>
        <v>Exclude</v>
      </c>
      <c r="Y321" s="63"/>
      <c r="AS321" s="64" t="str">
        <f t="shared" si="18"/>
        <v>Exclude</v>
      </c>
      <c r="AU321" s="65" t="str">
        <f t="shared" si="19"/>
        <v>Exclude</v>
      </c>
    </row>
    <row r="322" spans="1:47" s="64" customFormat="1" x14ac:dyDescent="0.25">
      <c r="A322" s="63"/>
      <c r="U322" s="64" t="str">
        <f t="shared" si="16"/>
        <v>Exclude</v>
      </c>
      <c r="W322" s="65" t="str">
        <f t="shared" si="17"/>
        <v>Exclude</v>
      </c>
      <c r="Y322" s="63"/>
      <c r="AS322" s="64" t="str">
        <f t="shared" si="18"/>
        <v>Exclude</v>
      </c>
      <c r="AU322" s="65" t="str">
        <f t="shared" si="19"/>
        <v>Exclude</v>
      </c>
    </row>
    <row r="323" spans="1:47" s="64" customFormat="1" x14ac:dyDescent="0.25">
      <c r="A323" s="63"/>
      <c r="U323" s="64" t="str">
        <f t="shared" si="16"/>
        <v>Exclude</v>
      </c>
      <c r="W323" s="65" t="str">
        <f t="shared" si="17"/>
        <v>Exclude</v>
      </c>
      <c r="Y323" s="63"/>
      <c r="AS323" s="64" t="str">
        <f t="shared" si="18"/>
        <v>Exclude</v>
      </c>
      <c r="AU323" s="65" t="str">
        <f t="shared" si="19"/>
        <v>Exclude</v>
      </c>
    </row>
    <row r="324" spans="1:47" s="64" customFormat="1" x14ac:dyDescent="0.25">
      <c r="A324" s="63"/>
      <c r="U324" s="64" t="str">
        <f t="shared" si="16"/>
        <v>Exclude</v>
      </c>
      <c r="W324" s="65" t="str">
        <f t="shared" si="17"/>
        <v>Exclude</v>
      </c>
      <c r="Y324" s="63"/>
      <c r="AS324" s="64" t="str">
        <f t="shared" si="18"/>
        <v>Exclude</v>
      </c>
      <c r="AU324" s="65" t="str">
        <f t="shared" si="19"/>
        <v>Exclude</v>
      </c>
    </row>
    <row r="325" spans="1:47" s="64" customFormat="1" x14ac:dyDescent="0.25">
      <c r="A325" s="63"/>
      <c r="U325" s="64" t="str">
        <f t="shared" si="16"/>
        <v>Exclude</v>
      </c>
      <c r="W325" s="65" t="str">
        <f t="shared" si="17"/>
        <v>Exclude</v>
      </c>
      <c r="Y325" s="63"/>
      <c r="AS325" s="64" t="str">
        <f t="shared" si="18"/>
        <v>Exclude</v>
      </c>
      <c r="AU325" s="65" t="str">
        <f t="shared" si="19"/>
        <v>Exclude</v>
      </c>
    </row>
    <row r="326" spans="1:47" s="64" customFormat="1" x14ac:dyDescent="0.25">
      <c r="A326" s="63"/>
      <c r="U326" s="64" t="str">
        <f t="shared" si="16"/>
        <v>Exclude</v>
      </c>
      <c r="W326" s="65" t="str">
        <f t="shared" si="17"/>
        <v>Exclude</v>
      </c>
      <c r="Y326" s="63"/>
      <c r="AS326" s="64" t="str">
        <f t="shared" si="18"/>
        <v>Exclude</v>
      </c>
      <c r="AU326" s="65" t="str">
        <f t="shared" si="19"/>
        <v>Exclude</v>
      </c>
    </row>
    <row r="327" spans="1:47" s="64" customFormat="1" x14ac:dyDescent="0.25">
      <c r="A327" s="63"/>
      <c r="U327" s="64" t="str">
        <f t="shared" si="16"/>
        <v>Exclude</v>
      </c>
      <c r="W327" s="65" t="str">
        <f t="shared" si="17"/>
        <v>Exclude</v>
      </c>
      <c r="Y327" s="63"/>
      <c r="AS327" s="64" t="str">
        <f t="shared" si="18"/>
        <v>Exclude</v>
      </c>
      <c r="AU327" s="65" t="str">
        <f t="shared" si="19"/>
        <v>Exclude</v>
      </c>
    </row>
    <row r="328" spans="1:47" s="64" customFormat="1" x14ac:dyDescent="0.25">
      <c r="A328" s="63"/>
      <c r="U328" s="64" t="str">
        <f t="shared" si="16"/>
        <v>Exclude</v>
      </c>
      <c r="W328" s="65" t="str">
        <f t="shared" si="17"/>
        <v>Exclude</v>
      </c>
      <c r="Y328" s="63"/>
      <c r="AS328" s="64" t="str">
        <f t="shared" si="18"/>
        <v>Exclude</v>
      </c>
      <c r="AU328" s="65" t="str">
        <f t="shared" si="19"/>
        <v>Exclude</v>
      </c>
    </row>
    <row r="329" spans="1:47" s="64" customFormat="1" x14ac:dyDescent="0.25">
      <c r="A329" s="63"/>
      <c r="U329" s="64" t="str">
        <f t="shared" si="16"/>
        <v>Exclude</v>
      </c>
      <c r="W329" s="65" t="str">
        <f t="shared" si="17"/>
        <v>Exclude</v>
      </c>
      <c r="Y329" s="63"/>
      <c r="AS329" s="64" t="str">
        <f t="shared" si="18"/>
        <v>Exclude</v>
      </c>
      <c r="AU329" s="65" t="str">
        <f t="shared" si="19"/>
        <v>Exclude</v>
      </c>
    </row>
    <row r="330" spans="1:47" s="64" customFormat="1" x14ac:dyDescent="0.25">
      <c r="A330" s="63"/>
      <c r="U330" s="64" t="str">
        <f t="shared" si="16"/>
        <v>Exclude</v>
      </c>
      <c r="W330" s="65" t="str">
        <f t="shared" si="17"/>
        <v>Exclude</v>
      </c>
      <c r="Y330" s="63"/>
      <c r="AS330" s="64" t="str">
        <f t="shared" si="18"/>
        <v>Exclude</v>
      </c>
      <c r="AU330" s="65" t="str">
        <f t="shared" si="19"/>
        <v>Exclude</v>
      </c>
    </row>
    <row r="331" spans="1:47" s="64" customFormat="1" x14ac:dyDescent="0.25">
      <c r="A331" s="63"/>
      <c r="U331" s="64" t="str">
        <f t="shared" si="16"/>
        <v>Exclude</v>
      </c>
      <c r="W331" s="65" t="str">
        <f t="shared" si="17"/>
        <v>Exclude</v>
      </c>
      <c r="Y331" s="63"/>
      <c r="AS331" s="64" t="str">
        <f t="shared" si="18"/>
        <v>Exclude</v>
      </c>
      <c r="AU331" s="65" t="str">
        <f t="shared" si="19"/>
        <v>Exclude</v>
      </c>
    </row>
    <row r="332" spans="1:47" s="64" customFormat="1" x14ac:dyDescent="0.25">
      <c r="A332" s="63"/>
      <c r="U332" s="64" t="str">
        <f t="shared" si="16"/>
        <v>Exclude</v>
      </c>
      <c r="W332" s="65" t="str">
        <f t="shared" si="17"/>
        <v>Exclude</v>
      </c>
      <c r="Y332" s="63"/>
      <c r="AS332" s="64" t="str">
        <f t="shared" si="18"/>
        <v>Exclude</v>
      </c>
      <c r="AU332" s="65" t="str">
        <f t="shared" si="19"/>
        <v>Exclude</v>
      </c>
    </row>
    <row r="333" spans="1:47" s="64" customFormat="1" x14ac:dyDescent="0.25">
      <c r="A333" s="63"/>
      <c r="U333" s="64" t="str">
        <f t="shared" si="16"/>
        <v>Exclude</v>
      </c>
      <c r="W333" s="65" t="str">
        <f t="shared" si="17"/>
        <v>Exclude</v>
      </c>
      <c r="Y333" s="63"/>
      <c r="AS333" s="64" t="str">
        <f t="shared" si="18"/>
        <v>Exclude</v>
      </c>
      <c r="AU333" s="65" t="str">
        <f t="shared" si="19"/>
        <v>Exclude</v>
      </c>
    </row>
    <row r="334" spans="1:47" s="64" customFormat="1" x14ac:dyDescent="0.25">
      <c r="A334" s="63"/>
      <c r="U334" s="64" t="str">
        <f t="shared" si="16"/>
        <v>Exclude</v>
      </c>
      <c r="W334" s="65" t="str">
        <f t="shared" si="17"/>
        <v>Exclude</v>
      </c>
      <c r="Y334" s="63"/>
      <c r="AS334" s="64" t="str">
        <f t="shared" si="18"/>
        <v>Exclude</v>
      </c>
      <c r="AU334" s="65" t="str">
        <f t="shared" si="19"/>
        <v>Exclude</v>
      </c>
    </row>
    <row r="335" spans="1:47" s="64" customFormat="1" x14ac:dyDescent="0.25">
      <c r="A335" s="63"/>
      <c r="U335" s="64" t="str">
        <f t="shared" si="16"/>
        <v>Exclude</v>
      </c>
      <c r="W335" s="65" t="str">
        <f t="shared" si="17"/>
        <v>Exclude</v>
      </c>
      <c r="Y335" s="63"/>
      <c r="AS335" s="64" t="str">
        <f t="shared" si="18"/>
        <v>Exclude</v>
      </c>
      <c r="AU335" s="65" t="str">
        <f t="shared" si="19"/>
        <v>Exclude</v>
      </c>
    </row>
    <row r="336" spans="1:47" s="64" customFormat="1" x14ac:dyDescent="0.25">
      <c r="A336" s="63"/>
      <c r="U336" s="64" t="str">
        <f t="shared" si="16"/>
        <v>Exclude</v>
      </c>
      <c r="W336" s="65" t="str">
        <f t="shared" si="17"/>
        <v>Exclude</v>
      </c>
      <c r="Y336" s="63"/>
      <c r="AS336" s="64" t="str">
        <f t="shared" si="18"/>
        <v>Exclude</v>
      </c>
      <c r="AU336" s="65" t="str">
        <f t="shared" si="19"/>
        <v>Exclude</v>
      </c>
    </row>
    <row r="337" spans="1:47" s="64" customFormat="1" x14ac:dyDescent="0.25">
      <c r="A337" s="63"/>
      <c r="U337" s="64" t="str">
        <f t="shared" si="16"/>
        <v>Exclude</v>
      </c>
      <c r="W337" s="65" t="str">
        <f t="shared" si="17"/>
        <v>Exclude</v>
      </c>
      <c r="Y337" s="63"/>
      <c r="AS337" s="64" t="str">
        <f t="shared" si="18"/>
        <v>Exclude</v>
      </c>
      <c r="AU337" s="65" t="str">
        <f t="shared" si="19"/>
        <v>Exclude</v>
      </c>
    </row>
    <row r="338" spans="1:47" s="64" customFormat="1" x14ac:dyDescent="0.25">
      <c r="A338" s="63"/>
      <c r="U338" s="64" t="str">
        <f t="shared" si="16"/>
        <v>Exclude</v>
      </c>
      <c r="W338" s="65" t="str">
        <f t="shared" si="17"/>
        <v>Exclude</v>
      </c>
      <c r="Y338" s="63"/>
      <c r="AS338" s="64" t="str">
        <f t="shared" si="18"/>
        <v>Exclude</v>
      </c>
      <c r="AU338" s="65" t="str">
        <f t="shared" si="19"/>
        <v>Exclude</v>
      </c>
    </row>
    <row r="339" spans="1:47" s="64" customFormat="1" x14ac:dyDescent="0.25">
      <c r="A339" s="63"/>
      <c r="U339" s="64" t="str">
        <f t="shared" si="16"/>
        <v>Exclude</v>
      </c>
      <c r="W339" s="65" t="str">
        <f t="shared" si="17"/>
        <v>Exclude</v>
      </c>
      <c r="Y339" s="63"/>
      <c r="AS339" s="64" t="str">
        <f t="shared" si="18"/>
        <v>Exclude</v>
      </c>
      <c r="AU339" s="65" t="str">
        <f t="shared" si="19"/>
        <v>Exclude</v>
      </c>
    </row>
    <row r="340" spans="1:47" s="64" customFormat="1" x14ac:dyDescent="0.25">
      <c r="A340" s="63"/>
      <c r="U340" s="64" t="str">
        <f t="shared" si="16"/>
        <v>Exclude</v>
      </c>
      <c r="W340" s="65" t="str">
        <f t="shared" si="17"/>
        <v>Exclude</v>
      </c>
      <c r="Y340" s="63"/>
      <c r="AS340" s="64" t="str">
        <f t="shared" si="18"/>
        <v>Exclude</v>
      </c>
      <c r="AU340" s="65" t="str">
        <f t="shared" si="19"/>
        <v>Exclude</v>
      </c>
    </row>
    <row r="341" spans="1:47" s="64" customFormat="1" x14ac:dyDescent="0.25">
      <c r="A341" s="63"/>
      <c r="U341" s="64" t="str">
        <f t="shared" ref="U341:U404" si="20">IF(OR(R341="TruePositive",R341="TrueNegative"),IF(R340&lt;&gt;"Anticipatory",(N341),"Pant"),"Exclude")</f>
        <v>Exclude</v>
      </c>
      <c r="W341" s="65" t="str">
        <f t="shared" ref="W341:W404" si="21">IF(OR(R341="TruePositive",R341="TrueNegative"),IF(R340&lt;&gt;"Anticipatory",LOG10(N341),"Exclude"),"Exclude")</f>
        <v>Exclude</v>
      </c>
      <c r="Y341" s="63"/>
      <c r="AS341" s="64" t="str">
        <f t="shared" ref="AS341:AS404" si="22">IF(OR(AP341="TruePositive",AP341="TrueNegative"),IF(AP340&lt;&gt;"Anticipatory",(AL341),"Pant"),"Exclude")</f>
        <v>Exclude</v>
      </c>
      <c r="AU341" s="65" t="str">
        <f t="shared" ref="AU341:AU404" si="23">IF(OR(AP341="TruePositive",AP341="TrueNegative"),IF(AP340&lt;&gt;"Anticipatory",LOG10(AL341),"Exclude"),"Exclude")</f>
        <v>Exclude</v>
      </c>
    </row>
    <row r="342" spans="1:47" s="64" customFormat="1" x14ac:dyDescent="0.25">
      <c r="A342" s="63"/>
      <c r="U342" s="64" t="str">
        <f t="shared" si="20"/>
        <v>Exclude</v>
      </c>
      <c r="W342" s="65" t="str">
        <f t="shared" si="21"/>
        <v>Exclude</v>
      </c>
      <c r="Y342" s="63"/>
      <c r="AS342" s="64" t="str">
        <f t="shared" si="22"/>
        <v>Exclude</v>
      </c>
      <c r="AU342" s="65" t="str">
        <f t="shared" si="23"/>
        <v>Exclude</v>
      </c>
    </row>
    <row r="343" spans="1:47" s="64" customFormat="1" x14ac:dyDescent="0.25">
      <c r="A343" s="63"/>
      <c r="U343" s="64" t="str">
        <f t="shared" si="20"/>
        <v>Exclude</v>
      </c>
      <c r="W343" s="65" t="str">
        <f t="shared" si="21"/>
        <v>Exclude</v>
      </c>
      <c r="Y343" s="63"/>
      <c r="AS343" s="64" t="str">
        <f t="shared" si="22"/>
        <v>Exclude</v>
      </c>
      <c r="AU343" s="65" t="str">
        <f t="shared" si="23"/>
        <v>Exclude</v>
      </c>
    </row>
    <row r="344" spans="1:47" s="64" customFormat="1" x14ac:dyDescent="0.25">
      <c r="A344" s="63"/>
      <c r="U344" s="64" t="str">
        <f t="shared" si="20"/>
        <v>Exclude</v>
      </c>
      <c r="W344" s="65" t="str">
        <f t="shared" si="21"/>
        <v>Exclude</v>
      </c>
      <c r="Y344" s="63"/>
      <c r="AS344" s="64" t="str">
        <f t="shared" si="22"/>
        <v>Exclude</v>
      </c>
      <c r="AU344" s="65" t="str">
        <f t="shared" si="23"/>
        <v>Exclude</v>
      </c>
    </row>
    <row r="345" spans="1:47" s="64" customFormat="1" x14ac:dyDescent="0.25">
      <c r="A345" s="63"/>
      <c r="U345" s="64" t="str">
        <f t="shared" si="20"/>
        <v>Exclude</v>
      </c>
      <c r="W345" s="65" t="str">
        <f t="shared" si="21"/>
        <v>Exclude</v>
      </c>
      <c r="Y345" s="63"/>
      <c r="AS345" s="64" t="str">
        <f t="shared" si="22"/>
        <v>Exclude</v>
      </c>
      <c r="AU345" s="65" t="str">
        <f t="shared" si="23"/>
        <v>Exclude</v>
      </c>
    </row>
    <row r="346" spans="1:47" s="64" customFormat="1" x14ac:dyDescent="0.25">
      <c r="A346" s="63"/>
      <c r="U346" s="64" t="str">
        <f t="shared" si="20"/>
        <v>Exclude</v>
      </c>
      <c r="W346" s="65" t="str">
        <f t="shared" si="21"/>
        <v>Exclude</v>
      </c>
      <c r="Y346" s="63"/>
      <c r="AS346" s="64" t="str">
        <f t="shared" si="22"/>
        <v>Exclude</v>
      </c>
      <c r="AU346" s="65" t="str">
        <f t="shared" si="23"/>
        <v>Exclude</v>
      </c>
    </row>
    <row r="347" spans="1:47" s="64" customFormat="1" x14ac:dyDescent="0.25">
      <c r="A347" s="63"/>
      <c r="U347" s="64" t="str">
        <f t="shared" si="20"/>
        <v>Exclude</v>
      </c>
      <c r="W347" s="65" t="str">
        <f t="shared" si="21"/>
        <v>Exclude</v>
      </c>
      <c r="Y347" s="63"/>
      <c r="AS347" s="64" t="str">
        <f t="shared" si="22"/>
        <v>Exclude</v>
      </c>
      <c r="AU347" s="65" t="str">
        <f t="shared" si="23"/>
        <v>Exclude</v>
      </c>
    </row>
    <row r="348" spans="1:47" s="64" customFormat="1" x14ac:dyDescent="0.25">
      <c r="A348" s="63"/>
      <c r="U348" s="64" t="str">
        <f t="shared" si="20"/>
        <v>Exclude</v>
      </c>
      <c r="W348" s="65" t="str">
        <f t="shared" si="21"/>
        <v>Exclude</v>
      </c>
      <c r="Y348" s="63"/>
      <c r="AS348" s="64" t="str">
        <f t="shared" si="22"/>
        <v>Exclude</v>
      </c>
      <c r="AU348" s="65" t="str">
        <f t="shared" si="23"/>
        <v>Exclude</v>
      </c>
    </row>
    <row r="349" spans="1:47" s="64" customFormat="1" x14ac:dyDescent="0.25">
      <c r="A349" s="63"/>
      <c r="U349" s="64" t="str">
        <f t="shared" si="20"/>
        <v>Exclude</v>
      </c>
      <c r="W349" s="65" t="str">
        <f t="shared" si="21"/>
        <v>Exclude</v>
      </c>
      <c r="Y349" s="63"/>
      <c r="AS349" s="64" t="str">
        <f t="shared" si="22"/>
        <v>Exclude</v>
      </c>
      <c r="AU349" s="65" t="str">
        <f t="shared" si="23"/>
        <v>Exclude</v>
      </c>
    </row>
    <row r="350" spans="1:47" s="64" customFormat="1" x14ac:dyDescent="0.25">
      <c r="A350" s="63"/>
      <c r="U350" s="64" t="str">
        <f t="shared" si="20"/>
        <v>Exclude</v>
      </c>
      <c r="W350" s="65" t="str">
        <f t="shared" si="21"/>
        <v>Exclude</v>
      </c>
      <c r="Y350" s="63"/>
      <c r="AS350" s="64" t="str">
        <f t="shared" si="22"/>
        <v>Exclude</v>
      </c>
      <c r="AU350" s="65" t="str">
        <f t="shared" si="23"/>
        <v>Exclude</v>
      </c>
    </row>
    <row r="351" spans="1:47" s="64" customFormat="1" x14ac:dyDescent="0.25">
      <c r="A351" s="63"/>
      <c r="U351" s="64" t="str">
        <f t="shared" si="20"/>
        <v>Exclude</v>
      </c>
      <c r="W351" s="65" t="str">
        <f t="shared" si="21"/>
        <v>Exclude</v>
      </c>
      <c r="Y351" s="63"/>
      <c r="AS351" s="64" t="str">
        <f t="shared" si="22"/>
        <v>Exclude</v>
      </c>
      <c r="AU351" s="65" t="str">
        <f t="shared" si="23"/>
        <v>Exclude</v>
      </c>
    </row>
    <row r="352" spans="1:47" s="64" customFormat="1" x14ac:dyDescent="0.25">
      <c r="A352" s="63"/>
      <c r="U352" s="64" t="str">
        <f t="shared" si="20"/>
        <v>Exclude</v>
      </c>
      <c r="W352" s="65" t="str">
        <f t="shared" si="21"/>
        <v>Exclude</v>
      </c>
      <c r="Y352" s="63"/>
      <c r="AS352" s="64" t="str">
        <f t="shared" si="22"/>
        <v>Exclude</v>
      </c>
      <c r="AU352" s="65" t="str">
        <f t="shared" si="23"/>
        <v>Exclude</v>
      </c>
    </row>
    <row r="353" spans="1:47" s="64" customFormat="1" x14ac:dyDescent="0.25">
      <c r="A353" s="63"/>
      <c r="U353" s="64" t="str">
        <f t="shared" si="20"/>
        <v>Exclude</v>
      </c>
      <c r="W353" s="65" t="str">
        <f t="shared" si="21"/>
        <v>Exclude</v>
      </c>
      <c r="Y353" s="63"/>
      <c r="AS353" s="64" t="str">
        <f t="shared" si="22"/>
        <v>Exclude</v>
      </c>
      <c r="AU353" s="65" t="str">
        <f t="shared" si="23"/>
        <v>Exclude</v>
      </c>
    </row>
    <row r="354" spans="1:47" s="64" customFormat="1" x14ac:dyDescent="0.25">
      <c r="A354" s="63"/>
      <c r="U354" s="64" t="str">
        <f t="shared" si="20"/>
        <v>Exclude</v>
      </c>
      <c r="W354" s="65" t="str">
        <f t="shared" si="21"/>
        <v>Exclude</v>
      </c>
      <c r="Y354" s="63"/>
      <c r="AS354" s="64" t="str">
        <f t="shared" si="22"/>
        <v>Exclude</v>
      </c>
      <c r="AU354" s="65" t="str">
        <f t="shared" si="23"/>
        <v>Exclude</v>
      </c>
    </row>
    <row r="355" spans="1:47" s="64" customFormat="1" x14ac:dyDescent="0.25">
      <c r="A355" s="63"/>
      <c r="U355" s="64" t="str">
        <f t="shared" si="20"/>
        <v>Exclude</v>
      </c>
      <c r="W355" s="65" t="str">
        <f t="shared" si="21"/>
        <v>Exclude</v>
      </c>
      <c r="Y355" s="63"/>
      <c r="AS355" s="64" t="str">
        <f t="shared" si="22"/>
        <v>Exclude</v>
      </c>
      <c r="AU355" s="65" t="str">
        <f t="shared" si="23"/>
        <v>Exclude</v>
      </c>
    </row>
    <row r="356" spans="1:47" s="64" customFormat="1" x14ac:dyDescent="0.25">
      <c r="A356" s="63"/>
      <c r="U356" s="64" t="str">
        <f t="shared" si="20"/>
        <v>Exclude</v>
      </c>
      <c r="W356" s="65" t="str">
        <f t="shared" si="21"/>
        <v>Exclude</v>
      </c>
      <c r="Y356" s="63"/>
      <c r="AS356" s="64" t="str">
        <f t="shared" si="22"/>
        <v>Exclude</v>
      </c>
      <c r="AU356" s="65" t="str">
        <f t="shared" si="23"/>
        <v>Exclude</v>
      </c>
    </row>
    <row r="357" spans="1:47" s="64" customFormat="1" x14ac:dyDescent="0.25">
      <c r="A357" s="63"/>
      <c r="U357" s="64" t="str">
        <f t="shared" si="20"/>
        <v>Exclude</v>
      </c>
      <c r="W357" s="65" t="str">
        <f t="shared" si="21"/>
        <v>Exclude</v>
      </c>
      <c r="Y357" s="63"/>
      <c r="AS357" s="64" t="str">
        <f t="shared" si="22"/>
        <v>Exclude</v>
      </c>
      <c r="AU357" s="65" t="str">
        <f t="shared" si="23"/>
        <v>Exclude</v>
      </c>
    </row>
    <row r="358" spans="1:47" s="64" customFormat="1" x14ac:dyDescent="0.25">
      <c r="A358" s="63"/>
      <c r="U358" s="64" t="str">
        <f t="shared" si="20"/>
        <v>Exclude</v>
      </c>
      <c r="W358" s="65" t="str">
        <f t="shared" si="21"/>
        <v>Exclude</v>
      </c>
      <c r="Y358" s="63"/>
      <c r="AS358" s="64" t="str">
        <f t="shared" si="22"/>
        <v>Exclude</v>
      </c>
      <c r="AU358" s="65" t="str">
        <f t="shared" si="23"/>
        <v>Exclude</v>
      </c>
    </row>
    <row r="359" spans="1:47" s="64" customFormat="1" x14ac:dyDescent="0.25">
      <c r="A359" s="63"/>
      <c r="U359" s="64" t="str">
        <f t="shared" si="20"/>
        <v>Exclude</v>
      </c>
      <c r="W359" s="65" t="str">
        <f t="shared" si="21"/>
        <v>Exclude</v>
      </c>
      <c r="Y359" s="63"/>
      <c r="AS359" s="64" t="str">
        <f t="shared" si="22"/>
        <v>Exclude</v>
      </c>
      <c r="AU359" s="65" t="str">
        <f t="shared" si="23"/>
        <v>Exclude</v>
      </c>
    </row>
    <row r="360" spans="1:47" s="64" customFormat="1" x14ac:dyDescent="0.25">
      <c r="A360" s="63"/>
      <c r="U360" s="64" t="str">
        <f t="shared" si="20"/>
        <v>Exclude</v>
      </c>
      <c r="W360" s="65" t="str">
        <f t="shared" si="21"/>
        <v>Exclude</v>
      </c>
      <c r="Y360" s="63"/>
      <c r="AS360" s="64" t="str">
        <f t="shared" si="22"/>
        <v>Exclude</v>
      </c>
      <c r="AU360" s="65" t="str">
        <f t="shared" si="23"/>
        <v>Exclude</v>
      </c>
    </row>
    <row r="361" spans="1:47" s="64" customFormat="1" x14ac:dyDescent="0.25">
      <c r="A361" s="63"/>
      <c r="U361" s="64" t="str">
        <f t="shared" si="20"/>
        <v>Exclude</v>
      </c>
      <c r="W361" s="65" t="str">
        <f t="shared" si="21"/>
        <v>Exclude</v>
      </c>
      <c r="Y361" s="63"/>
      <c r="AS361" s="64" t="str">
        <f t="shared" si="22"/>
        <v>Exclude</v>
      </c>
      <c r="AU361" s="65" t="str">
        <f t="shared" si="23"/>
        <v>Exclude</v>
      </c>
    </row>
    <row r="362" spans="1:47" s="64" customFormat="1" x14ac:dyDescent="0.25">
      <c r="A362" s="63"/>
      <c r="U362" s="64" t="str">
        <f t="shared" si="20"/>
        <v>Exclude</v>
      </c>
      <c r="W362" s="65" t="str">
        <f t="shared" si="21"/>
        <v>Exclude</v>
      </c>
      <c r="Y362" s="63"/>
      <c r="AS362" s="64" t="str">
        <f t="shared" si="22"/>
        <v>Exclude</v>
      </c>
      <c r="AU362" s="65" t="str">
        <f t="shared" si="23"/>
        <v>Exclude</v>
      </c>
    </row>
    <row r="363" spans="1:47" s="64" customFormat="1" x14ac:dyDescent="0.25">
      <c r="A363" s="63"/>
      <c r="U363" s="64" t="str">
        <f t="shared" si="20"/>
        <v>Exclude</v>
      </c>
      <c r="W363" s="65" t="str">
        <f t="shared" si="21"/>
        <v>Exclude</v>
      </c>
      <c r="Y363" s="63"/>
      <c r="AS363" s="64" t="str">
        <f t="shared" si="22"/>
        <v>Exclude</v>
      </c>
      <c r="AU363" s="65" t="str">
        <f t="shared" si="23"/>
        <v>Exclude</v>
      </c>
    </row>
    <row r="364" spans="1:47" s="64" customFormat="1" x14ac:dyDescent="0.25">
      <c r="A364" s="63"/>
      <c r="U364" s="64" t="str">
        <f t="shared" si="20"/>
        <v>Exclude</v>
      </c>
      <c r="W364" s="65" t="str">
        <f t="shared" si="21"/>
        <v>Exclude</v>
      </c>
      <c r="Y364" s="63"/>
      <c r="AS364" s="64" t="str">
        <f t="shared" si="22"/>
        <v>Exclude</v>
      </c>
      <c r="AU364" s="65" t="str">
        <f t="shared" si="23"/>
        <v>Exclude</v>
      </c>
    </row>
    <row r="365" spans="1:47" s="64" customFormat="1" x14ac:dyDescent="0.25">
      <c r="A365" s="63"/>
      <c r="U365" s="64" t="str">
        <f t="shared" si="20"/>
        <v>Exclude</v>
      </c>
      <c r="W365" s="65" t="str">
        <f t="shared" si="21"/>
        <v>Exclude</v>
      </c>
      <c r="Y365" s="63"/>
      <c r="AS365" s="64" t="str">
        <f t="shared" si="22"/>
        <v>Exclude</v>
      </c>
      <c r="AU365" s="65" t="str">
        <f t="shared" si="23"/>
        <v>Exclude</v>
      </c>
    </row>
    <row r="366" spans="1:47" s="64" customFormat="1" x14ac:dyDescent="0.25">
      <c r="A366" s="63"/>
      <c r="U366" s="64" t="str">
        <f t="shared" si="20"/>
        <v>Exclude</v>
      </c>
      <c r="W366" s="65" t="str">
        <f t="shared" si="21"/>
        <v>Exclude</v>
      </c>
      <c r="Y366" s="63"/>
      <c r="AS366" s="64" t="str">
        <f t="shared" si="22"/>
        <v>Exclude</v>
      </c>
      <c r="AU366" s="65" t="str">
        <f t="shared" si="23"/>
        <v>Exclude</v>
      </c>
    </row>
    <row r="367" spans="1:47" s="64" customFormat="1" x14ac:dyDescent="0.25">
      <c r="A367" s="63"/>
      <c r="U367" s="64" t="str">
        <f t="shared" si="20"/>
        <v>Exclude</v>
      </c>
      <c r="W367" s="65" t="str">
        <f t="shared" si="21"/>
        <v>Exclude</v>
      </c>
      <c r="Y367" s="63"/>
      <c r="AS367" s="64" t="str">
        <f t="shared" si="22"/>
        <v>Exclude</v>
      </c>
      <c r="AU367" s="65" t="str">
        <f t="shared" si="23"/>
        <v>Exclude</v>
      </c>
    </row>
    <row r="368" spans="1:47" s="64" customFormat="1" x14ac:dyDescent="0.25">
      <c r="A368" s="63"/>
      <c r="U368" s="64" t="str">
        <f t="shared" si="20"/>
        <v>Exclude</v>
      </c>
      <c r="W368" s="65" t="str">
        <f t="shared" si="21"/>
        <v>Exclude</v>
      </c>
      <c r="Y368" s="63"/>
      <c r="AS368" s="64" t="str">
        <f t="shared" si="22"/>
        <v>Exclude</v>
      </c>
      <c r="AU368" s="65" t="str">
        <f t="shared" si="23"/>
        <v>Exclude</v>
      </c>
    </row>
    <row r="369" spans="1:47" s="64" customFormat="1" x14ac:dyDescent="0.25">
      <c r="A369" s="63"/>
      <c r="U369" s="64" t="str">
        <f t="shared" si="20"/>
        <v>Exclude</v>
      </c>
      <c r="W369" s="65" t="str">
        <f t="shared" si="21"/>
        <v>Exclude</v>
      </c>
      <c r="Y369" s="63"/>
      <c r="AS369" s="64" t="str">
        <f t="shared" si="22"/>
        <v>Exclude</v>
      </c>
      <c r="AU369" s="65" t="str">
        <f t="shared" si="23"/>
        <v>Exclude</v>
      </c>
    </row>
    <row r="370" spans="1:47" s="64" customFormat="1" x14ac:dyDescent="0.25">
      <c r="A370" s="63"/>
      <c r="U370" s="64" t="str">
        <f t="shared" si="20"/>
        <v>Exclude</v>
      </c>
      <c r="W370" s="65" t="str">
        <f t="shared" si="21"/>
        <v>Exclude</v>
      </c>
      <c r="Y370" s="63"/>
      <c r="AS370" s="64" t="str">
        <f t="shared" si="22"/>
        <v>Exclude</v>
      </c>
      <c r="AU370" s="65" t="str">
        <f t="shared" si="23"/>
        <v>Exclude</v>
      </c>
    </row>
    <row r="371" spans="1:47" s="64" customFormat="1" x14ac:dyDescent="0.25">
      <c r="A371" s="63"/>
      <c r="U371" s="64" t="str">
        <f t="shared" si="20"/>
        <v>Exclude</v>
      </c>
      <c r="W371" s="65" t="str">
        <f t="shared" si="21"/>
        <v>Exclude</v>
      </c>
      <c r="Y371" s="63"/>
      <c r="AS371" s="64" t="str">
        <f t="shared" si="22"/>
        <v>Exclude</v>
      </c>
      <c r="AU371" s="65" t="str">
        <f t="shared" si="23"/>
        <v>Exclude</v>
      </c>
    </row>
    <row r="372" spans="1:47" s="64" customFormat="1" x14ac:dyDescent="0.25">
      <c r="A372" s="63"/>
      <c r="U372" s="64" t="str">
        <f t="shared" si="20"/>
        <v>Exclude</v>
      </c>
      <c r="W372" s="65" t="str">
        <f t="shared" si="21"/>
        <v>Exclude</v>
      </c>
      <c r="Y372" s="63"/>
      <c r="AS372" s="64" t="str">
        <f t="shared" si="22"/>
        <v>Exclude</v>
      </c>
      <c r="AU372" s="65" t="str">
        <f t="shared" si="23"/>
        <v>Exclude</v>
      </c>
    </row>
    <row r="373" spans="1:47" s="64" customFormat="1" x14ac:dyDescent="0.25">
      <c r="A373" s="63"/>
      <c r="U373" s="64" t="str">
        <f t="shared" si="20"/>
        <v>Exclude</v>
      </c>
      <c r="W373" s="65" t="str">
        <f t="shared" si="21"/>
        <v>Exclude</v>
      </c>
      <c r="Y373" s="63"/>
      <c r="AS373" s="64" t="str">
        <f t="shared" si="22"/>
        <v>Exclude</v>
      </c>
      <c r="AU373" s="65" t="str">
        <f t="shared" si="23"/>
        <v>Exclude</v>
      </c>
    </row>
    <row r="374" spans="1:47" s="64" customFormat="1" x14ac:dyDescent="0.25">
      <c r="A374" s="63"/>
      <c r="U374" s="64" t="str">
        <f t="shared" si="20"/>
        <v>Exclude</v>
      </c>
      <c r="W374" s="65" t="str">
        <f t="shared" si="21"/>
        <v>Exclude</v>
      </c>
      <c r="Y374" s="63"/>
      <c r="AS374" s="64" t="str">
        <f t="shared" si="22"/>
        <v>Exclude</v>
      </c>
      <c r="AU374" s="65" t="str">
        <f t="shared" si="23"/>
        <v>Exclude</v>
      </c>
    </row>
    <row r="375" spans="1:47" s="64" customFormat="1" x14ac:dyDescent="0.25">
      <c r="A375" s="63"/>
      <c r="U375" s="64" t="str">
        <f t="shared" si="20"/>
        <v>Exclude</v>
      </c>
      <c r="W375" s="65" t="str">
        <f t="shared" si="21"/>
        <v>Exclude</v>
      </c>
      <c r="Y375" s="63"/>
      <c r="AS375" s="64" t="str">
        <f t="shared" si="22"/>
        <v>Exclude</v>
      </c>
      <c r="AU375" s="65" t="str">
        <f t="shared" si="23"/>
        <v>Exclude</v>
      </c>
    </row>
    <row r="376" spans="1:47" s="64" customFormat="1" x14ac:dyDescent="0.25">
      <c r="A376" s="63"/>
      <c r="U376" s="64" t="str">
        <f t="shared" si="20"/>
        <v>Exclude</v>
      </c>
      <c r="W376" s="65" t="str">
        <f t="shared" si="21"/>
        <v>Exclude</v>
      </c>
      <c r="Y376" s="63"/>
      <c r="AS376" s="64" t="str">
        <f t="shared" si="22"/>
        <v>Exclude</v>
      </c>
      <c r="AU376" s="65" t="str">
        <f t="shared" si="23"/>
        <v>Exclude</v>
      </c>
    </row>
    <row r="377" spans="1:47" s="64" customFormat="1" x14ac:dyDescent="0.25">
      <c r="A377" s="63"/>
      <c r="U377" s="64" t="str">
        <f t="shared" si="20"/>
        <v>Exclude</v>
      </c>
      <c r="W377" s="65" t="str">
        <f t="shared" si="21"/>
        <v>Exclude</v>
      </c>
      <c r="Y377" s="63"/>
      <c r="AS377" s="64" t="str">
        <f t="shared" si="22"/>
        <v>Exclude</v>
      </c>
      <c r="AU377" s="65" t="str">
        <f t="shared" si="23"/>
        <v>Exclude</v>
      </c>
    </row>
    <row r="378" spans="1:47" s="64" customFormat="1" x14ac:dyDescent="0.25">
      <c r="A378" s="63"/>
      <c r="U378" s="64" t="str">
        <f t="shared" si="20"/>
        <v>Exclude</v>
      </c>
      <c r="W378" s="65" t="str">
        <f t="shared" si="21"/>
        <v>Exclude</v>
      </c>
      <c r="Y378" s="63"/>
      <c r="AS378" s="64" t="str">
        <f t="shared" si="22"/>
        <v>Exclude</v>
      </c>
      <c r="AU378" s="65" t="str">
        <f t="shared" si="23"/>
        <v>Exclude</v>
      </c>
    </row>
    <row r="379" spans="1:47" s="64" customFormat="1" x14ac:dyDescent="0.25">
      <c r="A379" s="63"/>
      <c r="U379" s="64" t="str">
        <f t="shared" si="20"/>
        <v>Exclude</v>
      </c>
      <c r="W379" s="65" t="str">
        <f t="shared" si="21"/>
        <v>Exclude</v>
      </c>
      <c r="Y379" s="63"/>
      <c r="AS379" s="64" t="str">
        <f t="shared" si="22"/>
        <v>Exclude</v>
      </c>
      <c r="AU379" s="65" t="str">
        <f t="shared" si="23"/>
        <v>Exclude</v>
      </c>
    </row>
    <row r="380" spans="1:47" s="64" customFormat="1" x14ac:dyDescent="0.25">
      <c r="A380" s="63"/>
      <c r="U380" s="64" t="str">
        <f t="shared" si="20"/>
        <v>Exclude</v>
      </c>
      <c r="W380" s="65" t="str">
        <f t="shared" si="21"/>
        <v>Exclude</v>
      </c>
      <c r="Y380" s="63"/>
      <c r="AS380" s="64" t="str">
        <f t="shared" si="22"/>
        <v>Exclude</v>
      </c>
      <c r="AU380" s="65" t="str">
        <f t="shared" si="23"/>
        <v>Exclude</v>
      </c>
    </row>
    <row r="381" spans="1:47" s="64" customFormat="1" x14ac:dyDescent="0.25">
      <c r="A381" s="63"/>
      <c r="U381" s="64" t="str">
        <f t="shared" si="20"/>
        <v>Exclude</v>
      </c>
      <c r="W381" s="65" t="str">
        <f t="shared" si="21"/>
        <v>Exclude</v>
      </c>
      <c r="Y381" s="63"/>
      <c r="AS381" s="64" t="str">
        <f t="shared" si="22"/>
        <v>Exclude</v>
      </c>
      <c r="AU381" s="65" t="str">
        <f t="shared" si="23"/>
        <v>Exclude</v>
      </c>
    </row>
    <row r="382" spans="1:47" s="64" customFormat="1" x14ac:dyDescent="0.25">
      <c r="A382" s="63"/>
      <c r="U382" s="64" t="str">
        <f t="shared" si="20"/>
        <v>Exclude</v>
      </c>
      <c r="W382" s="65" t="str">
        <f t="shared" si="21"/>
        <v>Exclude</v>
      </c>
      <c r="Y382" s="63"/>
      <c r="AS382" s="64" t="str">
        <f t="shared" si="22"/>
        <v>Exclude</v>
      </c>
      <c r="AU382" s="65" t="str">
        <f t="shared" si="23"/>
        <v>Exclude</v>
      </c>
    </row>
    <row r="383" spans="1:47" s="64" customFormat="1" x14ac:dyDescent="0.25">
      <c r="A383" s="63"/>
      <c r="U383" s="64" t="str">
        <f t="shared" si="20"/>
        <v>Exclude</v>
      </c>
      <c r="W383" s="65" t="str">
        <f t="shared" si="21"/>
        <v>Exclude</v>
      </c>
      <c r="Y383" s="63"/>
      <c r="AS383" s="64" t="str">
        <f t="shared" si="22"/>
        <v>Exclude</v>
      </c>
      <c r="AU383" s="65" t="str">
        <f t="shared" si="23"/>
        <v>Exclude</v>
      </c>
    </row>
    <row r="384" spans="1:47" s="64" customFormat="1" x14ac:dyDescent="0.25">
      <c r="A384" s="63"/>
      <c r="U384" s="64" t="str">
        <f t="shared" si="20"/>
        <v>Exclude</v>
      </c>
      <c r="W384" s="65" t="str">
        <f t="shared" si="21"/>
        <v>Exclude</v>
      </c>
      <c r="Y384" s="63"/>
      <c r="AS384" s="64" t="str">
        <f t="shared" si="22"/>
        <v>Exclude</v>
      </c>
      <c r="AU384" s="65" t="str">
        <f t="shared" si="23"/>
        <v>Exclude</v>
      </c>
    </row>
    <row r="385" spans="1:47" s="64" customFormat="1" x14ac:dyDescent="0.25">
      <c r="A385" s="63"/>
      <c r="U385" s="64" t="str">
        <f t="shared" si="20"/>
        <v>Exclude</v>
      </c>
      <c r="W385" s="65" t="str">
        <f t="shared" si="21"/>
        <v>Exclude</v>
      </c>
      <c r="Y385" s="63"/>
      <c r="AS385" s="64" t="str">
        <f t="shared" si="22"/>
        <v>Exclude</v>
      </c>
      <c r="AU385" s="65" t="str">
        <f t="shared" si="23"/>
        <v>Exclude</v>
      </c>
    </row>
    <row r="386" spans="1:47" s="64" customFormat="1" x14ac:dyDescent="0.25">
      <c r="A386" s="63"/>
      <c r="U386" s="64" t="str">
        <f t="shared" si="20"/>
        <v>Exclude</v>
      </c>
      <c r="W386" s="65" t="str">
        <f t="shared" si="21"/>
        <v>Exclude</v>
      </c>
      <c r="Y386" s="63"/>
      <c r="AS386" s="64" t="str">
        <f t="shared" si="22"/>
        <v>Exclude</v>
      </c>
      <c r="AU386" s="65" t="str">
        <f t="shared" si="23"/>
        <v>Exclude</v>
      </c>
    </row>
    <row r="387" spans="1:47" s="64" customFormat="1" x14ac:dyDescent="0.25">
      <c r="A387" s="63"/>
      <c r="U387" s="64" t="str">
        <f t="shared" si="20"/>
        <v>Exclude</v>
      </c>
      <c r="W387" s="65" t="str">
        <f t="shared" si="21"/>
        <v>Exclude</v>
      </c>
      <c r="Y387" s="63"/>
      <c r="AS387" s="64" t="str">
        <f t="shared" si="22"/>
        <v>Exclude</v>
      </c>
      <c r="AU387" s="65" t="str">
        <f t="shared" si="23"/>
        <v>Exclude</v>
      </c>
    </row>
    <row r="388" spans="1:47" s="64" customFormat="1" x14ac:dyDescent="0.25">
      <c r="A388" s="63"/>
      <c r="U388" s="64" t="str">
        <f t="shared" si="20"/>
        <v>Exclude</v>
      </c>
      <c r="W388" s="65" t="str">
        <f t="shared" si="21"/>
        <v>Exclude</v>
      </c>
      <c r="Y388" s="63"/>
      <c r="AS388" s="64" t="str">
        <f t="shared" si="22"/>
        <v>Exclude</v>
      </c>
      <c r="AU388" s="65" t="str">
        <f t="shared" si="23"/>
        <v>Exclude</v>
      </c>
    </row>
    <row r="389" spans="1:47" s="64" customFormat="1" x14ac:dyDescent="0.25">
      <c r="A389" s="63"/>
      <c r="U389" s="64" t="str">
        <f t="shared" si="20"/>
        <v>Exclude</v>
      </c>
      <c r="W389" s="65" t="str">
        <f t="shared" si="21"/>
        <v>Exclude</v>
      </c>
      <c r="Y389" s="63"/>
      <c r="AS389" s="64" t="str">
        <f t="shared" si="22"/>
        <v>Exclude</v>
      </c>
      <c r="AU389" s="65" t="str">
        <f t="shared" si="23"/>
        <v>Exclude</v>
      </c>
    </row>
    <row r="390" spans="1:47" s="64" customFormat="1" x14ac:dyDescent="0.25">
      <c r="A390" s="63"/>
      <c r="U390" s="64" t="str">
        <f t="shared" si="20"/>
        <v>Exclude</v>
      </c>
      <c r="W390" s="65" t="str">
        <f t="shared" si="21"/>
        <v>Exclude</v>
      </c>
      <c r="Y390" s="63"/>
      <c r="AS390" s="64" t="str">
        <f t="shared" si="22"/>
        <v>Exclude</v>
      </c>
      <c r="AU390" s="65" t="str">
        <f t="shared" si="23"/>
        <v>Exclude</v>
      </c>
    </row>
    <row r="391" spans="1:47" s="64" customFormat="1" x14ac:dyDescent="0.25">
      <c r="A391" s="63"/>
      <c r="U391" s="64" t="str">
        <f t="shared" si="20"/>
        <v>Exclude</v>
      </c>
      <c r="W391" s="65" t="str">
        <f t="shared" si="21"/>
        <v>Exclude</v>
      </c>
      <c r="Y391" s="63"/>
      <c r="AS391" s="64" t="str">
        <f t="shared" si="22"/>
        <v>Exclude</v>
      </c>
      <c r="AU391" s="65" t="str">
        <f t="shared" si="23"/>
        <v>Exclude</v>
      </c>
    </row>
    <row r="392" spans="1:47" s="64" customFormat="1" x14ac:dyDescent="0.25">
      <c r="A392" s="63"/>
      <c r="U392" s="64" t="str">
        <f t="shared" si="20"/>
        <v>Exclude</v>
      </c>
      <c r="W392" s="65" t="str">
        <f t="shared" si="21"/>
        <v>Exclude</v>
      </c>
      <c r="Y392" s="63"/>
      <c r="AS392" s="64" t="str">
        <f t="shared" si="22"/>
        <v>Exclude</v>
      </c>
      <c r="AU392" s="65" t="str">
        <f t="shared" si="23"/>
        <v>Exclude</v>
      </c>
    </row>
    <row r="393" spans="1:47" s="64" customFormat="1" x14ac:dyDescent="0.25">
      <c r="A393" s="63"/>
      <c r="U393" s="64" t="str">
        <f t="shared" si="20"/>
        <v>Exclude</v>
      </c>
      <c r="W393" s="65" t="str">
        <f t="shared" si="21"/>
        <v>Exclude</v>
      </c>
      <c r="Y393" s="63"/>
      <c r="AS393" s="64" t="str">
        <f t="shared" si="22"/>
        <v>Exclude</v>
      </c>
      <c r="AU393" s="65" t="str">
        <f t="shared" si="23"/>
        <v>Exclude</v>
      </c>
    </row>
    <row r="394" spans="1:47" s="64" customFormat="1" x14ac:dyDescent="0.25">
      <c r="A394" s="63"/>
      <c r="U394" s="64" t="str">
        <f t="shared" si="20"/>
        <v>Exclude</v>
      </c>
      <c r="W394" s="65" t="str">
        <f t="shared" si="21"/>
        <v>Exclude</v>
      </c>
      <c r="Y394" s="63"/>
      <c r="AS394" s="64" t="str">
        <f t="shared" si="22"/>
        <v>Exclude</v>
      </c>
      <c r="AU394" s="65" t="str">
        <f t="shared" si="23"/>
        <v>Exclude</v>
      </c>
    </row>
    <row r="395" spans="1:47" s="64" customFormat="1" x14ac:dyDescent="0.25">
      <c r="A395" s="63"/>
      <c r="U395" s="64" t="str">
        <f t="shared" si="20"/>
        <v>Exclude</v>
      </c>
      <c r="W395" s="65" t="str">
        <f t="shared" si="21"/>
        <v>Exclude</v>
      </c>
      <c r="Y395" s="63"/>
      <c r="AS395" s="64" t="str">
        <f t="shared" si="22"/>
        <v>Exclude</v>
      </c>
      <c r="AU395" s="65" t="str">
        <f t="shared" si="23"/>
        <v>Exclude</v>
      </c>
    </row>
    <row r="396" spans="1:47" s="64" customFormat="1" x14ac:dyDescent="0.25">
      <c r="A396" s="63"/>
      <c r="U396" s="64" t="str">
        <f t="shared" si="20"/>
        <v>Exclude</v>
      </c>
      <c r="W396" s="65" t="str">
        <f t="shared" si="21"/>
        <v>Exclude</v>
      </c>
      <c r="Y396" s="63"/>
      <c r="AS396" s="64" t="str">
        <f t="shared" si="22"/>
        <v>Exclude</v>
      </c>
      <c r="AU396" s="65" t="str">
        <f t="shared" si="23"/>
        <v>Exclude</v>
      </c>
    </row>
    <row r="397" spans="1:47" s="64" customFormat="1" x14ac:dyDescent="0.25">
      <c r="A397" s="63"/>
      <c r="U397" s="64" t="str">
        <f t="shared" si="20"/>
        <v>Exclude</v>
      </c>
      <c r="W397" s="65" t="str">
        <f t="shared" si="21"/>
        <v>Exclude</v>
      </c>
      <c r="Y397" s="63"/>
      <c r="AS397" s="64" t="str">
        <f t="shared" si="22"/>
        <v>Exclude</v>
      </c>
      <c r="AU397" s="65" t="str">
        <f t="shared" si="23"/>
        <v>Exclude</v>
      </c>
    </row>
    <row r="398" spans="1:47" s="64" customFormat="1" x14ac:dyDescent="0.25">
      <c r="A398" s="63"/>
      <c r="U398" s="64" t="str">
        <f t="shared" si="20"/>
        <v>Exclude</v>
      </c>
      <c r="W398" s="65" t="str">
        <f t="shared" si="21"/>
        <v>Exclude</v>
      </c>
      <c r="Y398" s="63"/>
      <c r="AS398" s="64" t="str">
        <f t="shared" si="22"/>
        <v>Exclude</v>
      </c>
      <c r="AU398" s="65" t="str">
        <f t="shared" si="23"/>
        <v>Exclude</v>
      </c>
    </row>
    <row r="399" spans="1:47" s="64" customFormat="1" x14ac:dyDescent="0.25">
      <c r="A399" s="63"/>
      <c r="U399" s="64" t="str">
        <f t="shared" si="20"/>
        <v>Exclude</v>
      </c>
      <c r="W399" s="65" t="str">
        <f t="shared" si="21"/>
        <v>Exclude</v>
      </c>
      <c r="Y399" s="63"/>
      <c r="AS399" s="64" t="str">
        <f t="shared" si="22"/>
        <v>Exclude</v>
      </c>
      <c r="AU399" s="65" t="str">
        <f t="shared" si="23"/>
        <v>Exclude</v>
      </c>
    </row>
    <row r="400" spans="1:47" s="64" customFormat="1" x14ac:dyDescent="0.25">
      <c r="A400" s="63"/>
      <c r="U400" s="64" t="str">
        <f t="shared" si="20"/>
        <v>Exclude</v>
      </c>
      <c r="W400" s="65" t="str">
        <f t="shared" si="21"/>
        <v>Exclude</v>
      </c>
      <c r="Y400" s="63"/>
      <c r="AS400" s="64" t="str">
        <f t="shared" si="22"/>
        <v>Exclude</v>
      </c>
      <c r="AU400" s="65" t="str">
        <f t="shared" si="23"/>
        <v>Exclude</v>
      </c>
    </row>
    <row r="401" spans="1:47" s="64" customFormat="1" x14ac:dyDescent="0.25">
      <c r="A401" s="63"/>
      <c r="U401" s="64" t="str">
        <f t="shared" si="20"/>
        <v>Exclude</v>
      </c>
      <c r="W401" s="65" t="str">
        <f t="shared" si="21"/>
        <v>Exclude</v>
      </c>
      <c r="Y401" s="63"/>
      <c r="AS401" s="64" t="str">
        <f t="shared" si="22"/>
        <v>Exclude</v>
      </c>
      <c r="AU401" s="65" t="str">
        <f t="shared" si="23"/>
        <v>Exclude</v>
      </c>
    </row>
    <row r="402" spans="1:47" s="64" customFormat="1" x14ac:dyDescent="0.25">
      <c r="A402" s="63"/>
      <c r="U402" s="64" t="str">
        <f t="shared" si="20"/>
        <v>Exclude</v>
      </c>
      <c r="W402" s="65" t="str">
        <f t="shared" si="21"/>
        <v>Exclude</v>
      </c>
      <c r="Y402" s="63"/>
      <c r="AS402" s="64" t="str">
        <f t="shared" si="22"/>
        <v>Exclude</v>
      </c>
      <c r="AU402" s="65" t="str">
        <f t="shared" si="23"/>
        <v>Exclude</v>
      </c>
    </row>
    <row r="403" spans="1:47" s="64" customFormat="1" x14ac:dyDescent="0.25">
      <c r="A403" s="63"/>
      <c r="U403" s="64" t="str">
        <f t="shared" si="20"/>
        <v>Exclude</v>
      </c>
      <c r="W403" s="65" t="str">
        <f t="shared" si="21"/>
        <v>Exclude</v>
      </c>
      <c r="Y403" s="63"/>
      <c r="AS403" s="64" t="str">
        <f t="shared" si="22"/>
        <v>Exclude</v>
      </c>
      <c r="AU403" s="65" t="str">
        <f t="shared" si="23"/>
        <v>Exclude</v>
      </c>
    </row>
    <row r="404" spans="1:47" s="64" customFormat="1" x14ac:dyDescent="0.25">
      <c r="A404" s="63"/>
      <c r="U404" s="64" t="str">
        <f t="shared" si="20"/>
        <v>Exclude</v>
      </c>
      <c r="W404" s="65" t="str">
        <f t="shared" si="21"/>
        <v>Exclude</v>
      </c>
      <c r="Y404" s="63"/>
      <c r="AS404" s="64" t="str">
        <f t="shared" si="22"/>
        <v>Exclude</v>
      </c>
      <c r="AU404" s="65" t="str">
        <f t="shared" si="23"/>
        <v>Exclude</v>
      </c>
    </row>
    <row r="405" spans="1:47" s="64" customFormat="1" x14ac:dyDescent="0.25">
      <c r="A405" s="63"/>
      <c r="U405" s="64" t="str">
        <f t="shared" ref="U405:U468" si="24">IF(OR(R405="TruePositive",R405="TrueNegative"),IF(R404&lt;&gt;"Anticipatory",(N405),"Pant"),"Exclude")</f>
        <v>Exclude</v>
      </c>
      <c r="W405" s="65" t="str">
        <f t="shared" ref="W405:W468" si="25">IF(OR(R405="TruePositive",R405="TrueNegative"),IF(R404&lt;&gt;"Anticipatory",LOG10(N405),"Exclude"),"Exclude")</f>
        <v>Exclude</v>
      </c>
      <c r="Y405" s="63"/>
      <c r="AS405" s="64" t="str">
        <f t="shared" ref="AS405:AS468" si="26">IF(OR(AP405="TruePositive",AP405="TrueNegative"),IF(AP404&lt;&gt;"Anticipatory",(AL405),"Pant"),"Exclude")</f>
        <v>Exclude</v>
      </c>
      <c r="AU405" s="65" t="str">
        <f t="shared" ref="AU405:AU468" si="27">IF(OR(AP405="TruePositive",AP405="TrueNegative"),IF(AP404&lt;&gt;"Anticipatory",LOG10(AL405),"Exclude"),"Exclude")</f>
        <v>Exclude</v>
      </c>
    </row>
    <row r="406" spans="1:47" s="64" customFormat="1" x14ac:dyDescent="0.25">
      <c r="A406" s="63"/>
      <c r="U406" s="64" t="str">
        <f t="shared" si="24"/>
        <v>Exclude</v>
      </c>
      <c r="W406" s="65" t="str">
        <f t="shared" si="25"/>
        <v>Exclude</v>
      </c>
      <c r="Y406" s="63"/>
      <c r="AS406" s="64" t="str">
        <f t="shared" si="26"/>
        <v>Exclude</v>
      </c>
      <c r="AU406" s="65" t="str">
        <f t="shared" si="27"/>
        <v>Exclude</v>
      </c>
    </row>
    <row r="407" spans="1:47" s="64" customFormat="1" x14ac:dyDescent="0.25">
      <c r="A407" s="63"/>
      <c r="U407" s="64" t="str">
        <f t="shared" si="24"/>
        <v>Exclude</v>
      </c>
      <c r="W407" s="65" t="str">
        <f t="shared" si="25"/>
        <v>Exclude</v>
      </c>
      <c r="Y407" s="63"/>
      <c r="AS407" s="64" t="str">
        <f t="shared" si="26"/>
        <v>Exclude</v>
      </c>
      <c r="AU407" s="65" t="str">
        <f t="shared" si="27"/>
        <v>Exclude</v>
      </c>
    </row>
    <row r="408" spans="1:47" s="64" customFormat="1" x14ac:dyDescent="0.25">
      <c r="A408" s="63"/>
      <c r="U408" s="64" t="str">
        <f t="shared" si="24"/>
        <v>Exclude</v>
      </c>
      <c r="W408" s="65" t="str">
        <f t="shared" si="25"/>
        <v>Exclude</v>
      </c>
      <c r="Y408" s="63"/>
      <c r="AS408" s="64" t="str">
        <f t="shared" si="26"/>
        <v>Exclude</v>
      </c>
      <c r="AU408" s="65" t="str">
        <f t="shared" si="27"/>
        <v>Exclude</v>
      </c>
    </row>
    <row r="409" spans="1:47" s="64" customFormat="1" x14ac:dyDescent="0.25">
      <c r="A409" s="63"/>
      <c r="U409" s="64" t="str">
        <f t="shared" si="24"/>
        <v>Exclude</v>
      </c>
      <c r="W409" s="65" t="str">
        <f t="shared" si="25"/>
        <v>Exclude</v>
      </c>
      <c r="Y409" s="63"/>
      <c r="AS409" s="64" t="str">
        <f t="shared" si="26"/>
        <v>Exclude</v>
      </c>
      <c r="AU409" s="65" t="str">
        <f t="shared" si="27"/>
        <v>Exclude</v>
      </c>
    </row>
    <row r="410" spans="1:47" s="64" customFormat="1" x14ac:dyDescent="0.25">
      <c r="A410" s="63"/>
      <c r="U410" s="64" t="str">
        <f t="shared" si="24"/>
        <v>Exclude</v>
      </c>
      <c r="W410" s="65" t="str">
        <f t="shared" si="25"/>
        <v>Exclude</v>
      </c>
      <c r="Y410" s="63"/>
      <c r="AS410" s="64" t="str">
        <f t="shared" si="26"/>
        <v>Exclude</v>
      </c>
      <c r="AU410" s="65" t="str">
        <f t="shared" si="27"/>
        <v>Exclude</v>
      </c>
    </row>
    <row r="411" spans="1:47" s="64" customFormat="1" x14ac:dyDescent="0.25">
      <c r="A411" s="63"/>
      <c r="U411" s="64" t="str">
        <f t="shared" si="24"/>
        <v>Exclude</v>
      </c>
      <c r="W411" s="65" t="str">
        <f t="shared" si="25"/>
        <v>Exclude</v>
      </c>
      <c r="Y411" s="63"/>
      <c r="AS411" s="64" t="str">
        <f t="shared" si="26"/>
        <v>Exclude</v>
      </c>
      <c r="AU411" s="65" t="str">
        <f t="shared" si="27"/>
        <v>Exclude</v>
      </c>
    </row>
    <row r="412" spans="1:47" s="64" customFormat="1" x14ac:dyDescent="0.25">
      <c r="A412" s="63"/>
      <c r="U412" s="64" t="str">
        <f t="shared" si="24"/>
        <v>Exclude</v>
      </c>
      <c r="W412" s="65" t="str">
        <f t="shared" si="25"/>
        <v>Exclude</v>
      </c>
      <c r="Y412" s="63"/>
      <c r="AS412" s="64" t="str">
        <f t="shared" si="26"/>
        <v>Exclude</v>
      </c>
      <c r="AU412" s="65" t="str">
        <f t="shared" si="27"/>
        <v>Exclude</v>
      </c>
    </row>
    <row r="413" spans="1:47" s="64" customFormat="1" x14ac:dyDescent="0.25">
      <c r="A413" s="63"/>
      <c r="U413" s="64" t="str">
        <f t="shared" si="24"/>
        <v>Exclude</v>
      </c>
      <c r="W413" s="65" t="str">
        <f t="shared" si="25"/>
        <v>Exclude</v>
      </c>
      <c r="Y413" s="63"/>
      <c r="AS413" s="64" t="str">
        <f t="shared" si="26"/>
        <v>Exclude</v>
      </c>
      <c r="AU413" s="65" t="str">
        <f t="shared" si="27"/>
        <v>Exclude</v>
      </c>
    </row>
    <row r="414" spans="1:47" s="64" customFormat="1" x14ac:dyDescent="0.25">
      <c r="A414" s="63"/>
      <c r="U414" s="64" t="str">
        <f t="shared" si="24"/>
        <v>Exclude</v>
      </c>
      <c r="W414" s="65" t="str">
        <f t="shared" si="25"/>
        <v>Exclude</v>
      </c>
      <c r="Y414" s="63"/>
      <c r="AS414" s="64" t="str">
        <f t="shared" si="26"/>
        <v>Exclude</v>
      </c>
      <c r="AU414" s="65" t="str">
        <f t="shared" si="27"/>
        <v>Exclude</v>
      </c>
    </row>
    <row r="415" spans="1:47" s="64" customFormat="1" x14ac:dyDescent="0.25">
      <c r="A415" s="63"/>
      <c r="U415" s="64" t="str">
        <f t="shared" si="24"/>
        <v>Exclude</v>
      </c>
      <c r="W415" s="65" t="str">
        <f t="shared" si="25"/>
        <v>Exclude</v>
      </c>
      <c r="Y415" s="63"/>
      <c r="AS415" s="64" t="str">
        <f t="shared" si="26"/>
        <v>Exclude</v>
      </c>
      <c r="AU415" s="65" t="str">
        <f t="shared" si="27"/>
        <v>Exclude</v>
      </c>
    </row>
    <row r="416" spans="1:47" s="64" customFormat="1" x14ac:dyDescent="0.25">
      <c r="A416" s="63"/>
      <c r="U416" s="64" t="str">
        <f t="shared" si="24"/>
        <v>Exclude</v>
      </c>
      <c r="W416" s="65" t="str">
        <f t="shared" si="25"/>
        <v>Exclude</v>
      </c>
      <c r="Y416" s="63"/>
      <c r="AS416" s="64" t="str">
        <f t="shared" si="26"/>
        <v>Exclude</v>
      </c>
      <c r="AU416" s="65" t="str">
        <f t="shared" si="27"/>
        <v>Exclude</v>
      </c>
    </row>
    <row r="417" spans="1:47" s="64" customFormat="1" x14ac:dyDescent="0.25">
      <c r="A417" s="63"/>
      <c r="U417" s="64" t="str">
        <f t="shared" si="24"/>
        <v>Exclude</v>
      </c>
      <c r="W417" s="65" t="str">
        <f t="shared" si="25"/>
        <v>Exclude</v>
      </c>
      <c r="Y417" s="63"/>
      <c r="AS417" s="64" t="str">
        <f t="shared" si="26"/>
        <v>Exclude</v>
      </c>
      <c r="AU417" s="65" t="str">
        <f t="shared" si="27"/>
        <v>Exclude</v>
      </c>
    </row>
    <row r="418" spans="1:47" s="64" customFormat="1" x14ac:dyDescent="0.25">
      <c r="A418" s="63"/>
      <c r="U418" s="64" t="str">
        <f t="shared" si="24"/>
        <v>Exclude</v>
      </c>
      <c r="W418" s="65" t="str">
        <f t="shared" si="25"/>
        <v>Exclude</v>
      </c>
      <c r="Y418" s="63"/>
      <c r="AS418" s="64" t="str">
        <f t="shared" si="26"/>
        <v>Exclude</v>
      </c>
      <c r="AU418" s="65" t="str">
        <f t="shared" si="27"/>
        <v>Exclude</v>
      </c>
    </row>
    <row r="419" spans="1:47" s="64" customFormat="1" x14ac:dyDescent="0.25">
      <c r="A419" s="63"/>
      <c r="U419" s="64" t="str">
        <f t="shared" si="24"/>
        <v>Exclude</v>
      </c>
      <c r="W419" s="65" t="str">
        <f t="shared" si="25"/>
        <v>Exclude</v>
      </c>
      <c r="Y419" s="63"/>
      <c r="AS419" s="64" t="str">
        <f t="shared" si="26"/>
        <v>Exclude</v>
      </c>
      <c r="AU419" s="65" t="str">
        <f t="shared" si="27"/>
        <v>Exclude</v>
      </c>
    </row>
    <row r="420" spans="1:47" s="64" customFormat="1" x14ac:dyDescent="0.25">
      <c r="A420" s="63"/>
      <c r="U420" s="64" t="str">
        <f t="shared" si="24"/>
        <v>Exclude</v>
      </c>
      <c r="W420" s="65" t="str">
        <f t="shared" si="25"/>
        <v>Exclude</v>
      </c>
      <c r="Y420" s="63"/>
      <c r="AS420" s="64" t="str">
        <f t="shared" si="26"/>
        <v>Exclude</v>
      </c>
      <c r="AU420" s="65" t="str">
        <f t="shared" si="27"/>
        <v>Exclude</v>
      </c>
    </row>
    <row r="421" spans="1:47" s="64" customFormat="1" x14ac:dyDescent="0.25">
      <c r="A421" s="63"/>
      <c r="U421" s="64" t="str">
        <f t="shared" si="24"/>
        <v>Exclude</v>
      </c>
      <c r="W421" s="65" t="str">
        <f t="shared" si="25"/>
        <v>Exclude</v>
      </c>
      <c r="Y421" s="63"/>
      <c r="AS421" s="64" t="str">
        <f t="shared" si="26"/>
        <v>Exclude</v>
      </c>
      <c r="AU421" s="65" t="str">
        <f t="shared" si="27"/>
        <v>Exclude</v>
      </c>
    </row>
    <row r="422" spans="1:47" s="64" customFormat="1" x14ac:dyDescent="0.25">
      <c r="A422" s="63"/>
      <c r="U422" s="64" t="str">
        <f t="shared" si="24"/>
        <v>Exclude</v>
      </c>
      <c r="W422" s="65" t="str">
        <f t="shared" si="25"/>
        <v>Exclude</v>
      </c>
      <c r="Y422" s="63"/>
      <c r="AS422" s="64" t="str">
        <f t="shared" si="26"/>
        <v>Exclude</v>
      </c>
      <c r="AU422" s="65" t="str">
        <f t="shared" si="27"/>
        <v>Exclude</v>
      </c>
    </row>
    <row r="423" spans="1:47" s="64" customFormat="1" x14ac:dyDescent="0.25">
      <c r="A423" s="63"/>
      <c r="U423" s="64" t="str">
        <f t="shared" si="24"/>
        <v>Exclude</v>
      </c>
      <c r="W423" s="65" t="str">
        <f t="shared" si="25"/>
        <v>Exclude</v>
      </c>
      <c r="Y423" s="63"/>
      <c r="AS423" s="64" t="str">
        <f t="shared" si="26"/>
        <v>Exclude</v>
      </c>
      <c r="AU423" s="65" t="str">
        <f t="shared" si="27"/>
        <v>Exclude</v>
      </c>
    </row>
    <row r="424" spans="1:47" s="64" customFormat="1" x14ac:dyDescent="0.25">
      <c r="A424" s="63"/>
      <c r="U424" s="64" t="str">
        <f t="shared" si="24"/>
        <v>Exclude</v>
      </c>
      <c r="W424" s="65" t="str">
        <f t="shared" si="25"/>
        <v>Exclude</v>
      </c>
      <c r="Y424" s="63"/>
      <c r="AS424" s="64" t="str">
        <f t="shared" si="26"/>
        <v>Exclude</v>
      </c>
      <c r="AU424" s="65" t="str">
        <f t="shared" si="27"/>
        <v>Exclude</v>
      </c>
    </row>
    <row r="425" spans="1:47" s="64" customFormat="1" x14ac:dyDescent="0.25">
      <c r="A425" s="63"/>
      <c r="U425" s="64" t="str">
        <f t="shared" si="24"/>
        <v>Exclude</v>
      </c>
      <c r="W425" s="65" t="str">
        <f t="shared" si="25"/>
        <v>Exclude</v>
      </c>
      <c r="Y425" s="63"/>
      <c r="AS425" s="64" t="str">
        <f t="shared" si="26"/>
        <v>Exclude</v>
      </c>
      <c r="AU425" s="65" t="str">
        <f t="shared" si="27"/>
        <v>Exclude</v>
      </c>
    </row>
    <row r="426" spans="1:47" s="64" customFormat="1" x14ac:dyDescent="0.25">
      <c r="A426" s="63"/>
      <c r="U426" s="64" t="str">
        <f t="shared" si="24"/>
        <v>Exclude</v>
      </c>
      <c r="W426" s="65" t="str">
        <f t="shared" si="25"/>
        <v>Exclude</v>
      </c>
      <c r="Y426" s="63"/>
      <c r="AS426" s="64" t="str">
        <f t="shared" si="26"/>
        <v>Exclude</v>
      </c>
      <c r="AU426" s="65" t="str">
        <f t="shared" si="27"/>
        <v>Exclude</v>
      </c>
    </row>
    <row r="427" spans="1:47" s="64" customFormat="1" x14ac:dyDescent="0.25">
      <c r="A427" s="63"/>
      <c r="U427" s="64" t="str">
        <f t="shared" si="24"/>
        <v>Exclude</v>
      </c>
      <c r="W427" s="65" t="str">
        <f t="shared" si="25"/>
        <v>Exclude</v>
      </c>
      <c r="Y427" s="63"/>
      <c r="AS427" s="64" t="str">
        <f t="shared" si="26"/>
        <v>Exclude</v>
      </c>
      <c r="AU427" s="65" t="str">
        <f t="shared" si="27"/>
        <v>Exclude</v>
      </c>
    </row>
    <row r="428" spans="1:47" s="64" customFormat="1" x14ac:dyDescent="0.25">
      <c r="A428" s="63"/>
      <c r="U428" s="64" t="str">
        <f t="shared" si="24"/>
        <v>Exclude</v>
      </c>
      <c r="W428" s="65" t="str">
        <f t="shared" si="25"/>
        <v>Exclude</v>
      </c>
      <c r="Y428" s="63"/>
      <c r="AS428" s="64" t="str">
        <f t="shared" si="26"/>
        <v>Exclude</v>
      </c>
      <c r="AU428" s="65" t="str">
        <f t="shared" si="27"/>
        <v>Exclude</v>
      </c>
    </row>
    <row r="429" spans="1:47" s="64" customFormat="1" x14ac:dyDescent="0.25">
      <c r="A429" s="63"/>
      <c r="U429" s="64" t="str">
        <f t="shared" si="24"/>
        <v>Exclude</v>
      </c>
      <c r="W429" s="65" t="str">
        <f t="shared" si="25"/>
        <v>Exclude</v>
      </c>
      <c r="Y429" s="63"/>
      <c r="AS429" s="64" t="str">
        <f t="shared" si="26"/>
        <v>Exclude</v>
      </c>
      <c r="AU429" s="65" t="str">
        <f t="shared" si="27"/>
        <v>Exclude</v>
      </c>
    </row>
    <row r="430" spans="1:47" s="64" customFormat="1" x14ac:dyDescent="0.25">
      <c r="A430" s="63"/>
      <c r="U430" s="64" t="str">
        <f t="shared" si="24"/>
        <v>Exclude</v>
      </c>
      <c r="W430" s="65" t="str">
        <f t="shared" si="25"/>
        <v>Exclude</v>
      </c>
      <c r="Y430" s="63"/>
      <c r="AS430" s="64" t="str">
        <f t="shared" si="26"/>
        <v>Exclude</v>
      </c>
      <c r="AU430" s="65" t="str">
        <f t="shared" si="27"/>
        <v>Exclude</v>
      </c>
    </row>
    <row r="431" spans="1:47" s="64" customFormat="1" x14ac:dyDescent="0.25">
      <c r="A431" s="63"/>
      <c r="U431" s="64" t="str">
        <f t="shared" si="24"/>
        <v>Exclude</v>
      </c>
      <c r="W431" s="65" t="str">
        <f t="shared" si="25"/>
        <v>Exclude</v>
      </c>
      <c r="Y431" s="63"/>
      <c r="AS431" s="64" t="str">
        <f t="shared" si="26"/>
        <v>Exclude</v>
      </c>
      <c r="AU431" s="65" t="str">
        <f t="shared" si="27"/>
        <v>Exclude</v>
      </c>
    </row>
    <row r="432" spans="1:47" s="64" customFormat="1" x14ac:dyDescent="0.25">
      <c r="A432" s="63"/>
      <c r="U432" s="64" t="str">
        <f t="shared" si="24"/>
        <v>Exclude</v>
      </c>
      <c r="W432" s="65" t="str">
        <f t="shared" si="25"/>
        <v>Exclude</v>
      </c>
      <c r="Y432" s="63"/>
      <c r="AS432" s="64" t="str">
        <f t="shared" si="26"/>
        <v>Exclude</v>
      </c>
      <c r="AU432" s="65" t="str">
        <f t="shared" si="27"/>
        <v>Exclude</v>
      </c>
    </row>
    <row r="433" spans="1:47" s="64" customFormat="1" x14ac:dyDescent="0.25">
      <c r="A433" s="63"/>
      <c r="U433" s="64" t="str">
        <f t="shared" si="24"/>
        <v>Exclude</v>
      </c>
      <c r="W433" s="65" t="str">
        <f t="shared" si="25"/>
        <v>Exclude</v>
      </c>
      <c r="Y433" s="63"/>
      <c r="AS433" s="64" t="str">
        <f t="shared" si="26"/>
        <v>Exclude</v>
      </c>
      <c r="AU433" s="65" t="str">
        <f t="shared" si="27"/>
        <v>Exclude</v>
      </c>
    </row>
    <row r="434" spans="1:47" s="64" customFormat="1" x14ac:dyDescent="0.25">
      <c r="A434" s="63"/>
      <c r="U434" s="64" t="str">
        <f t="shared" si="24"/>
        <v>Exclude</v>
      </c>
      <c r="W434" s="65" t="str">
        <f t="shared" si="25"/>
        <v>Exclude</v>
      </c>
      <c r="Y434" s="63"/>
      <c r="AS434" s="64" t="str">
        <f t="shared" si="26"/>
        <v>Exclude</v>
      </c>
      <c r="AU434" s="65" t="str">
        <f t="shared" si="27"/>
        <v>Exclude</v>
      </c>
    </row>
    <row r="435" spans="1:47" s="64" customFormat="1" x14ac:dyDescent="0.25">
      <c r="A435" s="63"/>
      <c r="U435" s="64" t="str">
        <f t="shared" si="24"/>
        <v>Exclude</v>
      </c>
      <c r="W435" s="65" t="str">
        <f t="shared" si="25"/>
        <v>Exclude</v>
      </c>
      <c r="Y435" s="63"/>
      <c r="AS435" s="64" t="str">
        <f t="shared" si="26"/>
        <v>Exclude</v>
      </c>
      <c r="AU435" s="65" t="str">
        <f t="shared" si="27"/>
        <v>Exclude</v>
      </c>
    </row>
    <row r="436" spans="1:47" s="64" customFormat="1" x14ac:dyDescent="0.25">
      <c r="A436" s="63"/>
      <c r="U436" s="64" t="str">
        <f t="shared" si="24"/>
        <v>Exclude</v>
      </c>
      <c r="W436" s="65" t="str">
        <f t="shared" si="25"/>
        <v>Exclude</v>
      </c>
      <c r="Y436" s="63"/>
      <c r="AS436" s="64" t="str">
        <f t="shared" si="26"/>
        <v>Exclude</v>
      </c>
      <c r="AU436" s="65" t="str">
        <f t="shared" si="27"/>
        <v>Exclude</v>
      </c>
    </row>
    <row r="437" spans="1:47" s="64" customFormat="1" x14ac:dyDescent="0.25">
      <c r="A437" s="63"/>
      <c r="U437" s="64" t="str">
        <f t="shared" si="24"/>
        <v>Exclude</v>
      </c>
      <c r="W437" s="65" t="str">
        <f t="shared" si="25"/>
        <v>Exclude</v>
      </c>
      <c r="Y437" s="63"/>
      <c r="AS437" s="64" t="str">
        <f t="shared" si="26"/>
        <v>Exclude</v>
      </c>
      <c r="AU437" s="65" t="str">
        <f t="shared" si="27"/>
        <v>Exclude</v>
      </c>
    </row>
    <row r="438" spans="1:47" s="64" customFormat="1" x14ac:dyDescent="0.25">
      <c r="A438" s="63"/>
      <c r="U438" s="64" t="str">
        <f t="shared" si="24"/>
        <v>Exclude</v>
      </c>
      <c r="W438" s="65" t="str">
        <f t="shared" si="25"/>
        <v>Exclude</v>
      </c>
      <c r="Y438" s="63"/>
      <c r="AS438" s="64" t="str">
        <f t="shared" si="26"/>
        <v>Exclude</v>
      </c>
      <c r="AU438" s="65" t="str">
        <f t="shared" si="27"/>
        <v>Exclude</v>
      </c>
    </row>
    <row r="439" spans="1:47" s="64" customFormat="1" x14ac:dyDescent="0.25">
      <c r="A439" s="63"/>
      <c r="U439" s="64" t="str">
        <f t="shared" si="24"/>
        <v>Exclude</v>
      </c>
      <c r="W439" s="65" t="str">
        <f t="shared" si="25"/>
        <v>Exclude</v>
      </c>
      <c r="Y439" s="63"/>
      <c r="AS439" s="64" t="str">
        <f t="shared" si="26"/>
        <v>Exclude</v>
      </c>
      <c r="AU439" s="65" t="str">
        <f t="shared" si="27"/>
        <v>Exclude</v>
      </c>
    </row>
    <row r="440" spans="1:47" s="64" customFormat="1" x14ac:dyDescent="0.25">
      <c r="A440" s="63"/>
      <c r="U440" s="64" t="str">
        <f t="shared" si="24"/>
        <v>Exclude</v>
      </c>
      <c r="W440" s="65" t="str">
        <f t="shared" si="25"/>
        <v>Exclude</v>
      </c>
      <c r="Y440" s="63"/>
      <c r="AS440" s="64" t="str">
        <f t="shared" si="26"/>
        <v>Exclude</v>
      </c>
      <c r="AU440" s="65" t="str">
        <f t="shared" si="27"/>
        <v>Exclude</v>
      </c>
    </row>
    <row r="441" spans="1:47" s="64" customFormat="1" x14ac:dyDescent="0.25">
      <c r="A441" s="63"/>
      <c r="U441" s="64" t="str">
        <f t="shared" si="24"/>
        <v>Exclude</v>
      </c>
      <c r="W441" s="65" t="str">
        <f t="shared" si="25"/>
        <v>Exclude</v>
      </c>
      <c r="Y441" s="63"/>
      <c r="AS441" s="64" t="str">
        <f t="shared" si="26"/>
        <v>Exclude</v>
      </c>
      <c r="AU441" s="65" t="str">
        <f t="shared" si="27"/>
        <v>Exclude</v>
      </c>
    </row>
    <row r="442" spans="1:47" s="64" customFormat="1" x14ac:dyDescent="0.25">
      <c r="A442" s="63"/>
      <c r="U442" s="64" t="str">
        <f t="shared" si="24"/>
        <v>Exclude</v>
      </c>
      <c r="W442" s="65" t="str">
        <f t="shared" si="25"/>
        <v>Exclude</v>
      </c>
      <c r="Y442" s="63"/>
      <c r="AS442" s="64" t="str">
        <f t="shared" si="26"/>
        <v>Exclude</v>
      </c>
      <c r="AU442" s="65" t="str">
        <f t="shared" si="27"/>
        <v>Exclude</v>
      </c>
    </row>
    <row r="443" spans="1:47" s="64" customFormat="1" x14ac:dyDescent="0.25">
      <c r="A443" s="63"/>
      <c r="U443" s="64" t="str">
        <f t="shared" si="24"/>
        <v>Exclude</v>
      </c>
      <c r="W443" s="65" t="str">
        <f t="shared" si="25"/>
        <v>Exclude</v>
      </c>
      <c r="Y443" s="63"/>
      <c r="AS443" s="64" t="str">
        <f t="shared" si="26"/>
        <v>Exclude</v>
      </c>
      <c r="AU443" s="65" t="str">
        <f t="shared" si="27"/>
        <v>Exclude</v>
      </c>
    </row>
    <row r="444" spans="1:47" s="64" customFormat="1" x14ac:dyDescent="0.25">
      <c r="A444" s="63"/>
      <c r="U444" s="64" t="str">
        <f t="shared" si="24"/>
        <v>Exclude</v>
      </c>
      <c r="W444" s="65" t="str">
        <f t="shared" si="25"/>
        <v>Exclude</v>
      </c>
      <c r="Y444" s="63"/>
      <c r="AS444" s="64" t="str">
        <f t="shared" si="26"/>
        <v>Exclude</v>
      </c>
      <c r="AU444" s="65" t="str">
        <f t="shared" si="27"/>
        <v>Exclude</v>
      </c>
    </row>
    <row r="445" spans="1:47" s="64" customFormat="1" x14ac:dyDescent="0.25">
      <c r="A445" s="63"/>
      <c r="U445" s="64" t="str">
        <f t="shared" si="24"/>
        <v>Exclude</v>
      </c>
      <c r="W445" s="65" t="str">
        <f t="shared" si="25"/>
        <v>Exclude</v>
      </c>
      <c r="Y445" s="63"/>
      <c r="AS445" s="64" t="str">
        <f t="shared" si="26"/>
        <v>Exclude</v>
      </c>
      <c r="AU445" s="65" t="str">
        <f t="shared" si="27"/>
        <v>Exclude</v>
      </c>
    </row>
    <row r="446" spans="1:47" s="64" customFormat="1" x14ac:dyDescent="0.25">
      <c r="A446" s="63"/>
      <c r="U446" s="64" t="str">
        <f t="shared" si="24"/>
        <v>Exclude</v>
      </c>
      <c r="W446" s="65" t="str">
        <f t="shared" si="25"/>
        <v>Exclude</v>
      </c>
      <c r="Y446" s="63"/>
      <c r="AS446" s="64" t="str">
        <f t="shared" si="26"/>
        <v>Exclude</v>
      </c>
      <c r="AU446" s="65" t="str">
        <f t="shared" si="27"/>
        <v>Exclude</v>
      </c>
    </row>
    <row r="447" spans="1:47" s="64" customFormat="1" x14ac:dyDescent="0.25">
      <c r="A447" s="63"/>
      <c r="U447" s="64" t="str">
        <f t="shared" si="24"/>
        <v>Exclude</v>
      </c>
      <c r="W447" s="65" t="str">
        <f t="shared" si="25"/>
        <v>Exclude</v>
      </c>
      <c r="Y447" s="63"/>
      <c r="AS447" s="64" t="str">
        <f t="shared" si="26"/>
        <v>Exclude</v>
      </c>
      <c r="AU447" s="65" t="str">
        <f t="shared" si="27"/>
        <v>Exclude</v>
      </c>
    </row>
    <row r="448" spans="1:47" s="64" customFormat="1" x14ac:dyDescent="0.25">
      <c r="A448" s="63"/>
      <c r="U448" s="64" t="str">
        <f t="shared" si="24"/>
        <v>Exclude</v>
      </c>
      <c r="W448" s="65" t="str">
        <f t="shared" si="25"/>
        <v>Exclude</v>
      </c>
      <c r="Y448" s="63"/>
      <c r="AS448" s="64" t="str">
        <f t="shared" si="26"/>
        <v>Exclude</v>
      </c>
      <c r="AU448" s="65" t="str">
        <f t="shared" si="27"/>
        <v>Exclude</v>
      </c>
    </row>
    <row r="449" spans="1:47" s="64" customFormat="1" x14ac:dyDescent="0.25">
      <c r="A449" s="63"/>
      <c r="U449" s="64" t="str">
        <f t="shared" si="24"/>
        <v>Exclude</v>
      </c>
      <c r="W449" s="65" t="str">
        <f t="shared" si="25"/>
        <v>Exclude</v>
      </c>
      <c r="Y449" s="63"/>
      <c r="AS449" s="64" t="str">
        <f t="shared" si="26"/>
        <v>Exclude</v>
      </c>
      <c r="AU449" s="65" t="str">
        <f t="shared" si="27"/>
        <v>Exclude</v>
      </c>
    </row>
    <row r="450" spans="1:47" s="64" customFormat="1" x14ac:dyDescent="0.25">
      <c r="A450" s="63"/>
      <c r="U450" s="64" t="str">
        <f t="shared" si="24"/>
        <v>Exclude</v>
      </c>
      <c r="W450" s="65" t="str">
        <f t="shared" si="25"/>
        <v>Exclude</v>
      </c>
      <c r="Y450" s="63"/>
      <c r="AS450" s="64" t="str">
        <f t="shared" si="26"/>
        <v>Exclude</v>
      </c>
      <c r="AU450" s="65" t="str">
        <f t="shared" si="27"/>
        <v>Exclude</v>
      </c>
    </row>
    <row r="451" spans="1:47" s="64" customFormat="1" x14ac:dyDescent="0.25">
      <c r="A451" s="63"/>
      <c r="U451" s="64" t="str">
        <f t="shared" si="24"/>
        <v>Exclude</v>
      </c>
      <c r="W451" s="65" t="str">
        <f t="shared" si="25"/>
        <v>Exclude</v>
      </c>
      <c r="Y451" s="63"/>
      <c r="AS451" s="64" t="str">
        <f t="shared" si="26"/>
        <v>Exclude</v>
      </c>
      <c r="AU451" s="65" t="str">
        <f t="shared" si="27"/>
        <v>Exclude</v>
      </c>
    </row>
    <row r="452" spans="1:47" s="64" customFormat="1" x14ac:dyDescent="0.25">
      <c r="A452" s="63"/>
      <c r="U452" s="64" t="str">
        <f t="shared" si="24"/>
        <v>Exclude</v>
      </c>
      <c r="W452" s="65" t="str">
        <f t="shared" si="25"/>
        <v>Exclude</v>
      </c>
      <c r="Y452" s="63"/>
      <c r="AS452" s="64" t="str">
        <f t="shared" si="26"/>
        <v>Exclude</v>
      </c>
      <c r="AU452" s="65" t="str">
        <f t="shared" si="27"/>
        <v>Exclude</v>
      </c>
    </row>
    <row r="453" spans="1:47" s="64" customFormat="1" x14ac:dyDescent="0.25">
      <c r="A453" s="63"/>
      <c r="U453" s="64" t="str">
        <f t="shared" si="24"/>
        <v>Exclude</v>
      </c>
      <c r="W453" s="65" t="str">
        <f t="shared" si="25"/>
        <v>Exclude</v>
      </c>
      <c r="Y453" s="63"/>
      <c r="AS453" s="64" t="str">
        <f t="shared" si="26"/>
        <v>Exclude</v>
      </c>
      <c r="AU453" s="65" t="str">
        <f t="shared" si="27"/>
        <v>Exclude</v>
      </c>
    </row>
    <row r="454" spans="1:47" s="64" customFormat="1" x14ac:dyDescent="0.25">
      <c r="A454" s="63"/>
      <c r="U454" s="64" t="str">
        <f t="shared" si="24"/>
        <v>Exclude</v>
      </c>
      <c r="W454" s="65" t="str">
        <f t="shared" si="25"/>
        <v>Exclude</v>
      </c>
      <c r="Y454" s="63"/>
      <c r="AS454" s="64" t="str">
        <f t="shared" si="26"/>
        <v>Exclude</v>
      </c>
      <c r="AU454" s="65" t="str">
        <f t="shared" si="27"/>
        <v>Exclude</v>
      </c>
    </row>
    <row r="455" spans="1:47" s="64" customFormat="1" x14ac:dyDescent="0.25">
      <c r="A455" s="63"/>
      <c r="U455" s="64" t="str">
        <f t="shared" si="24"/>
        <v>Exclude</v>
      </c>
      <c r="W455" s="65" t="str">
        <f t="shared" si="25"/>
        <v>Exclude</v>
      </c>
      <c r="Y455" s="63"/>
      <c r="AS455" s="64" t="str">
        <f t="shared" si="26"/>
        <v>Exclude</v>
      </c>
      <c r="AU455" s="65" t="str">
        <f t="shared" si="27"/>
        <v>Exclude</v>
      </c>
    </row>
    <row r="456" spans="1:47" s="64" customFormat="1" x14ac:dyDescent="0.25">
      <c r="A456" s="63"/>
      <c r="U456" s="64" t="str">
        <f t="shared" si="24"/>
        <v>Exclude</v>
      </c>
      <c r="W456" s="65" t="str">
        <f t="shared" si="25"/>
        <v>Exclude</v>
      </c>
      <c r="Y456" s="63"/>
      <c r="AS456" s="64" t="str">
        <f t="shared" si="26"/>
        <v>Exclude</v>
      </c>
      <c r="AU456" s="65" t="str">
        <f t="shared" si="27"/>
        <v>Exclude</v>
      </c>
    </row>
    <row r="457" spans="1:47" s="64" customFormat="1" x14ac:dyDescent="0.25">
      <c r="A457" s="63"/>
      <c r="U457" s="64" t="str">
        <f t="shared" si="24"/>
        <v>Exclude</v>
      </c>
      <c r="W457" s="65" t="str">
        <f t="shared" si="25"/>
        <v>Exclude</v>
      </c>
      <c r="Y457" s="63"/>
      <c r="AS457" s="64" t="str">
        <f t="shared" si="26"/>
        <v>Exclude</v>
      </c>
      <c r="AU457" s="65" t="str">
        <f t="shared" si="27"/>
        <v>Exclude</v>
      </c>
    </row>
    <row r="458" spans="1:47" s="64" customFormat="1" x14ac:dyDescent="0.25">
      <c r="A458" s="63"/>
      <c r="U458" s="64" t="str">
        <f t="shared" si="24"/>
        <v>Exclude</v>
      </c>
      <c r="W458" s="65" t="str">
        <f t="shared" si="25"/>
        <v>Exclude</v>
      </c>
      <c r="Y458" s="63"/>
      <c r="AS458" s="64" t="str">
        <f t="shared" si="26"/>
        <v>Exclude</v>
      </c>
      <c r="AU458" s="65" t="str">
        <f t="shared" si="27"/>
        <v>Exclude</v>
      </c>
    </row>
    <row r="459" spans="1:47" s="64" customFormat="1" x14ac:dyDescent="0.25">
      <c r="A459" s="63"/>
      <c r="U459" s="64" t="str">
        <f t="shared" si="24"/>
        <v>Exclude</v>
      </c>
      <c r="W459" s="65" t="str">
        <f t="shared" si="25"/>
        <v>Exclude</v>
      </c>
      <c r="Y459" s="63"/>
      <c r="AS459" s="64" t="str">
        <f t="shared" si="26"/>
        <v>Exclude</v>
      </c>
      <c r="AU459" s="65" t="str">
        <f t="shared" si="27"/>
        <v>Exclude</v>
      </c>
    </row>
    <row r="460" spans="1:47" s="64" customFormat="1" x14ac:dyDescent="0.25">
      <c r="A460" s="63"/>
      <c r="U460" s="64" t="str">
        <f t="shared" si="24"/>
        <v>Exclude</v>
      </c>
      <c r="W460" s="65" t="str">
        <f t="shared" si="25"/>
        <v>Exclude</v>
      </c>
      <c r="Y460" s="63"/>
      <c r="AS460" s="64" t="str">
        <f t="shared" si="26"/>
        <v>Exclude</v>
      </c>
      <c r="AU460" s="65" t="str">
        <f t="shared" si="27"/>
        <v>Exclude</v>
      </c>
    </row>
    <row r="461" spans="1:47" s="64" customFormat="1" x14ac:dyDescent="0.25">
      <c r="A461" s="63"/>
      <c r="U461" s="64" t="str">
        <f t="shared" si="24"/>
        <v>Exclude</v>
      </c>
      <c r="W461" s="65" t="str">
        <f t="shared" si="25"/>
        <v>Exclude</v>
      </c>
      <c r="Y461" s="63"/>
      <c r="AS461" s="64" t="str">
        <f t="shared" si="26"/>
        <v>Exclude</v>
      </c>
      <c r="AU461" s="65" t="str">
        <f t="shared" si="27"/>
        <v>Exclude</v>
      </c>
    </row>
    <row r="462" spans="1:47" s="64" customFormat="1" x14ac:dyDescent="0.25">
      <c r="A462" s="63"/>
      <c r="U462" s="64" t="str">
        <f t="shared" si="24"/>
        <v>Exclude</v>
      </c>
      <c r="W462" s="65" t="str">
        <f t="shared" si="25"/>
        <v>Exclude</v>
      </c>
      <c r="Y462" s="63"/>
      <c r="AS462" s="64" t="str">
        <f t="shared" si="26"/>
        <v>Exclude</v>
      </c>
      <c r="AU462" s="65" t="str">
        <f t="shared" si="27"/>
        <v>Exclude</v>
      </c>
    </row>
    <row r="463" spans="1:47" s="64" customFormat="1" x14ac:dyDescent="0.25">
      <c r="A463" s="63"/>
      <c r="U463" s="64" t="str">
        <f t="shared" si="24"/>
        <v>Exclude</v>
      </c>
      <c r="W463" s="65" t="str">
        <f t="shared" si="25"/>
        <v>Exclude</v>
      </c>
      <c r="Y463" s="63"/>
      <c r="AS463" s="64" t="str">
        <f t="shared" si="26"/>
        <v>Exclude</v>
      </c>
      <c r="AU463" s="65" t="str">
        <f t="shared" si="27"/>
        <v>Exclude</v>
      </c>
    </row>
    <row r="464" spans="1:47" s="64" customFormat="1" x14ac:dyDescent="0.25">
      <c r="A464" s="63"/>
      <c r="U464" s="64" t="str">
        <f t="shared" si="24"/>
        <v>Exclude</v>
      </c>
      <c r="W464" s="65" t="str">
        <f t="shared" si="25"/>
        <v>Exclude</v>
      </c>
      <c r="Y464" s="63"/>
      <c r="AS464" s="64" t="str">
        <f t="shared" si="26"/>
        <v>Exclude</v>
      </c>
      <c r="AU464" s="65" t="str">
        <f t="shared" si="27"/>
        <v>Exclude</v>
      </c>
    </row>
    <row r="465" spans="1:47" s="64" customFormat="1" x14ac:dyDescent="0.25">
      <c r="A465" s="63"/>
      <c r="U465" s="64" t="str">
        <f t="shared" si="24"/>
        <v>Exclude</v>
      </c>
      <c r="W465" s="65" t="str">
        <f t="shared" si="25"/>
        <v>Exclude</v>
      </c>
      <c r="Y465" s="63"/>
      <c r="AS465" s="64" t="str">
        <f t="shared" si="26"/>
        <v>Exclude</v>
      </c>
      <c r="AU465" s="65" t="str">
        <f t="shared" si="27"/>
        <v>Exclude</v>
      </c>
    </row>
    <row r="466" spans="1:47" s="64" customFormat="1" x14ac:dyDescent="0.25">
      <c r="A466" s="63"/>
      <c r="U466" s="64" t="str">
        <f t="shared" si="24"/>
        <v>Exclude</v>
      </c>
      <c r="W466" s="65" t="str">
        <f t="shared" si="25"/>
        <v>Exclude</v>
      </c>
      <c r="Y466" s="63"/>
      <c r="AS466" s="64" t="str">
        <f t="shared" si="26"/>
        <v>Exclude</v>
      </c>
      <c r="AU466" s="65" t="str">
        <f t="shared" si="27"/>
        <v>Exclude</v>
      </c>
    </row>
    <row r="467" spans="1:47" s="64" customFormat="1" x14ac:dyDescent="0.25">
      <c r="A467" s="63"/>
      <c r="U467" s="64" t="str">
        <f t="shared" si="24"/>
        <v>Exclude</v>
      </c>
      <c r="W467" s="65" t="str">
        <f t="shared" si="25"/>
        <v>Exclude</v>
      </c>
      <c r="Y467" s="63"/>
      <c r="AS467" s="64" t="str">
        <f t="shared" si="26"/>
        <v>Exclude</v>
      </c>
      <c r="AU467" s="65" t="str">
        <f t="shared" si="27"/>
        <v>Exclude</v>
      </c>
    </row>
    <row r="468" spans="1:47" s="64" customFormat="1" x14ac:dyDescent="0.25">
      <c r="A468" s="63"/>
      <c r="U468" s="64" t="str">
        <f t="shared" si="24"/>
        <v>Exclude</v>
      </c>
      <c r="W468" s="65" t="str">
        <f t="shared" si="25"/>
        <v>Exclude</v>
      </c>
      <c r="Y468" s="63"/>
      <c r="AS468" s="64" t="str">
        <f t="shared" si="26"/>
        <v>Exclude</v>
      </c>
      <c r="AU468" s="65" t="str">
        <f t="shared" si="27"/>
        <v>Exclude</v>
      </c>
    </row>
    <row r="469" spans="1:47" s="64" customFormat="1" x14ac:dyDescent="0.25">
      <c r="A469" s="63"/>
      <c r="U469" s="64" t="str">
        <f t="shared" ref="U469:U532" si="28">IF(OR(R469="TruePositive",R469="TrueNegative"),IF(R468&lt;&gt;"Anticipatory",(N469),"Pant"),"Exclude")</f>
        <v>Exclude</v>
      </c>
      <c r="W469" s="65" t="str">
        <f t="shared" ref="W469:W532" si="29">IF(OR(R469="TruePositive",R469="TrueNegative"),IF(R468&lt;&gt;"Anticipatory",LOG10(N469),"Exclude"),"Exclude")</f>
        <v>Exclude</v>
      </c>
      <c r="Y469" s="63"/>
      <c r="AS469" s="64" t="str">
        <f t="shared" ref="AS469:AS532" si="30">IF(OR(AP469="TruePositive",AP469="TrueNegative"),IF(AP468&lt;&gt;"Anticipatory",(AL469),"Pant"),"Exclude")</f>
        <v>Exclude</v>
      </c>
      <c r="AU469" s="65" t="str">
        <f t="shared" ref="AU469:AU532" si="31">IF(OR(AP469="TruePositive",AP469="TrueNegative"),IF(AP468&lt;&gt;"Anticipatory",LOG10(AL469),"Exclude"),"Exclude")</f>
        <v>Exclude</v>
      </c>
    </row>
    <row r="470" spans="1:47" s="64" customFormat="1" x14ac:dyDescent="0.25">
      <c r="A470" s="63"/>
      <c r="U470" s="64" t="str">
        <f t="shared" si="28"/>
        <v>Exclude</v>
      </c>
      <c r="W470" s="65" t="str">
        <f t="shared" si="29"/>
        <v>Exclude</v>
      </c>
      <c r="Y470" s="63"/>
      <c r="AS470" s="64" t="str">
        <f t="shared" si="30"/>
        <v>Exclude</v>
      </c>
      <c r="AU470" s="65" t="str">
        <f t="shared" si="31"/>
        <v>Exclude</v>
      </c>
    </row>
    <row r="471" spans="1:47" s="64" customFormat="1" x14ac:dyDescent="0.25">
      <c r="A471" s="63"/>
      <c r="U471" s="64" t="str">
        <f t="shared" si="28"/>
        <v>Exclude</v>
      </c>
      <c r="W471" s="65" t="str">
        <f t="shared" si="29"/>
        <v>Exclude</v>
      </c>
      <c r="Y471" s="63"/>
      <c r="AS471" s="64" t="str">
        <f t="shared" si="30"/>
        <v>Exclude</v>
      </c>
      <c r="AU471" s="65" t="str">
        <f t="shared" si="31"/>
        <v>Exclude</v>
      </c>
    </row>
    <row r="472" spans="1:47" s="64" customFormat="1" x14ac:dyDescent="0.25">
      <c r="A472" s="63"/>
      <c r="U472" s="64" t="str">
        <f t="shared" si="28"/>
        <v>Exclude</v>
      </c>
      <c r="W472" s="65" t="str">
        <f t="shared" si="29"/>
        <v>Exclude</v>
      </c>
      <c r="Y472" s="63"/>
      <c r="AS472" s="64" t="str">
        <f t="shared" si="30"/>
        <v>Exclude</v>
      </c>
      <c r="AU472" s="65" t="str">
        <f t="shared" si="31"/>
        <v>Exclude</v>
      </c>
    </row>
    <row r="473" spans="1:47" s="64" customFormat="1" x14ac:dyDescent="0.25">
      <c r="A473" s="63"/>
      <c r="U473" s="64" t="str">
        <f t="shared" si="28"/>
        <v>Exclude</v>
      </c>
      <c r="W473" s="65" t="str">
        <f t="shared" si="29"/>
        <v>Exclude</v>
      </c>
      <c r="Y473" s="63"/>
      <c r="AS473" s="64" t="str">
        <f t="shared" si="30"/>
        <v>Exclude</v>
      </c>
      <c r="AU473" s="65" t="str">
        <f t="shared" si="31"/>
        <v>Exclude</v>
      </c>
    </row>
    <row r="474" spans="1:47" s="64" customFormat="1" x14ac:dyDescent="0.25">
      <c r="A474" s="63"/>
      <c r="U474" s="64" t="str">
        <f t="shared" si="28"/>
        <v>Exclude</v>
      </c>
      <c r="W474" s="65" t="str">
        <f t="shared" si="29"/>
        <v>Exclude</v>
      </c>
      <c r="Y474" s="63"/>
      <c r="AS474" s="64" t="str">
        <f t="shared" si="30"/>
        <v>Exclude</v>
      </c>
      <c r="AU474" s="65" t="str">
        <f t="shared" si="31"/>
        <v>Exclude</v>
      </c>
    </row>
    <row r="475" spans="1:47" s="64" customFormat="1" x14ac:dyDescent="0.25">
      <c r="A475" s="63"/>
      <c r="U475" s="64" t="str">
        <f t="shared" si="28"/>
        <v>Exclude</v>
      </c>
      <c r="W475" s="65" t="str">
        <f t="shared" si="29"/>
        <v>Exclude</v>
      </c>
      <c r="Y475" s="63"/>
      <c r="AS475" s="64" t="str">
        <f t="shared" si="30"/>
        <v>Exclude</v>
      </c>
      <c r="AU475" s="65" t="str">
        <f t="shared" si="31"/>
        <v>Exclude</v>
      </c>
    </row>
    <row r="476" spans="1:47" s="64" customFormat="1" x14ac:dyDescent="0.25">
      <c r="A476" s="63"/>
      <c r="U476" s="64" t="str">
        <f t="shared" si="28"/>
        <v>Exclude</v>
      </c>
      <c r="W476" s="65" t="str">
        <f t="shared" si="29"/>
        <v>Exclude</v>
      </c>
      <c r="Y476" s="63"/>
      <c r="AS476" s="64" t="str">
        <f t="shared" si="30"/>
        <v>Exclude</v>
      </c>
      <c r="AU476" s="65" t="str">
        <f t="shared" si="31"/>
        <v>Exclude</v>
      </c>
    </row>
    <row r="477" spans="1:47" s="64" customFormat="1" x14ac:dyDescent="0.25">
      <c r="A477" s="63"/>
      <c r="U477" s="64" t="str">
        <f t="shared" si="28"/>
        <v>Exclude</v>
      </c>
      <c r="W477" s="65" t="str">
        <f t="shared" si="29"/>
        <v>Exclude</v>
      </c>
      <c r="Y477" s="63"/>
      <c r="AS477" s="64" t="str">
        <f t="shared" si="30"/>
        <v>Exclude</v>
      </c>
      <c r="AU477" s="65" t="str">
        <f t="shared" si="31"/>
        <v>Exclude</v>
      </c>
    </row>
    <row r="478" spans="1:47" s="64" customFormat="1" x14ac:dyDescent="0.25">
      <c r="A478" s="63"/>
      <c r="U478" s="64" t="str">
        <f t="shared" si="28"/>
        <v>Exclude</v>
      </c>
      <c r="W478" s="65" t="str">
        <f t="shared" si="29"/>
        <v>Exclude</v>
      </c>
      <c r="Y478" s="63"/>
      <c r="AS478" s="64" t="str">
        <f t="shared" si="30"/>
        <v>Exclude</v>
      </c>
      <c r="AU478" s="65" t="str">
        <f t="shared" si="31"/>
        <v>Exclude</v>
      </c>
    </row>
    <row r="479" spans="1:47" s="64" customFormat="1" x14ac:dyDescent="0.25">
      <c r="A479" s="63"/>
      <c r="U479" s="64" t="str">
        <f t="shared" si="28"/>
        <v>Exclude</v>
      </c>
      <c r="W479" s="65" t="str">
        <f t="shared" si="29"/>
        <v>Exclude</v>
      </c>
      <c r="Y479" s="63"/>
      <c r="AS479" s="64" t="str">
        <f t="shared" si="30"/>
        <v>Exclude</v>
      </c>
      <c r="AU479" s="65" t="str">
        <f t="shared" si="31"/>
        <v>Exclude</v>
      </c>
    </row>
    <row r="480" spans="1:47" s="64" customFormat="1" x14ac:dyDescent="0.25">
      <c r="A480" s="63"/>
      <c r="U480" s="64" t="str">
        <f t="shared" si="28"/>
        <v>Exclude</v>
      </c>
      <c r="W480" s="65" t="str">
        <f t="shared" si="29"/>
        <v>Exclude</v>
      </c>
      <c r="Y480" s="63"/>
      <c r="AS480" s="64" t="str">
        <f t="shared" si="30"/>
        <v>Exclude</v>
      </c>
      <c r="AU480" s="65" t="str">
        <f t="shared" si="31"/>
        <v>Exclude</v>
      </c>
    </row>
    <row r="481" spans="1:47" s="64" customFormat="1" x14ac:dyDescent="0.25">
      <c r="A481" s="63"/>
      <c r="U481" s="64" t="str">
        <f t="shared" si="28"/>
        <v>Exclude</v>
      </c>
      <c r="W481" s="65" t="str">
        <f t="shared" si="29"/>
        <v>Exclude</v>
      </c>
      <c r="Y481" s="63"/>
      <c r="AS481" s="64" t="str">
        <f t="shared" si="30"/>
        <v>Exclude</v>
      </c>
      <c r="AU481" s="65" t="str">
        <f t="shared" si="31"/>
        <v>Exclude</v>
      </c>
    </row>
    <row r="482" spans="1:47" s="64" customFormat="1" x14ac:dyDescent="0.25">
      <c r="A482" s="63"/>
      <c r="U482" s="64" t="str">
        <f t="shared" si="28"/>
        <v>Exclude</v>
      </c>
      <c r="W482" s="65" t="str">
        <f t="shared" si="29"/>
        <v>Exclude</v>
      </c>
      <c r="Y482" s="63"/>
      <c r="AS482" s="64" t="str">
        <f t="shared" si="30"/>
        <v>Exclude</v>
      </c>
      <c r="AU482" s="65" t="str">
        <f t="shared" si="31"/>
        <v>Exclude</v>
      </c>
    </row>
    <row r="483" spans="1:47" s="64" customFormat="1" x14ac:dyDescent="0.25">
      <c r="A483" s="63"/>
      <c r="U483" s="64" t="str">
        <f t="shared" si="28"/>
        <v>Exclude</v>
      </c>
      <c r="W483" s="65" t="str">
        <f t="shared" si="29"/>
        <v>Exclude</v>
      </c>
      <c r="Y483" s="63"/>
      <c r="AS483" s="64" t="str">
        <f t="shared" si="30"/>
        <v>Exclude</v>
      </c>
      <c r="AU483" s="65" t="str">
        <f t="shared" si="31"/>
        <v>Exclude</v>
      </c>
    </row>
    <row r="484" spans="1:47" s="64" customFormat="1" x14ac:dyDescent="0.25">
      <c r="A484" s="63"/>
      <c r="U484" s="64" t="str">
        <f t="shared" si="28"/>
        <v>Exclude</v>
      </c>
      <c r="W484" s="65" t="str">
        <f t="shared" si="29"/>
        <v>Exclude</v>
      </c>
      <c r="Y484" s="63"/>
      <c r="AS484" s="64" t="str">
        <f t="shared" si="30"/>
        <v>Exclude</v>
      </c>
      <c r="AU484" s="65" t="str">
        <f t="shared" si="31"/>
        <v>Exclude</v>
      </c>
    </row>
    <row r="485" spans="1:47" s="64" customFormat="1" x14ac:dyDescent="0.25">
      <c r="A485" s="63"/>
      <c r="U485" s="64" t="str">
        <f t="shared" si="28"/>
        <v>Exclude</v>
      </c>
      <c r="W485" s="65" t="str">
        <f t="shared" si="29"/>
        <v>Exclude</v>
      </c>
      <c r="Y485" s="63"/>
      <c r="AS485" s="64" t="str">
        <f t="shared" si="30"/>
        <v>Exclude</v>
      </c>
      <c r="AU485" s="65" t="str">
        <f t="shared" si="31"/>
        <v>Exclude</v>
      </c>
    </row>
    <row r="486" spans="1:47" s="64" customFormat="1" x14ac:dyDescent="0.25">
      <c r="A486" s="63"/>
      <c r="U486" s="64" t="str">
        <f t="shared" si="28"/>
        <v>Exclude</v>
      </c>
      <c r="W486" s="65" t="str">
        <f t="shared" si="29"/>
        <v>Exclude</v>
      </c>
      <c r="Y486" s="63"/>
      <c r="AS486" s="64" t="str">
        <f t="shared" si="30"/>
        <v>Exclude</v>
      </c>
      <c r="AU486" s="65" t="str">
        <f t="shared" si="31"/>
        <v>Exclude</v>
      </c>
    </row>
    <row r="487" spans="1:47" s="64" customFormat="1" x14ac:dyDescent="0.25">
      <c r="A487" s="63"/>
      <c r="U487" s="64" t="str">
        <f t="shared" si="28"/>
        <v>Exclude</v>
      </c>
      <c r="W487" s="65" t="str">
        <f t="shared" si="29"/>
        <v>Exclude</v>
      </c>
      <c r="Y487" s="63"/>
      <c r="AS487" s="64" t="str">
        <f t="shared" si="30"/>
        <v>Exclude</v>
      </c>
      <c r="AU487" s="65" t="str">
        <f t="shared" si="31"/>
        <v>Exclude</v>
      </c>
    </row>
    <row r="488" spans="1:47" s="64" customFormat="1" x14ac:dyDescent="0.25">
      <c r="A488" s="63"/>
      <c r="U488" s="64" t="str">
        <f t="shared" si="28"/>
        <v>Exclude</v>
      </c>
      <c r="W488" s="65" t="str">
        <f t="shared" si="29"/>
        <v>Exclude</v>
      </c>
      <c r="Y488" s="63"/>
      <c r="AS488" s="64" t="str">
        <f t="shared" si="30"/>
        <v>Exclude</v>
      </c>
      <c r="AU488" s="65" t="str">
        <f t="shared" si="31"/>
        <v>Exclude</v>
      </c>
    </row>
    <row r="489" spans="1:47" s="64" customFormat="1" x14ac:dyDescent="0.25">
      <c r="A489" s="63"/>
      <c r="U489" s="64" t="str">
        <f t="shared" si="28"/>
        <v>Exclude</v>
      </c>
      <c r="W489" s="65" t="str">
        <f t="shared" si="29"/>
        <v>Exclude</v>
      </c>
      <c r="Y489" s="63"/>
      <c r="AS489" s="64" t="str">
        <f t="shared" si="30"/>
        <v>Exclude</v>
      </c>
      <c r="AU489" s="65" t="str">
        <f t="shared" si="31"/>
        <v>Exclude</v>
      </c>
    </row>
    <row r="490" spans="1:47" s="64" customFormat="1" x14ac:dyDescent="0.25">
      <c r="A490" s="63"/>
      <c r="U490" s="64" t="str">
        <f t="shared" si="28"/>
        <v>Exclude</v>
      </c>
      <c r="W490" s="65" t="str">
        <f t="shared" si="29"/>
        <v>Exclude</v>
      </c>
      <c r="Y490" s="63"/>
      <c r="AS490" s="64" t="str">
        <f t="shared" si="30"/>
        <v>Exclude</v>
      </c>
      <c r="AU490" s="65" t="str">
        <f t="shared" si="31"/>
        <v>Exclude</v>
      </c>
    </row>
    <row r="491" spans="1:47" s="64" customFormat="1" x14ac:dyDescent="0.25">
      <c r="A491" s="63"/>
      <c r="U491" s="64" t="str">
        <f t="shared" si="28"/>
        <v>Exclude</v>
      </c>
      <c r="W491" s="65" t="str">
        <f t="shared" si="29"/>
        <v>Exclude</v>
      </c>
      <c r="Y491" s="63"/>
      <c r="AS491" s="64" t="str">
        <f t="shared" si="30"/>
        <v>Exclude</v>
      </c>
      <c r="AU491" s="65" t="str">
        <f t="shared" si="31"/>
        <v>Exclude</v>
      </c>
    </row>
    <row r="492" spans="1:47" s="64" customFormat="1" x14ac:dyDescent="0.25">
      <c r="A492" s="63"/>
      <c r="U492" s="64" t="str">
        <f t="shared" si="28"/>
        <v>Exclude</v>
      </c>
      <c r="W492" s="65" t="str">
        <f t="shared" si="29"/>
        <v>Exclude</v>
      </c>
      <c r="Y492" s="63"/>
      <c r="AS492" s="64" t="str">
        <f t="shared" si="30"/>
        <v>Exclude</v>
      </c>
      <c r="AU492" s="65" t="str">
        <f t="shared" si="31"/>
        <v>Exclude</v>
      </c>
    </row>
    <row r="493" spans="1:47" s="64" customFormat="1" x14ac:dyDescent="0.25">
      <c r="A493" s="63"/>
      <c r="U493" s="64" t="str">
        <f t="shared" si="28"/>
        <v>Exclude</v>
      </c>
      <c r="W493" s="65" t="str">
        <f t="shared" si="29"/>
        <v>Exclude</v>
      </c>
      <c r="Y493" s="63"/>
      <c r="AS493" s="64" t="str">
        <f t="shared" si="30"/>
        <v>Exclude</v>
      </c>
      <c r="AU493" s="65" t="str">
        <f t="shared" si="31"/>
        <v>Exclude</v>
      </c>
    </row>
    <row r="494" spans="1:47" s="64" customFormat="1" x14ac:dyDescent="0.25">
      <c r="A494" s="63"/>
      <c r="U494" s="64" t="str">
        <f t="shared" si="28"/>
        <v>Exclude</v>
      </c>
      <c r="W494" s="65" t="str">
        <f t="shared" si="29"/>
        <v>Exclude</v>
      </c>
      <c r="Y494" s="63"/>
      <c r="AS494" s="64" t="str">
        <f t="shared" si="30"/>
        <v>Exclude</v>
      </c>
      <c r="AU494" s="65" t="str">
        <f t="shared" si="31"/>
        <v>Exclude</v>
      </c>
    </row>
    <row r="495" spans="1:47" s="64" customFormat="1" x14ac:dyDescent="0.25">
      <c r="A495" s="63"/>
      <c r="U495" s="64" t="str">
        <f t="shared" si="28"/>
        <v>Exclude</v>
      </c>
      <c r="W495" s="65" t="str">
        <f t="shared" si="29"/>
        <v>Exclude</v>
      </c>
      <c r="Y495" s="63"/>
      <c r="AS495" s="64" t="str">
        <f t="shared" si="30"/>
        <v>Exclude</v>
      </c>
      <c r="AU495" s="65" t="str">
        <f t="shared" si="31"/>
        <v>Exclude</v>
      </c>
    </row>
    <row r="496" spans="1:47" s="64" customFormat="1" x14ac:dyDescent="0.25">
      <c r="A496" s="63"/>
      <c r="U496" s="64" t="str">
        <f t="shared" si="28"/>
        <v>Exclude</v>
      </c>
      <c r="W496" s="65" t="str">
        <f t="shared" si="29"/>
        <v>Exclude</v>
      </c>
      <c r="Y496" s="63"/>
      <c r="AS496" s="64" t="str">
        <f t="shared" si="30"/>
        <v>Exclude</v>
      </c>
      <c r="AU496" s="65" t="str">
        <f t="shared" si="31"/>
        <v>Exclude</v>
      </c>
    </row>
    <row r="497" spans="1:47" s="64" customFormat="1" x14ac:dyDescent="0.25">
      <c r="A497" s="63"/>
      <c r="U497" s="64" t="str">
        <f t="shared" si="28"/>
        <v>Exclude</v>
      </c>
      <c r="W497" s="65" t="str">
        <f t="shared" si="29"/>
        <v>Exclude</v>
      </c>
      <c r="Y497" s="63"/>
      <c r="AS497" s="64" t="str">
        <f t="shared" si="30"/>
        <v>Exclude</v>
      </c>
      <c r="AU497" s="65" t="str">
        <f t="shared" si="31"/>
        <v>Exclude</v>
      </c>
    </row>
    <row r="498" spans="1:47" s="64" customFormat="1" x14ac:dyDescent="0.25">
      <c r="A498" s="63"/>
      <c r="U498" s="64" t="str">
        <f t="shared" si="28"/>
        <v>Exclude</v>
      </c>
      <c r="W498" s="65" t="str">
        <f t="shared" si="29"/>
        <v>Exclude</v>
      </c>
      <c r="Y498" s="63"/>
      <c r="AS498" s="64" t="str">
        <f t="shared" si="30"/>
        <v>Exclude</v>
      </c>
      <c r="AU498" s="65" t="str">
        <f t="shared" si="31"/>
        <v>Exclude</v>
      </c>
    </row>
    <row r="499" spans="1:47" s="64" customFormat="1" x14ac:dyDescent="0.25">
      <c r="A499" s="63"/>
      <c r="U499" s="64" t="str">
        <f t="shared" si="28"/>
        <v>Exclude</v>
      </c>
      <c r="W499" s="65" t="str">
        <f t="shared" si="29"/>
        <v>Exclude</v>
      </c>
      <c r="Y499" s="63"/>
      <c r="AS499" s="64" t="str">
        <f t="shared" si="30"/>
        <v>Exclude</v>
      </c>
      <c r="AU499" s="65" t="str">
        <f t="shared" si="31"/>
        <v>Exclude</v>
      </c>
    </row>
    <row r="500" spans="1:47" s="64" customFormat="1" x14ac:dyDescent="0.25">
      <c r="A500" s="63"/>
      <c r="U500" s="64" t="str">
        <f t="shared" si="28"/>
        <v>Exclude</v>
      </c>
      <c r="W500" s="65" t="str">
        <f t="shared" si="29"/>
        <v>Exclude</v>
      </c>
      <c r="Y500" s="63"/>
      <c r="AS500" s="64" t="str">
        <f t="shared" si="30"/>
        <v>Exclude</v>
      </c>
      <c r="AU500" s="65" t="str">
        <f t="shared" si="31"/>
        <v>Exclude</v>
      </c>
    </row>
    <row r="501" spans="1:47" s="64" customFormat="1" x14ac:dyDescent="0.25">
      <c r="A501" s="63"/>
      <c r="U501" s="64" t="str">
        <f t="shared" si="28"/>
        <v>Exclude</v>
      </c>
      <c r="W501" s="65" t="str">
        <f t="shared" si="29"/>
        <v>Exclude</v>
      </c>
      <c r="Y501" s="63"/>
      <c r="AS501" s="64" t="str">
        <f t="shared" si="30"/>
        <v>Exclude</v>
      </c>
      <c r="AU501" s="65" t="str">
        <f t="shared" si="31"/>
        <v>Exclude</v>
      </c>
    </row>
    <row r="502" spans="1:47" s="64" customFormat="1" x14ac:dyDescent="0.25">
      <c r="A502" s="63"/>
      <c r="U502" s="64" t="str">
        <f t="shared" si="28"/>
        <v>Exclude</v>
      </c>
      <c r="W502" s="65" t="str">
        <f t="shared" si="29"/>
        <v>Exclude</v>
      </c>
      <c r="Y502" s="63"/>
      <c r="AS502" s="64" t="str">
        <f t="shared" si="30"/>
        <v>Exclude</v>
      </c>
      <c r="AU502" s="65" t="str">
        <f t="shared" si="31"/>
        <v>Exclude</v>
      </c>
    </row>
    <row r="503" spans="1:47" s="64" customFormat="1" x14ac:dyDescent="0.25">
      <c r="A503" s="63"/>
      <c r="U503" s="64" t="str">
        <f t="shared" si="28"/>
        <v>Exclude</v>
      </c>
      <c r="W503" s="65" t="str">
        <f t="shared" si="29"/>
        <v>Exclude</v>
      </c>
      <c r="Y503" s="63"/>
      <c r="AS503" s="64" t="str">
        <f t="shared" si="30"/>
        <v>Exclude</v>
      </c>
      <c r="AU503" s="65" t="str">
        <f t="shared" si="31"/>
        <v>Exclude</v>
      </c>
    </row>
    <row r="504" spans="1:47" s="64" customFormat="1" x14ac:dyDescent="0.25">
      <c r="A504" s="63"/>
      <c r="U504" s="64" t="str">
        <f t="shared" si="28"/>
        <v>Exclude</v>
      </c>
      <c r="W504" s="65" t="str">
        <f t="shared" si="29"/>
        <v>Exclude</v>
      </c>
      <c r="Y504" s="63"/>
      <c r="AS504" s="64" t="str">
        <f t="shared" si="30"/>
        <v>Exclude</v>
      </c>
      <c r="AU504" s="65" t="str">
        <f t="shared" si="31"/>
        <v>Exclude</v>
      </c>
    </row>
    <row r="505" spans="1:47" s="64" customFormat="1" x14ac:dyDescent="0.25">
      <c r="A505" s="63"/>
      <c r="U505" s="64" t="str">
        <f t="shared" si="28"/>
        <v>Exclude</v>
      </c>
      <c r="W505" s="65" t="str">
        <f t="shared" si="29"/>
        <v>Exclude</v>
      </c>
      <c r="Y505" s="63"/>
      <c r="AS505" s="64" t="str">
        <f t="shared" si="30"/>
        <v>Exclude</v>
      </c>
      <c r="AU505" s="65" t="str">
        <f t="shared" si="31"/>
        <v>Exclude</v>
      </c>
    </row>
    <row r="506" spans="1:47" s="64" customFormat="1" x14ac:dyDescent="0.25">
      <c r="A506" s="63"/>
      <c r="U506" s="64" t="str">
        <f t="shared" si="28"/>
        <v>Exclude</v>
      </c>
      <c r="W506" s="65" t="str">
        <f t="shared" si="29"/>
        <v>Exclude</v>
      </c>
      <c r="Y506" s="63"/>
      <c r="AS506" s="64" t="str">
        <f t="shared" si="30"/>
        <v>Exclude</v>
      </c>
      <c r="AU506" s="65" t="str">
        <f t="shared" si="31"/>
        <v>Exclude</v>
      </c>
    </row>
    <row r="507" spans="1:47" s="64" customFormat="1" x14ac:dyDescent="0.25">
      <c r="A507" s="63"/>
      <c r="U507" s="64" t="str">
        <f t="shared" si="28"/>
        <v>Exclude</v>
      </c>
      <c r="W507" s="65" t="str">
        <f t="shared" si="29"/>
        <v>Exclude</v>
      </c>
      <c r="Y507" s="63"/>
      <c r="AS507" s="64" t="str">
        <f t="shared" si="30"/>
        <v>Exclude</v>
      </c>
      <c r="AU507" s="65" t="str">
        <f t="shared" si="31"/>
        <v>Exclude</v>
      </c>
    </row>
    <row r="508" spans="1:47" s="64" customFormat="1" x14ac:dyDescent="0.25">
      <c r="A508" s="63"/>
      <c r="U508" s="64" t="str">
        <f t="shared" si="28"/>
        <v>Exclude</v>
      </c>
      <c r="W508" s="65" t="str">
        <f t="shared" si="29"/>
        <v>Exclude</v>
      </c>
      <c r="Y508" s="63"/>
      <c r="AS508" s="64" t="str">
        <f t="shared" si="30"/>
        <v>Exclude</v>
      </c>
      <c r="AU508" s="65" t="str">
        <f t="shared" si="31"/>
        <v>Exclude</v>
      </c>
    </row>
    <row r="509" spans="1:47" s="64" customFormat="1" x14ac:dyDescent="0.25">
      <c r="A509" s="63"/>
      <c r="U509" s="64" t="str">
        <f t="shared" si="28"/>
        <v>Exclude</v>
      </c>
      <c r="W509" s="65" t="str">
        <f t="shared" si="29"/>
        <v>Exclude</v>
      </c>
      <c r="Y509" s="63"/>
      <c r="AS509" s="64" t="str">
        <f t="shared" si="30"/>
        <v>Exclude</v>
      </c>
      <c r="AU509" s="65" t="str">
        <f t="shared" si="31"/>
        <v>Exclude</v>
      </c>
    </row>
    <row r="510" spans="1:47" s="64" customFormat="1" x14ac:dyDescent="0.25">
      <c r="A510" s="63"/>
      <c r="U510" s="64" t="str">
        <f t="shared" si="28"/>
        <v>Exclude</v>
      </c>
      <c r="W510" s="65" t="str">
        <f t="shared" si="29"/>
        <v>Exclude</v>
      </c>
      <c r="Y510" s="63"/>
      <c r="AS510" s="64" t="str">
        <f t="shared" si="30"/>
        <v>Exclude</v>
      </c>
      <c r="AU510" s="65" t="str">
        <f t="shared" si="31"/>
        <v>Exclude</v>
      </c>
    </row>
    <row r="511" spans="1:47" s="64" customFormat="1" x14ac:dyDescent="0.25">
      <c r="A511" s="63"/>
      <c r="U511" s="64" t="str">
        <f t="shared" si="28"/>
        <v>Exclude</v>
      </c>
      <c r="W511" s="65" t="str">
        <f t="shared" si="29"/>
        <v>Exclude</v>
      </c>
      <c r="Y511" s="63"/>
      <c r="AS511" s="64" t="str">
        <f t="shared" si="30"/>
        <v>Exclude</v>
      </c>
      <c r="AU511" s="65" t="str">
        <f t="shared" si="31"/>
        <v>Exclude</v>
      </c>
    </row>
    <row r="512" spans="1:47" s="64" customFormat="1" x14ac:dyDescent="0.25">
      <c r="A512" s="63"/>
      <c r="U512" s="64" t="str">
        <f t="shared" si="28"/>
        <v>Exclude</v>
      </c>
      <c r="W512" s="65" t="str">
        <f t="shared" si="29"/>
        <v>Exclude</v>
      </c>
      <c r="Y512" s="63"/>
      <c r="AS512" s="64" t="str">
        <f t="shared" si="30"/>
        <v>Exclude</v>
      </c>
      <c r="AU512" s="65" t="str">
        <f t="shared" si="31"/>
        <v>Exclude</v>
      </c>
    </row>
    <row r="513" spans="1:47" s="64" customFormat="1" x14ac:dyDescent="0.25">
      <c r="A513" s="63"/>
      <c r="U513" s="64" t="str">
        <f t="shared" si="28"/>
        <v>Exclude</v>
      </c>
      <c r="W513" s="65" t="str">
        <f t="shared" si="29"/>
        <v>Exclude</v>
      </c>
      <c r="Y513" s="63"/>
      <c r="AS513" s="64" t="str">
        <f t="shared" si="30"/>
        <v>Exclude</v>
      </c>
      <c r="AU513" s="65" t="str">
        <f t="shared" si="31"/>
        <v>Exclude</v>
      </c>
    </row>
    <row r="514" spans="1:47" s="64" customFormat="1" x14ac:dyDescent="0.25">
      <c r="A514" s="63"/>
      <c r="U514" s="64" t="str">
        <f t="shared" si="28"/>
        <v>Exclude</v>
      </c>
      <c r="W514" s="65" t="str">
        <f t="shared" si="29"/>
        <v>Exclude</v>
      </c>
      <c r="Y514" s="63"/>
      <c r="AS514" s="64" t="str">
        <f t="shared" si="30"/>
        <v>Exclude</v>
      </c>
      <c r="AU514" s="65" t="str">
        <f t="shared" si="31"/>
        <v>Exclude</v>
      </c>
    </row>
    <row r="515" spans="1:47" s="64" customFormat="1" x14ac:dyDescent="0.25">
      <c r="A515" s="63"/>
      <c r="U515" s="64" t="str">
        <f t="shared" si="28"/>
        <v>Exclude</v>
      </c>
      <c r="W515" s="65" t="str">
        <f t="shared" si="29"/>
        <v>Exclude</v>
      </c>
      <c r="Y515" s="63"/>
      <c r="AS515" s="64" t="str">
        <f t="shared" si="30"/>
        <v>Exclude</v>
      </c>
      <c r="AU515" s="65" t="str">
        <f t="shared" si="31"/>
        <v>Exclude</v>
      </c>
    </row>
    <row r="516" spans="1:47" s="64" customFormat="1" x14ac:dyDescent="0.25">
      <c r="A516" s="63"/>
      <c r="U516" s="64" t="str">
        <f t="shared" si="28"/>
        <v>Exclude</v>
      </c>
      <c r="W516" s="65" t="str">
        <f t="shared" si="29"/>
        <v>Exclude</v>
      </c>
      <c r="Y516" s="63"/>
      <c r="AS516" s="64" t="str">
        <f t="shared" si="30"/>
        <v>Exclude</v>
      </c>
      <c r="AU516" s="65" t="str">
        <f t="shared" si="31"/>
        <v>Exclude</v>
      </c>
    </row>
    <row r="517" spans="1:47" s="64" customFormat="1" x14ac:dyDescent="0.25">
      <c r="A517" s="63"/>
      <c r="U517" s="64" t="str">
        <f t="shared" si="28"/>
        <v>Exclude</v>
      </c>
      <c r="W517" s="65" t="str">
        <f t="shared" si="29"/>
        <v>Exclude</v>
      </c>
      <c r="Y517" s="63"/>
      <c r="AS517" s="64" t="str">
        <f t="shared" si="30"/>
        <v>Exclude</v>
      </c>
      <c r="AU517" s="65" t="str">
        <f t="shared" si="31"/>
        <v>Exclude</v>
      </c>
    </row>
    <row r="518" spans="1:47" s="64" customFormat="1" x14ac:dyDescent="0.25">
      <c r="A518" s="63"/>
      <c r="U518" s="64" t="str">
        <f t="shared" si="28"/>
        <v>Exclude</v>
      </c>
      <c r="W518" s="65" t="str">
        <f t="shared" si="29"/>
        <v>Exclude</v>
      </c>
      <c r="Y518" s="63"/>
      <c r="AS518" s="64" t="str">
        <f t="shared" si="30"/>
        <v>Exclude</v>
      </c>
      <c r="AU518" s="65" t="str">
        <f t="shared" si="31"/>
        <v>Exclude</v>
      </c>
    </row>
    <row r="519" spans="1:47" s="64" customFormat="1" x14ac:dyDescent="0.25">
      <c r="A519" s="63"/>
      <c r="U519" s="64" t="str">
        <f t="shared" si="28"/>
        <v>Exclude</v>
      </c>
      <c r="W519" s="65" t="str">
        <f t="shared" si="29"/>
        <v>Exclude</v>
      </c>
      <c r="Y519" s="63"/>
      <c r="AS519" s="64" t="str">
        <f t="shared" si="30"/>
        <v>Exclude</v>
      </c>
      <c r="AU519" s="65" t="str">
        <f t="shared" si="31"/>
        <v>Exclude</v>
      </c>
    </row>
    <row r="520" spans="1:47" s="64" customFormat="1" x14ac:dyDescent="0.25">
      <c r="A520" s="63"/>
      <c r="U520" s="64" t="str">
        <f t="shared" si="28"/>
        <v>Exclude</v>
      </c>
      <c r="W520" s="65" t="str">
        <f t="shared" si="29"/>
        <v>Exclude</v>
      </c>
      <c r="Y520" s="63"/>
      <c r="AS520" s="64" t="str">
        <f t="shared" si="30"/>
        <v>Exclude</v>
      </c>
      <c r="AU520" s="65" t="str">
        <f t="shared" si="31"/>
        <v>Exclude</v>
      </c>
    </row>
    <row r="521" spans="1:47" s="64" customFormat="1" x14ac:dyDescent="0.25">
      <c r="A521" s="63"/>
      <c r="U521" s="64" t="str">
        <f t="shared" si="28"/>
        <v>Exclude</v>
      </c>
      <c r="W521" s="65" t="str">
        <f t="shared" si="29"/>
        <v>Exclude</v>
      </c>
      <c r="Y521" s="63"/>
      <c r="AS521" s="64" t="str">
        <f t="shared" si="30"/>
        <v>Exclude</v>
      </c>
      <c r="AU521" s="65" t="str">
        <f t="shared" si="31"/>
        <v>Exclude</v>
      </c>
    </row>
    <row r="522" spans="1:47" s="64" customFormat="1" x14ac:dyDescent="0.25">
      <c r="A522" s="63"/>
      <c r="U522" s="64" t="str">
        <f t="shared" si="28"/>
        <v>Exclude</v>
      </c>
      <c r="W522" s="65" t="str">
        <f t="shared" si="29"/>
        <v>Exclude</v>
      </c>
      <c r="Y522" s="63"/>
      <c r="AS522" s="64" t="str">
        <f t="shared" si="30"/>
        <v>Exclude</v>
      </c>
      <c r="AU522" s="65" t="str">
        <f t="shared" si="31"/>
        <v>Exclude</v>
      </c>
    </row>
    <row r="523" spans="1:47" s="64" customFormat="1" x14ac:dyDescent="0.25">
      <c r="A523" s="63"/>
      <c r="U523" s="64" t="str">
        <f t="shared" si="28"/>
        <v>Exclude</v>
      </c>
      <c r="W523" s="65" t="str">
        <f t="shared" si="29"/>
        <v>Exclude</v>
      </c>
      <c r="Y523" s="63"/>
      <c r="AS523" s="64" t="str">
        <f t="shared" si="30"/>
        <v>Exclude</v>
      </c>
      <c r="AU523" s="65" t="str">
        <f t="shared" si="31"/>
        <v>Exclude</v>
      </c>
    </row>
    <row r="524" spans="1:47" s="64" customFormat="1" x14ac:dyDescent="0.25">
      <c r="A524" s="63"/>
      <c r="U524" s="64" t="str">
        <f t="shared" si="28"/>
        <v>Exclude</v>
      </c>
      <c r="W524" s="65" t="str">
        <f t="shared" si="29"/>
        <v>Exclude</v>
      </c>
      <c r="Y524" s="63"/>
      <c r="AS524" s="64" t="str">
        <f t="shared" si="30"/>
        <v>Exclude</v>
      </c>
      <c r="AU524" s="65" t="str">
        <f t="shared" si="31"/>
        <v>Exclude</v>
      </c>
    </row>
    <row r="525" spans="1:47" s="64" customFormat="1" x14ac:dyDescent="0.25">
      <c r="A525" s="63"/>
      <c r="U525" s="64" t="str">
        <f t="shared" si="28"/>
        <v>Exclude</v>
      </c>
      <c r="W525" s="65" t="str">
        <f t="shared" si="29"/>
        <v>Exclude</v>
      </c>
      <c r="Y525" s="63"/>
      <c r="AS525" s="64" t="str">
        <f t="shared" si="30"/>
        <v>Exclude</v>
      </c>
      <c r="AU525" s="65" t="str">
        <f t="shared" si="31"/>
        <v>Exclude</v>
      </c>
    </row>
    <row r="526" spans="1:47" s="64" customFormat="1" x14ac:dyDescent="0.25">
      <c r="A526" s="63"/>
      <c r="U526" s="64" t="str">
        <f t="shared" si="28"/>
        <v>Exclude</v>
      </c>
      <c r="W526" s="65" t="str">
        <f t="shared" si="29"/>
        <v>Exclude</v>
      </c>
      <c r="Y526" s="63"/>
      <c r="AS526" s="64" t="str">
        <f t="shared" si="30"/>
        <v>Exclude</v>
      </c>
      <c r="AU526" s="65" t="str">
        <f t="shared" si="31"/>
        <v>Exclude</v>
      </c>
    </row>
    <row r="527" spans="1:47" s="64" customFormat="1" x14ac:dyDescent="0.25">
      <c r="A527" s="63"/>
      <c r="U527" s="64" t="str">
        <f t="shared" si="28"/>
        <v>Exclude</v>
      </c>
      <c r="W527" s="65" t="str">
        <f t="shared" si="29"/>
        <v>Exclude</v>
      </c>
      <c r="Y527" s="63"/>
      <c r="AS527" s="64" t="str">
        <f t="shared" si="30"/>
        <v>Exclude</v>
      </c>
      <c r="AU527" s="65" t="str">
        <f t="shared" si="31"/>
        <v>Exclude</v>
      </c>
    </row>
    <row r="528" spans="1:47" s="64" customFormat="1" x14ac:dyDescent="0.25">
      <c r="A528" s="63"/>
      <c r="U528" s="64" t="str">
        <f t="shared" si="28"/>
        <v>Exclude</v>
      </c>
      <c r="W528" s="65" t="str">
        <f t="shared" si="29"/>
        <v>Exclude</v>
      </c>
      <c r="Y528" s="63"/>
      <c r="AS528" s="64" t="str">
        <f t="shared" si="30"/>
        <v>Exclude</v>
      </c>
      <c r="AU528" s="65" t="str">
        <f t="shared" si="31"/>
        <v>Exclude</v>
      </c>
    </row>
    <row r="529" spans="1:47" s="64" customFormat="1" x14ac:dyDescent="0.25">
      <c r="A529" s="63"/>
      <c r="U529" s="64" t="str">
        <f t="shared" si="28"/>
        <v>Exclude</v>
      </c>
      <c r="W529" s="65" t="str">
        <f t="shared" si="29"/>
        <v>Exclude</v>
      </c>
      <c r="Y529" s="63"/>
      <c r="AS529" s="64" t="str">
        <f t="shared" si="30"/>
        <v>Exclude</v>
      </c>
      <c r="AU529" s="65" t="str">
        <f t="shared" si="31"/>
        <v>Exclude</v>
      </c>
    </row>
    <row r="530" spans="1:47" s="64" customFormat="1" x14ac:dyDescent="0.25">
      <c r="A530" s="63"/>
      <c r="U530" s="64" t="str">
        <f t="shared" si="28"/>
        <v>Exclude</v>
      </c>
      <c r="W530" s="65" t="str">
        <f t="shared" si="29"/>
        <v>Exclude</v>
      </c>
      <c r="Y530" s="63"/>
      <c r="AS530" s="64" t="str">
        <f t="shared" si="30"/>
        <v>Exclude</v>
      </c>
      <c r="AU530" s="65" t="str">
        <f t="shared" si="31"/>
        <v>Exclude</v>
      </c>
    </row>
    <row r="531" spans="1:47" s="64" customFormat="1" x14ac:dyDescent="0.25">
      <c r="A531" s="63"/>
      <c r="U531" s="64" t="str">
        <f t="shared" si="28"/>
        <v>Exclude</v>
      </c>
      <c r="W531" s="65" t="str">
        <f t="shared" si="29"/>
        <v>Exclude</v>
      </c>
      <c r="Y531" s="63"/>
      <c r="AS531" s="64" t="str">
        <f t="shared" si="30"/>
        <v>Exclude</v>
      </c>
      <c r="AU531" s="65" t="str">
        <f t="shared" si="31"/>
        <v>Exclude</v>
      </c>
    </row>
    <row r="532" spans="1:47" s="64" customFormat="1" x14ac:dyDescent="0.25">
      <c r="A532" s="63"/>
      <c r="U532" s="64" t="str">
        <f t="shared" si="28"/>
        <v>Exclude</v>
      </c>
      <c r="W532" s="65" t="str">
        <f t="shared" si="29"/>
        <v>Exclude</v>
      </c>
      <c r="Y532" s="63"/>
      <c r="AS532" s="64" t="str">
        <f t="shared" si="30"/>
        <v>Exclude</v>
      </c>
      <c r="AU532" s="65" t="str">
        <f t="shared" si="31"/>
        <v>Exclude</v>
      </c>
    </row>
    <row r="533" spans="1:47" s="64" customFormat="1" x14ac:dyDescent="0.25">
      <c r="A533" s="63"/>
      <c r="U533" s="64" t="str">
        <f t="shared" ref="U533:U535" si="32">IF(OR(R533="TruePositive",R533="TrueNegative"),IF(R532&lt;&gt;"Anticipatory",(N533),"Pant"),"Exclude")</f>
        <v>Exclude</v>
      </c>
      <c r="W533" s="65" t="str">
        <f t="shared" ref="W533:W535" si="33">IF(OR(R533="TruePositive",R533="TrueNegative"),IF(R532&lt;&gt;"Anticipatory",LOG10(N533),"Exclude"),"Exclude")</f>
        <v>Exclude</v>
      </c>
      <c r="Y533" s="63"/>
      <c r="AS533" s="64" t="str">
        <f t="shared" ref="AS533:AS535" si="34">IF(OR(AP533="TruePositive",AP533="TrueNegative"),IF(AP532&lt;&gt;"Anticipatory",(AL533),"Pant"),"Exclude")</f>
        <v>Exclude</v>
      </c>
      <c r="AU533" s="65" t="str">
        <f t="shared" ref="AU533:AU535" si="35">IF(OR(AP533="TruePositive",AP533="TrueNegative"),IF(AP532&lt;&gt;"Anticipatory",LOG10(AL533),"Exclude"),"Exclude")</f>
        <v>Exclude</v>
      </c>
    </row>
    <row r="534" spans="1:47" s="64" customFormat="1" x14ac:dyDescent="0.25">
      <c r="A534" s="63"/>
      <c r="U534" s="64" t="str">
        <f t="shared" si="32"/>
        <v>Exclude</v>
      </c>
      <c r="W534" s="65" t="str">
        <f t="shared" si="33"/>
        <v>Exclude</v>
      </c>
      <c r="Y534" s="63"/>
      <c r="AS534" s="64" t="str">
        <f t="shared" si="34"/>
        <v>Exclude</v>
      </c>
      <c r="AU534" s="65" t="str">
        <f t="shared" si="35"/>
        <v>Exclude</v>
      </c>
    </row>
    <row r="535" spans="1:47" s="64" customFormat="1" x14ac:dyDescent="0.25">
      <c r="A535" s="63"/>
      <c r="U535" s="64" t="str">
        <f t="shared" si="32"/>
        <v>Exclude</v>
      </c>
      <c r="W535" s="65" t="str">
        <f t="shared" si="33"/>
        <v>Exclude</v>
      </c>
      <c r="Y535" s="63"/>
      <c r="AS535" s="64" t="str">
        <f t="shared" si="34"/>
        <v>Exclude</v>
      </c>
      <c r="AU535" s="65" t="str">
        <f t="shared" si="35"/>
        <v>Exclude</v>
      </c>
    </row>
    <row r="536" spans="1:47" s="64" customFormat="1" x14ac:dyDescent="0.25">
      <c r="A536" s="63"/>
      <c r="U536" s="64" t="str">
        <f t="shared" ref="U536" si="36">IF(OR(R536="TruePositive",R536="TrueNegative"),IF(R535&lt;&gt;"Anticipatory",(N536),"Exclude"),"Exclude")</f>
        <v>Exclude</v>
      </c>
      <c r="W536" s="65"/>
      <c r="Y536" s="63"/>
      <c r="AS536" s="64" t="str">
        <f t="shared" ref="AS536" si="37">IF(OR(AP536="TruePositive",AP536="TrueNegative"),IF(AP535&lt;&gt;"Anticipatory",(AL536),"Exclude"),"Exclude")</f>
        <v>Exclude</v>
      </c>
      <c r="AU536" s="65"/>
    </row>
    <row r="537" spans="1:47" s="64" customFormat="1" x14ac:dyDescent="0.25">
      <c r="A537" s="63"/>
      <c r="W537" s="65"/>
      <c r="Y537" s="63"/>
    </row>
    <row r="538" spans="1:47" s="64" customFormat="1" x14ac:dyDescent="0.25">
      <c r="A538" s="63"/>
      <c r="W538" s="65"/>
      <c r="Y538" s="63"/>
    </row>
    <row r="539" spans="1:47" s="64" customFormat="1" x14ac:dyDescent="0.25">
      <c r="A539" s="63"/>
      <c r="W539" s="65"/>
      <c r="Y539" s="63"/>
    </row>
    <row r="540" spans="1:47" s="64" customFormat="1" x14ac:dyDescent="0.25">
      <c r="A540" s="63"/>
      <c r="W540" s="65"/>
      <c r="Y540" s="63"/>
    </row>
    <row r="541" spans="1:47" s="64" customFormat="1" x14ac:dyDescent="0.25">
      <c r="A541" s="63"/>
      <c r="W541" s="65"/>
      <c r="Y541" s="63"/>
    </row>
    <row r="542" spans="1:47" s="64" customFormat="1" x14ac:dyDescent="0.25">
      <c r="A542" s="63"/>
      <c r="W542" s="65"/>
      <c r="Y542" s="63"/>
    </row>
    <row r="543" spans="1:47" s="64" customFormat="1" x14ac:dyDescent="0.25">
      <c r="A543" s="63"/>
      <c r="W543" s="65"/>
      <c r="Y543" s="63"/>
    </row>
    <row r="544" spans="1:47" s="64" customFormat="1" x14ac:dyDescent="0.25">
      <c r="A544" s="63"/>
      <c r="W544" s="65"/>
      <c r="Y544" s="63"/>
    </row>
    <row r="545" spans="1:25" s="64" customFormat="1" x14ac:dyDescent="0.25">
      <c r="A545" s="63"/>
      <c r="W545" s="65"/>
      <c r="Y545" s="63"/>
    </row>
    <row r="546" spans="1:25" s="64" customFormat="1" x14ac:dyDescent="0.25">
      <c r="A546" s="63"/>
      <c r="W546" s="65"/>
      <c r="Y546" s="63"/>
    </row>
    <row r="547" spans="1:25" s="64" customFormat="1" x14ac:dyDescent="0.25">
      <c r="A547" s="63"/>
      <c r="W547" s="65"/>
      <c r="Y547" s="63"/>
    </row>
    <row r="548" spans="1:25" s="64" customFormat="1" x14ac:dyDescent="0.25">
      <c r="A548" s="63"/>
      <c r="W548" s="65"/>
      <c r="Y548" s="63"/>
    </row>
    <row r="549" spans="1:25" s="64" customFormat="1" x14ac:dyDescent="0.25">
      <c r="A549" s="63"/>
      <c r="W549" s="65"/>
      <c r="Y549" s="63"/>
    </row>
    <row r="550" spans="1:25" s="64" customFormat="1" x14ac:dyDescent="0.25">
      <c r="A550" s="63"/>
      <c r="W550" s="65"/>
      <c r="Y550" s="63"/>
    </row>
    <row r="551" spans="1:25" s="64" customFormat="1" x14ac:dyDescent="0.25">
      <c r="A551" s="63"/>
      <c r="W551" s="65"/>
      <c r="Y551" s="63"/>
    </row>
    <row r="552" spans="1:25" s="64" customFormat="1" x14ac:dyDescent="0.25">
      <c r="A552" s="63"/>
      <c r="W552" s="65"/>
      <c r="Y552" s="63"/>
    </row>
    <row r="553" spans="1:25" s="64" customFormat="1" x14ac:dyDescent="0.25">
      <c r="A553" s="63"/>
      <c r="W553" s="65"/>
      <c r="Y553" s="63"/>
    </row>
    <row r="554" spans="1:25" s="64" customFormat="1" x14ac:dyDescent="0.25">
      <c r="A554" s="63"/>
      <c r="W554" s="65"/>
      <c r="Y554" s="63"/>
    </row>
    <row r="555" spans="1:25" s="64" customFormat="1" x14ac:dyDescent="0.25">
      <c r="A555" s="63"/>
      <c r="W555" s="65"/>
      <c r="Y555" s="63"/>
    </row>
    <row r="556" spans="1:25" s="64" customFormat="1" x14ac:dyDescent="0.25">
      <c r="A556" s="63"/>
      <c r="W556" s="65"/>
      <c r="Y556" s="63"/>
    </row>
    <row r="557" spans="1:25" s="64" customFormat="1" x14ac:dyDescent="0.25">
      <c r="A557" s="63"/>
      <c r="W557" s="65"/>
      <c r="Y557" s="63"/>
    </row>
    <row r="558" spans="1:25" s="64" customFormat="1" x14ac:dyDescent="0.25">
      <c r="A558" s="63"/>
      <c r="W558" s="65"/>
      <c r="Y558" s="63"/>
    </row>
    <row r="559" spans="1:25" s="64" customFormat="1" x14ac:dyDescent="0.25">
      <c r="A559" s="63"/>
      <c r="W559" s="65"/>
      <c r="Y559" s="63"/>
    </row>
    <row r="560" spans="1:25" s="64" customFormat="1" x14ac:dyDescent="0.25">
      <c r="A560" s="63"/>
      <c r="W560" s="65"/>
      <c r="Y560" s="63"/>
    </row>
    <row r="561" spans="1:25" s="64" customFormat="1" x14ac:dyDescent="0.25">
      <c r="A561" s="63"/>
      <c r="W561" s="65"/>
      <c r="Y561" s="63"/>
    </row>
    <row r="562" spans="1:25" s="64" customFormat="1" x14ac:dyDescent="0.25">
      <c r="A562" s="63"/>
      <c r="W562" s="65"/>
      <c r="Y562" s="63"/>
    </row>
    <row r="563" spans="1:25" s="64" customFormat="1" x14ac:dyDescent="0.25">
      <c r="A563" s="63"/>
      <c r="W563" s="65"/>
      <c r="Y563" s="63"/>
    </row>
    <row r="564" spans="1:25" s="64" customFormat="1" x14ac:dyDescent="0.25">
      <c r="A564" s="63"/>
      <c r="W564" s="65"/>
      <c r="Y564" s="63"/>
    </row>
    <row r="565" spans="1:25" s="64" customFormat="1" x14ac:dyDescent="0.25">
      <c r="A565" s="63"/>
      <c r="W565" s="65"/>
      <c r="Y565" s="63"/>
    </row>
    <row r="566" spans="1:25" s="64" customFormat="1" x14ac:dyDescent="0.25">
      <c r="A566" s="63"/>
      <c r="W566" s="65"/>
      <c r="Y566" s="63"/>
    </row>
    <row r="567" spans="1:25" s="64" customFormat="1" x14ac:dyDescent="0.25">
      <c r="A567" s="63"/>
      <c r="W567" s="65"/>
      <c r="Y567" s="63"/>
    </row>
    <row r="568" spans="1:25" s="64" customFormat="1" x14ac:dyDescent="0.25">
      <c r="A568" s="63"/>
      <c r="W568" s="65"/>
      <c r="Y568" s="63"/>
    </row>
    <row r="569" spans="1:25" s="64" customFormat="1" x14ac:dyDescent="0.25">
      <c r="A569" s="63"/>
      <c r="W569" s="65"/>
      <c r="Y569" s="63"/>
    </row>
    <row r="570" spans="1:25" s="64" customFormat="1" x14ac:dyDescent="0.25">
      <c r="A570" s="63"/>
      <c r="W570" s="65"/>
      <c r="Y570" s="63"/>
    </row>
    <row r="571" spans="1:25" s="64" customFormat="1" x14ac:dyDescent="0.25">
      <c r="A571" s="63"/>
      <c r="W571" s="65"/>
      <c r="Y571" s="63"/>
    </row>
    <row r="572" spans="1:25" s="64" customFormat="1" x14ac:dyDescent="0.25">
      <c r="A572" s="63"/>
      <c r="W572" s="65"/>
      <c r="Y572" s="63"/>
    </row>
    <row r="573" spans="1:25" s="64" customFormat="1" x14ac:dyDescent="0.25">
      <c r="A573" s="63"/>
      <c r="W573" s="65"/>
      <c r="Y573" s="63"/>
    </row>
    <row r="574" spans="1:25" s="64" customFormat="1" x14ac:dyDescent="0.25">
      <c r="A574" s="63"/>
      <c r="W574" s="65"/>
      <c r="Y574" s="63"/>
    </row>
    <row r="575" spans="1:25" s="64" customFormat="1" x14ac:dyDescent="0.25">
      <c r="A575" s="63"/>
      <c r="W575" s="65"/>
      <c r="Y575" s="63"/>
    </row>
    <row r="576" spans="1:25" s="64" customFormat="1" x14ac:dyDescent="0.25">
      <c r="A576" s="63"/>
      <c r="W576" s="65"/>
      <c r="Y576" s="63"/>
    </row>
    <row r="577" spans="1:25" s="64" customFormat="1" x14ac:dyDescent="0.25">
      <c r="A577" s="63"/>
      <c r="W577" s="65"/>
      <c r="Y577" s="63"/>
    </row>
    <row r="578" spans="1:25" s="64" customFormat="1" x14ac:dyDescent="0.25">
      <c r="A578" s="63"/>
      <c r="W578" s="65"/>
      <c r="Y578" s="63"/>
    </row>
    <row r="579" spans="1:25" s="64" customFormat="1" x14ac:dyDescent="0.25">
      <c r="A579" s="63"/>
      <c r="W579" s="65"/>
      <c r="Y579" s="63"/>
    </row>
    <row r="580" spans="1:25" s="64" customFormat="1" x14ac:dyDescent="0.25">
      <c r="A580" s="63"/>
      <c r="W580" s="65"/>
      <c r="Y580" s="63"/>
    </row>
    <row r="581" spans="1:25" s="64" customFormat="1" x14ac:dyDescent="0.25">
      <c r="A581" s="63"/>
      <c r="W581" s="65"/>
      <c r="Y581" s="63"/>
    </row>
    <row r="582" spans="1:25" s="64" customFormat="1" x14ac:dyDescent="0.25">
      <c r="A582" s="63"/>
      <c r="W582" s="65"/>
      <c r="Y582" s="63"/>
    </row>
    <row r="583" spans="1:25" s="64" customFormat="1" x14ac:dyDescent="0.25">
      <c r="A583" s="63"/>
      <c r="W583" s="65"/>
      <c r="Y583" s="63"/>
    </row>
    <row r="584" spans="1:25" s="64" customFormat="1" x14ac:dyDescent="0.25">
      <c r="A584" s="63"/>
      <c r="W584" s="65"/>
      <c r="Y584" s="63"/>
    </row>
    <row r="585" spans="1:25" s="64" customFormat="1" x14ac:dyDescent="0.25">
      <c r="A585" s="63"/>
      <c r="W585" s="65"/>
      <c r="Y585" s="63"/>
    </row>
    <row r="586" spans="1:25" s="64" customFormat="1" x14ac:dyDescent="0.25">
      <c r="A586" s="63"/>
      <c r="W586" s="65"/>
      <c r="Y586" s="63"/>
    </row>
    <row r="587" spans="1:25" s="64" customFormat="1" x14ac:dyDescent="0.25">
      <c r="A587" s="63"/>
      <c r="W587" s="65"/>
      <c r="Y587" s="63"/>
    </row>
    <row r="588" spans="1:25" s="64" customFormat="1" x14ac:dyDescent="0.25">
      <c r="A588" s="63"/>
      <c r="W588" s="65"/>
      <c r="Y588" s="63"/>
    </row>
    <row r="589" spans="1:25" s="64" customFormat="1" x14ac:dyDescent="0.25">
      <c r="A589" s="63"/>
      <c r="W589" s="65"/>
      <c r="Y589" s="63"/>
    </row>
    <row r="590" spans="1:25" s="64" customFormat="1" x14ac:dyDescent="0.25">
      <c r="A590" s="63"/>
      <c r="W590" s="65"/>
      <c r="Y590" s="63"/>
    </row>
    <row r="591" spans="1:25" s="64" customFormat="1" x14ac:dyDescent="0.25">
      <c r="A591" s="63"/>
      <c r="W591" s="65"/>
      <c r="Y591" s="63"/>
    </row>
    <row r="592" spans="1:25" s="64" customFormat="1" x14ac:dyDescent="0.25">
      <c r="A592" s="63"/>
      <c r="W592" s="65"/>
      <c r="Y592" s="63"/>
    </row>
    <row r="593" spans="1:25" s="64" customFormat="1" x14ac:dyDescent="0.25">
      <c r="A593" s="63"/>
      <c r="W593" s="65"/>
      <c r="Y593" s="63"/>
    </row>
    <row r="594" spans="1:25" s="64" customFormat="1" x14ac:dyDescent="0.25">
      <c r="A594" s="63"/>
      <c r="W594" s="65"/>
      <c r="Y594" s="63"/>
    </row>
    <row r="595" spans="1:25" s="64" customFormat="1" x14ac:dyDescent="0.25">
      <c r="A595" s="63"/>
      <c r="W595" s="65"/>
      <c r="Y595" s="63"/>
    </row>
    <row r="596" spans="1:25" s="64" customFormat="1" x14ac:dyDescent="0.25">
      <c r="A596" s="63"/>
      <c r="W596" s="65"/>
      <c r="Y596" s="63"/>
    </row>
    <row r="597" spans="1:25" s="64" customFormat="1" x14ac:dyDescent="0.25">
      <c r="A597" s="63"/>
      <c r="W597" s="65"/>
      <c r="Y597" s="63"/>
    </row>
    <row r="598" spans="1:25" s="64" customFormat="1" x14ac:dyDescent="0.25">
      <c r="A598" s="63"/>
      <c r="W598" s="65"/>
      <c r="Y598" s="63"/>
    </row>
    <row r="599" spans="1:25" s="64" customFormat="1" x14ac:dyDescent="0.25">
      <c r="A599" s="63"/>
      <c r="W599" s="65"/>
      <c r="Y599" s="63"/>
    </row>
    <row r="600" spans="1:25" s="64" customFormat="1" x14ac:dyDescent="0.25">
      <c r="A600" s="63"/>
      <c r="W600" s="65"/>
      <c r="Y600" s="63"/>
    </row>
    <row r="601" spans="1:25" s="64" customFormat="1" x14ac:dyDescent="0.25">
      <c r="A601" s="63"/>
      <c r="W601" s="65"/>
      <c r="Y601" s="63"/>
    </row>
    <row r="602" spans="1:25" s="64" customFormat="1" x14ac:dyDescent="0.25">
      <c r="A602" s="63"/>
      <c r="W602" s="65"/>
      <c r="Y602" s="63"/>
    </row>
    <row r="603" spans="1:25" s="64" customFormat="1" x14ac:dyDescent="0.25">
      <c r="A603" s="63"/>
      <c r="W603" s="65"/>
      <c r="Y603" s="63"/>
    </row>
    <row r="604" spans="1:25" s="64" customFormat="1" x14ac:dyDescent="0.25">
      <c r="A604" s="63"/>
      <c r="W604" s="65"/>
      <c r="Y604" s="63"/>
    </row>
    <row r="605" spans="1:25" s="64" customFormat="1" x14ac:dyDescent="0.25">
      <c r="A605" s="63"/>
      <c r="W605" s="65"/>
      <c r="Y605" s="63"/>
    </row>
    <row r="606" spans="1:25" s="64" customFormat="1" x14ac:dyDescent="0.25">
      <c r="A606" s="63"/>
      <c r="W606" s="65"/>
      <c r="Y606" s="63"/>
    </row>
    <row r="607" spans="1:25" s="64" customFormat="1" x14ac:dyDescent="0.25">
      <c r="A607" s="63"/>
      <c r="W607" s="65"/>
      <c r="Y607" s="63"/>
    </row>
    <row r="608" spans="1:25" s="64" customFormat="1" x14ac:dyDescent="0.25">
      <c r="A608" s="63"/>
      <c r="W608" s="65"/>
      <c r="Y608" s="63"/>
    </row>
    <row r="609" spans="1:25" s="64" customFormat="1" x14ac:dyDescent="0.25">
      <c r="A609" s="63"/>
      <c r="W609" s="65"/>
      <c r="Y609" s="63"/>
    </row>
    <row r="610" spans="1:25" s="64" customFormat="1" x14ac:dyDescent="0.25">
      <c r="A610" s="63"/>
      <c r="W610" s="65"/>
      <c r="Y610" s="63"/>
    </row>
    <row r="611" spans="1:25" s="64" customFormat="1" x14ac:dyDescent="0.25">
      <c r="A611" s="63"/>
      <c r="W611" s="65"/>
      <c r="Y611" s="63"/>
    </row>
    <row r="612" spans="1:25" s="64" customFormat="1" x14ac:dyDescent="0.25">
      <c r="A612" s="63"/>
      <c r="W612" s="65"/>
      <c r="Y612" s="63"/>
    </row>
    <row r="613" spans="1:25" s="64" customFormat="1" x14ac:dyDescent="0.25">
      <c r="A613" s="63"/>
      <c r="W613" s="65"/>
      <c r="Y613" s="63"/>
    </row>
    <row r="614" spans="1:25" s="64" customFormat="1" x14ac:dyDescent="0.25">
      <c r="A614" s="63"/>
      <c r="W614" s="65"/>
      <c r="Y614" s="63"/>
    </row>
    <row r="615" spans="1:25" s="64" customFormat="1" x14ac:dyDescent="0.25">
      <c r="A615" s="63"/>
      <c r="W615" s="65"/>
      <c r="Y615" s="63"/>
    </row>
    <row r="616" spans="1:25" s="64" customFormat="1" x14ac:dyDescent="0.25">
      <c r="A616" s="63"/>
      <c r="W616" s="65"/>
      <c r="Y616" s="63"/>
    </row>
    <row r="617" spans="1:25" s="64" customFormat="1" x14ac:dyDescent="0.25">
      <c r="A617" s="63"/>
      <c r="W617" s="65"/>
      <c r="Y617" s="63"/>
    </row>
    <row r="618" spans="1:25" s="64" customFormat="1" x14ac:dyDescent="0.25">
      <c r="A618" s="63"/>
      <c r="W618" s="65"/>
      <c r="Y618" s="63"/>
    </row>
    <row r="619" spans="1:25" s="64" customFormat="1" x14ac:dyDescent="0.25">
      <c r="A619" s="63"/>
      <c r="W619" s="65"/>
      <c r="Y619" s="63"/>
    </row>
    <row r="620" spans="1:25" s="64" customFormat="1" x14ac:dyDescent="0.25">
      <c r="A620" s="63"/>
      <c r="W620" s="65"/>
      <c r="Y620" s="63"/>
    </row>
    <row r="621" spans="1:25" s="64" customFormat="1" x14ac:dyDescent="0.25">
      <c r="A621" s="63"/>
      <c r="W621" s="65"/>
      <c r="Y621" s="63"/>
    </row>
    <row r="622" spans="1:25" s="64" customFormat="1" x14ac:dyDescent="0.25">
      <c r="A622" s="63"/>
      <c r="W622" s="65"/>
      <c r="Y622" s="63"/>
    </row>
    <row r="623" spans="1:25" s="64" customFormat="1" x14ac:dyDescent="0.25">
      <c r="A623" s="63"/>
      <c r="W623" s="65"/>
      <c r="Y623" s="63"/>
    </row>
    <row r="624" spans="1:25" s="64" customFormat="1" x14ac:dyDescent="0.25">
      <c r="A624" s="63"/>
      <c r="W624" s="65"/>
      <c r="Y624" s="63"/>
    </row>
    <row r="625" spans="1:25" s="64" customFormat="1" x14ac:dyDescent="0.25">
      <c r="A625" s="63"/>
      <c r="W625" s="65"/>
      <c r="Y625" s="63"/>
    </row>
    <row r="626" spans="1:25" s="64" customFormat="1" x14ac:dyDescent="0.25">
      <c r="A626" s="63"/>
      <c r="W626" s="65"/>
      <c r="Y626" s="63"/>
    </row>
    <row r="627" spans="1:25" s="64" customFormat="1" x14ac:dyDescent="0.25">
      <c r="A627" s="63"/>
      <c r="W627" s="65"/>
      <c r="Y627" s="63"/>
    </row>
    <row r="628" spans="1:25" s="64" customFormat="1" x14ac:dyDescent="0.25">
      <c r="A628" s="63"/>
      <c r="Y628" s="63"/>
    </row>
    <row r="629" spans="1:25" s="64" customFormat="1" x14ac:dyDescent="0.25">
      <c r="A629" s="63"/>
      <c r="Y629" s="63"/>
    </row>
    <row r="630" spans="1:25" s="64" customFormat="1" x14ac:dyDescent="0.25">
      <c r="A630" s="63"/>
      <c r="Y630" s="63"/>
    </row>
    <row r="631" spans="1:25" s="64" customFormat="1" x14ac:dyDescent="0.25">
      <c r="A631" s="63"/>
      <c r="Y631" s="63"/>
    </row>
    <row r="632" spans="1:25" s="64" customFormat="1" x14ac:dyDescent="0.25">
      <c r="A632" s="63"/>
      <c r="Y632" s="63"/>
    </row>
    <row r="633" spans="1:25" s="64" customFormat="1" x14ac:dyDescent="0.25">
      <c r="A633" s="63"/>
      <c r="Y633" s="63"/>
    </row>
    <row r="634" spans="1:25" s="64" customFormat="1" x14ac:dyDescent="0.25">
      <c r="A634" s="63"/>
      <c r="Y634" s="63"/>
    </row>
    <row r="635" spans="1:25" s="64" customFormat="1" x14ac:dyDescent="0.25">
      <c r="A635" s="63"/>
      <c r="Y635" s="63"/>
    </row>
    <row r="636" spans="1:25" s="64" customFormat="1" x14ac:dyDescent="0.25">
      <c r="A636" s="63"/>
      <c r="Y636" s="63"/>
    </row>
    <row r="637" spans="1:25" s="64" customFormat="1" x14ac:dyDescent="0.25">
      <c r="A637" s="63"/>
      <c r="Y637" s="63"/>
    </row>
    <row r="638" spans="1:25" s="64" customFormat="1" x14ac:dyDescent="0.25">
      <c r="A638" s="63"/>
      <c r="Y638" s="63"/>
    </row>
    <row r="639" spans="1:25" s="64" customFormat="1" x14ac:dyDescent="0.25">
      <c r="A639" s="63"/>
      <c r="Y639" s="63"/>
    </row>
    <row r="640" spans="1:25" s="64" customFormat="1" x14ac:dyDescent="0.25">
      <c r="A640" s="63"/>
      <c r="Y640" s="63"/>
    </row>
    <row r="641" spans="1:25" s="64" customFormat="1" x14ac:dyDescent="0.25">
      <c r="A641" s="63"/>
      <c r="Y641" s="63"/>
    </row>
    <row r="642" spans="1:25" s="64" customFormat="1" x14ac:dyDescent="0.25">
      <c r="A642" s="63"/>
      <c r="Y642" s="63"/>
    </row>
    <row r="643" spans="1:25" s="64" customFormat="1" x14ac:dyDescent="0.25">
      <c r="A643" s="63"/>
      <c r="Y643" s="63"/>
    </row>
    <row r="644" spans="1:25" s="64" customFormat="1" x14ac:dyDescent="0.25">
      <c r="A644" s="63"/>
      <c r="Y644" s="63"/>
    </row>
    <row r="645" spans="1:25" s="64" customFormat="1" x14ac:dyDescent="0.25">
      <c r="A645" s="63"/>
      <c r="Y645" s="63"/>
    </row>
    <row r="646" spans="1:25" s="64" customFormat="1" x14ac:dyDescent="0.25">
      <c r="A646" s="63"/>
      <c r="Y646" s="63"/>
    </row>
    <row r="647" spans="1:25" s="64" customFormat="1" x14ac:dyDescent="0.25">
      <c r="A647" s="63"/>
      <c r="Y647" s="63"/>
    </row>
    <row r="648" spans="1:25" s="64" customFormat="1" x14ac:dyDescent="0.25">
      <c r="A648" s="63"/>
      <c r="Y648" s="63"/>
    </row>
    <row r="649" spans="1:25" s="64" customFormat="1" x14ac:dyDescent="0.25">
      <c r="A649" s="63"/>
      <c r="Y649" s="63"/>
    </row>
    <row r="650" spans="1:25" s="64" customFormat="1" x14ac:dyDescent="0.25">
      <c r="A650" s="63"/>
      <c r="Y650" s="63"/>
    </row>
    <row r="651" spans="1:25" s="64" customFormat="1" x14ac:dyDescent="0.25">
      <c r="A651" s="63"/>
      <c r="Y651" s="63"/>
    </row>
    <row r="652" spans="1:25" s="64" customFormat="1" x14ac:dyDescent="0.25">
      <c r="A652" s="63"/>
      <c r="Y652" s="63"/>
    </row>
    <row r="653" spans="1:25" s="64" customFormat="1" x14ac:dyDescent="0.25">
      <c r="A653" s="63"/>
      <c r="Y653" s="63"/>
    </row>
  </sheetData>
  <conditionalFormatting sqref="X537:XFD645 X20:X536 AV20:XFD536 A20:V645">
    <cfRule type="expression" dxfId="84" priority="14">
      <formula>MOD(ROW(),2)=0</formula>
    </cfRule>
  </conditionalFormatting>
  <conditionalFormatting sqref="W20:W645">
    <cfRule type="expression" dxfId="83" priority="13">
      <formula>MOD(ROW(),2)=0</formula>
    </cfRule>
  </conditionalFormatting>
  <conditionalFormatting sqref="W1:W4 W6:W10 W16:W18 W20:W1048576">
    <cfRule type="containsText" dxfId="82" priority="12" operator="containsText" text="Exclude">
      <formula>NOT(ISERROR(SEARCH("Exclude",W1)))</formula>
    </cfRule>
  </conditionalFormatting>
  <conditionalFormatting sqref="A6:C6 H6">
    <cfRule type="containsErrors" dxfId="81" priority="11">
      <formula>ISERROR(A6)</formula>
    </cfRule>
  </conditionalFormatting>
  <conditionalFormatting sqref="W19">
    <cfRule type="containsText" dxfId="80" priority="10" operator="containsText" text="Exclude">
      <formula>NOT(ISERROR(SEARCH("Exclude",W19)))</formula>
    </cfRule>
  </conditionalFormatting>
  <conditionalFormatting sqref="U1:U1048576">
    <cfRule type="containsText" dxfId="79" priority="2" operator="containsText" text="Pant">
      <formula>NOT(ISERROR(SEARCH("Pant",U1)))</formula>
    </cfRule>
    <cfRule type="containsText" dxfId="78" priority="9" operator="containsText" text="Exclude">
      <formula>NOT(ISERROR(SEARCH("Exclude",U1)))</formula>
    </cfRule>
  </conditionalFormatting>
  <conditionalFormatting sqref="Y20:AT536">
    <cfRule type="expression" dxfId="77" priority="8">
      <formula>MOD(ROW(),2)=0</formula>
    </cfRule>
  </conditionalFormatting>
  <conditionalFormatting sqref="AU20:AU536">
    <cfRule type="expression" dxfId="76" priority="7">
      <formula>MOD(ROW(),2)=0</formula>
    </cfRule>
  </conditionalFormatting>
  <conditionalFormatting sqref="AU6:AU10 AU16:AU18 AU20:AU536">
    <cfRule type="containsText" dxfId="75" priority="6" operator="containsText" text="Exclude">
      <formula>NOT(ISERROR(SEARCH("Exclude",AU6)))</formula>
    </cfRule>
  </conditionalFormatting>
  <conditionalFormatting sqref="Y6:AA6 AF6">
    <cfRule type="containsErrors" dxfId="74" priority="5">
      <formula>ISERROR(Y6)</formula>
    </cfRule>
  </conditionalFormatting>
  <conditionalFormatting sqref="AU19">
    <cfRule type="containsText" dxfId="73" priority="4" operator="containsText" text="Exclude">
      <formula>NOT(ISERROR(SEARCH("Exclude",AU19)))</formula>
    </cfRule>
  </conditionalFormatting>
  <conditionalFormatting sqref="AS5:AS536">
    <cfRule type="containsText" dxfId="72" priority="3" operator="containsText" text="Exclude">
      <formula>NOT(ISERROR(SEARCH("Exclude",AS5)))</formula>
    </cfRule>
  </conditionalFormatting>
  <conditionalFormatting sqref="AS1:AS1048576">
    <cfRule type="containsText" dxfId="71" priority="1" operator="containsText" text="Pant">
      <formula>NOT(ISERROR(SEARCH("Pant",AS1)))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extToColumns">
                <anchor moveWithCells="1" sizeWithCells="1">
                  <from>
                    <xdr:col>7</xdr:col>
                    <xdr:colOff>857250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3:AU24"/>
  <sheetViews>
    <sheetView workbookViewId="0">
      <selection activeCell="J23" sqref="J23"/>
    </sheetView>
  </sheetViews>
  <sheetFormatPr defaultRowHeight="15" x14ac:dyDescent="0.25"/>
  <cols>
    <col min="1" max="1" width="18.140625" customWidth="1"/>
    <col min="2" max="2" width="16.28515625" bestFit="1" customWidth="1"/>
    <col min="3" max="3" width="7.7109375" bestFit="1" customWidth="1"/>
    <col min="4" max="4" width="14.140625" bestFit="1" customWidth="1"/>
    <col min="5" max="5" width="9.140625" bestFit="1" customWidth="1"/>
    <col min="6" max="6" width="8" bestFit="1" customWidth="1"/>
    <col min="7" max="7" width="6" bestFit="1" customWidth="1"/>
    <col min="8" max="8" width="8" bestFit="1" customWidth="1"/>
    <col min="9" max="9" width="11" bestFit="1" customWidth="1"/>
    <col min="10" max="10" width="7.42578125" bestFit="1" customWidth="1"/>
    <col min="11" max="11" width="9.7109375" bestFit="1" customWidth="1"/>
    <col min="12" max="12" width="12.140625" bestFit="1" customWidth="1"/>
    <col min="13" max="13" width="9.7109375" bestFit="1" customWidth="1"/>
    <col min="14" max="14" width="7.42578125" bestFit="1" customWidth="1"/>
    <col min="15" max="15" width="6.85546875" bestFit="1" customWidth="1"/>
    <col min="16" max="16" width="7.28515625" bestFit="1" customWidth="1"/>
    <col min="17" max="17" width="7.7109375" bestFit="1" customWidth="1"/>
    <col min="18" max="18" width="14.140625" bestFit="1" customWidth="1"/>
    <col min="19" max="19" width="9.140625" bestFit="1" customWidth="1"/>
    <col min="20" max="20" width="8" bestFit="1" customWidth="1"/>
    <col min="21" max="21" width="6" bestFit="1" customWidth="1"/>
    <col min="22" max="22" width="8" bestFit="1" customWidth="1"/>
    <col min="23" max="23" width="11" bestFit="1" customWidth="1"/>
    <col min="24" max="24" width="7.42578125" bestFit="1" customWidth="1"/>
    <col min="25" max="25" width="9.7109375" bestFit="1" customWidth="1"/>
    <col min="26" max="26" width="12.140625" bestFit="1" customWidth="1"/>
    <col min="27" max="27" width="9.7109375" bestFit="1" customWidth="1"/>
    <col min="28" max="28" width="7.42578125" bestFit="1" customWidth="1"/>
    <col min="29" max="29" width="6.85546875" bestFit="1" customWidth="1"/>
    <col min="30" max="30" width="7.28515625" bestFit="1" customWidth="1"/>
    <col min="31" max="31" width="7.7109375" bestFit="1" customWidth="1"/>
    <col min="32" max="32" width="14.140625" bestFit="1" customWidth="1"/>
    <col min="33" max="33" width="9.140625" bestFit="1" customWidth="1"/>
    <col min="34" max="34" width="8" bestFit="1" customWidth="1"/>
    <col min="35" max="35" width="6" bestFit="1" customWidth="1"/>
    <col min="36" max="36" width="8" bestFit="1" customWidth="1"/>
    <col min="37" max="37" width="11" bestFit="1" customWidth="1"/>
    <col min="38" max="38" width="7.42578125" bestFit="1" customWidth="1"/>
    <col min="39" max="39" width="9.7109375" bestFit="1" customWidth="1"/>
    <col min="40" max="40" width="12.140625" bestFit="1" customWidth="1"/>
    <col min="41" max="41" width="9.7109375" bestFit="1" customWidth="1"/>
    <col min="42" max="42" width="7.42578125" bestFit="1" customWidth="1"/>
    <col min="43" max="43" width="6.85546875" bestFit="1" customWidth="1"/>
    <col min="44" max="44" width="9.140625" bestFit="1" customWidth="1"/>
    <col min="45" max="45" width="12.140625" bestFit="1" customWidth="1"/>
    <col min="46" max="47" width="11.28515625" bestFit="1" customWidth="1"/>
  </cols>
  <sheetData>
    <row r="3" spans="1:47" x14ac:dyDescent="0.25">
      <c r="A3" s="70" t="s">
        <v>102</v>
      </c>
      <c r="B3" s="70" t="s">
        <v>101</v>
      </c>
    </row>
    <row r="4" spans="1:47" x14ac:dyDescent="0.25">
      <c r="B4" s="28">
        <v>1</v>
      </c>
      <c r="O4" s="28" t="s">
        <v>107</v>
      </c>
      <c r="P4" s="28">
        <v>2</v>
      </c>
      <c r="AC4" s="28" t="s">
        <v>108</v>
      </c>
      <c r="AD4" s="28">
        <v>3</v>
      </c>
      <c r="AQ4" s="28" t="s">
        <v>109</v>
      </c>
      <c r="AR4" s="28" t="s">
        <v>99</v>
      </c>
      <c r="AS4" s="28" t="s">
        <v>126</v>
      </c>
      <c r="AT4" s="28" t="s">
        <v>100</v>
      </c>
    </row>
    <row r="5" spans="1:47" x14ac:dyDescent="0.25">
      <c r="A5" s="70" t="s">
        <v>98</v>
      </c>
      <c r="B5" s="28" t="s">
        <v>99</v>
      </c>
      <c r="C5" s="28" t="s">
        <v>112</v>
      </c>
      <c r="D5" s="28" t="s">
        <v>115</v>
      </c>
      <c r="E5" s="28" t="s">
        <v>116</v>
      </c>
      <c r="F5" s="28" t="s">
        <v>117</v>
      </c>
      <c r="G5" s="28" t="s">
        <v>118</v>
      </c>
      <c r="H5" s="28" t="s">
        <v>119</v>
      </c>
      <c r="I5" s="28" t="s">
        <v>120</v>
      </c>
      <c r="J5" s="28" t="s">
        <v>121</v>
      </c>
      <c r="K5" s="28" t="s">
        <v>122</v>
      </c>
      <c r="L5" s="28" t="s">
        <v>123</v>
      </c>
      <c r="M5" s="28" t="s">
        <v>124</v>
      </c>
      <c r="N5" s="28" t="s">
        <v>125</v>
      </c>
      <c r="P5" s="28" t="s">
        <v>99</v>
      </c>
      <c r="Q5" s="28" t="s">
        <v>112</v>
      </c>
      <c r="R5" s="28" t="s">
        <v>115</v>
      </c>
      <c r="S5" s="28" t="s">
        <v>116</v>
      </c>
      <c r="T5" s="28" t="s">
        <v>117</v>
      </c>
      <c r="U5" s="28" t="s">
        <v>118</v>
      </c>
      <c r="V5" s="28" t="s">
        <v>119</v>
      </c>
      <c r="W5" s="28" t="s">
        <v>120</v>
      </c>
      <c r="X5" s="28" t="s">
        <v>121</v>
      </c>
      <c r="Y5" s="28" t="s">
        <v>122</v>
      </c>
      <c r="Z5" s="28" t="s">
        <v>123</v>
      </c>
      <c r="AA5" s="28" t="s">
        <v>124</v>
      </c>
      <c r="AB5" s="28" t="s">
        <v>125</v>
      </c>
      <c r="AD5" s="28" t="s">
        <v>99</v>
      </c>
      <c r="AE5" s="28" t="s">
        <v>112</v>
      </c>
      <c r="AF5" s="28" t="s">
        <v>115</v>
      </c>
      <c r="AG5" s="28" t="s">
        <v>116</v>
      </c>
      <c r="AH5" s="28" t="s">
        <v>117</v>
      </c>
      <c r="AI5" s="28" t="s">
        <v>118</v>
      </c>
      <c r="AJ5" s="28" t="s">
        <v>119</v>
      </c>
      <c r="AK5" s="28" t="s">
        <v>120</v>
      </c>
      <c r="AL5" s="28" t="s">
        <v>121</v>
      </c>
      <c r="AM5" s="28" t="s">
        <v>122</v>
      </c>
      <c r="AN5" s="28" t="s">
        <v>123</v>
      </c>
      <c r="AO5" s="28" t="s">
        <v>124</v>
      </c>
      <c r="AP5" s="28" t="s">
        <v>125</v>
      </c>
      <c r="AR5" s="28" t="s">
        <v>99</v>
      </c>
    </row>
    <row r="6" spans="1:47" x14ac:dyDescent="0.25">
      <c r="A6" s="71" t="s">
        <v>96</v>
      </c>
      <c r="B6" s="72">
        <v>1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>
        <v>1</v>
      </c>
      <c r="P6" s="72">
        <v>1</v>
      </c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>
        <v>1</v>
      </c>
      <c r="AD6" s="72">
        <v>1</v>
      </c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>
        <v>1</v>
      </c>
      <c r="AR6" s="72"/>
      <c r="AS6" s="72"/>
      <c r="AT6" s="72">
        <v>3</v>
      </c>
    </row>
    <row r="7" spans="1:47" x14ac:dyDescent="0.25">
      <c r="A7" s="71" t="s">
        <v>97</v>
      </c>
      <c r="B7" s="72"/>
      <c r="C7" s="72">
        <v>1</v>
      </c>
      <c r="D7" s="72">
        <v>1</v>
      </c>
      <c r="E7" s="72">
        <v>1</v>
      </c>
      <c r="F7" s="72">
        <v>1</v>
      </c>
      <c r="G7" s="72">
        <v>1</v>
      </c>
      <c r="H7" s="72">
        <v>1</v>
      </c>
      <c r="I7" s="72">
        <v>1</v>
      </c>
      <c r="J7" s="72">
        <v>1</v>
      </c>
      <c r="K7" s="72">
        <v>1</v>
      </c>
      <c r="L7" s="72">
        <v>1</v>
      </c>
      <c r="M7" s="72">
        <v>1</v>
      </c>
      <c r="N7" s="72">
        <v>1</v>
      </c>
      <c r="O7" s="72">
        <v>12</v>
      </c>
      <c r="P7" s="72"/>
      <c r="Q7" s="72">
        <v>1</v>
      </c>
      <c r="R7" s="72">
        <v>1</v>
      </c>
      <c r="S7" s="72">
        <v>1</v>
      </c>
      <c r="T7" s="72">
        <v>1</v>
      </c>
      <c r="U7" s="72">
        <v>1</v>
      </c>
      <c r="V7" s="72">
        <v>1</v>
      </c>
      <c r="W7" s="72">
        <v>1</v>
      </c>
      <c r="X7" s="72">
        <v>1</v>
      </c>
      <c r="Y7" s="72">
        <v>1</v>
      </c>
      <c r="Z7" s="72">
        <v>1</v>
      </c>
      <c r="AA7" s="72">
        <v>1</v>
      </c>
      <c r="AB7" s="72">
        <v>1</v>
      </c>
      <c r="AC7" s="72">
        <v>12</v>
      </c>
      <c r="AD7" s="72"/>
      <c r="AE7" s="72">
        <v>1</v>
      </c>
      <c r="AF7" s="72">
        <v>1</v>
      </c>
      <c r="AG7" s="72">
        <v>1</v>
      </c>
      <c r="AH7" s="72">
        <v>1</v>
      </c>
      <c r="AI7" s="72">
        <v>1</v>
      </c>
      <c r="AJ7" s="72">
        <v>1</v>
      </c>
      <c r="AK7" s="72">
        <v>1</v>
      </c>
      <c r="AL7" s="72">
        <v>1</v>
      </c>
      <c r="AM7" s="72">
        <v>1</v>
      </c>
      <c r="AN7" s="72">
        <v>1</v>
      </c>
      <c r="AO7" s="72">
        <v>1</v>
      </c>
      <c r="AP7" s="72">
        <v>1</v>
      </c>
      <c r="AQ7" s="72">
        <v>12</v>
      </c>
      <c r="AR7" s="72"/>
      <c r="AS7" s="72"/>
      <c r="AT7" s="72">
        <v>36</v>
      </c>
    </row>
    <row r="8" spans="1:47" x14ac:dyDescent="0.25">
      <c r="A8" s="71" t="s">
        <v>95</v>
      </c>
      <c r="B8" s="72">
        <v>1</v>
      </c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>
        <v>1</v>
      </c>
      <c r="P8" s="72">
        <v>1</v>
      </c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>
        <v>1</v>
      </c>
      <c r="AD8" s="72">
        <v>1</v>
      </c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>
        <v>1</v>
      </c>
      <c r="AR8" s="72"/>
      <c r="AS8" s="72"/>
      <c r="AT8" s="72">
        <v>3</v>
      </c>
    </row>
    <row r="9" spans="1:47" x14ac:dyDescent="0.25">
      <c r="A9" s="71" t="s">
        <v>94</v>
      </c>
      <c r="B9" s="72"/>
      <c r="C9" s="72">
        <v>1</v>
      </c>
      <c r="D9" s="72"/>
      <c r="E9" s="72"/>
      <c r="F9" s="72"/>
      <c r="G9" s="72"/>
      <c r="H9" s="72">
        <v>1</v>
      </c>
      <c r="I9" s="72"/>
      <c r="J9" s="72"/>
      <c r="K9" s="72"/>
      <c r="L9" s="72"/>
      <c r="M9" s="72"/>
      <c r="N9" s="72"/>
      <c r="O9" s="72">
        <v>2</v>
      </c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>
        <v>1</v>
      </c>
      <c r="AO9" s="72"/>
      <c r="AP9" s="72"/>
      <c r="AQ9" s="72">
        <v>1</v>
      </c>
      <c r="AR9" s="72"/>
      <c r="AS9" s="72"/>
      <c r="AT9" s="72">
        <v>3</v>
      </c>
    </row>
    <row r="10" spans="1:47" x14ac:dyDescent="0.25">
      <c r="A10" s="71" t="s">
        <v>93</v>
      </c>
      <c r="B10" s="72"/>
      <c r="C10" s="72"/>
      <c r="D10" s="72"/>
      <c r="E10" s="72"/>
      <c r="F10" s="72"/>
      <c r="G10" s="72"/>
      <c r="H10" s="72">
        <v>1</v>
      </c>
      <c r="I10" s="72"/>
      <c r="J10" s="72"/>
      <c r="K10" s="72"/>
      <c r="L10" s="72"/>
      <c r="M10" s="72"/>
      <c r="N10" s="72"/>
      <c r="O10" s="72">
        <v>1</v>
      </c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>
        <v>1</v>
      </c>
      <c r="AO10" s="72"/>
      <c r="AP10" s="72"/>
      <c r="AQ10" s="72">
        <v>1</v>
      </c>
      <c r="AR10" s="72"/>
      <c r="AS10" s="72"/>
      <c r="AT10" s="72">
        <v>2</v>
      </c>
    </row>
    <row r="11" spans="1:47" x14ac:dyDescent="0.25">
      <c r="A11" s="71" t="s">
        <v>92</v>
      </c>
      <c r="B11" s="72"/>
      <c r="C11" s="72">
        <v>1</v>
      </c>
      <c r="D11" s="72">
        <v>1</v>
      </c>
      <c r="E11" s="72">
        <v>1</v>
      </c>
      <c r="F11" s="72">
        <v>1</v>
      </c>
      <c r="G11" s="72">
        <v>1</v>
      </c>
      <c r="H11" s="72">
        <v>1</v>
      </c>
      <c r="I11" s="72">
        <v>1</v>
      </c>
      <c r="J11" s="72">
        <v>1</v>
      </c>
      <c r="K11" s="72">
        <v>1</v>
      </c>
      <c r="L11" s="72">
        <v>1</v>
      </c>
      <c r="M11" s="72">
        <v>1</v>
      </c>
      <c r="N11" s="72">
        <v>1</v>
      </c>
      <c r="O11" s="72">
        <v>12</v>
      </c>
      <c r="P11" s="72"/>
      <c r="Q11" s="72">
        <v>1</v>
      </c>
      <c r="R11" s="72">
        <v>1</v>
      </c>
      <c r="S11" s="72"/>
      <c r="T11" s="72">
        <v>1</v>
      </c>
      <c r="U11" s="72"/>
      <c r="V11" s="72">
        <v>1</v>
      </c>
      <c r="W11" s="72">
        <v>1</v>
      </c>
      <c r="X11" s="72">
        <v>1</v>
      </c>
      <c r="Y11" s="72">
        <v>1</v>
      </c>
      <c r="Z11" s="72">
        <v>1</v>
      </c>
      <c r="AA11" s="72">
        <v>1</v>
      </c>
      <c r="AB11" s="72">
        <v>1</v>
      </c>
      <c r="AC11" s="72">
        <v>10</v>
      </c>
      <c r="AD11" s="72"/>
      <c r="AE11" s="72"/>
      <c r="AF11" s="72">
        <v>1</v>
      </c>
      <c r="AG11" s="72">
        <v>1</v>
      </c>
      <c r="AH11" s="72">
        <v>1</v>
      </c>
      <c r="AI11" s="72">
        <v>1</v>
      </c>
      <c r="AJ11" s="72"/>
      <c r="AK11" s="72">
        <v>1</v>
      </c>
      <c r="AL11" s="72"/>
      <c r="AM11" s="72">
        <v>1</v>
      </c>
      <c r="AN11" s="72">
        <v>2</v>
      </c>
      <c r="AO11" s="72">
        <v>1</v>
      </c>
      <c r="AP11" s="72">
        <v>1</v>
      </c>
      <c r="AQ11" s="72">
        <v>10</v>
      </c>
      <c r="AR11" s="72"/>
      <c r="AS11" s="72"/>
      <c r="AT11" s="72">
        <v>32</v>
      </c>
    </row>
    <row r="12" spans="1:47" x14ac:dyDescent="0.25">
      <c r="A12" s="71" t="s">
        <v>99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</row>
    <row r="13" spans="1:47" x14ac:dyDescent="0.25">
      <c r="A13" s="71" t="s">
        <v>100</v>
      </c>
      <c r="B13" s="72">
        <v>2</v>
      </c>
      <c r="C13" s="72">
        <v>3</v>
      </c>
      <c r="D13" s="72">
        <v>2</v>
      </c>
      <c r="E13" s="72">
        <v>2</v>
      </c>
      <c r="F13" s="72">
        <v>2</v>
      </c>
      <c r="G13" s="72">
        <v>2</v>
      </c>
      <c r="H13" s="72">
        <v>4</v>
      </c>
      <c r="I13" s="72">
        <v>2</v>
      </c>
      <c r="J13" s="72">
        <v>2</v>
      </c>
      <c r="K13" s="72">
        <v>2</v>
      </c>
      <c r="L13" s="72">
        <v>2</v>
      </c>
      <c r="M13" s="72">
        <v>2</v>
      </c>
      <c r="N13" s="72">
        <v>2</v>
      </c>
      <c r="O13" s="72">
        <v>29</v>
      </c>
      <c r="P13" s="72">
        <v>2</v>
      </c>
      <c r="Q13" s="72">
        <v>2</v>
      </c>
      <c r="R13" s="72">
        <v>2</v>
      </c>
      <c r="S13" s="72">
        <v>1</v>
      </c>
      <c r="T13" s="72">
        <v>2</v>
      </c>
      <c r="U13" s="72">
        <v>1</v>
      </c>
      <c r="V13" s="72">
        <v>2</v>
      </c>
      <c r="W13" s="72">
        <v>2</v>
      </c>
      <c r="X13" s="72">
        <v>2</v>
      </c>
      <c r="Y13" s="72">
        <v>2</v>
      </c>
      <c r="Z13" s="72">
        <v>2</v>
      </c>
      <c r="AA13" s="72">
        <v>2</v>
      </c>
      <c r="AB13" s="72">
        <v>2</v>
      </c>
      <c r="AC13" s="72">
        <v>24</v>
      </c>
      <c r="AD13" s="72">
        <v>2</v>
      </c>
      <c r="AE13" s="72">
        <v>1</v>
      </c>
      <c r="AF13" s="72">
        <v>2</v>
      </c>
      <c r="AG13" s="72">
        <v>2</v>
      </c>
      <c r="AH13" s="72">
        <v>2</v>
      </c>
      <c r="AI13" s="72">
        <v>2</v>
      </c>
      <c r="AJ13" s="72">
        <v>1</v>
      </c>
      <c r="AK13" s="72">
        <v>2</v>
      </c>
      <c r="AL13" s="72">
        <v>1</v>
      </c>
      <c r="AM13" s="72">
        <v>2</v>
      </c>
      <c r="AN13" s="72">
        <v>5</v>
      </c>
      <c r="AO13" s="72">
        <v>2</v>
      </c>
      <c r="AP13" s="72">
        <v>2</v>
      </c>
      <c r="AQ13" s="72">
        <v>26</v>
      </c>
      <c r="AR13" s="72"/>
      <c r="AS13" s="72"/>
      <c r="AT13" s="72">
        <v>79</v>
      </c>
    </row>
    <row r="15" spans="1:47" s="28" customFormat="1" ht="15.75" thickBot="1" x14ac:dyDescent="0.3">
      <c r="A15" s="86" t="s">
        <v>110</v>
      </c>
      <c r="B15" s="28">
        <f t="shared" ref="B15:AD15" si="0">IF(INDEX(B6:B12,MATCH("TruePositive",$A$6:$A$12,0))&gt;0,IF(INDEX(B6:B12,MATCH("Repetition",$A$6:$A$12,0))&gt;INDEX(B6:B12,MATCH("Retraction",$A$6:$A$12,0)),INDEX(B6:B12,MATCH("TruePositive",$A$6:$A$12,0)),SUM(INDEX(B6:B12,MATCH("TruePositive",$A$6:$A$12,0)))-SUM(INDEX(B6:B12,MATCH("Retraction",$A$6:$A$12)))),0)</f>
        <v>0</v>
      </c>
      <c r="C15" s="28">
        <f>IF(INDEX(C6:C12,MATCH("TruePositive",$A$6:$A$12,0))&gt;0,IF(INDEX(C6:C12,MATCH("Repetition",$A$6:$A$12,0))&gt;INDEX(C6:C12,MATCH("Retraction",$A$6:$A$12,0)),INDEX(C6:C12,MATCH("TruePositive",$A$6:$A$12,0)),SUM(INDEX(C6:C12,MATCH("TruePositive",$A$6:$A$12,0)))-SUM(INDEX(C6:C12,MATCH("Retraction",$A$6:$A$12)))),0)</f>
        <v>1</v>
      </c>
      <c r="D15" s="28">
        <f t="shared" si="0"/>
        <v>1</v>
      </c>
      <c r="E15" s="28">
        <f t="shared" si="0"/>
        <v>1</v>
      </c>
      <c r="F15" s="28">
        <f t="shared" si="0"/>
        <v>1</v>
      </c>
      <c r="G15" s="28">
        <f t="shared" si="0"/>
        <v>1</v>
      </c>
      <c r="H15" s="28">
        <f t="shared" si="0"/>
        <v>0</v>
      </c>
      <c r="I15" s="28">
        <f t="shared" si="0"/>
        <v>1</v>
      </c>
      <c r="J15" s="28">
        <f t="shared" si="0"/>
        <v>1</v>
      </c>
      <c r="K15" s="28">
        <f t="shared" si="0"/>
        <v>1</v>
      </c>
      <c r="L15" s="28">
        <f t="shared" si="0"/>
        <v>1</v>
      </c>
      <c r="M15" s="28">
        <f t="shared" si="0"/>
        <v>1</v>
      </c>
      <c r="N15" s="28">
        <f t="shared" si="0"/>
        <v>1</v>
      </c>
      <c r="O15" s="28">
        <f t="shared" si="0"/>
        <v>12</v>
      </c>
      <c r="P15" s="85">
        <f>SUM(B15:N15)</f>
        <v>11</v>
      </c>
      <c r="Q15" s="28">
        <f t="shared" si="0"/>
        <v>1</v>
      </c>
      <c r="R15" s="28">
        <f t="shared" si="0"/>
        <v>1</v>
      </c>
      <c r="S15" s="28">
        <f t="shared" si="0"/>
        <v>0</v>
      </c>
      <c r="T15" s="28">
        <f t="shared" si="0"/>
        <v>1</v>
      </c>
      <c r="U15" s="28">
        <f t="shared" si="0"/>
        <v>0</v>
      </c>
      <c r="V15" s="28">
        <f t="shared" si="0"/>
        <v>1</v>
      </c>
      <c r="W15" s="28">
        <f t="shared" si="0"/>
        <v>1</v>
      </c>
      <c r="X15" s="28">
        <f t="shared" si="0"/>
        <v>1</v>
      </c>
      <c r="Y15" s="28">
        <f t="shared" si="0"/>
        <v>1</v>
      </c>
      <c r="Z15" s="28">
        <f t="shared" si="0"/>
        <v>1</v>
      </c>
      <c r="AA15" s="28">
        <f t="shared" si="0"/>
        <v>1</v>
      </c>
      <c r="AB15" s="28">
        <f t="shared" si="0"/>
        <v>1</v>
      </c>
      <c r="AC15" s="28">
        <f t="shared" si="0"/>
        <v>10</v>
      </c>
      <c r="AD15" s="28">
        <f t="shared" si="0"/>
        <v>0</v>
      </c>
      <c r="AE15" s="85">
        <f>SUM(Q15:AC15)</f>
        <v>20</v>
      </c>
      <c r="AF15" s="28">
        <f t="shared" ref="AF15:AH15" si="1">IF(INDEX(AF6:AF12,MATCH("TruePositive",$A$6:$A$12,0))&gt;0,IF(INDEX(AF6:AF12,MATCH("Repetition",$A$6:$A$12,0))&gt;INDEX(AF6:AF12,MATCH("Retraction",$A$6:$A$12,0)),INDEX(AF6:AF12,MATCH("TruePositive",$A$6:$A$12,0)),SUM(INDEX(AF6:AF12,MATCH("TruePositive",$A$6:$A$12,0)))-SUM(INDEX(AF6:AF12,MATCH("Retraction",$A$6:$A$12)))),0)</f>
        <v>1</v>
      </c>
      <c r="AG15" s="28">
        <f t="shared" si="1"/>
        <v>1</v>
      </c>
      <c r="AH15" s="28">
        <f t="shared" si="1"/>
        <v>1</v>
      </c>
      <c r="AI15" s="28">
        <f>IF(INDEX(AI6:AI12,MATCH("TruePositive",$A$6:$A$12,0))&gt;0,IF(INDEX(AI6:AI12,MATCH("Repetition",$A$6:$A$12,0))&gt;INDEX(AI6:AI12,MATCH("Retraction",$A$6:$A$12,0)),INDEX(AI6:AI12,MATCH("TruePositive",$A$6:$A$12,0)),SUM(INDEX(AI6:AI12,MATCH("TruePositive",$A$6:$A$12,0)))-SUM(INDEX(AI6:AI12,MATCH("Retraction",$A$6:$A$12)))),0)</f>
        <v>1</v>
      </c>
      <c r="AJ15" s="28">
        <f t="shared" ref="AJ15:AS15" si="2">IF(INDEX(AJ6:AJ12,MATCH("TruePositive",$A$6:$A$12,0))&gt;0,IF(INDEX(AJ6:AJ12,MATCH("Repetition",$A$6:$A$12,0))&gt;INDEX(AJ6:AJ12,MATCH("Retraction",$A$6:$A$12,0)),INDEX(AJ6:AJ12,MATCH("TruePositive",$A$6:$A$12,0)),SUM(INDEX(AJ6:AJ12,MATCH("TruePositive",$A$6:$A$12,0)))-SUM(INDEX(AJ6:AJ12,MATCH("Retraction",$A$6:$A$12)))),0)</f>
        <v>0</v>
      </c>
      <c r="AK15" s="28">
        <f t="shared" si="2"/>
        <v>1</v>
      </c>
      <c r="AL15" s="28">
        <f t="shared" si="2"/>
        <v>0</v>
      </c>
      <c r="AM15" s="28">
        <f t="shared" si="2"/>
        <v>1</v>
      </c>
      <c r="AN15" s="28">
        <f t="shared" si="2"/>
        <v>1</v>
      </c>
      <c r="AO15" s="28">
        <f t="shared" si="2"/>
        <v>1</v>
      </c>
      <c r="AP15" s="28">
        <f t="shared" si="2"/>
        <v>1</v>
      </c>
      <c r="AQ15" s="28">
        <f t="shared" si="2"/>
        <v>9</v>
      </c>
      <c r="AR15" s="28">
        <f t="shared" si="2"/>
        <v>0</v>
      </c>
      <c r="AS15" s="28">
        <f t="shared" si="2"/>
        <v>0</v>
      </c>
      <c r="AT15" s="85">
        <f>SUM(AF15:AR15)</f>
        <v>18</v>
      </c>
      <c r="AU15" s="28">
        <f>SUM(AT15,AE15,P15)</f>
        <v>49</v>
      </c>
    </row>
    <row r="16" spans="1:47" s="28" customFormat="1" ht="15.75" thickTop="1" x14ac:dyDescent="0.25"/>
    <row r="17" spans="1:47" s="28" customFormat="1" ht="15.75" thickBot="1" x14ac:dyDescent="0.3">
      <c r="A17" s="29" t="s">
        <v>2</v>
      </c>
      <c r="P17" s="85">
        <f>SUM(ASIN(SQRT(P15/P21)))</f>
        <v>1.277953555066321</v>
      </c>
      <c r="AE17" s="85" t="e">
        <f>SUM(ASIN(SQRT(AE15/AE21)))</f>
        <v>#DIV/0!</v>
      </c>
      <c r="AT17" s="85">
        <f>SUM(ASIN(SQRT(AT15/AT21)))</f>
        <v>0.78539816339744839</v>
      </c>
    </row>
    <row r="18" spans="1:47" s="28" customFormat="1" ht="15.75" thickTop="1" x14ac:dyDescent="0.25">
      <c r="A18" s="29"/>
    </row>
    <row r="19" spans="1:47" s="28" customFormat="1" ht="15.75" thickBot="1" x14ac:dyDescent="0.3">
      <c r="A19" s="29" t="s">
        <v>111</v>
      </c>
      <c r="B19" s="28">
        <f>IF(INDEX(B6:B12,MATCH("TruePositive",$A$6:$A$12,0))&gt;1,INDEX(B6:B12,MATCH("Repetition",$A$6:$A$12,0))-SUM(ABS(SUM(INDEX(B6:B12,MATCH("TruePositive",$A$6:$A$12,0))-INDEX(B6:B12,MATCH("Retraction",$A$6:$A$12,0))-INDEX(B6:B12,MATCH("Retraction",$A$6:$A$12,0))))),IF(INDEX(B6:B12,MATCH("Retraction",$A$6:$A$12,0))&gt;0,IF(INDEX(B6:B12,MATCH("Repetition",$A$6:$A$12,0))&gt;0,INDEX(B6:B12,MATCH("Repetition",$A$6:$A$12,0))-INDEX(B6:B12,MATCH("Retraction",$A$6:$A$12,0)),IF(INDEX(B6:B12,MATCH("Intrusion",$A$6:$A$12,0))&gt;0,SUM(INDEX(B6:B12,MATCH("Intrusion",$A$6:$A$12,0))-SUM(INDEX(B6:B12,MATCH("Retraction",$A$6:$A$12,0)))),INDEX(B6:B12,MATCH("Repetition",$A$6:$A$12,0)))),IF(ISERROR(INDEX(B6:B12,MATCH("Intrusion",$A$6:$A$12,0))&gt;0),0,IF(INDEX(B6:B12,MATCH("Repetition",$A$6:$A$12,0))&gt;0,INDEX(B6:B12,MATCH("Repetition",$A$6:$A$12,0)),0))))</f>
        <v>0</v>
      </c>
      <c r="C19" s="28" t="e">
        <f>IF(INDEX(C6:C12,MATCH("TruePositive",$A$6:$A$12,0))&gt;1,INDEX(C6:C12,MATCH("Repetition",$A$6:$A$12,0))-SUM(ABS(SUM(INDEX(C6:C12,MATCH("TruePositive",$A$6:$A$12,0))-INDEX(C6:C12,MATCH("Retraction",$A$6:$A$12,0))-INDEX(C6:C12,MATCH("Retraction",$A$6:$A$12,0))))),IF(INDEX(C6:C12,MATCH("Retraction",$A$6:$A$12,0))&gt;0,IF(INDEX(C6:C12,MATCH("Repetition",$A$6:$A$12,0))&gt;0,INDEX(C6:C12,MATCH("Repetition",$A$6:$A$12,0))-INDEX(C6:C12,MATCH("Retraction",$A$6:$A$12,0)),IF(INDEX(C6:C12,MATCH("Intrusion",$A$6:$A$12,0))&gt;0,SUM(INDEX(C6:C12,MATCH("Intrusion",$A$6:$A$12,0))-SUM(INDEX(C6:C12,MATCH("Retraction",$A$6:$A$12,0)))),INDEX(C6:C12,MATCH("Repetition",$A$6:$A$12,0)))),IF(INDEX(C6:C12,MATCH("Intrusion",$A$6:$A$12,0))&gt;0,INDEX(C6:C12,MATCH("Intrusion",$A$6:$A$12,0)),IF(INDEX(C6:C12,MATCH("Repetition",$A$6:$A$12,0))&gt;0,INDEX(C6:C12,MATCH("Repetition",$A$6:$A$12,0)),0))))</f>
        <v>#N/A</v>
      </c>
      <c r="D19" s="28" t="e">
        <f t="shared" ref="D19:O19" si="3">IF(INDEX(D6:D12,MATCH("TruePositive",$A$6:$A$12,0))&gt;1,INDEX(D6:D12,MATCH("Repetition",$A$6:$A$12,0))-SUM(ABS(SUM(INDEX(D6:D12,MATCH("TruePositive",$A$6:$A$12,0))-INDEX(D6:D12,MATCH("Retraction",$A$6:$A$12,0))-INDEX(D6:D12,MATCH("Retraction",$A$6:$A$12,0))))),IF(INDEX(D6:D12,MATCH("Retraction",$A$6:$A$12,0))&gt;0,IF(INDEX(D6:D12,MATCH("Repetition",$A$6:$A$12,0))&gt;0,INDEX(D6:D12,MATCH("Repetition",$A$6:$A$12,0))-INDEX(D6:D12,MATCH("Retraction",$A$6:$A$12,0)),IF(INDEX(D6:D12,MATCH("Intrusion",$A$6:$A$12,0))&gt;0,SUM(INDEX(D6:D12,MATCH("Intrusion",$A$6:$A$12,0))-SUM(INDEX(D6:D12,MATCH("Retraction",$A$6:$A$12,0)))),INDEX(D6:D12,MATCH("Repetition",$A$6:$A$12,0)))),IF(INDEX(D6:D12,MATCH("Intrusion",$A$6:$A$12,0))&gt;0,INDEX(D6:D12,MATCH("Intrusion",$A$6:$A$12,0)),IF(INDEX(D6:D12,MATCH("Repetition",$A$6:$A$12,0))&gt;0,INDEX(D6:D12,MATCH("Repetition",$A$6:$A$12,0)),0))))</f>
        <v>#N/A</v>
      </c>
      <c r="E19" s="28" t="e">
        <f t="shared" si="3"/>
        <v>#N/A</v>
      </c>
      <c r="F19" s="28" t="e">
        <f t="shared" si="3"/>
        <v>#N/A</v>
      </c>
      <c r="G19" s="28" t="e">
        <f t="shared" si="3"/>
        <v>#N/A</v>
      </c>
      <c r="H19" s="28">
        <f t="shared" si="3"/>
        <v>0</v>
      </c>
      <c r="I19" s="28" t="e">
        <f t="shared" si="3"/>
        <v>#N/A</v>
      </c>
      <c r="J19" s="28" t="e">
        <f t="shared" si="3"/>
        <v>#N/A</v>
      </c>
      <c r="K19" s="28" t="e">
        <f t="shared" si="3"/>
        <v>#N/A</v>
      </c>
      <c r="L19" s="28" t="e">
        <f t="shared" si="3"/>
        <v>#N/A</v>
      </c>
      <c r="M19" s="28" t="e">
        <f t="shared" si="3"/>
        <v>#N/A</v>
      </c>
      <c r="N19" s="28" t="e">
        <f t="shared" si="3"/>
        <v>#N/A</v>
      </c>
      <c r="O19" s="28">
        <f t="shared" si="3"/>
        <v>-8</v>
      </c>
      <c r="P19" s="85" t="e">
        <f>SUM(B19:O19)</f>
        <v>#N/A</v>
      </c>
      <c r="Q19" s="28" t="e">
        <f>IF(INDEX(Q6:Q12,MATCH("TruePositive",$A$6:$A$12,0))&gt;1,INDEX(Q6:Q12,MATCH("Repetition",$A$6:$A$12,0))-SUM(ABS(SUM(INDEX(Q6:Q12,MATCH("TruePositive",$A$6:$A$12,0))-INDEX(Q6:Q12,MATCH("Retraction",$A$6:$A$12,0))-INDEX(Q6:Q12,MATCH("Retraction",$A$6:$A$12,0))))),IF(INDEX(Q6:Q12,MATCH("Retraction",$A$6:$A$12,0))&gt;0,IF(INDEX(Q6:Q12,MATCH("Repetition",$A$6:$A$12,0))&gt;0,INDEX(Q6:Q12,MATCH("Repetition",$A$6:$A$12,0))-INDEX(Q6:Q12,MATCH("Retraction",$A$6:$A$12,0)),IF(INDEX(Q6:Q12,MATCH("Intrusion",$A$6:$A$12,0))&gt;0,SUM(INDEX(Q6:Q12,MATCH("Intrusion",$A$6:$A$12,0))-SUM(INDEX(Q6:Q12,MATCH("Retraction",$A$6:$A$12,0)))),INDEX(Q6:Q12,MATCH("Repetition",$A$6:$A$12,0)))),IF(INDEX(Q6:Q12,MATCH("Intrusion",$A$6:$A$12,0))&gt;0,INDEX(Q6:Q12,MATCH("Intrusion",$A$6:$A$12,0)),IF(INDEX(Q6:Q12,MATCH("Repetition",$A$6:$A$12,0))&gt;0,INDEX(Q6:Q12,MATCH("Repetition",$A$6:$A$12,0)),0))))</f>
        <v>#N/A</v>
      </c>
      <c r="R19" s="28" t="e">
        <f t="shared" ref="R19:AD19" si="4">IF(INDEX(R6:R12,MATCH("TruePositive",$A$6:$A$12,0))&gt;1,INDEX(R6:R12,MATCH("Repetition",$A$6:$A$12,0))-SUM(ABS(SUM(INDEX(R6:R12,MATCH("TruePositive",$A$6:$A$12,0))-INDEX(R6:R12,MATCH("Retraction",$A$6:$A$12,0))-INDEX(R6:R12,MATCH("Retraction",$A$6:$A$12,0))))),IF(INDEX(R6:R12,MATCH("Retraction",$A$6:$A$12,0))&gt;0,IF(INDEX(R6:R12,MATCH("Repetition",$A$6:$A$12,0))&gt;0,INDEX(R6:R12,MATCH("Repetition",$A$6:$A$12,0))-INDEX(R6:R12,MATCH("Retraction",$A$6:$A$12,0)),IF(INDEX(R6:R12,MATCH("Intrusion",$A$6:$A$12,0))&gt;0,SUM(INDEX(R6:R12,MATCH("Intrusion",$A$6:$A$12,0))-SUM(INDEX(R6:R12,MATCH("Retraction",$A$6:$A$12,0)))),INDEX(R6:R12,MATCH("Repetition",$A$6:$A$12,0)))),IF(INDEX(R6:R12,MATCH("Intrusion",$A$6:$A$12,0))&gt;0,INDEX(R6:R12,MATCH("Intrusion",$A$6:$A$12,0)),IF(INDEX(R6:R12,MATCH("Repetition",$A$6:$A$12,0))&gt;0,INDEX(R6:R12,MATCH("Repetition",$A$6:$A$12,0)),0))))</f>
        <v>#N/A</v>
      </c>
      <c r="S19" s="28" t="e">
        <f t="shared" si="4"/>
        <v>#N/A</v>
      </c>
      <c r="T19" s="28" t="e">
        <f t="shared" si="4"/>
        <v>#N/A</v>
      </c>
      <c r="U19" s="28" t="e">
        <f t="shared" si="4"/>
        <v>#N/A</v>
      </c>
      <c r="V19" s="28" t="e">
        <f t="shared" si="4"/>
        <v>#N/A</v>
      </c>
      <c r="W19" s="28" t="e">
        <f t="shared" si="4"/>
        <v>#N/A</v>
      </c>
      <c r="X19" s="28" t="e">
        <f t="shared" si="4"/>
        <v>#N/A</v>
      </c>
      <c r="Y19" s="28" t="e">
        <f t="shared" si="4"/>
        <v>#N/A</v>
      </c>
      <c r="Z19" s="28" t="e">
        <f t="shared" si="4"/>
        <v>#N/A</v>
      </c>
      <c r="AA19" s="28" t="e">
        <f t="shared" si="4"/>
        <v>#N/A</v>
      </c>
      <c r="AB19" s="28" t="e">
        <f t="shared" si="4"/>
        <v>#N/A</v>
      </c>
      <c r="AC19" s="28">
        <f t="shared" si="4"/>
        <v>-10</v>
      </c>
      <c r="AD19" s="28" t="e">
        <f t="shared" si="4"/>
        <v>#N/A</v>
      </c>
      <c r="AE19" s="85" t="e">
        <f>SUM(Q19:AD19)</f>
        <v>#N/A</v>
      </c>
      <c r="AF19" s="28" t="e">
        <f>IF(INDEX(AF6:AF12,MATCH("TruePositive",$A$6:$A$12,0))&gt;1,INDEX(AF6:AF12,MATCH("Repetition",$A$6:$A$12,0))-SUM(ABS(SUM(INDEX(AF6:AF12,MATCH("TruePositive",$A$6:$A$12,0))-INDEX(AF6:AF12,MATCH("Retraction",$A$6:$A$12,0))-INDEX(AF6:AF12,MATCH("Retraction",$A$6:$A$12,0))))),IF(INDEX(AF6:AF12,MATCH("Retraction",$A$6:$A$12,0))&gt;0,IF(INDEX(AF6:AF12,MATCH("Repetition",$A$6:$A$12,0))&gt;0,INDEX(AF6:AF12,MATCH("Repetition",$A$6:$A$12,0))-INDEX(AF6:AF12,MATCH("Retraction",$A$6:$A$12,0)),IF(INDEX(AF6:AF12,MATCH("Intrusion",$A$6:$A$12,0))&gt;0,SUM(INDEX(AF6:AF12,MATCH("Intrusion",$A$6:$A$12,0))-SUM(INDEX(AF6:AF12,MATCH("Retraction",$A$6:$A$12,0)))),INDEX(AF6:AF12,MATCH("Repetition",$A$6:$A$12,0)))),IF(INDEX(AF6:AF12,MATCH("Intrusion",$A$6:$A$12,0))&gt;0,INDEX(AF6:AF12,MATCH("Intrusion",$A$6:$A$12,0)),IF(INDEX(AF6:AF12,MATCH("Repetition",$A$6:$A$12,0))&gt;0,INDEX(AF6:AF12,MATCH("Repetition",$A$6:$A$12,0)),0))))</f>
        <v>#N/A</v>
      </c>
      <c r="AG19" s="28" t="e">
        <f t="shared" ref="AG19:AS19" si="5">IF(INDEX(AG6:AG12,MATCH("TruePositive",$A$6:$A$12,0))&gt;1,INDEX(AG6:AG12,MATCH("Repetition",$A$6:$A$12,0))-SUM(ABS(SUM(INDEX(AG6:AG12,MATCH("TruePositive",$A$6:$A$12,0))-INDEX(AG6:AG12,MATCH("Retraction",$A$6:$A$12,0))-INDEX(AG6:AG12,MATCH("Retraction",$A$6:$A$12,0))))),IF(INDEX(AG6:AG12,MATCH("Retraction",$A$6:$A$12,0))&gt;0,IF(INDEX(AG6:AG12,MATCH("Repetition",$A$6:$A$12,0))&gt;0,INDEX(AG6:AG12,MATCH("Repetition",$A$6:$A$12,0))-INDEX(AG6:AG12,MATCH("Retraction",$A$6:$A$12,0)),IF(INDEX(AG6:AG12,MATCH("Intrusion",$A$6:$A$12,0))&gt;0,SUM(INDEX(AG6:AG12,MATCH("Intrusion",$A$6:$A$12,0))-SUM(INDEX(AG6:AG12,MATCH("Retraction",$A$6:$A$12,0)))),INDEX(AG6:AG12,MATCH("Repetition",$A$6:$A$12,0)))),IF(INDEX(AG6:AG12,MATCH("Intrusion",$A$6:$A$12,0))&gt;0,INDEX(AG6:AG12,MATCH("Intrusion",$A$6:$A$12,0)),IF(INDEX(AG6:AG12,MATCH("Repetition",$A$6:$A$12,0))&gt;0,INDEX(AG6:AG12,MATCH("Repetition",$A$6:$A$12,0)),0))))</f>
        <v>#N/A</v>
      </c>
      <c r="AH19" s="28" t="e">
        <f t="shared" si="5"/>
        <v>#N/A</v>
      </c>
      <c r="AI19" s="28" t="e">
        <f t="shared" si="5"/>
        <v>#N/A</v>
      </c>
      <c r="AJ19" s="28" t="e">
        <f t="shared" si="5"/>
        <v>#N/A</v>
      </c>
      <c r="AK19" s="28" t="e">
        <f t="shared" si="5"/>
        <v>#N/A</v>
      </c>
      <c r="AL19" s="28" t="e">
        <f t="shared" si="5"/>
        <v>#N/A</v>
      </c>
      <c r="AM19" s="28" t="e">
        <f t="shared" si="5"/>
        <v>#N/A</v>
      </c>
      <c r="AN19" s="28">
        <f t="shared" si="5"/>
        <v>1</v>
      </c>
      <c r="AO19" s="28" t="e">
        <f t="shared" si="5"/>
        <v>#N/A</v>
      </c>
      <c r="AP19" s="28" t="e">
        <f t="shared" si="5"/>
        <v>#N/A</v>
      </c>
      <c r="AQ19" s="28">
        <f t="shared" si="5"/>
        <v>-7</v>
      </c>
      <c r="AR19" s="28" t="e">
        <f t="shared" si="5"/>
        <v>#N/A</v>
      </c>
      <c r="AS19" s="28" t="e">
        <f t="shared" si="5"/>
        <v>#N/A</v>
      </c>
      <c r="AT19" s="85" t="e">
        <f>SUM(AF19:AS19)</f>
        <v>#N/A</v>
      </c>
      <c r="AU19" s="28" t="e">
        <f>SUM(AT19,AE19,P19)</f>
        <v>#N/A</v>
      </c>
    </row>
    <row r="20" spans="1:47" s="28" customFormat="1" ht="15.75" thickTop="1" x14ac:dyDescent="0.25"/>
    <row r="21" spans="1:47" s="28" customFormat="1" ht="15.75" thickBot="1" x14ac:dyDescent="0.3">
      <c r="A21" s="29" t="s">
        <v>6</v>
      </c>
      <c r="P21" s="85">
        <f>INDEX(O6:O12,MATCH("Display",A6:A12,0))</f>
        <v>12</v>
      </c>
      <c r="AE21" s="85">
        <f>INDEX(AD6:AD12,MATCH("Display",A6:A12,0))</f>
        <v>0</v>
      </c>
      <c r="AT21" s="85">
        <f>INDEX(AT6:AT12,MATCH("Display",A6:A12,0))</f>
        <v>36</v>
      </c>
      <c r="AU21" s="28">
        <f>SUM(AT21,AE21,P21,)</f>
        <v>48</v>
      </c>
    </row>
    <row r="22" spans="1:47" ht="15.75" thickTop="1" x14ac:dyDescent="0.25"/>
    <row r="23" spans="1:47" ht="15.75" thickBot="1" x14ac:dyDescent="0.3">
      <c r="A23" s="29" t="s">
        <v>5</v>
      </c>
      <c r="P23" s="85" t="e">
        <f>SUM(P15,P19)</f>
        <v>#N/A</v>
      </c>
      <c r="AE23" s="85" t="e">
        <f>SUM(AE15,AE19)</f>
        <v>#N/A</v>
      </c>
      <c r="AT23" s="85" t="e">
        <f>SUM(AT15,AT19)</f>
        <v>#N/A</v>
      </c>
      <c r="AU23" t="e">
        <f>SUM(AT23,AE23,P23)</f>
        <v>#N/A</v>
      </c>
    </row>
    <row r="24" spans="1:47" ht="15.75" thickTop="1" x14ac:dyDescent="0.25"/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6E50D-5456-4172-B977-B702F00CE741}">
  <sheetPr codeName="Sheet17"/>
  <dimension ref="A1:W662"/>
  <sheetViews>
    <sheetView zoomScale="85" zoomScaleNormal="85" workbookViewId="0">
      <selection activeCell="H31" sqref="H31"/>
    </sheetView>
  </sheetViews>
  <sheetFormatPr defaultColWidth="9.140625" defaultRowHeight="15" x14ac:dyDescent="0.25"/>
  <cols>
    <col min="1" max="1" width="19.85546875" style="65" customWidth="1"/>
    <col min="2" max="2" width="15.85546875" style="65" customWidth="1"/>
    <col min="3" max="3" width="16.7109375" style="65" customWidth="1"/>
    <col min="4" max="4" width="16.85546875" style="65" bestFit="1" customWidth="1"/>
    <col min="5" max="5" width="17" style="65" bestFit="1" customWidth="1"/>
    <col min="6" max="6" width="16.140625" style="65" bestFit="1" customWidth="1"/>
    <col min="7" max="7" width="15.7109375" style="65" customWidth="1"/>
    <col min="8" max="8" width="15.28515625" style="65" customWidth="1"/>
    <col min="9" max="9" width="25.28515625" style="65" customWidth="1"/>
    <col min="10" max="10" width="19.140625" style="65" customWidth="1"/>
    <col min="11" max="11" width="27.5703125" style="65" customWidth="1"/>
    <col min="12" max="12" width="19.85546875" style="65" customWidth="1"/>
    <col min="13" max="13" width="12.7109375" style="65" bestFit="1" customWidth="1"/>
    <col min="14" max="14" width="14.28515625" style="65" customWidth="1"/>
    <col min="15" max="15" width="15.42578125" style="65" bestFit="1" customWidth="1"/>
    <col min="16" max="16" width="14.5703125" style="65" customWidth="1"/>
    <col min="17" max="17" width="18.140625" style="65" customWidth="1"/>
    <col min="18" max="18" width="15.7109375" style="65" customWidth="1"/>
    <col min="19" max="20" width="12" style="65" customWidth="1"/>
    <col min="21" max="21" width="17.85546875" style="65" customWidth="1"/>
    <col min="22" max="22" width="9.140625" style="65"/>
    <col min="23" max="23" width="7.140625" style="65" customWidth="1"/>
    <col min="24" max="16384" width="9.140625" style="65"/>
  </cols>
  <sheetData>
    <row r="1" spans="1:18" s="28" customFormat="1" ht="22.5" x14ac:dyDescent="0.3">
      <c r="C1" s="1" t="s">
        <v>155</v>
      </c>
      <c r="I1" s="30"/>
      <c r="J1" s="30"/>
      <c r="K1" s="30"/>
      <c r="L1" s="30"/>
      <c r="M1" s="33"/>
      <c r="N1" s="33"/>
      <c r="O1" s="33"/>
      <c r="P1" s="33"/>
      <c r="Q1" s="33"/>
      <c r="R1" s="33"/>
    </row>
    <row r="2" spans="1:18" s="28" customFormat="1" x14ac:dyDescent="0.25">
      <c r="D2" s="29"/>
      <c r="I2" s="30"/>
      <c r="J2" s="30"/>
      <c r="K2" s="30"/>
      <c r="L2" s="30"/>
      <c r="M2" s="33"/>
      <c r="N2" s="33"/>
      <c r="O2" s="33"/>
      <c r="P2" s="33"/>
      <c r="Q2" s="33"/>
      <c r="R2" s="33"/>
    </row>
    <row r="3" spans="1:18" s="28" customFormat="1" ht="18.75" x14ac:dyDescent="0.3">
      <c r="A3" s="69" t="s">
        <v>88</v>
      </c>
    </row>
    <row r="4" spans="1:18" s="33" customFormat="1" x14ac:dyDescent="0.25">
      <c r="A4" s="40" t="s">
        <v>0</v>
      </c>
      <c r="B4" s="40" t="s">
        <v>1</v>
      </c>
      <c r="C4" s="40" t="s">
        <v>2</v>
      </c>
      <c r="D4" s="40" t="s">
        <v>3</v>
      </c>
      <c r="E4" s="40" t="s">
        <v>4</v>
      </c>
      <c r="F4" s="40" t="s">
        <v>6</v>
      </c>
      <c r="G4" s="40" t="s">
        <v>5</v>
      </c>
      <c r="H4" s="40" t="s">
        <v>84</v>
      </c>
      <c r="I4" s="40" t="s">
        <v>58</v>
      </c>
      <c r="J4" s="40" t="s">
        <v>52</v>
      </c>
      <c r="K4" s="40" t="s">
        <v>54</v>
      </c>
      <c r="L4" s="40" t="s">
        <v>55</v>
      </c>
      <c r="M4" s="40" t="s">
        <v>56</v>
      </c>
      <c r="N4" s="40" t="s">
        <v>49</v>
      </c>
      <c r="O4" s="40" t="s">
        <v>50</v>
      </c>
      <c r="P4" s="40" t="s">
        <v>51</v>
      </c>
      <c r="Q4" s="40" t="s">
        <v>66</v>
      </c>
      <c r="R4" s="40"/>
    </row>
    <row r="5" spans="1:18" s="33" customFormat="1" x14ac:dyDescent="0.25">
      <c r="A5" s="107" t="e">
        <f>AVERAGEIF(B30:B999,1,W30:W999)</f>
        <v>#DIV/0!</v>
      </c>
      <c r="B5" s="107" t="e">
        <f>STDEV(W30:W154)</f>
        <v>#DIV/0!</v>
      </c>
      <c r="C5" s="107" t="e">
        <f>ASIN(SQRT(D5/G5))</f>
        <v>#DIV/0!</v>
      </c>
      <c r="D5" s="33">
        <f>COUNTIFS(B30:B999,1,R30:R999,"TruePositive")</f>
        <v>0</v>
      </c>
      <c r="E5" s="33">
        <f>COUNTIFS(B30:B999,1,R30:R999,"LegalError")+COUNTIFS(B30:B999,1,R30:R999,"WithinSearch")+COUNTIFS(B30:B999,1,R30:R999,"BetweenSearch")+COUNTIFS(B30:B999,1,R30:R999,"Perseverative")+COUNTIFS(B30:B999,1,R30:R999,"SameNode")+COUNTIFS(B30:B999,1,R30:R999,"BetweenNode")+COUNTIFS(B30:B999,1,R30:R999,"Outer")+COUNTIFS(B30:B999,1,R30:R999,"Anticipatory")+COUNTIFS(B30:B999,1,R30:R999,"Post")+COUNTIFS(B30:B999,1,R30:R999,"DistractorError")</f>
        <v>0</v>
      </c>
      <c r="F5" s="33">
        <f>COUNTIFS(B30:B999,1,R30:R999,"TruePositive")</f>
        <v>0</v>
      </c>
      <c r="G5" s="33">
        <f>SUM(D5+E5)</f>
        <v>0</v>
      </c>
      <c r="I5" s="33">
        <f>COUNTIFS(B30:B999,1,R30:R999,"LegalError")+COUNTIFS(B30:B999,1,R30:R999,"WithinSearch")+COUNTIFS(B30:B999,1,R30:R999,"BetweenSearch")+COUNTIFS(B30:B999,1,R30:R999,"Perseverative")+COUNTIFS(B30:B999,1,R30:R999,"SameNode")+COUNTIFS(B30:B999,1,R30:R999,"DistractorError")</f>
        <v>0</v>
      </c>
      <c r="J5" s="101">
        <f>COUNTIFS(B30:B999,1,R30:R999,"BetweenNode")+COUNTIFS(B30:B999,1,R30:R999,"Outer")+COUNTIFS(B30:B999,1,R30:R999,"Anticipatory")+COUNTIFS(B30:B999,1,R30:R999,"Post")</f>
        <v>0</v>
      </c>
      <c r="K5" s="33">
        <f>COUNTIFS(B30:B999,1,R30:R999,"Anticipatory")</f>
        <v>0</v>
      </c>
      <c r="L5" s="33">
        <f>COUNTIFS(B30:B999,1,R30:R999,"Post")</f>
        <v>0</v>
      </c>
      <c r="M5" s="33">
        <f>COUNTIFS(B30:B999,1,R30:R999,"MaxOut")</f>
        <v>0</v>
      </c>
      <c r="N5" s="107" t="e">
        <f>AVERAGEIF(B30:B999,1,U30:U999)</f>
        <v>#DIV/0!</v>
      </c>
      <c r="O5" s="107" t="e">
        <f>STDEV(U30:U154)</f>
        <v>#DIV/0!</v>
      </c>
      <c r="P5" s="107" t="e">
        <f>D5/G5</f>
        <v>#DIV/0!</v>
      </c>
      <c r="Q5" s="33">
        <f>SUM(D5)-COUNTIFS(B30:B999,1,U30:U999,"Pant")</f>
        <v>0</v>
      </c>
    </row>
    <row r="6" spans="1:18" s="33" customFormat="1" ht="18.75" x14ac:dyDescent="0.3">
      <c r="A6" s="106" t="s">
        <v>89</v>
      </c>
      <c r="B6" s="107"/>
      <c r="C6" s="107"/>
      <c r="O6" s="107"/>
    </row>
    <row r="7" spans="1:18" s="33" customFormat="1" x14ac:dyDescent="0.25">
      <c r="A7" s="105" t="s">
        <v>0</v>
      </c>
      <c r="B7" s="105" t="s">
        <v>1</v>
      </c>
      <c r="C7" s="105" t="s">
        <v>2</v>
      </c>
      <c r="D7" s="40" t="s">
        <v>3</v>
      </c>
      <c r="E7" s="40" t="s">
        <v>4</v>
      </c>
      <c r="F7" s="40" t="s">
        <v>6</v>
      </c>
      <c r="G7" s="40" t="s">
        <v>5</v>
      </c>
      <c r="H7" s="40" t="s">
        <v>84</v>
      </c>
      <c r="I7" s="40" t="s">
        <v>58</v>
      </c>
      <c r="J7" s="40" t="s">
        <v>52</v>
      </c>
      <c r="K7" s="40" t="s">
        <v>54</v>
      </c>
      <c r="L7" s="40" t="s">
        <v>55</v>
      </c>
      <c r="M7" s="40" t="s">
        <v>56</v>
      </c>
      <c r="N7" s="40" t="s">
        <v>49</v>
      </c>
      <c r="O7" s="105" t="s">
        <v>50</v>
      </c>
      <c r="P7" s="40" t="s">
        <v>51</v>
      </c>
      <c r="Q7" s="40" t="s">
        <v>66</v>
      </c>
    </row>
    <row r="8" spans="1:18" s="33" customFormat="1" x14ac:dyDescent="0.25">
      <c r="A8" s="107" t="e">
        <f>AVERAGEIF(B30:B999,2,W30:W999)</f>
        <v>#DIV/0!</v>
      </c>
      <c r="B8" s="107" t="e">
        <f>STDEV(W155:W230)</f>
        <v>#DIV/0!</v>
      </c>
      <c r="C8" s="107" t="e">
        <f>ASIN(SQRT(D8/G8))</f>
        <v>#DIV/0!</v>
      </c>
      <c r="D8" s="33">
        <f>COUNTIFS(B30:B999,2,R30:R999,"TruePositive")</f>
        <v>0</v>
      </c>
      <c r="E8" s="33">
        <f>COUNTIFS(B30:B999,2,R30:R999,"LegalError")+COUNTIFS(B30:B999,2,R30:R999,"WithinSearch")+COUNTIFS(B30:B999,2,R30:R999,"BetweenSearch")+COUNTIFS(B30:B999,2,R30:R999,"Perseverative")+COUNTIFS(B30:B999,2,R30:R999,"SameNode")+COUNTIFS(B30:B999,2,R30:R999,"BetweenNode")+COUNTIFS(B30:B999,2,R30:R999,"Outer")+COUNTIFS(B30:B999,2,R30:R999,"Anticipatory")+COUNTIFS(B30:B999,2,R30:R999,"Post")+COUNTIFS(B30:B999,2,R30:R999,"DistractorError")</f>
        <v>0</v>
      </c>
      <c r="F8" s="33">
        <f>COUNTIFS(B30:B999,2,R30:R999,"TruePositive")</f>
        <v>0</v>
      </c>
      <c r="G8" s="33">
        <f>SUM(D8+E8)</f>
        <v>0</v>
      </c>
      <c r="H8" s="33">
        <f>(L230+700)-(L154+700)</f>
        <v>0</v>
      </c>
      <c r="I8" s="33">
        <f>COUNTIFS(B30:B999,2,R30:R999,"LegalError")+COUNTIFS(B30:B999,2,R30:R999,"WithinSearch")+COUNTIFS(B30:B999,2,R30:R999,"BetweenSearch")+COUNTIFS(B30:B999,2,R30:R999,"Perseverative")+COUNTIFS(B30:B999,2,R30:R999,"SameNode")+COUNTIFS(B30:B999,2,R30:R999,"DistractorError")</f>
        <v>0</v>
      </c>
      <c r="J8" s="101">
        <f>COUNTIFS(B30:B999,2,R30:R999,"BetweenNode")+COUNTIFS(B30:B999,2,R30:R999,"Outer")+COUNTIFS(B30:B999,2,R30:R999,"Anticipatory")+COUNTIFS(B30:B999,2,R30:R999,"Post")</f>
        <v>0</v>
      </c>
      <c r="K8" s="33">
        <f>COUNTIFS(B30:B999,2,R30:R999,"Anticipatory")</f>
        <v>0</v>
      </c>
      <c r="L8" s="33">
        <f>COUNTIFS(B30:B999,2,R30:R999,"Post")</f>
        <v>0</v>
      </c>
      <c r="M8" s="33">
        <f>COUNTIFS(B30:B999,2,R30:R999,"MaxOut")</f>
        <v>0</v>
      </c>
      <c r="N8" s="107" t="e">
        <f>AVERAGEIF(B30:B999,2,U30:U999)</f>
        <v>#DIV/0!</v>
      </c>
      <c r="O8" s="107" t="e">
        <f>STDEV(U155:U230)</f>
        <v>#DIV/0!</v>
      </c>
      <c r="P8" s="107" t="e">
        <f>D8/G8</f>
        <v>#DIV/0!</v>
      </c>
      <c r="Q8" s="33">
        <f>SUM(D8)-COUNTIFS(B30:B999,2,U30:U999,"Pant")</f>
        <v>0</v>
      </c>
    </row>
    <row r="9" spans="1:18" s="33" customFormat="1" ht="18.75" x14ac:dyDescent="0.3">
      <c r="A9" s="106" t="s">
        <v>90</v>
      </c>
      <c r="B9" s="107"/>
      <c r="C9" s="107"/>
      <c r="O9" s="107"/>
    </row>
    <row r="10" spans="1:18" s="33" customFormat="1" x14ac:dyDescent="0.25">
      <c r="A10" s="105" t="s">
        <v>0</v>
      </c>
      <c r="B10" s="105" t="s">
        <v>1</v>
      </c>
      <c r="C10" s="105" t="s">
        <v>2</v>
      </c>
      <c r="D10" s="40" t="s">
        <v>3</v>
      </c>
      <c r="E10" s="40" t="s">
        <v>4</v>
      </c>
      <c r="F10" s="40" t="s">
        <v>6</v>
      </c>
      <c r="G10" s="40" t="s">
        <v>5</v>
      </c>
      <c r="H10" s="40" t="s">
        <v>84</v>
      </c>
      <c r="I10" s="40" t="s">
        <v>58</v>
      </c>
      <c r="J10" s="40" t="s">
        <v>52</v>
      </c>
      <c r="K10" s="40" t="s">
        <v>54</v>
      </c>
      <c r="L10" s="40" t="s">
        <v>55</v>
      </c>
      <c r="M10" s="40" t="s">
        <v>56</v>
      </c>
      <c r="N10" s="40" t="s">
        <v>49</v>
      </c>
      <c r="O10" s="105" t="s">
        <v>50</v>
      </c>
      <c r="P10" s="40" t="s">
        <v>51</v>
      </c>
      <c r="Q10" s="40" t="s">
        <v>66</v>
      </c>
    </row>
    <row r="11" spans="1:18" s="33" customFormat="1" x14ac:dyDescent="0.25">
      <c r="A11" s="107" t="e">
        <f>AVERAGEIF(B30:B999,3,W30:W999)</f>
        <v>#DIV/0!</v>
      </c>
      <c r="B11" s="107" t="e">
        <f>STDEV(W231:W295)</f>
        <v>#DIV/0!</v>
      </c>
      <c r="C11" s="107" t="e">
        <f>ASIN(SQRT(D11/G11))</f>
        <v>#DIV/0!</v>
      </c>
      <c r="D11" s="33">
        <f>COUNTIFS(B30:B999,3,R30:R999,"TruePositive")</f>
        <v>0</v>
      </c>
      <c r="E11" s="33">
        <f>COUNTIFS(B30:B999,3,R30:R999,"LegalError")+COUNTIFS(B30:B999,3,R30:R999,"WithinSearch")+COUNTIFS(B30:B999,3,R30:R999,"BetweenSearch")+COUNTIFS(B30:B999,3,R30:R999,"Perseverative")+COUNTIFS(B30:B999,3,R30:R999,"SameNode")+COUNTIFS(B30:B999,3,R30:R999,"BetweenNode")+COUNTIFS(B30:B999,3,R30:R999,"Outer")+COUNTIFS(B30:B999,3,R30:R999,"Anticipatory")+COUNTIFS(B30:B999,3,R30:R999,"Post")+COUNTIFS(B30:B999,3,R30:R999,"DistractorError")</f>
        <v>0</v>
      </c>
      <c r="F11" s="33">
        <f>COUNTIFS(B30:B999,3,R30:R999,"TruePositive")</f>
        <v>0</v>
      </c>
      <c r="G11" s="33">
        <f>SUM(D11+E11)</f>
        <v>0</v>
      </c>
      <c r="H11" s="33">
        <f>(L295+700)-(L230+700)</f>
        <v>0</v>
      </c>
      <c r="I11" s="33">
        <f>COUNTIFS(B30:B999,3,R30:R999,"LegalError")+COUNTIFS(B30:B999,3,R30:R999,"WithinSearch")+COUNTIFS(B30:B999,3,R30:R999,"BetweenSearch")+COUNTIFS(B30:B999,3,R30:R999,"Perseverative")+COUNTIFS(B30:B999,3,R30:R999,"SameNode")+COUNTIFS(B30:B999,3,R30:R999,"DistractorError")</f>
        <v>0</v>
      </c>
      <c r="J11" s="101">
        <f>COUNTIFS(B30:B999,3,R30:R999,"BetweenNode")+COUNTIFS(B30:B999,3,R30:R999,"Outer")+COUNTIFS(B30:B999,3,R30:R999,"Anticipatory")+COUNTIFS(B30:B999,3,R30:R999,"Post")</f>
        <v>0</v>
      </c>
      <c r="K11" s="33">
        <f>COUNTIFS(B30:B999,3,R30:R999,"Anticipatory")</f>
        <v>0</v>
      </c>
      <c r="L11" s="33">
        <f>COUNTIFS(B30:B999,3,R30:R999,"Post")</f>
        <v>0</v>
      </c>
      <c r="M11" s="33">
        <f>COUNTIFS(B30:B999,3,R30:R999,"MaxOut")</f>
        <v>0</v>
      </c>
      <c r="N11" s="107" t="e">
        <f>AVERAGEIF(B30:B999,3,U30:U999)</f>
        <v>#DIV/0!</v>
      </c>
      <c r="O11" s="107" t="e">
        <f>STDEV(U231:U295)</f>
        <v>#DIV/0!</v>
      </c>
      <c r="P11" s="107" t="e">
        <f>D11/G11</f>
        <v>#DIV/0!</v>
      </c>
      <c r="Q11" s="33">
        <f>SUM(D11)-COUNTIFS(B30:B999,3,U30:U999,"Pant")</f>
        <v>0</v>
      </c>
    </row>
    <row r="12" spans="1:18" s="33" customFormat="1" ht="18.75" x14ac:dyDescent="0.3">
      <c r="A12" s="106" t="s">
        <v>137</v>
      </c>
      <c r="B12" s="107"/>
      <c r="C12" s="107"/>
    </row>
    <row r="13" spans="1:18" s="33" customFormat="1" x14ac:dyDescent="0.25">
      <c r="A13" s="105" t="s">
        <v>0</v>
      </c>
      <c r="B13" s="105" t="s">
        <v>1</v>
      </c>
      <c r="C13" s="105" t="s">
        <v>2</v>
      </c>
      <c r="D13" s="40" t="s">
        <v>3</v>
      </c>
      <c r="E13" s="40" t="s">
        <v>4</v>
      </c>
      <c r="F13" s="40" t="s">
        <v>6</v>
      </c>
      <c r="G13" s="40" t="s">
        <v>5</v>
      </c>
      <c r="H13" s="40" t="s">
        <v>84</v>
      </c>
      <c r="I13" s="40" t="s">
        <v>58</v>
      </c>
      <c r="J13" s="40" t="s">
        <v>52</v>
      </c>
      <c r="K13" s="40" t="s">
        <v>54</v>
      </c>
      <c r="L13" s="40" t="s">
        <v>55</v>
      </c>
      <c r="M13" s="40" t="s">
        <v>56</v>
      </c>
      <c r="N13" s="40" t="s">
        <v>49</v>
      </c>
      <c r="O13" s="40" t="s">
        <v>50</v>
      </c>
      <c r="P13" s="40" t="s">
        <v>51</v>
      </c>
      <c r="Q13" s="40" t="s">
        <v>66</v>
      </c>
    </row>
    <row r="14" spans="1:18" s="33" customFormat="1" x14ac:dyDescent="0.25">
      <c r="A14" s="107" t="e">
        <f>AVERAGEIF(B30:B999,4,W30:W999)</f>
        <v>#DIV/0!</v>
      </c>
      <c r="B14" s="107" t="e">
        <f>STDEV(W296:W334)</f>
        <v>#DIV/0!</v>
      </c>
      <c r="C14" s="107" t="e">
        <f>ASIN(SQRT(D14/G14))</f>
        <v>#DIV/0!</v>
      </c>
      <c r="D14" s="33">
        <f>COUNTIFS(B30:B999,4,R30:R999,"TruePositive")</f>
        <v>0</v>
      </c>
      <c r="E14" s="33">
        <f>COUNTIFS(B30:B999,4,R30:R999,"LegalError")+COUNTIFS(B30:B999,4,R30:R999,"WithinSearch")+COUNTIFS(B30:B999,4,R30:R999,"BetweenSearch")+COUNTIFS(B30:B999,4,R30:R999,"Perseverative")+COUNTIFS(B30:B999,4,R30:R999,"SameNode")+COUNTIFS(B30:B999,4,R30:R999,"BetweenNode")+COUNTIFS(B30:B999,4,R30:R999,"Outer")+COUNTIFS(B30:B999,4,R30:R999,"Anticipatory")+COUNTIFS(B30:B999,4,R30:R999,"Post")+COUNTIFS(B30:B999,4,R30:R999,"DistractorError")</f>
        <v>0</v>
      </c>
      <c r="F14" s="33">
        <f>COUNTIFS(B30:B999,4,R30:R999,"TruePositive")</f>
        <v>0</v>
      </c>
      <c r="G14" s="33">
        <f>SUM(D14+E14)</f>
        <v>0</v>
      </c>
      <c r="H14" s="33">
        <f>(L334+700)-(L295+700)</f>
        <v>0</v>
      </c>
      <c r="I14" s="33">
        <f>COUNTIFS(B30:B999,4,R30:R999,"LegalError")+COUNTIFS(B30:B999,4,R30:R999,"WithinSearch")+COUNTIFS(B30:B999,4,R30:R999,"BetweenSearch")+COUNTIFS(B30:B999,4,R30:R999,"Perseverative")+COUNTIFS(B30:B999,4,R30:R999,"SameNode")+COUNTIFS(B30:B999,4,R30:R999,"DistractorError")</f>
        <v>0</v>
      </c>
      <c r="J14" s="101">
        <f>COUNTIFS(B30:B999,4,R30:R999,"BetweenNode")+COUNTIFS(B30:B999,4,R30:R999,"Outer")+COUNTIFS(B30:B999,4,R30:R999,"Anticipatory")+COUNTIFS(B30:B999,4,R30:R999,"Post")</f>
        <v>0</v>
      </c>
      <c r="K14" s="33">
        <f>COUNTIFS(B30:B999,4,R30:R999,"Anticipatory")</f>
        <v>0</v>
      </c>
      <c r="L14" s="33">
        <f>COUNTIFS(B30:B999,4,R30:R999,"Post")</f>
        <v>0</v>
      </c>
      <c r="M14" s="33">
        <f>COUNTIFS(B30:B999,4,R30:R999,"MaxOut")</f>
        <v>0</v>
      </c>
      <c r="N14" s="107" t="e">
        <f>AVERAGEIF(B30:B999,4,U30:U999)</f>
        <v>#DIV/0!</v>
      </c>
      <c r="O14" s="107" t="e">
        <f>STDEV(U296:U334)</f>
        <v>#DIV/0!</v>
      </c>
      <c r="P14" s="107" t="e">
        <f>D14/G14</f>
        <v>#DIV/0!</v>
      </c>
      <c r="Q14" s="33">
        <f>SUM(D14)-COUNTIFS(B30:B999,4,U30:U999,"Pant")</f>
        <v>0</v>
      </c>
    </row>
    <row r="15" spans="1:18" s="33" customFormat="1" ht="18.75" x14ac:dyDescent="0.3">
      <c r="A15" s="106" t="s">
        <v>138</v>
      </c>
      <c r="B15" s="107"/>
      <c r="C15" s="107"/>
    </row>
    <row r="16" spans="1:18" s="33" customFormat="1" x14ac:dyDescent="0.25">
      <c r="A16" s="105" t="s">
        <v>0</v>
      </c>
      <c r="B16" s="105" t="s">
        <v>1</v>
      </c>
      <c r="C16" s="105" t="s">
        <v>2</v>
      </c>
      <c r="D16" s="40" t="s">
        <v>3</v>
      </c>
      <c r="E16" s="40" t="s">
        <v>4</v>
      </c>
      <c r="F16" s="40" t="s">
        <v>6</v>
      </c>
      <c r="G16" s="40" t="s">
        <v>5</v>
      </c>
      <c r="H16" s="40" t="s">
        <v>84</v>
      </c>
      <c r="I16" s="40" t="s">
        <v>58</v>
      </c>
      <c r="J16" s="40" t="s">
        <v>52</v>
      </c>
      <c r="K16" s="40" t="s">
        <v>54</v>
      </c>
      <c r="L16" s="40" t="s">
        <v>55</v>
      </c>
      <c r="M16" s="40" t="s">
        <v>56</v>
      </c>
      <c r="N16" s="40" t="s">
        <v>49</v>
      </c>
      <c r="O16" s="40" t="s">
        <v>50</v>
      </c>
      <c r="P16" s="40" t="s">
        <v>51</v>
      </c>
      <c r="Q16" s="40" t="s">
        <v>66</v>
      </c>
    </row>
    <row r="17" spans="1:23" s="33" customFormat="1" x14ac:dyDescent="0.25">
      <c r="A17" s="107" t="e">
        <f>AVERAGEIF(B30:B999,5,W30:W999)</f>
        <v>#DIV/0!</v>
      </c>
      <c r="B17" s="107" t="e">
        <f>STDEV(W335:W361)</f>
        <v>#DIV/0!</v>
      </c>
      <c r="C17" s="107" t="e">
        <f>ASIN(SQRT(D17/G17))</f>
        <v>#DIV/0!</v>
      </c>
      <c r="D17" s="33">
        <f>COUNTIFS(B30:B999,5,R30:R999,"TruePositive")</f>
        <v>0</v>
      </c>
      <c r="E17" s="33">
        <f>COUNTIFS(B30:B999,5,R30:R999,"LegalError")+COUNTIFS(B30:B999,5,R30:R999,"WithinSearch")+COUNTIFS(B30:B999,5,R30:R999,"BetweenSearch")+COUNTIFS(B30:B999,5,R30:R999,"Perseverative")+COUNTIFS(B30:B999,5,R30:R999,"SameNode")+COUNTIFS(B30:B999,5,R30:R999,"BetweenNode")+COUNTIFS(B30:B999,5,R30:R999,"Outer")+COUNTIFS(B30:B999,5,R30:R999,"Anticipatory")+COUNTIFS(B30:B999,5,R30:R999,"Post")+COUNTIFS(B30:B999,5,R30:R999,"DistractorError")</f>
        <v>0</v>
      </c>
      <c r="F17" s="33">
        <f>COUNTIFS(B30:B999,5,R30:R999,"TruePositive")</f>
        <v>0</v>
      </c>
      <c r="G17" s="33">
        <f>SUM(D17+E17)</f>
        <v>0</v>
      </c>
      <c r="H17" s="33">
        <f>(L361+700)-(L334+700)</f>
        <v>0</v>
      </c>
      <c r="I17" s="33">
        <f>COUNTIFS(B30:B999,5,R30:R999,"LegalError")+COUNTIFS(B30:B999,5,R30:R999,"WithinSearch")+COUNTIFS(B30:B999,5,R30:R999,"BetweenSearch")+COUNTIFS(B30:B999,5,R30:R999,"Perseverative")+COUNTIFS(B30:B999,5,R30:R999,"SameNode")+COUNTIFS(B30:B999,5,R30:R999,"DistractorError")</f>
        <v>0</v>
      </c>
      <c r="J17" s="101">
        <f>COUNTIFS(B30:B999,5,R30:R999,"BetweenNode")+COUNTIFS(B30:B999,5,R30:R999,"Outer")+COUNTIFS(B30:B999,5,R30:R999,"Anticipatory")+COUNTIFS(B30:B999,5,R30:R999,"Post")</f>
        <v>0</v>
      </c>
      <c r="K17" s="33">
        <f>COUNTIFS(B30:B999,5,R30:R999,"Anticipatory")</f>
        <v>0</v>
      </c>
      <c r="L17" s="33">
        <f>COUNTIFS(B30:B999,5,R30:R999,"Post")</f>
        <v>0</v>
      </c>
      <c r="M17" s="33">
        <f>COUNTIFS(B30:B999,5,R30:R999,"MaxOut")</f>
        <v>0</v>
      </c>
      <c r="N17" s="107" t="e">
        <f>AVERAGEIF(B30:B999,5,U30:U999)</f>
        <v>#DIV/0!</v>
      </c>
      <c r="O17" s="107" t="e">
        <f>STDEV(U335:U361)</f>
        <v>#DIV/0!</v>
      </c>
      <c r="P17" s="107" t="e">
        <f>D17/G17</f>
        <v>#DIV/0!</v>
      </c>
      <c r="Q17" s="33">
        <f>SUM(D17)-COUNTIFS(B30:B999,5,U30:U999,"Pant")</f>
        <v>0</v>
      </c>
    </row>
    <row r="18" spans="1:23" s="33" customFormat="1" ht="18.75" x14ac:dyDescent="0.3">
      <c r="A18" s="106" t="s">
        <v>151</v>
      </c>
      <c r="B18" s="107"/>
      <c r="C18" s="107"/>
    </row>
    <row r="19" spans="1:23" s="33" customFormat="1" x14ac:dyDescent="0.25">
      <c r="A19" s="105" t="s">
        <v>0</v>
      </c>
      <c r="B19" s="105" t="s">
        <v>1</v>
      </c>
      <c r="C19" s="105" t="s">
        <v>2</v>
      </c>
      <c r="D19" s="40" t="s">
        <v>3</v>
      </c>
      <c r="E19" s="40" t="s">
        <v>4</v>
      </c>
      <c r="F19" s="40" t="s">
        <v>6</v>
      </c>
      <c r="G19" s="40" t="s">
        <v>5</v>
      </c>
      <c r="H19" s="40" t="s">
        <v>84</v>
      </c>
      <c r="I19" s="40" t="s">
        <v>58</v>
      </c>
      <c r="J19" s="40" t="s">
        <v>52</v>
      </c>
      <c r="K19" s="40" t="s">
        <v>54</v>
      </c>
      <c r="L19" s="40" t="s">
        <v>55</v>
      </c>
      <c r="M19" s="40" t="s">
        <v>56</v>
      </c>
      <c r="N19" s="40" t="s">
        <v>49</v>
      </c>
      <c r="O19" s="40" t="s">
        <v>50</v>
      </c>
      <c r="P19" s="40" t="s">
        <v>51</v>
      </c>
      <c r="Q19" s="40" t="s">
        <v>66</v>
      </c>
    </row>
    <row r="20" spans="1:23" s="33" customFormat="1" x14ac:dyDescent="0.25">
      <c r="A20" s="107" t="e">
        <f>AVERAGEIF(B30:B999,6,W30:W999)</f>
        <v>#DIV/0!</v>
      </c>
      <c r="B20" s="107" t="e">
        <f>STDEV(W362:W431)</f>
        <v>#DIV/0!</v>
      </c>
      <c r="C20" s="107" t="e">
        <f>ASIN(SQRT(D20/G20))</f>
        <v>#DIV/0!</v>
      </c>
      <c r="D20" s="33">
        <f>COUNTIFS(B30:B999,6,R30:R999,"TruePositive")</f>
        <v>0</v>
      </c>
      <c r="E20" s="33">
        <f>COUNTIFS(B30:B999,6,R30:R999,"LegalError")+COUNTIFS(B30:B999,6,R30:R999,"WithinSearch")+COUNTIFS(B30:B999,6,R30:R999,"BetweenSearch")+COUNTIFS(B30:B999,6,R30:R999,"Perseverative")+COUNTIFS(B30:B999,6,R30:R999,"SameNode")+COUNTIFS(B30:B999,6,R30:R999,"BetweenNode")+COUNTIFS(B30:B999,6,R30:R999,"Outer")+COUNTIFS(B30:B999,6,R30:R999,"Anticipatory")+COUNTIFS(B30:B999,6,R30:R999,"Post")+COUNTIFS(B30:B999,6,R30:R999,"DistractorError")</f>
        <v>0</v>
      </c>
      <c r="F20" s="33">
        <f>COUNTIFS(B30:B999,6,R30:R999,"TruePositive")</f>
        <v>0</v>
      </c>
      <c r="G20" s="33">
        <f>SUM(D20+E20)</f>
        <v>0</v>
      </c>
      <c r="H20" s="33">
        <f>(L431+700)-(L361+700)</f>
        <v>0</v>
      </c>
      <c r="I20" s="33">
        <f>COUNTIFS(B30:B999,6,R30:R999,"LegalError")+COUNTIFS(B30:B999,6,R30:R999,"WithinSearch")+COUNTIFS(B30:B999,6,R30:R999,"BetweenSearch")+COUNTIFS(B30:B999,6,R30:R999,"Perseverative")+COUNTIFS(B30:B999,6,R30:R999,"SameNode")+COUNTIFS(B30:B999,6,R30:R999,"DistractorError")</f>
        <v>0</v>
      </c>
      <c r="J20" s="101">
        <f>COUNTIFS(B30:B999,6,R30:R999,"BetweenNode")+COUNTIFS(B30:B999,6,R30:R999,"Outer")+COUNTIFS(B30:B999,6,R30:R999,"Anticipatory")+COUNTIFS(B30:B999,6,R30:R999,"Post")</f>
        <v>0</v>
      </c>
      <c r="K20" s="33">
        <f>COUNTIFS(B30:B999,6,R30:R999,"Anticipatory")</f>
        <v>0</v>
      </c>
      <c r="L20" s="33">
        <f>COUNTIFS(B30:B999,6,R30:R999,"Post")</f>
        <v>0</v>
      </c>
      <c r="M20" s="33">
        <f>COUNTIFS(B30:B999,6,R30:R999,"MaxOut")</f>
        <v>0</v>
      </c>
      <c r="N20" s="107" t="e">
        <f>AVERAGEIF(B30:B999,6,U30:U999)</f>
        <v>#DIV/0!</v>
      </c>
      <c r="O20" s="33" t="e">
        <f>STDEV(U362:U431)</f>
        <v>#DIV/0!</v>
      </c>
      <c r="P20" s="107" t="e">
        <f>D20/G20</f>
        <v>#DIV/0!</v>
      </c>
      <c r="Q20" s="33">
        <f>SUM(D20)-COUNTIFS(B30:B999,6,U30:U999,"Pant")</f>
        <v>0</v>
      </c>
    </row>
    <row r="21" spans="1:23" s="33" customFormat="1" ht="18.75" x14ac:dyDescent="0.3">
      <c r="A21" s="106" t="s">
        <v>152</v>
      </c>
      <c r="B21" s="107"/>
      <c r="C21" s="107"/>
    </row>
    <row r="22" spans="1:23" s="33" customFormat="1" x14ac:dyDescent="0.25">
      <c r="A22" s="105" t="s">
        <v>0</v>
      </c>
      <c r="B22" s="105" t="s">
        <v>1</v>
      </c>
      <c r="C22" s="105" t="s">
        <v>2</v>
      </c>
      <c r="D22" s="40" t="s">
        <v>3</v>
      </c>
      <c r="E22" s="40" t="s">
        <v>4</v>
      </c>
      <c r="F22" s="40" t="s">
        <v>6</v>
      </c>
      <c r="G22" s="40" t="s">
        <v>5</v>
      </c>
      <c r="H22" s="40" t="s">
        <v>84</v>
      </c>
      <c r="I22" s="40" t="s">
        <v>58</v>
      </c>
      <c r="J22" s="40" t="s">
        <v>52</v>
      </c>
      <c r="K22" s="40" t="s">
        <v>54</v>
      </c>
      <c r="L22" s="40" t="s">
        <v>55</v>
      </c>
      <c r="M22" s="40" t="s">
        <v>56</v>
      </c>
      <c r="N22" s="40" t="s">
        <v>49</v>
      </c>
      <c r="O22" s="40" t="s">
        <v>50</v>
      </c>
      <c r="P22" s="40" t="s">
        <v>51</v>
      </c>
      <c r="Q22" s="40" t="s">
        <v>66</v>
      </c>
    </row>
    <row r="23" spans="1:23" s="33" customFormat="1" x14ac:dyDescent="0.25">
      <c r="A23" s="107" t="e">
        <f>AVERAGEIF(B30:B999,7,W30:W999)</f>
        <v>#DIV/0!</v>
      </c>
      <c r="B23" s="107" t="e">
        <f>STDEV(W432:W629)</f>
        <v>#DIV/0!</v>
      </c>
      <c r="C23" s="107" t="e">
        <f>ASIN(SQRT(D23/G23))</f>
        <v>#DIV/0!</v>
      </c>
      <c r="D23" s="33">
        <f>COUNTIFS(B30:B999,7,R30:R999,"TruePositive")</f>
        <v>0</v>
      </c>
      <c r="E23" s="33">
        <f>COUNTIFS(B30:B999,7,R30:R999,"LegalError")+COUNTIFS(B30:B999,7,R30:R999,"WithinSearch")+COUNTIFS(B30:B999,7,R30:R999,"BetweenSearch")+COUNTIFS(B30:B999,7,R30:R999,"Perseverative")+COUNTIFS(B30:B999,7,R30:R999,"SameNode")+COUNTIFS(B30:B999,7,R30:R999,"BetweenNode")+COUNTIFS(B30:B999,7,R30:R999,"Outer")+COUNTIFS(B30:B999,7,R30:R999,"Anticipatory")+COUNTIFS(B30:B999,7,R30:R999,"Post")+COUNTIFS(B30:B999,7,R30:R999,"DistractorError")</f>
        <v>0</v>
      </c>
      <c r="F23" s="33">
        <f>COUNTIFS(B30:B999,7,R30:R999,"TruePositive")</f>
        <v>0</v>
      </c>
      <c r="G23" s="33">
        <f>SUM(D23+E23)</f>
        <v>0</v>
      </c>
      <c r="H23" s="33">
        <f>H26-(SUM(H5:H20))</f>
        <v>0</v>
      </c>
      <c r="I23" s="33">
        <f>COUNTIFS(B30:B999,7,R30:R999,"LegalError")+COUNTIFS(B30:B999,7,R30:R999,"WithinSearch")+COUNTIFS(B30:B999,7,R30:R999,"BetweenSearch")+COUNTIFS(B30:B999,7,R30:R999,"Perseverative")+COUNTIFS(B30:B999,7,R30:R999,"SameNode")+COUNTIFS(B30:B999,7,R30:R999,"DistractorError")</f>
        <v>0</v>
      </c>
      <c r="J23" s="101">
        <f>COUNTIFS(B30:B999,7,R30:R999,"BetweenNode")+COUNTIFS(B30:B999,7,R30:R999,"Outer")+COUNTIFS(B30:B999,7,R30:R999,"Anticipatory")+COUNTIFS(B30:B999,7,R30:R999,"Post")</f>
        <v>0</v>
      </c>
      <c r="K23" s="33">
        <f>COUNTIFS(B30:B999,7,R30:R999,"Anticipatory")</f>
        <v>0</v>
      </c>
      <c r="L23" s="33">
        <f>COUNTIFS(B30:B999,7,R30:R999,"Post")</f>
        <v>0</v>
      </c>
      <c r="M23" s="33">
        <f>COUNTIFS(B30:B999,7,R30:R999,"MaxOut")</f>
        <v>0</v>
      </c>
      <c r="N23" s="107" t="e">
        <f>AVERAGEIF(B30:B999,7,U30:U999)</f>
        <v>#DIV/0!</v>
      </c>
      <c r="O23" s="107" t="e">
        <f>STDEV(U432:U629)</f>
        <v>#DIV/0!</v>
      </c>
      <c r="P23" s="107" t="e">
        <f>D23/G23</f>
        <v>#DIV/0!</v>
      </c>
      <c r="Q23" s="33">
        <f>SUM(D23)-COUNTIFS(B30:B999,7,U30:U999,"Pant")</f>
        <v>0</v>
      </c>
    </row>
    <row r="24" spans="1:23" s="33" customFormat="1" ht="15.75" customHeight="1" x14ac:dyDescent="0.3">
      <c r="A24" s="106" t="s">
        <v>91</v>
      </c>
      <c r="B24" s="107"/>
      <c r="C24" s="107"/>
    </row>
    <row r="25" spans="1:23" s="33" customFormat="1" x14ac:dyDescent="0.25">
      <c r="A25" s="105" t="s">
        <v>0</v>
      </c>
      <c r="B25" s="105" t="s">
        <v>1</v>
      </c>
      <c r="C25" s="105" t="s">
        <v>2</v>
      </c>
      <c r="D25" s="40" t="s">
        <v>3</v>
      </c>
      <c r="E25" s="40" t="s">
        <v>4</v>
      </c>
      <c r="F25" s="40" t="s">
        <v>6</v>
      </c>
      <c r="G25" s="40" t="s">
        <v>5</v>
      </c>
      <c r="H25" s="40" t="s">
        <v>84</v>
      </c>
      <c r="I25" s="68" t="s">
        <v>154</v>
      </c>
      <c r="J25" s="40" t="s">
        <v>63</v>
      </c>
      <c r="K25" s="40" t="s">
        <v>153</v>
      </c>
      <c r="L25" s="40" t="s">
        <v>64</v>
      </c>
      <c r="M25" s="40" t="s">
        <v>58</v>
      </c>
      <c r="N25" s="40" t="s">
        <v>52</v>
      </c>
      <c r="O25" s="40" t="s">
        <v>54</v>
      </c>
      <c r="P25" s="40" t="s">
        <v>55</v>
      </c>
      <c r="Q25" s="40" t="s">
        <v>56</v>
      </c>
      <c r="R25" s="40" t="s">
        <v>49</v>
      </c>
      <c r="S25" s="40" t="s">
        <v>50</v>
      </c>
      <c r="T25" s="40" t="s">
        <v>51</v>
      </c>
      <c r="U25" s="40" t="s">
        <v>66</v>
      </c>
    </row>
    <row r="26" spans="1:23" s="33" customFormat="1" x14ac:dyDescent="0.25">
      <c r="A26" s="107" t="e">
        <f>AVERAGE(W30:W619)</f>
        <v>#DIV/0!</v>
      </c>
      <c r="B26" s="107" t="e">
        <f>STDEV(W30:W619)</f>
        <v>#DIV/0!</v>
      </c>
      <c r="C26" s="107" t="e">
        <f>ASIN(SQRT(D26/G26))</f>
        <v>#DIV/0!</v>
      </c>
      <c r="D26" s="33">
        <f>COUNTIF(R30:R544,"TruePositive")</f>
        <v>0</v>
      </c>
      <c r="E26" s="33">
        <f>COUNTIF(R30:R544,"LegalError")+COUNTIF(R30:R544,"WithinSearch")+COUNTIF(R30:R544,"BetweenSearch")+COUNTIF(R30:R544,"Perseverative")+COUNTIF(R30:R544,"SameNode")+COUNTIF(R30:R544,"BetweenNode")+COUNTIF(R30:R544,"Outer")+COUNTIF(R30:R544,"Anticipatory")+COUNTIF(R30:R544,"Post")+COUNTIF(R30:R544,"DistractorError")</f>
        <v>0</v>
      </c>
      <c r="F26" s="33">
        <f>COUNTIF(R30:R544,"TruePositive")</f>
        <v>0</v>
      </c>
      <c r="G26" s="33">
        <f>SUM(D26+E26)</f>
        <v>0</v>
      </c>
      <c r="I26" s="101">
        <f>(F26/42)*100</f>
        <v>0</v>
      </c>
      <c r="J26" s="33" t="str">
        <f>IF(I26=100,"Yes","No")</f>
        <v>No</v>
      </c>
      <c r="K26" s="33">
        <f>E26</f>
        <v>0</v>
      </c>
      <c r="L26" s="33" t="str">
        <f>IF(J26="No","",IF(K26&lt;=100,"Yes","No"))</f>
        <v/>
      </c>
      <c r="M26" s="33">
        <f>COUNTIF(R30:R544,"LegalError")+COUNTIF(R30:R544,"WithinSearch")+COUNTIF(R30:R544,"BetweenSearch")+COUNTIF(R30:R544,"Perseverative")+COUNTIF(R30:R544,"SameNode")+COUNTIF(R30:R544,"DistractorError")</f>
        <v>0</v>
      </c>
      <c r="N26" s="101">
        <f>COUNTIF(R30:R544,"BetweenNode")+COUNTIF(R30:R544,"Outer")+COUNTIF(R30:R544,"Anticipatory")+COUNTIF(R30:R544,"Post")</f>
        <v>0</v>
      </c>
      <c r="O26" s="33">
        <f>COUNTIF(R30:R544,"Anticipatory")</f>
        <v>0</v>
      </c>
      <c r="P26" s="33">
        <f>COUNTIF(R30:R544,"Post")</f>
        <v>0</v>
      </c>
      <c r="Q26" s="33">
        <f>COUNTIF(R30:R544,"MaxOut")</f>
        <v>0</v>
      </c>
      <c r="R26" s="107" t="e">
        <f>AVERAGE(U30:U619)</f>
        <v>#DIV/0!</v>
      </c>
      <c r="S26" s="107" t="e">
        <f>STDEV(U30:U619)</f>
        <v>#DIV/0!</v>
      </c>
      <c r="T26" s="107" t="e">
        <f>D26/G26</f>
        <v>#DIV/0!</v>
      </c>
      <c r="U26" s="33">
        <f>SUM(D26)-COUNTIF(U30:U544,"Pant")</f>
        <v>0</v>
      </c>
    </row>
    <row r="27" spans="1:23" s="28" customFormat="1" x14ac:dyDescent="0.25">
      <c r="A27" s="27"/>
    </row>
    <row r="28" spans="1:23" s="28" customFormat="1" x14ac:dyDescent="0.25">
      <c r="U28" s="29" t="s">
        <v>57</v>
      </c>
      <c r="W28" s="29" t="s">
        <v>7</v>
      </c>
    </row>
    <row r="29" spans="1:23" s="28" customFormat="1" x14ac:dyDescent="0.25">
      <c r="U29" s="29"/>
      <c r="W29" s="29"/>
    </row>
    <row r="30" spans="1:23" s="67" customFormat="1" x14ac:dyDescent="0.25">
      <c r="A30" s="66"/>
      <c r="U30" s="64" t="str">
        <f t="shared" ref="U30:U52" si="0">IF(R30="TruePositive",IF(R29&lt;&gt;"Anticipatory",(N30),"Pant"),"Exclude")</f>
        <v>Exclude</v>
      </c>
      <c r="W30" s="65" t="str">
        <f>IF(R30="TruePositive",IF(R29&lt;&gt;"Anticipatory",LOG10(N30),"Exclude"),"Exclude")</f>
        <v>Exclude</v>
      </c>
    </row>
    <row r="31" spans="1:23" s="64" customFormat="1" x14ac:dyDescent="0.25">
      <c r="A31" s="63"/>
      <c r="U31" s="64" t="str">
        <f t="shared" si="0"/>
        <v>Exclude</v>
      </c>
      <c r="W31" s="65" t="str">
        <f t="shared" ref="W31:W94" si="1">IF(R31="TruePositive",IF(R30&lt;&gt;"Anticipatory",LOG10(N31),"Exclude"),"Exclude")</f>
        <v>Exclude</v>
      </c>
    </row>
    <row r="32" spans="1:23" s="64" customFormat="1" x14ac:dyDescent="0.25">
      <c r="A32" s="63"/>
      <c r="U32" s="64" t="str">
        <f t="shared" si="0"/>
        <v>Exclude</v>
      </c>
      <c r="W32" s="65" t="str">
        <f t="shared" si="1"/>
        <v>Exclude</v>
      </c>
    </row>
    <row r="33" spans="1:23" s="64" customFormat="1" x14ac:dyDescent="0.25">
      <c r="A33" s="63"/>
      <c r="U33" s="64" t="str">
        <f t="shared" si="0"/>
        <v>Exclude</v>
      </c>
      <c r="W33" s="65" t="str">
        <f t="shared" si="1"/>
        <v>Exclude</v>
      </c>
    </row>
    <row r="34" spans="1:23" s="64" customFormat="1" x14ac:dyDescent="0.25">
      <c r="A34" s="63"/>
      <c r="U34" s="64" t="str">
        <f t="shared" si="0"/>
        <v>Exclude</v>
      </c>
      <c r="W34" s="65" t="str">
        <f t="shared" si="1"/>
        <v>Exclude</v>
      </c>
    </row>
    <row r="35" spans="1:23" s="64" customFormat="1" x14ac:dyDescent="0.25">
      <c r="A35" s="63"/>
      <c r="U35" s="64" t="str">
        <f t="shared" si="0"/>
        <v>Exclude</v>
      </c>
      <c r="W35" s="65" t="str">
        <f t="shared" si="1"/>
        <v>Exclude</v>
      </c>
    </row>
    <row r="36" spans="1:23" s="64" customFormat="1" x14ac:dyDescent="0.25">
      <c r="A36" s="63"/>
      <c r="U36" s="64" t="str">
        <f t="shared" si="0"/>
        <v>Exclude</v>
      </c>
      <c r="W36" s="65" t="str">
        <f t="shared" si="1"/>
        <v>Exclude</v>
      </c>
    </row>
    <row r="37" spans="1:23" s="64" customFormat="1" x14ac:dyDescent="0.25">
      <c r="A37" s="63"/>
      <c r="U37" s="64" t="str">
        <f t="shared" si="0"/>
        <v>Exclude</v>
      </c>
      <c r="W37" s="65" t="str">
        <f t="shared" si="1"/>
        <v>Exclude</v>
      </c>
    </row>
    <row r="38" spans="1:23" s="64" customFormat="1" x14ac:dyDescent="0.25">
      <c r="A38" s="63"/>
      <c r="U38" s="64" t="str">
        <f t="shared" si="0"/>
        <v>Exclude</v>
      </c>
      <c r="W38" s="65" t="str">
        <f t="shared" si="1"/>
        <v>Exclude</v>
      </c>
    </row>
    <row r="39" spans="1:23" s="64" customFormat="1" x14ac:dyDescent="0.25">
      <c r="A39" s="63"/>
      <c r="U39" s="64" t="str">
        <f t="shared" si="0"/>
        <v>Exclude</v>
      </c>
      <c r="W39" s="65" t="str">
        <f t="shared" si="1"/>
        <v>Exclude</v>
      </c>
    </row>
    <row r="40" spans="1:23" s="64" customFormat="1" x14ac:dyDescent="0.25">
      <c r="A40" s="63"/>
      <c r="U40" s="64" t="str">
        <f t="shared" si="0"/>
        <v>Exclude</v>
      </c>
      <c r="W40" s="65" t="str">
        <f t="shared" si="1"/>
        <v>Exclude</v>
      </c>
    </row>
    <row r="41" spans="1:23" s="64" customFormat="1" x14ac:dyDescent="0.25">
      <c r="A41" s="63"/>
      <c r="U41" s="64" t="str">
        <f t="shared" si="0"/>
        <v>Exclude</v>
      </c>
      <c r="W41" s="65" t="str">
        <f t="shared" si="1"/>
        <v>Exclude</v>
      </c>
    </row>
    <row r="42" spans="1:23" s="64" customFormat="1" x14ac:dyDescent="0.25">
      <c r="A42" s="63"/>
      <c r="U42" s="64" t="str">
        <f t="shared" si="0"/>
        <v>Exclude</v>
      </c>
      <c r="W42" s="65" t="str">
        <f t="shared" si="1"/>
        <v>Exclude</v>
      </c>
    </row>
    <row r="43" spans="1:23" s="64" customFormat="1" x14ac:dyDescent="0.25">
      <c r="A43" s="63"/>
      <c r="U43" s="64" t="str">
        <f t="shared" si="0"/>
        <v>Exclude</v>
      </c>
      <c r="W43" s="65" t="str">
        <f t="shared" si="1"/>
        <v>Exclude</v>
      </c>
    </row>
    <row r="44" spans="1:23" s="64" customFormat="1" x14ac:dyDescent="0.25">
      <c r="A44" s="63"/>
      <c r="U44" s="64" t="str">
        <f t="shared" si="0"/>
        <v>Exclude</v>
      </c>
      <c r="W44" s="65" t="str">
        <f t="shared" si="1"/>
        <v>Exclude</v>
      </c>
    </row>
    <row r="45" spans="1:23" s="64" customFormat="1" x14ac:dyDescent="0.25">
      <c r="A45" s="63"/>
      <c r="U45" s="64" t="str">
        <f t="shared" si="0"/>
        <v>Exclude</v>
      </c>
      <c r="W45" s="65" t="str">
        <f t="shared" si="1"/>
        <v>Exclude</v>
      </c>
    </row>
    <row r="46" spans="1:23" s="64" customFormat="1" x14ac:dyDescent="0.25">
      <c r="A46" s="63"/>
      <c r="U46" s="64" t="str">
        <f t="shared" si="0"/>
        <v>Exclude</v>
      </c>
      <c r="W46" s="65" t="str">
        <f t="shared" si="1"/>
        <v>Exclude</v>
      </c>
    </row>
    <row r="47" spans="1:23" s="64" customFormat="1" x14ac:dyDescent="0.25">
      <c r="A47" s="63"/>
      <c r="U47" s="64" t="str">
        <f t="shared" si="0"/>
        <v>Exclude</v>
      </c>
      <c r="W47" s="65" t="str">
        <f t="shared" si="1"/>
        <v>Exclude</v>
      </c>
    </row>
    <row r="48" spans="1:23" s="64" customFormat="1" x14ac:dyDescent="0.25">
      <c r="A48" s="63"/>
      <c r="U48" s="64" t="str">
        <f t="shared" si="0"/>
        <v>Exclude</v>
      </c>
      <c r="W48" s="65" t="str">
        <f t="shared" si="1"/>
        <v>Exclude</v>
      </c>
    </row>
    <row r="49" spans="1:23" s="64" customFormat="1" x14ac:dyDescent="0.25">
      <c r="A49" s="63"/>
      <c r="U49" s="64" t="str">
        <f t="shared" si="0"/>
        <v>Exclude</v>
      </c>
      <c r="W49" s="65" t="str">
        <f t="shared" si="1"/>
        <v>Exclude</v>
      </c>
    </row>
    <row r="50" spans="1:23" s="64" customFormat="1" x14ac:dyDescent="0.25">
      <c r="A50" s="63"/>
      <c r="U50" s="64" t="str">
        <f t="shared" si="0"/>
        <v>Exclude</v>
      </c>
      <c r="W50" s="65" t="str">
        <f t="shared" si="1"/>
        <v>Exclude</v>
      </c>
    </row>
    <row r="51" spans="1:23" s="64" customFormat="1" x14ac:dyDescent="0.25">
      <c r="A51" s="63"/>
      <c r="U51" s="64" t="str">
        <f t="shared" si="0"/>
        <v>Exclude</v>
      </c>
      <c r="W51" s="65" t="str">
        <f t="shared" si="1"/>
        <v>Exclude</v>
      </c>
    </row>
    <row r="52" spans="1:23" s="64" customFormat="1" x14ac:dyDescent="0.25">
      <c r="A52" s="63"/>
      <c r="U52" s="64" t="str">
        <f t="shared" si="0"/>
        <v>Exclude</v>
      </c>
      <c r="W52" s="65" t="str">
        <f t="shared" si="1"/>
        <v>Exclude</v>
      </c>
    </row>
    <row r="53" spans="1:23" s="64" customFormat="1" x14ac:dyDescent="0.25">
      <c r="A53" s="63"/>
      <c r="U53" s="64" t="str">
        <f>IF(R53="TruePositive",IF(R52&lt;&gt;"Anticipatory",(N53),"Pant"),"Exclude")</f>
        <v>Exclude</v>
      </c>
      <c r="W53" s="65" t="str">
        <f t="shared" si="1"/>
        <v>Exclude</v>
      </c>
    </row>
    <row r="54" spans="1:23" s="64" customFormat="1" x14ac:dyDescent="0.25">
      <c r="A54" s="63"/>
      <c r="U54" s="64" t="str">
        <f t="shared" ref="U54:U117" si="2">IF(R54="TruePositive",IF(R53&lt;&gt;"Anticipatory",(N54),"Pant"),"Exclude")</f>
        <v>Exclude</v>
      </c>
      <c r="W54" s="65" t="str">
        <f t="shared" si="1"/>
        <v>Exclude</v>
      </c>
    </row>
    <row r="55" spans="1:23" s="64" customFormat="1" x14ac:dyDescent="0.25">
      <c r="A55" s="63"/>
      <c r="U55" s="64" t="str">
        <f t="shared" si="2"/>
        <v>Exclude</v>
      </c>
      <c r="W55" s="65" t="str">
        <f t="shared" si="1"/>
        <v>Exclude</v>
      </c>
    </row>
    <row r="56" spans="1:23" s="64" customFormat="1" x14ac:dyDescent="0.25">
      <c r="A56" s="63"/>
      <c r="U56" s="64" t="str">
        <f t="shared" si="2"/>
        <v>Exclude</v>
      </c>
      <c r="W56" s="65" t="str">
        <f t="shared" si="1"/>
        <v>Exclude</v>
      </c>
    </row>
    <row r="57" spans="1:23" s="64" customFormat="1" x14ac:dyDescent="0.25">
      <c r="A57" s="63"/>
      <c r="U57" s="64" t="str">
        <f t="shared" si="2"/>
        <v>Exclude</v>
      </c>
      <c r="W57" s="65" t="str">
        <f t="shared" si="1"/>
        <v>Exclude</v>
      </c>
    </row>
    <row r="58" spans="1:23" s="64" customFormat="1" x14ac:dyDescent="0.25">
      <c r="A58" s="63"/>
      <c r="U58" s="64" t="str">
        <f t="shared" si="2"/>
        <v>Exclude</v>
      </c>
      <c r="W58" s="65" t="str">
        <f t="shared" si="1"/>
        <v>Exclude</v>
      </c>
    </row>
    <row r="59" spans="1:23" s="64" customFormat="1" x14ac:dyDescent="0.25">
      <c r="A59" s="63"/>
      <c r="U59" s="64" t="str">
        <f t="shared" si="2"/>
        <v>Exclude</v>
      </c>
      <c r="W59" s="65" t="str">
        <f t="shared" si="1"/>
        <v>Exclude</v>
      </c>
    </row>
    <row r="60" spans="1:23" s="64" customFormat="1" x14ac:dyDescent="0.25">
      <c r="A60" s="63"/>
      <c r="U60" s="64" t="str">
        <f t="shared" si="2"/>
        <v>Exclude</v>
      </c>
      <c r="W60" s="65" t="str">
        <f t="shared" si="1"/>
        <v>Exclude</v>
      </c>
    </row>
    <row r="61" spans="1:23" s="64" customFormat="1" x14ac:dyDescent="0.25">
      <c r="A61" s="63"/>
      <c r="U61" s="64" t="str">
        <f t="shared" si="2"/>
        <v>Exclude</v>
      </c>
      <c r="W61" s="65" t="str">
        <f t="shared" si="1"/>
        <v>Exclude</v>
      </c>
    </row>
    <row r="62" spans="1:23" s="64" customFormat="1" x14ac:dyDescent="0.25">
      <c r="A62" s="63"/>
      <c r="U62" s="64" t="str">
        <f t="shared" si="2"/>
        <v>Exclude</v>
      </c>
      <c r="W62" s="65" t="str">
        <f t="shared" si="1"/>
        <v>Exclude</v>
      </c>
    </row>
    <row r="63" spans="1:23" s="64" customFormat="1" x14ac:dyDescent="0.25">
      <c r="A63" s="63"/>
      <c r="U63" s="64" t="str">
        <f t="shared" si="2"/>
        <v>Exclude</v>
      </c>
      <c r="W63" s="65" t="str">
        <f t="shared" si="1"/>
        <v>Exclude</v>
      </c>
    </row>
    <row r="64" spans="1:23" s="64" customFormat="1" x14ac:dyDescent="0.25">
      <c r="A64" s="63"/>
      <c r="U64" s="64" t="str">
        <f t="shared" si="2"/>
        <v>Exclude</v>
      </c>
      <c r="W64" s="65" t="str">
        <f t="shared" si="1"/>
        <v>Exclude</v>
      </c>
    </row>
    <row r="65" spans="1:23" s="64" customFormat="1" x14ac:dyDescent="0.25">
      <c r="A65" s="63"/>
      <c r="U65" s="64" t="str">
        <f t="shared" si="2"/>
        <v>Exclude</v>
      </c>
      <c r="W65" s="65" t="str">
        <f t="shared" si="1"/>
        <v>Exclude</v>
      </c>
    </row>
    <row r="66" spans="1:23" s="64" customFormat="1" x14ac:dyDescent="0.25">
      <c r="A66" s="63"/>
      <c r="U66" s="64" t="str">
        <f t="shared" si="2"/>
        <v>Exclude</v>
      </c>
      <c r="W66" s="65" t="str">
        <f t="shared" si="1"/>
        <v>Exclude</v>
      </c>
    </row>
    <row r="67" spans="1:23" s="64" customFormat="1" x14ac:dyDescent="0.25">
      <c r="A67" s="63"/>
      <c r="U67" s="64" t="str">
        <f t="shared" si="2"/>
        <v>Exclude</v>
      </c>
      <c r="W67" s="65" t="str">
        <f t="shared" si="1"/>
        <v>Exclude</v>
      </c>
    </row>
    <row r="68" spans="1:23" s="64" customFormat="1" x14ac:dyDescent="0.25">
      <c r="A68" s="63"/>
      <c r="U68" s="64" t="str">
        <f t="shared" si="2"/>
        <v>Exclude</v>
      </c>
      <c r="W68" s="65" t="str">
        <f t="shared" si="1"/>
        <v>Exclude</v>
      </c>
    </row>
    <row r="69" spans="1:23" s="64" customFormat="1" x14ac:dyDescent="0.25">
      <c r="A69" s="63"/>
      <c r="U69" s="64" t="str">
        <f t="shared" si="2"/>
        <v>Exclude</v>
      </c>
      <c r="W69" s="65" t="str">
        <f t="shared" si="1"/>
        <v>Exclude</v>
      </c>
    </row>
    <row r="70" spans="1:23" s="64" customFormat="1" x14ac:dyDescent="0.25">
      <c r="A70" s="63"/>
      <c r="U70" s="64" t="str">
        <f t="shared" si="2"/>
        <v>Exclude</v>
      </c>
      <c r="W70" s="65" t="str">
        <f t="shared" si="1"/>
        <v>Exclude</v>
      </c>
    </row>
    <row r="71" spans="1:23" s="64" customFormat="1" x14ac:dyDescent="0.25">
      <c r="A71" s="63"/>
      <c r="U71" s="64" t="str">
        <f t="shared" si="2"/>
        <v>Exclude</v>
      </c>
      <c r="W71" s="65" t="str">
        <f t="shared" si="1"/>
        <v>Exclude</v>
      </c>
    </row>
    <row r="72" spans="1:23" s="64" customFormat="1" x14ac:dyDescent="0.25">
      <c r="A72" s="63"/>
      <c r="U72" s="64" t="str">
        <f t="shared" si="2"/>
        <v>Exclude</v>
      </c>
      <c r="W72" s="65" t="str">
        <f t="shared" si="1"/>
        <v>Exclude</v>
      </c>
    </row>
    <row r="73" spans="1:23" s="64" customFormat="1" x14ac:dyDescent="0.25">
      <c r="A73" s="63"/>
      <c r="U73" s="64" t="str">
        <f t="shared" si="2"/>
        <v>Exclude</v>
      </c>
      <c r="W73" s="65" t="str">
        <f t="shared" si="1"/>
        <v>Exclude</v>
      </c>
    </row>
    <row r="74" spans="1:23" s="64" customFormat="1" x14ac:dyDescent="0.25">
      <c r="A74" s="63"/>
      <c r="U74" s="64" t="str">
        <f t="shared" si="2"/>
        <v>Exclude</v>
      </c>
      <c r="W74" s="65" t="str">
        <f t="shared" si="1"/>
        <v>Exclude</v>
      </c>
    </row>
    <row r="75" spans="1:23" s="64" customFormat="1" x14ac:dyDescent="0.25">
      <c r="A75" s="63"/>
      <c r="U75" s="64" t="str">
        <f t="shared" si="2"/>
        <v>Exclude</v>
      </c>
      <c r="W75" s="65" t="str">
        <f t="shared" si="1"/>
        <v>Exclude</v>
      </c>
    </row>
    <row r="76" spans="1:23" s="64" customFormat="1" x14ac:dyDescent="0.25">
      <c r="A76" s="63"/>
      <c r="U76" s="64" t="str">
        <f t="shared" si="2"/>
        <v>Exclude</v>
      </c>
      <c r="W76" s="65" t="str">
        <f t="shared" si="1"/>
        <v>Exclude</v>
      </c>
    </row>
    <row r="77" spans="1:23" s="64" customFormat="1" x14ac:dyDescent="0.25">
      <c r="A77" s="63"/>
      <c r="U77" s="64" t="str">
        <f t="shared" si="2"/>
        <v>Exclude</v>
      </c>
      <c r="W77" s="65" t="str">
        <f t="shared" si="1"/>
        <v>Exclude</v>
      </c>
    </row>
    <row r="78" spans="1:23" s="64" customFormat="1" x14ac:dyDescent="0.25">
      <c r="A78" s="63"/>
      <c r="U78" s="64" t="str">
        <f t="shared" si="2"/>
        <v>Exclude</v>
      </c>
      <c r="W78" s="65" t="str">
        <f t="shared" si="1"/>
        <v>Exclude</v>
      </c>
    </row>
    <row r="79" spans="1:23" s="64" customFormat="1" x14ac:dyDescent="0.25">
      <c r="A79" s="63"/>
      <c r="U79" s="64" t="str">
        <f t="shared" si="2"/>
        <v>Exclude</v>
      </c>
      <c r="W79" s="65" t="str">
        <f t="shared" si="1"/>
        <v>Exclude</v>
      </c>
    </row>
    <row r="80" spans="1:23" s="64" customFormat="1" x14ac:dyDescent="0.25">
      <c r="A80" s="63"/>
      <c r="U80" s="64" t="str">
        <f t="shared" si="2"/>
        <v>Exclude</v>
      </c>
      <c r="W80" s="65" t="str">
        <f t="shared" si="1"/>
        <v>Exclude</v>
      </c>
    </row>
    <row r="81" spans="1:23" s="64" customFormat="1" x14ac:dyDescent="0.25">
      <c r="A81" s="63"/>
      <c r="U81" s="64" t="str">
        <f t="shared" si="2"/>
        <v>Exclude</v>
      </c>
      <c r="W81" s="65" t="str">
        <f t="shared" si="1"/>
        <v>Exclude</v>
      </c>
    </row>
    <row r="82" spans="1:23" s="64" customFormat="1" x14ac:dyDescent="0.25">
      <c r="A82" s="63"/>
      <c r="U82" s="64" t="str">
        <f t="shared" si="2"/>
        <v>Exclude</v>
      </c>
      <c r="W82" s="65" t="str">
        <f t="shared" si="1"/>
        <v>Exclude</v>
      </c>
    </row>
    <row r="83" spans="1:23" s="64" customFormat="1" x14ac:dyDescent="0.25">
      <c r="A83" s="63"/>
      <c r="U83" s="64" t="str">
        <f t="shared" si="2"/>
        <v>Exclude</v>
      </c>
      <c r="W83" s="65" t="str">
        <f t="shared" si="1"/>
        <v>Exclude</v>
      </c>
    </row>
    <row r="84" spans="1:23" s="64" customFormat="1" x14ac:dyDescent="0.25">
      <c r="A84" s="63"/>
      <c r="U84" s="64" t="str">
        <f t="shared" si="2"/>
        <v>Exclude</v>
      </c>
      <c r="W84" s="65" t="str">
        <f t="shared" si="1"/>
        <v>Exclude</v>
      </c>
    </row>
    <row r="85" spans="1:23" s="64" customFormat="1" x14ac:dyDescent="0.25">
      <c r="A85" s="63"/>
      <c r="U85" s="64" t="str">
        <f t="shared" si="2"/>
        <v>Exclude</v>
      </c>
      <c r="W85" s="65" t="str">
        <f t="shared" si="1"/>
        <v>Exclude</v>
      </c>
    </row>
    <row r="86" spans="1:23" s="64" customFormat="1" x14ac:dyDescent="0.25">
      <c r="A86" s="63"/>
      <c r="U86" s="64" t="str">
        <f t="shared" si="2"/>
        <v>Exclude</v>
      </c>
      <c r="W86" s="65" t="str">
        <f t="shared" si="1"/>
        <v>Exclude</v>
      </c>
    </row>
    <row r="87" spans="1:23" s="64" customFormat="1" x14ac:dyDescent="0.25">
      <c r="A87" s="63"/>
      <c r="U87" s="64" t="str">
        <f t="shared" si="2"/>
        <v>Exclude</v>
      </c>
      <c r="W87" s="65" t="str">
        <f t="shared" si="1"/>
        <v>Exclude</v>
      </c>
    </row>
    <row r="88" spans="1:23" s="64" customFormat="1" x14ac:dyDescent="0.25">
      <c r="A88" s="63"/>
      <c r="U88" s="64" t="str">
        <f t="shared" si="2"/>
        <v>Exclude</v>
      </c>
      <c r="W88" s="65" t="str">
        <f t="shared" si="1"/>
        <v>Exclude</v>
      </c>
    </row>
    <row r="89" spans="1:23" s="64" customFormat="1" x14ac:dyDescent="0.25">
      <c r="A89" s="63"/>
      <c r="U89" s="64" t="str">
        <f t="shared" si="2"/>
        <v>Exclude</v>
      </c>
      <c r="W89" s="65" t="str">
        <f t="shared" si="1"/>
        <v>Exclude</v>
      </c>
    </row>
    <row r="90" spans="1:23" s="64" customFormat="1" x14ac:dyDescent="0.25">
      <c r="A90" s="63"/>
      <c r="U90" s="64" t="str">
        <f t="shared" si="2"/>
        <v>Exclude</v>
      </c>
      <c r="W90" s="65" t="str">
        <f t="shared" si="1"/>
        <v>Exclude</v>
      </c>
    </row>
    <row r="91" spans="1:23" s="64" customFormat="1" x14ac:dyDescent="0.25">
      <c r="A91" s="63"/>
      <c r="U91" s="64" t="str">
        <f t="shared" si="2"/>
        <v>Exclude</v>
      </c>
      <c r="W91" s="65" t="str">
        <f t="shared" si="1"/>
        <v>Exclude</v>
      </c>
    </row>
    <row r="92" spans="1:23" s="64" customFormat="1" x14ac:dyDescent="0.25">
      <c r="A92" s="63"/>
      <c r="U92" s="64" t="str">
        <f t="shared" si="2"/>
        <v>Exclude</v>
      </c>
      <c r="W92" s="65" t="str">
        <f t="shared" si="1"/>
        <v>Exclude</v>
      </c>
    </row>
    <row r="93" spans="1:23" s="64" customFormat="1" x14ac:dyDescent="0.25">
      <c r="A93" s="63"/>
      <c r="U93" s="64" t="str">
        <f t="shared" si="2"/>
        <v>Exclude</v>
      </c>
      <c r="W93" s="65" t="str">
        <f t="shared" si="1"/>
        <v>Exclude</v>
      </c>
    </row>
    <row r="94" spans="1:23" s="64" customFormat="1" x14ac:dyDescent="0.25">
      <c r="A94" s="63"/>
      <c r="U94" s="64" t="str">
        <f t="shared" si="2"/>
        <v>Exclude</v>
      </c>
      <c r="W94" s="65" t="str">
        <f t="shared" si="1"/>
        <v>Exclude</v>
      </c>
    </row>
    <row r="95" spans="1:23" s="64" customFormat="1" x14ac:dyDescent="0.25">
      <c r="A95" s="63"/>
      <c r="U95" s="64" t="str">
        <f t="shared" si="2"/>
        <v>Exclude</v>
      </c>
      <c r="W95" s="65" t="str">
        <f t="shared" ref="W95:W158" si="3">IF(R95="TruePositive",IF(R94&lt;&gt;"Anticipatory",LOG10(N95),"Exclude"),"Exclude")</f>
        <v>Exclude</v>
      </c>
    </row>
    <row r="96" spans="1:23" s="64" customFormat="1" x14ac:dyDescent="0.25">
      <c r="A96" s="63"/>
      <c r="U96" s="64" t="str">
        <f t="shared" si="2"/>
        <v>Exclude</v>
      </c>
      <c r="W96" s="65" t="str">
        <f t="shared" si="3"/>
        <v>Exclude</v>
      </c>
    </row>
    <row r="97" spans="1:23" s="64" customFormat="1" x14ac:dyDescent="0.25">
      <c r="A97" s="63"/>
      <c r="U97" s="64" t="str">
        <f t="shared" si="2"/>
        <v>Exclude</v>
      </c>
      <c r="W97" s="65" t="str">
        <f t="shared" si="3"/>
        <v>Exclude</v>
      </c>
    </row>
    <row r="98" spans="1:23" s="64" customFormat="1" x14ac:dyDescent="0.25">
      <c r="A98" s="63"/>
      <c r="U98" s="64" t="str">
        <f t="shared" si="2"/>
        <v>Exclude</v>
      </c>
      <c r="W98" s="65" t="str">
        <f t="shared" si="3"/>
        <v>Exclude</v>
      </c>
    </row>
    <row r="99" spans="1:23" s="64" customFormat="1" x14ac:dyDescent="0.25">
      <c r="A99" s="63"/>
      <c r="U99" s="64" t="str">
        <f t="shared" si="2"/>
        <v>Exclude</v>
      </c>
      <c r="W99" s="65" t="str">
        <f t="shared" si="3"/>
        <v>Exclude</v>
      </c>
    </row>
    <row r="100" spans="1:23" s="64" customFormat="1" x14ac:dyDescent="0.25">
      <c r="A100" s="63"/>
      <c r="U100" s="64" t="str">
        <f t="shared" si="2"/>
        <v>Exclude</v>
      </c>
      <c r="W100" s="65" t="str">
        <f t="shared" si="3"/>
        <v>Exclude</v>
      </c>
    </row>
    <row r="101" spans="1:23" s="64" customFormat="1" x14ac:dyDescent="0.25">
      <c r="A101" s="63"/>
      <c r="U101" s="64" t="str">
        <f t="shared" si="2"/>
        <v>Exclude</v>
      </c>
      <c r="W101" s="65" t="str">
        <f t="shared" si="3"/>
        <v>Exclude</v>
      </c>
    </row>
    <row r="102" spans="1:23" s="64" customFormat="1" x14ac:dyDescent="0.25">
      <c r="A102" s="63"/>
      <c r="U102" s="64" t="str">
        <f t="shared" si="2"/>
        <v>Exclude</v>
      </c>
      <c r="W102" s="65" t="str">
        <f t="shared" si="3"/>
        <v>Exclude</v>
      </c>
    </row>
    <row r="103" spans="1:23" s="64" customFormat="1" x14ac:dyDescent="0.25">
      <c r="A103" s="63"/>
      <c r="U103" s="64" t="str">
        <f t="shared" si="2"/>
        <v>Exclude</v>
      </c>
      <c r="W103" s="65" t="str">
        <f t="shared" si="3"/>
        <v>Exclude</v>
      </c>
    </row>
    <row r="104" spans="1:23" s="64" customFormat="1" x14ac:dyDescent="0.25">
      <c r="A104" s="63"/>
      <c r="U104" s="64" t="str">
        <f t="shared" si="2"/>
        <v>Exclude</v>
      </c>
      <c r="W104" s="65" t="str">
        <f t="shared" si="3"/>
        <v>Exclude</v>
      </c>
    </row>
    <row r="105" spans="1:23" s="64" customFormat="1" x14ac:dyDescent="0.25">
      <c r="A105" s="63"/>
      <c r="U105" s="64" t="str">
        <f t="shared" si="2"/>
        <v>Exclude</v>
      </c>
      <c r="W105" s="65" t="str">
        <f t="shared" si="3"/>
        <v>Exclude</v>
      </c>
    </row>
    <row r="106" spans="1:23" s="64" customFormat="1" x14ac:dyDescent="0.25">
      <c r="A106" s="63"/>
      <c r="U106" s="64" t="str">
        <f t="shared" si="2"/>
        <v>Exclude</v>
      </c>
      <c r="W106" s="65" t="str">
        <f t="shared" si="3"/>
        <v>Exclude</v>
      </c>
    </row>
    <row r="107" spans="1:23" s="64" customFormat="1" x14ac:dyDescent="0.25">
      <c r="A107" s="63"/>
      <c r="U107" s="64" t="str">
        <f t="shared" si="2"/>
        <v>Exclude</v>
      </c>
      <c r="W107" s="65" t="str">
        <f t="shared" si="3"/>
        <v>Exclude</v>
      </c>
    </row>
    <row r="108" spans="1:23" s="64" customFormat="1" x14ac:dyDescent="0.25">
      <c r="A108" s="63"/>
      <c r="U108" s="64" t="str">
        <f t="shared" si="2"/>
        <v>Exclude</v>
      </c>
      <c r="W108" s="65" t="str">
        <f t="shared" si="3"/>
        <v>Exclude</v>
      </c>
    </row>
    <row r="109" spans="1:23" s="64" customFormat="1" x14ac:dyDescent="0.25">
      <c r="A109" s="63"/>
      <c r="U109" s="64" t="str">
        <f t="shared" si="2"/>
        <v>Exclude</v>
      </c>
      <c r="W109" s="65" t="str">
        <f t="shared" si="3"/>
        <v>Exclude</v>
      </c>
    </row>
    <row r="110" spans="1:23" s="64" customFormat="1" x14ac:dyDescent="0.25">
      <c r="A110" s="63"/>
      <c r="U110" s="64" t="str">
        <f t="shared" si="2"/>
        <v>Exclude</v>
      </c>
      <c r="W110" s="65" t="str">
        <f t="shared" si="3"/>
        <v>Exclude</v>
      </c>
    </row>
    <row r="111" spans="1:23" s="64" customFormat="1" x14ac:dyDescent="0.25">
      <c r="A111" s="63"/>
      <c r="U111" s="64" t="str">
        <f t="shared" si="2"/>
        <v>Exclude</v>
      </c>
      <c r="W111" s="65" t="str">
        <f t="shared" si="3"/>
        <v>Exclude</v>
      </c>
    </row>
    <row r="112" spans="1:23" s="64" customFormat="1" x14ac:dyDescent="0.25">
      <c r="A112" s="63"/>
      <c r="U112" s="64" t="str">
        <f t="shared" si="2"/>
        <v>Exclude</v>
      </c>
      <c r="W112" s="65" t="str">
        <f t="shared" si="3"/>
        <v>Exclude</v>
      </c>
    </row>
    <row r="113" spans="1:23" s="64" customFormat="1" x14ac:dyDescent="0.25">
      <c r="A113" s="63"/>
      <c r="U113" s="64" t="str">
        <f t="shared" si="2"/>
        <v>Exclude</v>
      </c>
      <c r="W113" s="65" t="str">
        <f t="shared" si="3"/>
        <v>Exclude</v>
      </c>
    </row>
    <row r="114" spans="1:23" s="64" customFormat="1" x14ac:dyDescent="0.25">
      <c r="A114" s="63"/>
      <c r="U114" s="64" t="str">
        <f t="shared" si="2"/>
        <v>Exclude</v>
      </c>
      <c r="W114" s="65" t="str">
        <f t="shared" si="3"/>
        <v>Exclude</v>
      </c>
    </row>
    <row r="115" spans="1:23" s="64" customFormat="1" x14ac:dyDescent="0.25">
      <c r="A115" s="63"/>
      <c r="U115" s="64" t="str">
        <f t="shared" si="2"/>
        <v>Exclude</v>
      </c>
      <c r="W115" s="65" t="str">
        <f t="shared" si="3"/>
        <v>Exclude</v>
      </c>
    </row>
    <row r="116" spans="1:23" s="64" customFormat="1" x14ac:dyDescent="0.25">
      <c r="A116" s="63"/>
      <c r="U116" s="64" t="str">
        <f t="shared" si="2"/>
        <v>Exclude</v>
      </c>
      <c r="W116" s="65" t="str">
        <f t="shared" si="3"/>
        <v>Exclude</v>
      </c>
    </row>
    <row r="117" spans="1:23" s="64" customFormat="1" x14ac:dyDescent="0.25">
      <c r="A117" s="63"/>
      <c r="U117" s="64" t="str">
        <f t="shared" si="2"/>
        <v>Exclude</v>
      </c>
      <c r="W117" s="65" t="str">
        <f t="shared" si="3"/>
        <v>Exclude</v>
      </c>
    </row>
    <row r="118" spans="1:23" s="64" customFormat="1" x14ac:dyDescent="0.25">
      <c r="A118" s="63"/>
      <c r="U118" s="64" t="str">
        <f t="shared" ref="U118:U181" si="4">IF(R118="TruePositive",IF(R117&lt;&gt;"Anticipatory",(N118),"Pant"),"Exclude")</f>
        <v>Exclude</v>
      </c>
      <c r="W118" s="65" t="str">
        <f t="shared" si="3"/>
        <v>Exclude</v>
      </c>
    </row>
    <row r="119" spans="1:23" s="64" customFormat="1" x14ac:dyDescent="0.25">
      <c r="A119" s="63"/>
      <c r="U119" s="64" t="str">
        <f t="shared" si="4"/>
        <v>Exclude</v>
      </c>
      <c r="W119" s="65" t="str">
        <f t="shared" si="3"/>
        <v>Exclude</v>
      </c>
    </row>
    <row r="120" spans="1:23" s="64" customFormat="1" x14ac:dyDescent="0.25">
      <c r="A120" s="63"/>
      <c r="U120" s="64" t="str">
        <f t="shared" si="4"/>
        <v>Exclude</v>
      </c>
      <c r="W120" s="65" t="str">
        <f t="shared" si="3"/>
        <v>Exclude</v>
      </c>
    </row>
    <row r="121" spans="1:23" s="64" customFormat="1" x14ac:dyDescent="0.25">
      <c r="A121" s="63"/>
      <c r="U121" s="64" t="str">
        <f t="shared" si="4"/>
        <v>Exclude</v>
      </c>
      <c r="W121" s="65" t="str">
        <f t="shared" si="3"/>
        <v>Exclude</v>
      </c>
    </row>
    <row r="122" spans="1:23" s="64" customFormat="1" x14ac:dyDescent="0.25">
      <c r="A122" s="63"/>
      <c r="U122" s="64" t="str">
        <f t="shared" si="4"/>
        <v>Exclude</v>
      </c>
      <c r="W122" s="65" t="str">
        <f t="shared" si="3"/>
        <v>Exclude</v>
      </c>
    </row>
    <row r="123" spans="1:23" s="64" customFormat="1" x14ac:dyDescent="0.25">
      <c r="A123" s="63"/>
      <c r="U123" s="64" t="str">
        <f t="shared" si="4"/>
        <v>Exclude</v>
      </c>
      <c r="W123" s="65" t="str">
        <f t="shared" si="3"/>
        <v>Exclude</v>
      </c>
    </row>
    <row r="124" spans="1:23" s="64" customFormat="1" x14ac:dyDescent="0.25">
      <c r="A124" s="63"/>
      <c r="U124" s="64" t="str">
        <f t="shared" si="4"/>
        <v>Exclude</v>
      </c>
      <c r="W124" s="65" t="str">
        <f t="shared" si="3"/>
        <v>Exclude</v>
      </c>
    </row>
    <row r="125" spans="1:23" s="64" customFormat="1" x14ac:dyDescent="0.25">
      <c r="A125" s="63"/>
      <c r="U125" s="64" t="str">
        <f t="shared" si="4"/>
        <v>Exclude</v>
      </c>
      <c r="W125" s="65" t="str">
        <f t="shared" si="3"/>
        <v>Exclude</v>
      </c>
    </row>
    <row r="126" spans="1:23" s="64" customFormat="1" x14ac:dyDescent="0.25">
      <c r="A126" s="63"/>
      <c r="U126" s="64" t="str">
        <f t="shared" si="4"/>
        <v>Exclude</v>
      </c>
      <c r="W126" s="65" t="str">
        <f t="shared" si="3"/>
        <v>Exclude</v>
      </c>
    </row>
    <row r="127" spans="1:23" s="64" customFormat="1" x14ac:dyDescent="0.25">
      <c r="A127" s="63"/>
      <c r="U127" s="64" t="str">
        <f t="shared" si="4"/>
        <v>Exclude</v>
      </c>
      <c r="W127" s="65" t="str">
        <f t="shared" si="3"/>
        <v>Exclude</v>
      </c>
    </row>
    <row r="128" spans="1:23" s="64" customFormat="1" x14ac:dyDescent="0.25">
      <c r="A128" s="63"/>
      <c r="U128" s="64" t="str">
        <f t="shared" si="4"/>
        <v>Exclude</v>
      </c>
      <c r="W128" s="65" t="str">
        <f t="shared" si="3"/>
        <v>Exclude</v>
      </c>
    </row>
    <row r="129" spans="1:23" s="64" customFormat="1" x14ac:dyDescent="0.25">
      <c r="A129" s="63"/>
      <c r="U129" s="64" t="str">
        <f t="shared" si="4"/>
        <v>Exclude</v>
      </c>
      <c r="W129" s="65" t="str">
        <f t="shared" si="3"/>
        <v>Exclude</v>
      </c>
    </row>
    <row r="130" spans="1:23" s="64" customFormat="1" x14ac:dyDescent="0.25">
      <c r="A130" s="63"/>
      <c r="U130" s="64" t="str">
        <f t="shared" si="4"/>
        <v>Exclude</v>
      </c>
      <c r="W130" s="65" t="str">
        <f t="shared" si="3"/>
        <v>Exclude</v>
      </c>
    </row>
    <row r="131" spans="1:23" s="64" customFormat="1" x14ac:dyDescent="0.25">
      <c r="A131" s="63"/>
      <c r="U131" s="64" t="str">
        <f t="shared" si="4"/>
        <v>Exclude</v>
      </c>
      <c r="W131" s="65" t="str">
        <f t="shared" si="3"/>
        <v>Exclude</v>
      </c>
    </row>
    <row r="132" spans="1:23" s="64" customFormat="1" x14ac:dyDescent="0.25">
      <c r="A132" s="63"/>
      <c r="U132" s="64" t="str">
        <f t="shared" si="4"/>
        <v>Exclude</v>
      </c>
      <c r="W132" s="65" t="str">
        <f t="shared" si="3"/>
        <v>Exclude</v>
      </c>
    </row>
    <row r="133" spans="1:23" s="64" customFormat="1" x14ac:dyDescent="0.25">
      <c r="A133" s="63"/>
      <c r="U133" s="64" t="str">
        <f t="shared" si="4"/>
        <v>Exclude</v>
      </c>
      <c r="W133" s="65" t="str">
        <f t="shared" si="3"/>
        <v>Exclude</v>
      </c>
    </row>
    <row r="134" spans="1:23" s="64" customFormat="1" x14ac:dyDescent="0.25">
      <c r="A134" s="63"/>
      <c r="U134" s="64" t="str">
        <f t="shared" si="4"/>
        <v>Exclude</v>
      </c>
      <c r="W134" s="65" t="str">
        <f t="shared" si="3"/>
        <v>Exclude</v>
      </c>
    </row>
    <row r="135" spans="1:23" s="64" customFormat="1" x14ac:dyDescent="0.25">
      <c r="A135" s="63"/>
      <c r="U135" s="64" t="str">
        <f t="shared" si="4"/>
        <v>Exclude</v>
      </c>
      <c r="W135" s="65" t="str">
        <f t="shared" si="3"/>
        <v>Exclude</v>
      </c>
    </row>
    <row r="136" spans="1:23" s="64" customFormat="1" x14ac:dyDescent="0.25">
      <c r="A136" s="63"/>
      <c r="U136" s="64" t="str">
        <f t="shared" si="4"/>
        <v>Exclude</v>
      </c>
      <c r="W136" s="65" t="str">
        <f t="shared" si="3"/>
        <v>Exclude</v>
      </c>
    </row>
    <row r="137" spans="1:23" s="64" customFormat="1" x14ac:dyDescent="0.25">
      <c r="A137" s="63"/>
      <c r="U137" s="64" t="str">
        <f t="shared" si="4"/>
        <v>Exclude</v>
      </c>
      <c r="W137" s="65" t="str">
        <f t="shared" si="3"/>
        <v>Exclude</v>
      </c>
    </row>
    <row r="138" spans="1:23" s="64" customFormat="1" x14ac:dyDescent="0.25">
      <c r="A138" s="63"/>
      <c r="U138" s="64" t="str">
        <f t="shared" si="4"/>
        <v>Exclude</v>
      </c>
      <c r="W138" s="65" t="str">
        <f t="shared" si="3"/>
        <v>Exclude</v>
      </c>
    </row>
    <row r="139" spans="1:23" s="64" customFormat="1" x14ac:dyDescent="0.25">
      <c r="A139" s="63"/>
      <c r="U139" s="64" t="str">
        <f t="shared" si="4"/>
        <v>Exclude</v>
      </c>
      <c r="W139" s="65" t="str">
        <f t="shared" si="3"/>
        <v>Exclude</v>
      </c>
    </row>
    <row r="140" spans="1:23" s="64" customFormat="1" x14ac:dyDescent="0.25">
      <c r="A140" s="63"/>
      <c r="U140" s="64" t="str">
        <f t="shared" si="4"/>
        <v>Exclude</v>
      </c>
      <c r="W140" s="65" t="str">
        <f t="shared" si="3"/>
        <v>Exclude</v>
      </c>
    </row>
    <row r="141" spans="1:23" s="64" customFormat="1" x14ac:dyDescent="0.25">
      <c r="A141" s="63"/>
      <c r="U141" s="64" t="str">
        <f t="shared" si="4"/>
        <v>Exclude</v>
      </c>
      <c r="W141" s="65" t="str">
        <f t="shared" si="3"/>
        <v>Exclude</v>
      </c>
    </row>
    <row r="142" spans="1:23" s="64" customFormat="1" x14ac:dyDescent="0.25">
      <c r="A142" s="63"/>
      <c r="U142" s="64" t="str">
        <f t="shared" si="4"/>
        <v>Exclude</v>
      </c>
      <c r="W142" s="65" t="str">
        <f t="shared" si="3"/>
        <v>Exclude</v>
      </c>
    </row>
    <row r="143" spans="1:23" s="64" customFormat="1" x14ac:dyDescent="0.25">
      <c r="A143" s="63"/>
      <c r="U143" s="64" t="str">
        <f t="shared" si="4"/>
        <v>Exclude</v>
      </c>
      <c r="W143" s="65" t="str">
        <f t="shared" si="3"/>
        <v>Exclude</v>
      </c>
    </row>
    <row r="144" spans="1:23" s="64" customFormat="1" x14ac:dyDescent="0.25">
      <c r="A144" s="63"/>
      <c r="U144" s="64" t="str">
        <f t="shared" si="4"/>
        <v>Exclude</v>
      </c>
      <c r="W144" s="65" t="str">
        <f t="shared" si="3"/>
        <v>Exclude</v>
      </c>
    </row>
    <row r="145" spans="1:23" s="64" customFormat="1" x14ac:dyDescent="0.25">
      <c r="A145" s="63"/>
      <c r="U145" s="64" t="str">
        <f t="shared" si="4"/>
        <v>Exclude</v>
      </c>
      <c r="W145" s="65" t="str">
        <f t="shared" si="3"/>
        <v>Exclude</v>
      </c>
    </row>
    <row r="146" spans="1:23" s="64" customFormat="1" x14ac:dyDescent="0.25">
      <c r="A146" s="63"/>
      <c r="U146" s="64" t="str">
        <f t="shared" si="4"/>
        <v>Exclude</v>
      </c>
      <c r="W146" s="65" t="str">
        <f t="shared" si="3"/>
        <v>Exclude</v>
      </c>
    </row>
    <row r="147" spans="1:23" s="64" customFormat="1" x14ac:dyDescent="0.25">
      <c r="A147" s="63"/>
      <c r="U147" s="64" t="str">
        <f t="shared" si="4"/>
        <v>Exclude</v>
      </c>
      <c r="W147" s="65" t="str">
        <f t="shared" si="3"/>
        <v>Exclude</v>
      </c>
    </row>
    <row r="148" spans="1:23" s="64" customFormat="1" x14ac:dyDescent="0.25">
      <c r="A148" s="63"/>
      <c r="U148" s="64" t="str">
        <f t="shared" si="4"/>
        <v>Exclude</v>
      </c>
      <c r="W148" s="65" t="str">
        <f t="shared" si="3"/>
        <v>Exclude</v>
      </c>
    </row>
    <row r="149" spans="1:23" s="64" customFormat="1" x14ac:dyDescent="0.25">
      <c r="A149" s="63"/>
      <c r="U149" s="64" t="str">
        <f t="shared" si="4"/>
        <v>Exclude</v>
      </c>
      <c r="W149" s="65" t="str">
        <f t="shared" si="3"/>
        <v>Exclude</v>
      </c>
    </row>
    <row r="150" spans="1:23" s="64" customFormat="1" x14ac:dyDescent="0.25">
      <c r="A150" s="63"/>
      <c r="U150" s="64" t="str">
        <f t="shared" si="4"/>
        <v>Exclude</v>
      </c>
      <c r="W150" s="65" t="str">
        <f t="shared" si="3"/>
        <v>Exclude</v>
      </c>
    </row>
    <row r="151" spans="1:23" s="64" customFormat="1" x14ac:dyDescent="0.25">
      <c r="A151" s="63"/>
      <c r="U151" s="64" t="str">
        <f t="shared" si="4"/>
        <v>Exclude</v>
      </c>
      <c r="W151" s="65" t="str">
        <f t="shared" si="3"/>
        <v>Exclude</v>
      </c>
    </row>
    <row r="152" spans="1:23" s="64" customFormat="1" x14ac:dyDescent="0.25">
      <c r="A152" s="63"/>
      <c r="U152" s="64" t="str">
        <f t="shared" si="4"/>
        <v>Exclude</v>
      </c>
      <c r="W152" s="65" t="str">
        <f t="shared" si="3"/>
        <v>Exclude</v>
      </c>
    </row>
    <row r="153" spans="1:23" s="64" customFormat="1" x14ac:dyDescent="0.25">
      <c r="A153" s="63"/>
      <c r="U153" s="64" t="str">
        <f t="shared" si="4"/>
        <v>Exclude</v>
      </c>
      <c r="W153" s="65" t="str">
        <f t="shared" si="3"/>
        <v>Exclude</v>
      </c>
    </row>
    <row r="154" spans="1:23" s="64" customFormat="1" x14ac:dyDescent="0.25">
      <c r="A154" s="63"/>
      <c r="U154" s="64" t="str">
        <f t="shared" si="4"/>
        <v>Exclude</v>
      </c>
      <c r="W154" s="65" t="str">
        <f t="shared" si="3"/>
        <v>Exclude</v>
      </c>
    </row>
    <row r="155" spans="1:23" s="64" customFormat="1" x14ac:dyDescent="0.25">
      <c r="A155" s="63"/>
      <c r="U155" s="64" t="str">
        <f t="shared" si="4"/>
        <v>Exclude</v>
      </c>
      <c r="W155" s="65" t="str">
        <f t="shared" si="3"/>
        <v>Exclude</v>
      </c>
    </row>
    <row r="156" spans="1:23" s="64" customFormat="1" x14ac:dyDescent="0.25">
      <c r="A156" s="63"/>
      <c r="U156" s="64" t="str">
        <f t="shared" si="4"/>
        <v>Exclude</v>
      </c>
      <c r="W156" s="65" t="str">
        <f t="shared" si="3"/>
        <v>Exclude</v>
      </c>
    </row>
    <row r="157" spans="1:23" s="64" customFormat="1" x14ac:dyDescent="0.25">
      <c r="A157" s="63"/>
      <c r="U157" s="64" t="str">
        <f t="shared" si="4"/>
        <v>Exclude</v>
      </c>
      <c r="W157" s="65" t="str">
        <f t="shared" si="3"/>
        <v>Exclude</v>
      </c>
    </row>
    <row r="158" spans="1:23" s="64" customFormat="1" x14ac:dyDescent="0.25">
      <c r="A158" s="63"/>
      <c r="U158" s="64" t="str">
        <f t="shared" si="4"/>
        <v>Exclude</v>
      </c>
      <c r="W158" s="65" t="str">
        <f t="shared" si="3"/>
        <v>Exclude</v>
      </c>
    </row>
    <row r="159" spans="1:23" s="64" customFormat="1" x14ac:dyDescent="0.25">
      <c r="A159" s="63"/>
      <c r="U159" s="64" t="str">
        <f t="shared" si="4"/>
        <v>Exclude</v>
      </c>
      <c r="W159" s="65" t="str">
        <f t="shared" ref="W159:W222" si="5">IF(R159="TruePositive",IF(R158&lt;&gt;"Anticipatory",LOG10(N159),"Exclude"),"Exclude")</f>
        <v>Exclude</v>
      </c>
    </row>
    <row r="160" spans="1:23" s="64" customFormat="1" x14ac:dyDescent="0.25">
      <c r="A160" s="63"/>
      <c r="U160" s="64" t="str">
        <f t="shared" si="4"/>
        <v>Exclude</v>
      </c>
      <c r="W160" s="65" t="str">
        <f t="shared" si="5"/>
        <v>Exclude</v>
      </c>
    </row>
    <row r="161" spans="1:23" s="64" customFormat="1" x14ac:dyDescent="0.25">
      <c r="A161" s="63"/>
      <c r="U161" s="64" t="str">
        <f t="shared" si="4"/>
        <v>Exclude</v>
      </c>
      <c r="W161" s="65" t="str">
        <f t="shared" si="5"/>
        <v>Exclude</v>
      </c>
    </row>
    <row r="162" spans="1:23" s="64" customFormat="1" x14ac:dyDescent="0.25">
      <c r="A162" s="63"/>
      <c r="U162" s="64" t="str">
        <f t="shared" si="4"/>
        <v>Exclude</v>
      </c>
      <c r="W162" s="65" t="str">
        <f t="shared" si="5"/>
        <v>Exclude</v>
      </c>
    </row>
    <row r="163" spans="1:23" s="64" customFormat="1" x14ac:dyDescent="0.25">
      <c r="A163" s="63"/>
      <c r="U163" s="64" t="str">
        <f t="shared" si="4"/>
        <v>Exclude</v>
      </c>
      <c r="W163" s="65" t="str">
        <f t="shared" si="5"/>
        <v>Exclude</v>
      </c>
    </row>
    <row r="164" spans="1:23" s="64" customFormat="1" x14ac:dyDescent="0.25">
      <c r="A164" s="63"/>
      <c r="U164" s="64" t="str">
        <f t="shared" si="4"/>
        <v>Exclude</v>
      </c>
      <c r="W164" s="65" t="str">
        <f t="shared" si="5"/>
        <v>Exclude</v>
      </c>
    </row>
    <row r="165" spans="1:23" s="64" customFormat="1" x14ac:dyDescent="0.25">
      <c r="A165" s="63"/>
      <c r="U165" s="64" t="str">
        <f t="shared" si="4"/>
        <v>Exclude</v>
      </c>
      <c r="W165" s="65" t="str">
        <f t="shared" si="5"/>
        <v>Exclude</v>
      </c>
    </row>
    <row r="166" spans="1:23" s="64" customFormat="1" x14ac:dyDescent="0.25">
      <c r="A166" s="63"/>
      <c r="U166" s="64" t="str">
        <f t="shared" si="4"/>
        <v>Exclude</v>
      </c>
      <c r="W166" s="65" t="str">
        <f t="shared" si="5"/>
        <v>Exclude</v>
      </c>
    </row>
    <row r="167" spans="1:23" s="64" customFormat="1" x14ac:dyDescent="0.25">
      <c r="A167" s="63"/>
      <c r="U167" s="64" t="str">
        <f t="shared" si="4"/>
        <v>Exclude</v>
      </c>
      <c r="W167" s="65" t="str">
        <f t="shared" si="5"/>
        <v>Exclude</v>
      </c>
    </row>
    <row r="168" spans="1:23" s="64" customFormat="1" x14ac:dyDescent="0.25">
      <c r="A168" s="63"/>
      <c r="U168" s="64" t="str">
        <f t="shared" si="4"/>
        <v>Exclude</v>
      </c>
      <c r="W168" s="65" t="str">
        <f t="shared" si="5"/>
        <v>Exclude</v>
      </c>
    </row>
    <row r="169" spans="1:23" s="64" customFormat="1" x14ac:dyDescent="0.25">
      <c r="A169" s="63"/>
      <c r="U169" s="64" t="str">
        <f t="shared" si="4"/>
        <v>Exclude</v>
      </c>
      <c r="W169" s="65" t="str">
        <f t="shared" si="5"/>
        <v>Exclude</v>
      </c>
    </row>
    <row r="170" spans="1:23" s="64" customFormat="1" x14ac:dyDescent="0.25">
      <c r="A170" s="63"/>
      <c r="U170" s="64" t="str">
        <f t="shared" si="4"/>
        <v>Exclude</v>
      </c>
      <c r="W170" s="65" t="str">
        <f t="shared" si="5"/>
        <v>Exclude</v>
      </c>
    </row>
    <row r="171" spans="1:23" s="64" customFormat="1" x14ac:dyDescent="0.25">
      <c r="A171" s="63"/>
      <c r="U171" s="64" t="str">
        <f t="shared" si="4"/>
        <v>Exclude</v>
      </c>
      <c r="W171" s="65" t="str">
        <f t="shared" si="5"/>
        <v>Exclude</v>
      </c>
    </row>
    <row r="172" spans="1:23" s="64" customFormat="1" x14ac:dyDescent="0.25">
      <c r="A172" s="63"/>
      <c r="U172" s="64" t="str">
        <f t="shared" si="4"/>
        <v>Exclude</v>
      </c>
      <c r="W172" s="65" t="str">
        <f t="shared" si="5"/>
        <v>Exclude</v>
      </c>
    </row>
    <row r="173" spans="1:23" s="64" customFormat="1" x14ac:dyDescent="0.25">
      <c r="A173" s="63"/>
      <c r="U173" s="64" t="str">
        <f t="shared" si="4"/>
        <v>Exclude</v>
      </c>
      <c r="W173" s="65" t="str">
        <f t="shared" si="5"/>
        <v>Exclude</v>
      </c>
    </row>
    <row r="174" spans="1:23" s="64" customFormat="1" x14ac:dyDescent="0.25">
      <c r="A174" s="63"/>
      <c r="U174" s="64" t="str">
        <f t="shared" si="4"/>
        <v>Exclude</v>
      </c>
      <c r="W174" s="65" t="str">
        <f t="shared" si="5"/>
        <v>Exclude</v>
      </c>
    </row>
    <row r="175" spans="1:23" s="64" customFormat="1" x14ac:dyDescent="0.25">
      <c r="A175" s="63"/>
      <c r="U175" s="64" t="str">
        <f t="shared" si="4"/>
        <v>Exclude</v>
      </c>
      <c r="W175" s="65" t="str">
        <f t="shared" si="5"/>
        <v>Exclude</v>
      </c>
    </row>
    <row r="176" spans="1:23" s="64" customFormat="1" x14ac:dyDescent="0.25">
      <c r="A176" s="63"/>
      <c r="U176" s="64" t="str">
        <f t="shared" si="4"/>
        <v>Exclude</v>
      </c>
      <c r="W176" s="65" t="str">
        <f t="shared" si="5"/>
        <v>Exclude</v>
      </c>
    </row>
    <row r="177" spans="1:23" s="64" customFormat="1" x14ac:dyDescent="0.25">
      <c r="A177" s="63"/>
      <c r="U177" s="64" t="str">
        <f t="shared" si="4"/>
        <v>Exclude</v>
      </c>
      <c r="W177" s="65" t="str">
        <f t="shared" si="5"/>
        <v>Exclude</v>
      </c>
    </row>
    <row r="178" spans="1:23" s="64" customFormat="1" x14ac:dyDescent="0.25">
      <c r="A178" s="63"/>
      <c r="U178" s="64" t="str">
        <f t="shared" si="4"/>
        <v>Exclude</v>
      </c>
      <c r="W178" s="65" t="str">
        <f t="shared" si="5"/>
        <v>Exclude</v>
      </c>
    </row>
    <row r="179" spans="1:23" s="64" customFormat="1" x14ac:dyDescent="0.25">
      <c r="A179" s="63"/>
      <c r="U179" s="64" t="str">
        <f t="shared" si="4"/>
        <v>Exclude</v>
      </c>
      <c r="W179" s="65" t="str">
        <f t="shared" si="5"/>
        <v>Exclude</v>
      </c>
    </row>
    <row r="180" spans="1:23" s="64" customFormat="1" x14ac:dyDescent="0.25">
      <c r="A180" s="63"/>
      <c r="U180" s="64" t="str">
        <f t="shared" si="4"/>
        <v>Exclude</v>
      </c>
      <c r="W180" s="65" t="str">
        <f t="shared" si="5"/>
        <v>Exclude</v>
      </c>
    </row>
    <row r="181" spans="1:23" s="64" customFormat="1" x14ac:dyDescent="0.25">
      <c r="A181" s="63"/>
      <c r="U181" s="64" t="str">
        <f t="shared" si="4"/>
        <v>Exclude</v>
      </c>
      <c r="W181" s="65" t="str">
        <f t="shared" si="5"/>
        <v>Exclude</v>
      </c>
    </row>
    <row r="182" spans="1:23" s="64" customFormat="1" x14ac:dyDescent="0.25">
      <c r="A182" s="63"/>
      <c r="U182" s="64" t="str">
        <f t="shared" ref="U182:U245" si="6">IF(R182="TruePositive",IF(R181&lt;&gt;"Anticipatory",(N182),"Pant"),"Exclude")</f>
        <v>Exclude</v>
      </c>
      <c r="W182" s="65" t="str">
        <f t="shared" si="5"/>
        <v>Exclude</v>
      </c>
    </row>
    <row r="183" spans="1:23" s="64" customFormat="1" x14ac:dyDescent="0.25">
      <c r="A183" s="63"/>
      <c r="U183" s="64" t="str">
        <f t="shared" si="6"/>
        <v>Exclude</v>
      </c>
      <c r="W183" s="65" t="str">
        <f t="shared" si="5"/>
        <v>Exclude</v>
      </c>
    </row>
    <row r="184" spans="1:23" s="64" customFormat="1" x14ac:dyDescent="0.25">
      <c r="A184" s="63"/>
      <c r="U184" s="64" t="str">
        <f t="shared" si="6"/>
        <v>Exclude</v>
      </c>
      <c r="W184" s="65" t="str">
        <f t="shared" si="5"/>
        <v>Exclude</v>
      </c>
    </row>
    <row r="185" spans="1:23" s="64" customFormat="1" x14ac:dyDescent="0.25">
      <c r="A185" s="63"/>
      <c r="U185" s="64" t="str">
        <f t="shared" si="6"/>
        <v>Exclude</v>
      </c>
      <c r="W185" s="65" t="str">
        <f t="shared" si="5"/>
        <v>Exclude</v>
      </c>
    </row>
    <row r="186" spans="1:23" s="64" customFormat="1" x14ac:dyDescent="0.25">
      <c r="A186" s="63"/>
      <c r="U186" s="64" t="str">
        <f t="shared" si="6"/>
        <v>Exclude</v>
      </c>
      <c r="W186" s="65" t="str">
        <f t="shared" si="5"/>
        <v>Exclude</v>
      </c>
    </row>
    <row r="187" spans="1:23" s="64" customFormat="1" x14ac:dyDescent="0.25">
      <c r="A187" s="63"/>
      <c r="U187" s="64" t="str">
        <f t="shared" si="6"/>
        <v>Exclude</v>
      </c>
      <c r="W187" s="65" t="str">
        <f t="shared" si="5"/>
        <v>Exclude</v>
      </c>
    </row>
    <row r="188" spans="1:23" s="64" customFormat="1" x14ac:dyDescent="0.25">
      <c r="A188" s="63"/>
      <c r="U188" s="64" t="str">
        <f t="shared" si="6"/>
        <v>Exclude</v>
      </c>
      <c r="W188" s="65" t="str">
        <f t="shared" si="5"/>
        <v>Exclude</v>
      </c>
    </row>
    <row r="189" spans="1:23" s="64" customFormat="1" x14ac:dyDescent="0.25">
      <c r="A189" s="63"/>
      <c r="U189" s="64" t="str">
        <f t="shared" si="6"/>
        <v>Exclude</v>
      </c>
      <c r="W189" s="65" t="str">
        <f t="shared" si="5"/>
        <v>Exclude</v>
      </c>
    </row>
    <row r="190" spans="1:23" s="64" customFormat="1" x14ac:dyDescent="0.25">
      <c r="A190" s="63"/>
      <c r="U190" s="64" t="str">
        <f t="shared" si="6"/>
        <v>Exclude</v>
      </c>
      <c r="W190" s="65" t="str">
        <f t="shared" si="5"/>
        <v>Exclude</v>
      </c>
    </row>
    <row r="191" spans="1:23" s="64" customFormat="1" x14ac:dyDescent="0.25">
      <c r="A191" s="63"/>
      <c r="U191" s="64" t="str">
        <f t="shared" si="6"/>
        <v>Exclude</v>
      </c>
      <c r="W191" s="65" t="str">
        <f t="shared" si="5"/>
        <v>Exclude</v>
      </c>
    </row>
    <row r="192" spans="1:23" s="64" customFormat="1" x14ac:dyDescent="0.25">
      <c r="A192" s="63"/>
      <c r="U192" s="64" t="str">
        <f t="shared" si="6"/>
        <v>Exclude</v>
      </c>
      <c r="W192" s="65" t="str">
        <f t="shared" si="5"/>
        <v>Exclude</v>
      </c>
    </row>
    <row r="193" spans="1:23" s="64" customFormat="1" x14ac:dyDescent="0.25">
      <c r="A193" s="63"/>
      <c r="U193" s="64" t="str">
        <f t="shared" si="6"/>
        <v>Exclude</v>
      </c>
      <c r="W193" s="65" t="str">
        <f t="shared" si="5"/>
        <v>Exclude</v>
      </c>
    </row>
    <row r="194" spans="1:23" s="64" customFormat="1" x14ac:dyDescent="0.25">
      <c r="A194" s="63"/>
      <c r="U194" s="64" t="str">
        <f t="shared" si="6"/>
        <v>Exclude</v>
      </c>
      <c r="W194" s="65" t="str">
        <f t="shared" si="5"/>
        <v>Exclude</v>
      </c>
    </row>
    <row r="195" spans="1:23" s="64" customFormat="1" x14ac:dyDescent="0.25">
      <c r="A195" s="63"/>
      <c r="U195" s="64" t="str">
        <f t="shared" si="6"/>
        <v>Exclude</v>
      </c>
      <c r="W195" s="65" t="str">
        <f t="shared" si="5"/>
        <v>Exclude</v>
      </c>
    </row>
    <row r="196" spans="1:23" s="64" customFormat="1" x14ac:dyDescent="0.25">
      <c r="A196" s="63"/>
      <c r="U196" s="64" t="str">
        <f t="shared" si="6"/>
        <v>Exclude</v>
      </c>
      <c r="W196" s="65" t="str">
        <f t="shared" si="5"/>
        <v>Exclude</v>
      </c>
    </row>
    <row r="197" spans="1:23" s="64" customFormat="1" x14ac:dyDescent="0.25">
      <c r="A197" s="63"/>
      <c r="U197" s="64" t="str">
        <f t="shared" si="6"/>
        <v>Exclude</v>
      </c>
      <c r="W197" s="65" t="str">
        <f t="shared" si="5"/>
        <v>Exclude</v>
      </c>
    </row>
    <row r="198" spans="1:23" s="64" customFormat="1" x14ac:dyDescent="0.25">
      <c r="A198" s="63"/>
      <c r="U198" s="64" t="str">
        <f t="shared" si="6"/>
        <v>Exclude</v>
      </c>
      <c r="W198" s="65" t="str">
        <f t="shared" si="5"/>
        <v>Exclude</v>
      </c>
    </row>
    <row r="199" spans="1:23" s="64" customFormat="1" x14ac:dyDescent="0.25">
      <c r="A199" s="63"/>
      <c r="U199" s="64" t="str">
        <f t="shared" si="6"/>
        <v>Exclude</v>
      </c>
      <c r="W199" s="65" t="str">
        <f t="shared" si="5"/>
        <v>Exclude</v>
      </c>
    </row>
    <row r="200" spans="1:23" s="64" customFormat="1" x14ac:dyDescent="0.25">
      <c r="A200" s="63"/>
      <c r="U200" s="64" t="str">
        <f t="shared" si="6"/>
        <v>Exclude</v>
      </c>
      <c r="W200" s="65" t="str">
        <f t="shared" si="5"/>
        <v>Exclude</v>
      </c>
    </row>
    <row r="201" spans="1:23" s="64" customFormat="1" x14ac:dyDescent="0.25">
      <c r="A201" s="63"/>
      <c r="U201" s="64" t="str">
        <f t="shared" si="6"/>
        <v>Exclude</v>
      </c>
      <c r="W201" s="65" t="str">
        <f t="shared" si="5"/>
        <v>Exclude</v>
      </c>
    </row>
    <row r="202" spans="1:23" s="64" customFormat="1" x14ac:dyDescent="0.25">
      <c r="A202" s="63"/>
      <c r="U202" s="64" t="str">
        <f t="shared" si="6"/>
        <v>Exclude</v>
      </c>
      <c r="W202" s="65" t="str">
        <f t="shared" si="5"/>
        <v>Exclude</v>
      </c>
    </row>
    <row r="203" spans="1:23" s="64" customFormat="1" x14ac:dyDescent="0.25">
      <c r="A203" s="63"/>
      <c r="U203" s="64" t="str">
        <f t="shared" si="6"/>
        <v>Exclude</v>
      </c>
      <c r="W203" s="65" t="str">
        <f t="shared" si="5"/>
        <v>Exclude</v>
      </c>
    </row>
    <row r="204" spans="1:23" s="64" customFormat="1" x14ac:dyDescent="0.25">
      <c r="A204" s="63"/>
      <c r="U204" s="64" t="str">
        <f t="shared" si="6"/>
        <v>Exclude</v>
      </c>
      <c r="W204" s="65" t="str">
        <f t="shared" si="5"/>
        <v>Exclude</v>
      </c>
    </row>
    <row r="205" spans="1:23" s="64" customFormat="1" x14ac:dyDescent="0.25">
      <c r="A205" s="63"/>
      <c r="U205" s="64" t="str">
        <f t="shared" si="6"/>
        <v>Exclude</v>
      </c>
      <c r="W205" s="65" t="str">
        <f t="shared" si="5"/>
        <v>Exclude</v>
      </c>
    </row>
    <row r="206" spans="1:23" s="64" customFormat="1" x14ac:dyDescent="0.25">
      <c r="A206" s="63"/>
      <c r="U206" s="64" t="str">
        <f t="shared" si="6"/>
        <v>Exclude</v>
      </c>
      <c r="W206" s="65" t="str">
        <f t="shared" si="5"/>
        <v>Exclude</v>
      </c>
    </row>
    <row r="207" spans="1:23" s="64" customFormat="1" x14ac:dyDescent="0.25">
      <c r="A207" s="63"/>
      <c r="U207" s="64" t="str">
        <f t="shared" si="6"/>
        <v>Exclude</v>
      </c>
      <c r="W207" s="65" t="str">
        <f t="shared" si="5"/>
        <v>Exclude</v>
      </c>
    </row>
    <row r="208" spans="1:23" s="64" customFormat="1" x14ac:dyDescent="0.25">
      <c r="A208" s="63"/>
      <c r="U208" s="64" t="str">
        <f t="shared" si="6"/>
        <v>Exclude</v>
      </c>
      <c r="W208" s="65" t="str">
        <f t="shared" si="5"/>
        <v>Exclude</v>
      </c>
    </row>
    <row r="209" spans="1:23" s="64" customFormat="1" x14ac:dyDescent="0.25">
      <c r="A209" s="63"/>
      <c r="U209" s="64" t="str">
        <f t="shared" si="6"/>
        <v>Exclude</v>
      </c>
      <c r="W209" s="65" t="str">
        <f t="shared" si="5"/>
        <v>Exclude</v>
      </c>
    </row>
    <row r="210" spans="1:23" s="64" customFormat="1" x14ac:dyDescent="0.25">
      <c r="A210" s="63"/>
      <c r="U210" s="64" t="str">
        <f t="shared" si="6"/>
        <v>Exclude</v>
      </c>
      <c r="W210" s="65" t="str">
        <f t="shared" si="5"/>
        <v>Exclude</v>
      </c>
    </row>
    <row r="211" spans="1:23" s="64" customFormat="1" x14ac:dyDescent="0.25">
      <c r="A211" s="63"/>
      <c r="U211" s="64" t="str">
        <f t="shared" si="6"/>
        <v>Exclude</v>
      </c>
      <c r="W211" s="65" t="str">
        <f t="shared" si="5"/>
        <v>Exclude</v>
      </c>
    </row>
    <row r="212" spans="1:23" s="64" customFormat="1" x14ac:dyDescent="0.25">
      <c r="A212" s="63"/>
      <c r="U212" s="64" t="str">
        <f t="shared" si="6"/>
        <v>Exclude</v>
      </c>
      <c r="W212" s="65" t="str">
        <f t="shared" si="5"/>
        <v>Exclude</v>
      </c>
    </row>
    <row r="213" spans="1:23" s="64" customFormat="1" x14ac:dyDescent="0.25">
      <c r="A213" s="63"/>
      <c r="U213" s="64" t="str">
        <f t="shared" si="6"/>
        <v>Exclude</v>
      </c>
      <c r="W213" s="65" t="str">
        <f t="shared" si="5"/>
        <v>Exclude</v>
      </c>
    </row>
    <row r="214" spans="1:23" s="64" customFormat="1" x14ac:dyDescent="0.25">
      <c r="A214" s="63"/>
      <c r="U214" s="64" t="str">
        <f t="shared" si="6"/>
        <v>Exclude</v>
      </c>
      <c r="W214" s="65" t="str">
        <f t="shared" si="5"/>
        <v>Exclude</v>
      </c>
    </row>
    <row r="215" spans="1:23" s="64" customFormat="1" x14ac:dyDescent="0.25">
      <c r="A215" s="63"/>
      <c r="U215" s="64" t="str">
        <f t="shared" si="6"/>
        <v>Exclude</v>
      </c>
      <c r="W215" s="65" t="str">
        <f t="shared" si="5"/>
        <v>Exclude</v>
      </c>
    </row>
    <row r="216" spans="1:23" s="64" customFormat="1" x14ac:dyDescent="0.25">
      <c r="A216" s="63"/>
      <c r="U216" s="64" t="str">
        <f t="shared" si="6"/>
        <v>Exclude</v>
      </c>
      <c r="W216" s="65" t="str">
        <f t="shared" si="5"/>
        <v>Exclude</v>
      </c>
    </row>
    <row r="217" spans="1:23" s="64" customFormat="1" x14ac:dyDescent="0.25">
      <c r="A217" s="63"/>
      <c r="U217" s="64" t="str">
        <f t="shared" si="6"/>
        <v>Exclude</v>
      </c>
      <c r="W217" s="65" t="str">
        <f t="shared" si="5"/>
        <v>Exclude</v>
      </c>
    </row>
    <row r="218" spans="1:23" s="64" customFormat="1" x14ac:dyDescent="0.25">
      <c r="A218" s="63"/>
      <c r="U218" s="64" t="str">
        <f t="shared" si="6"/>
        <v>Exclude</v>
      </c>
      <c r="W218" s="65" t="str">
        <f t="shared" si="5"/>
        <v>Exclude</v>
      </c>
    </row>
    <row r="219" spans="1:23" s="64" customFormat="1" x14ac:dyDescent="0.25">
      <c r="A219" s="63"/>
      <c r="U219" s="64" t="str">
        <f t="shared" si="6"/>
        <v>Exclude</v>
      </c>
      <c r="W219" s="65" t="str">
        <f t="shared" si="5"/>
        <v>Exclude</v>
      </c>
    </row>
    <row r="220" spans="1:23" s="64" customFormat="1" x14ac:dyDescent="0.25">
      <c r="A220" s="63"/>
      <c r="U220" s="64" t="str">
        <f t="shared" si="6"/>
        <v>Exclude</v>
      </c>
      <c r="W220" s="65" t="str">
        <f t="shared" si="5"/>
        <v>Exclude</v>
      </c>
    </row>
    <row r="221" spans="1:23" s="64" customFormat="1" x14ac:dyDescent="0.25">
      <c r="A221" s="63"/>
      <c r="U221" s="64" t="str">
        <f t="shared" si="6"/>
        <v>Exclude</v>
      </c>
      <c r="W221" s="65" t="str">
        <f t="shared" si="5"/>
        <v>Exclude</v>
      </c>
    </row>
    <row r="222" spans="1:23" s="64" customFormat="1" x14ac:dyDescent="0.25">
      <c r="A222" s="63"/>
      <c r="U222" s="64" t="str">
        <f t="shared" si="6"/>
        <v>Exclude</v>
      </c>
      <c r="W222" s="65" t="str">
        <f t="shared" si="5"/>
        <v>Exclude</v>
      </c>
    </row>
    <row r="223" spans="1:23" s="64" customFormat="1" x14ac:dyDescent="0.25">
      <c r="A223" s="63"/>
      <c r="U223" s="64" t="str">
        <f t="shared" si="6"/>
        <v>Exclude</v>
      </c>
      <c r="W223" s="65" t="str">
        <f t="shared" ref="W223:W286" si="7">IF(R223="TruePositive",IF(R222&lt;&gt;"Anticipatory",LOG10(N223),"Exclude"),"Exclude")</f>
        <v>Exclude</v>
      </c>
    </row>
    <row r="224" spans="1:23" s="64" customFormat="1" x14ac:dyDescent="0.25">
      <c r="A224" s="63"/>
      <c r="U224" s="64" t="str">
        <f t="shared" si="6"/>
        <v>Exclude</v>
      </c>
      <c r="W224" s="65" t="str">
        <f t="shared" si="7"/>
        <v>Exclude</v>
      </c>
    </row>
    <row r="225" spans="1:23" s="64" customFormat="1" x14ac:dyDescent="0.25">
      <c r="A225" s="63"/>
      <c r="U225" s="64" t="str">
        <f t="shared" si="6"/>
        <v>Exclude</v>
      </c>
      <c r="W225" s="65" t="str">
        <f t="shared" si="7"/>
        <v>Exclude</v>
      </c>
    </row>
    <row r="226" spans="1:23" s="64" customFormat="1" x14ac:dyDescent="0.25">
      <c r="A226" s="63"/>
      <c r="U226" s="64" t="str">
        <f t="shared" si="6"/>
        <v>Exclude</v>
      </c>
      <c r="W226" s="65" t="str">
        <f t="shared" si="7"/>
        <v>Exclude</v>
      </c>
    </row>
    <row r="227" spans="1:23" s="64" customFormat="1" x14ac:dyDescent="0.25">
      <c r="A227" s="63"/>
      <c r="U227" s="64" t="str">
        <f t="shared" si="6"/>
        <v>Exclude</v>
      </c>
      <c r="W227" s="65" t="str">
        <f t="shared" si="7"/>
        <v>Exclude</v>
      </c>
    </row>
    <row r="228" spans="1:23" s="64" customFormat="1" x14ac:dyDescent="0.25">
      <c r="A228" s="63"/>
      <c r="U228" s="64" t="str">
        <f t="shared" si="6"/>
        <v>Exclude</v>
      </c>
      <c r="W228" s="65" t="str">
        <f t="shared" si="7"/>
        <v>Exclude</v>
      </c>
    </row>
    <row r="229" spans="1:23" s="64" customFormat="1" x14ac:dyDescent="0.25">
      <c r="A229" s="63"/>
      <c r="U229" s="64" t="str">
        <f t="shared" si="6"/>
        <v>Exclude</v>
      </c>
      <c r="W229" s="65" t="str">
        <f t="shared" si="7"/>
        <v>Exclude</v>
      </c>
    </row>
    <row r="230" spans="1:23" s="64" customFormat="1" x14ac:dyDescent="0.25">
      <c r="A230" s="63"/>
      <c r="U230" s="64" t="str">
        <f t="shared" si="6"/>
        <v>Exclude</v>
      </c>
      <c r="W230" s="65" t="str">
        <f t="shared" si="7"/>
        <v>Exclude</v>
      </c>
    </row>
    <row r="231" spans="1:23" s="64" customFormat="1" x14ac:dyDescent="0.25">
      <c r="A231" s="63"/>
      <c r="U231" s="64" t="str">
        <f t="shared" si="6"/>
        <v>Exclude</v>
      </c>
      <c r="W231" s="65" t="str">
        <f t="shared" si="7"/>
        <v>Exclude</v>
      </c>
    </row>
    <row r="232" spans="1:23" s="64" customFormat="1" x14ac:dyDescent="0.25">
      <c r="A232" s="63"/>
      <c r="U232" s="64" t="str">
        <f t="shared" si="6"/>
        <v>Exclude</v>
      </c>
      <c r="W232" s="65" t="str">
        <f t="shared" si="7"/>
        <v>Exclude</v>
      </c>
    </row>
    <row r="233" spans="1:23" s="64" customFormat="1" x14ac:dyDescent="0.25">
      <c r="A233" s="63"/>
      <c r="U233" s="64" t="str">
        <f t="shared" si="6"/>
        <v>Exclude</v>
      </c>
      <c r="W233" s="65" t="str">
        <f t="shared" si="7"/>
        <v>Exclude</v>
      </c>
    </row>
    <row r="234" spans="1:23" s="64" customFormat="1" x14ac:dyDescent="0.25">
      <c r="A234" s="63"/>
      <c r="U234" s="64" t="str">
        <f t="shared" si="6"/>
        <v>Exclude</v>
      </c>
      <c r="W234" s="65" t="str">
        <f t="shared" si="7"/>
        <v>Exclude</v>
      </c>
    </row>
    <row r="235" spans="1:23" s="64" customFormat="1" x14ac:dyDescent="0.25">
      <c r="A235" s="63"/>
      <c r="U235" s="64" t="str">
        <f t="shared" si="6"/>
        <v>Exclude</v>
      </c>
      <c r="W235" s="65" t="str">
        <f t="shared" si="7"/>
        <v>Exclude</v>
      </c>
    </row>
    <row r="236" spans="1:23" s="64" customFormat="1" x14ac:dyDescent="0.25">
      <c r="A236" s="63"/>
      <c r="U236" s="64" t="str">
        <f t="shared" si="6"/>
        <v>Exclude</v>
      </c>
      <c r="W236" s="65" t="str">
        <f t="shared" si="7"/>
        <v>Exclude</v>
      </c>
    </row>
    <row r="237" spans="1:23" s="64" customFormat="1" x14ac:dyDescent="0.25">
      <c r="A237" s="63"/>
      <c r="U237" s="64" t="str">
        <f t="shared" si="6"/>
        <v>Exclude</v>
      </c>
      <c r="W237" s="65" t="str">
        <f t="shared" si="7"/>
        <v>Exclude</v>
      </c>
    </row>
    <row r="238" spans="1:23" s="64" customFormat="1" x14ac:dyDescent="0.25">
      <c r="A238" s="63"/>
      <c r="U238" s="64" t="str">
        <f t="shared" si="6"/>
        <v>Exclude</v>
      </c>
      <c r="W238" s="65" t="str">
        <f t="shared" si="7"/>
        <v>Exclude</v>
      </c>
    </row>
    <row r="239" spans="1:23" s="64" customFormat="1" x14ac:dyDescent="0.25">
      <c r="A239" s="63"/>
      <c r="U239" s="64" t="str">
        <f t="shared" si="6"/>
        <v>Exclude</v>
      </c>
      <c r="W239" s="65" t="str">
        <f t="shared" si="7"/>
        <v>Exclude</v>
      </c>
    </row>
    <row r="240" spans="1:23" s="64" customFormat="1" x14ac:dyDescent="0.25">
      <c r="A240" s="63"/>
      <c r="U240" s="64" t="str">
        <f t="shared" si="6"/>
        <v>Exclude</v>
      </c>
      <c r="W240" s="65" t="str">
        <f t="shared" si="7"/>
        <v>Exclude</v>
      </c>
    </row>
    <row r="241" spans="1:23" s="64" customFormat="1" x14ac:dyDescent="0.25">
      <c r="A241" s="63"/>
      <c r="U241" s="64" t="str">
        <f t="shared" si="6"/>
        <v>Exclude</v>
      </c>
      <c r="W241" s="65" t="str">
        <f t="shared" si="7"/>
        <v>Exclude</v>
      </c>
    </row>
    <row r="242" spans="1:23" s="64" customFormat="1" x14ac:dyDescent="0.25">
      <c r="A242" s="63"/>
      <c r="U242" s="64" t="str">
        <f t="shared" si="6"/>
        <v>Exclude</v>
      </c>
      <c r="W242" s="65" t="str">
        <f t="shared" si="7"/>
        <v>Exclude</v>
      </c>
    </row>
    <row r="243" spans="1:23" s="64" customFormat="1" x14ac:dyDescent="0.25">
      <c r="A243" s="63"/>
      <c r="U243" s="64" t="str">
        <f t="shared" si="6"/>
        <v>Exclude</v>
      </c>
      <c r="W243" s="65" t="str">
        <f t="shared" si="7"/>
        <v>Exclude</v>
      </c>
    </row>
    <row r="244" spans="1:23" s="64" customFormat="1" x14ac:dyDescent="0.25">
      <c r="A244" s="63"/>
      <c r="U244" s="64" t="str">
        <f t="shared" si="6"/>
        <v>Exclude</v>
      </c>
      <c r="W244" s="65" t="str">
        <f t="shared" si="7"/>
        <v>Exclude</v>
      </c>
    </row>
    <row r="245" spans="1:23" s="64" customFormat="1" x14ac:dyDescent="0.25">
      <c r="A245" s="63"/>
      <c r="U245" s="64" t="str">
        <f t="shared" si="6"/>
        <v>Exclude</v>
      </c>
      <c r="W245" s="65" t="str">
        <f t="shared" si="7"/>
        <v>Exclude</v>
      </c>
    </row>
    <row r="246" spans="1:23" s="64" customFormat="1" x14ac:dyDescent="0.25">
      <c r="A246" s="63"/>
      <c r="U246" s="64" t="str">
        <f t="shared" ref="U246:U309" si="8">IF(R246="TruePositive",IF(R245&lt;&gt;"Anticipatory",(N246),"Pant"),"Exclude")</f>
        <v>Exclude</v>
      </c>
      <c r="W246" s="65" t="str">
        <f t="shared" si="7"/>
        <v>Exclude</v>
      </c>
    </row>
    <row r="247" spans="1:23" s="64" customFormat="1" x14ac:dyDescent="0.25">
      <c r="A247" s="63"/>
      <c r="U247" s="64" t="str">
        <f t="shared" si="8"/>
        <v>Exclude</v>
      </c>
      <c r="W247" s="65" t="str">
        <f t="shared" si="7"/>
        <v>Exclude</v>
      </c>
    </row>
    <row r="248" spans="1:23" s="64" customFormat="1" x14ac:dyDescent="0.25">
      <c r="A248" s="63"/>
      <c r="U248" s="64" t="str">
        <f t="shared" si="8"/>
        <v>Exclude</v>
      </c>
      <c r="W248" s="65" t="str">
        <f t="shared" si="7"/>
        <v>Exclude</v>
      </c>
    </row>
    <row r="249" spans="1:23" s="64" customFormat="1" x14ac:dyDescent="0.25">
      <c r="A249" s="63"/>
      <c r="U249" s="64" t="str">
        <f t="shared" si="8"/>
        <v>Exclude</v>
      </c>
      <c r="W249" s="65" t="str">
        <f t="shared" si="7"/>
        <v>Exclude</v>
      </c>
    </row>
    <row r="250" spans="1:23" s="64" customFormat="1" x14ac:dyDescent="0.25">
      <c r="A250" s="63"/>
      <c r="U250" s="64" t="str">
        <f t="shared" si="8"/>
        <v>Exclude</v>
      </c>
      <c r="W250" s="65" t="str">
        <f t="shared" si="7"/>
        <v>Exclude</v>
      </c>
    </row>
    <row r="251" spans="1:23" s="64" customFormat="1" x14ac:dyDescent="0.25">
      <c r="A251" s="63"/>
      <c r="U251" s="64" t="str">
        <f t="shared" si="8"/>
        <v>Exclude</v>
      </c>
      <c r="W251" s="65" t="str">
        <f t="shared" si="7"/>
        <v>Exclude</v>
      </c>
    </row>
    <row r="252" spans="1:23" s="64" customFormat="1" x14ac:dyDescent="0.25">
      <c r="A252" s="63"/>
      <c r="U252" s="64" t="str">
        <f t="shared" si="8"/>
        <v>Exclude</v>
      </c>
      <c r="W252" s="65" t="str">
        <f t="shared" si="7"/>
        <v>Exclude</v>
      </c>
    </row>
    <row r="253" spans="1:23" s="64" customFormat="1" x14ac:dyDescent="0.25">
      <c r="A253" s="63"/>
      <c r="U253" s="64" t="str">
        <f t="shared" si="8"/>
        <v>Exclude</v>
      </c>
      <c r="W253" s="65" t="str">
        <f t="shared" si="7"/>
        <v>Exclude</v>
      </c>
    </row>
    <row r="254" spans="1:23" s="64" customFormat="1" x14ac:dyDescent="0.25">
      <c r="A254" s="63"/>
      <c r="U254" s="64" t="str">
        <f t="shared" si="8"/>
        <v>Exclude</v>
      </c>
      <c r="W254" s="65" t="str">
        <f t="shared" si="7"/>
        <v>Exclude</v>
      </c>
    </row>
    <row r="255" spans="1:23" s="64" customFormat="1" x14ac:dyDescent="0.25">
      <c r="A255" s="63"/>
      <c r="U255" s="64" t="str">
        <f t="shared" si="8"/>
        <v>Exclude</v>
      </c>
      <c r="W255" s="65" t="str">
        <f t="shared" si="7"/>
        <v>Exclude</v>
      </c>
    </row>
    <row r="256" spans="1:23" s="64" customFormat="1" x14ac:dyDescent="0.25">
      <c r="A256" s="63"/>
      <c r="U256" s="64" t="str">
        <f t="shared" si="8"/>
        <v>Exclude</v>
      </c>
      <c r="W256" s="65" t="str">
        <f t="shared" si="7"/>
        <v>Exclude</v>
      </c>
    </row>
    <row r="257" spans="1:23" s="64" customFormat="1" x14ac:dyDescent="0.25">
      <c r="A257" s="63"/>
      <c r="U257" s="64" t="str">
        <f t="shared" si="8"/>
        <v>Exclude</v>
      </c>
      <c r="W257" s="65" t="str">
        <f t="shared" si="7"/>
        <v>Exclude</v>
      </c>
    </row>
    <row r="258" spans="1:23" s="64" customFormat="1" x14ac:dyDescent="0.25">
      <c r="A258" s="63"/>
      <c r="U258" s="64" t="str">
        <f t="shared" si="8"/>
        <v>Exclude</v>
      </c>
      <c r="W258" s="65" t="str">
        <f t="shared" si="7"/>
        <v>Exclude</v>
      </c>
    </row>
    <row r="259" spans="1:23" s="64" customFormat="1" x14ac:dyDescent="0.25">
      <c r="A259" s="63"/>
      <c r="U259" s="64" t="str">
        <f t="shared" si="8"/>
        <v>Exclude</v>
      </c>
      <c r="W259" s="65" t="str">
        <f t="shared" si="7"/>
        <v>Exclude</v>
      </c>
    </row>
    <row r="260" spans="1:23" s="64" customFormat="1" x14ac:dyDescent="0.25">
      <c r="A260" s="63"/>
      <c r="U260" s="64" t="str">
        <f t="shared" si="8"/>
        <v>Exclude</v>
      </c>
      <c r="W260" s="65" t="str">
        <f t="shared" si="7"/>
        <v>Exclude</v>
      </c>
    </row>
    <row r="261" spans="1:23" s="64" customFormat="1" x14ac:dyDescent="0.25">
      <c r="A261" s="63"/>
      <c r="U261" s="64" t="str">
        <f t="shared" si="8"/>
        <v>Exclude</v>
      </c>
      <c r="W261" s="65" t="str">
        <f t="shared" si="7"/>
        <v>Exclude</v>
      </c>
    </row>
    <row r="262" spans="1:23" s="64" customFormat="1" x14ac:dyDescent="0.25">
      <c r="A262" s="63"/>
      <c r="U262" s="64" t="str">
        <f t="shared" si="8"/>
        <v>Exclude</v>
      </c>
      <c r="W262" s="65" t="str">
        <f t="shared" si="7"/>
        <v>Exclude</v>
      </c>
    </row>
    <row r="263" spans="1:23" s="64" customFormat="1" x14ac:dyDescent="0.25">
      <c r="A263" s="63"/>
      <c r="U263" s="64" t="str">
        <f t="shared" si="8"/>
        <v>Exclude</v>
      </c>
      <c r="W263" s="65" t="str">
        <f t="shared" si="7"/>
        <v>Exclude</v>
      </c>
    </row>
    <row r="264" spans="1:23" s="64" customFormat="1" x14ac:dyDescent="0.25">
      <c r="A264" s="63"/>
      <c r="U264" s="64" t="str">
        <f t="shared" si="8"/>
        <v>Exclude</v>
      </c>
      <c r="W264" s="65" t="str">
        <f t="shared" si="7"/>
        <v>Exclude</v>
      </c>
    </row>
    <row r="265" spans="1:23" s="64" customFormat="1" x14ac:dyDescent="0.25">
      <c r="A265" s="63"/>
      <c r="U265" s="64" t="str">
        <f t="shared" si="8"/>
        <v>Exclude</v>
      </c>
      <c r="W265" s="65" t="str">
        <f t="shared" si="7"/>
        <v>Exclude</v>
      </c>
    </row>
    <row r="266" spans="1:23" s="64" customFormat="1" x14ac:dyDescent="0.25">
      <c r="A266" s="63"/>
      <c r="U266" s="64" t="str">
        <f t="shared" si="8"/>
        <v>Exclude</v>
      </c>
      <c r="W266" s="65" t="str">
        <f t="shared" si="7"/>
        <v>Exclude</v>
      </c>
    </row>
    <row r="267" spans="1:23" s="64" customFormat="1" x14ac:dyDescent="0.25">
      <c r="A267" s="63"/>
      <c r="U267" s="64" t="str">
        <f t="shared" si="8"/>
        <v>Exclude</v>
      </c>
      <c r="W267" s="65" t="str">
        <f t="shared" si="7"/>
        <v>Exclude</v>
      </c>
    </row>
    <row r="268" spans="1:23" s="64" customFormat="1" x14ac:dyDescent="0.25">
      <c r="A268" s="63"/>
      <c r="U268" s="64" t="str">
        <f t="shared" si="8"/>
        <v>Exclude</v>
      </c>
      <c r="W268" s="65" t="str">
        <f t="shared" si="7"/>
        <v>Exclude</v>
      </c>
    </row>
    <row r="269" spans="1:23" s="64" customFormat="1" x14ac:dyDescent="0.25">
      <c r="A269" s="63"/>
      <c r="U269" s="64" t="str">
        <f t="shared" si="8"/>
        <v>Exclude</v>
      </c>
      <c r="W269" s="65" t="str">
        <f t="shared" si="7"/>
        <v>Exclude</v>
      </c>
    </row>
    <row r="270" spans="1:23" s="64" customFormat="1" x14ac:dyDescent="0.25">
      <c r="A270" s="63"/>
      <c r="U270" s="64" t="str">
        <f t="shared" si="8"/>
        <v>Exclude</v>
      </c>
      <c r="W270" s="65" t="str">
        <f t="shared" si="7"/>
        <v>Exclude</v>
      </c>
    </row>
    <row r="271" spans="1:23" s="64" customFormat="1" x14ac:dyDescent="0.25">
      <c r="A271" s="63"/>
      <c r="U271" s="64" t="str">
        <f t="shared" si="8"/>
        <v>Exclude</v>
      </c>
      <c r="W271" s="65" t="str">
        <f t="shared" si="7"/>
        <v>Exclude</v>
      </c>
    </row>
    <row r="272" spans="1:23" s="64" customFormat="1" x14ac:dyDescent="0.25">
      <c r="A272" s="63"/>
      <c r="U272" s="64" t="str">
        <f t="shared" si="8"/>
        <v>Exclude</v>
      </c>
      <c r="W272" s="65" t="str">
        <f t="shared" si="7"/>
        <v>Exclude</v>
      </c>
    </row>
    <row r="273" spans="1:23" s="64" customFormat="1" x14ac:dyDescent="0.25">
      <c r="A273" s="63"/>
      <c r="U273" s="64" t="str">
        <f t="shared" si="8"/>
        <v>Exclude</v>
      </c>
      <c r="W273" s="65" t="str">
        <f t="shared" si="7"/>
        <v>Exclude</v>
      </c>
    </row>
    <row r="274" spans="1:23" s="64" customFormat="1" x14ac:dyDescent="0.25">
      <c r="A274" s="63"/>
      <c r="U274" s="64" t="str">
        <f t="shared" si="8"/>
        <v>Exclude</v>
      </c>
      <c r="W274" s="65" t="str">
        <f t="shared" si="7"/>
        <v>Exclude</v>
      </c>
    </row>
    <row r="275" spans="1:23" s="64" customFormat="1" x14ac:dyDescent="0.25">
      <c r="A275" s="63"/>
      <c r="U275" s="64" t="str">
        <f t="shared" si="8"/>
        <v>Exclude</v>
      </c>
      <c r="W275" s="65" t="str">
        <f t="shared" si="7"/>
        <v>Exclude</v>
      </c>
    </row>
    <row r="276" spans="1:23" s="64" customFormat="1" x14ac:dyDescent="0.25">
      <c r="A276" s="63"/>
      <c r="U276" s="64" t="str">
        <f t="shared" si="8"/>
        <v>Exclude</v>
      </c>
      <c r="W276" s="65" t="str">
        <f t="shared" si="7"/>
        <v>Exclude</v>
      </c>
    </row>
    <row r="277" spans="1:23" s="64" customFormat="1" x14ac:dyDescent="0.25">
      <c r="A277" s="63"/>
      <c r="U277" s="64" t="str">
        <f t="shared" si="8"/>
        <v>Exclude</v>
      </c>
      <c r="W277" s="65" t="str">
        <f t="shared" si="7"/>
        <v>Exclude</v>
      </c>
    </row>
    <row r="278" spans="1:23" s="64" customFormat="1" x14ac:dyDescent="0.25">
      <c r="A278" s="63"/>
      <c r="U278" s="64" t="str">
        <f t="shared" si="8"/>
        <v>Exclude</v>
      </c>
      <c r="W278" s="65" t="str">
        <f t="shared" si="7"/>
        <v>Exclude</v>
      </c>
    </row>
    <row r="279" spans="1:23" s="64" customFormat="1" x14ac:dyDescent="0.25">
      <c r="A279" s="63"/>
      <c r="U279" s="64" t="str">
        <f t="shared" si="8"/>
        <v>Exclude</v>
      </c>
      <c r="W279" s="65" t="str">
        <f t="shared" si="7"/>
        <v>Exclude</v>
      </c>
    </row>
    <row r="280" spans="1:23" s="64" customFormat="1" x14ac:dyDescent="0.25">
      <c r="A280" s="63"/>
      <c r="U280" s="64" t="str">
        <f t="shared" si="8"/>
        <v>Exclude</v>
      </c>
      <c r="W280" s="65" t="str">
        <f t="shared" si="7"/>
        <v>Exclude</v>
      </c>
    </row>
    <row r="281" spans="1:23" s="64" customFormat="1" x14ac:dyDescent="0.25">
      <c r="A281" s="63"/>
      <c r="U281" s="64" t="str">
        <f t="shared" si="8"/>
        <v>Exclude</v>
      </c>
      <c r="W281" s="65" t="str">
        <f t="shared" si="7"/>
        <v>Exclude</v>
      </c>
    </row>
    <row r="282" spans="1:23" s="64" customFormat="1" x14ac:dyDescent="0.25">
      <c r="A282" s="63"/>
      <c r="U282" s="64" t="str">
        <f t="shared" si="8"/>
        <v>Exclude</v>
      </c>
      <c r="W282" s="65" t="str">
        <f t="shared" si="7"/>
        <v>Exclude</v>
      </c>
    </row>
    <row r="283" spans="1:23" s="64" customFormat="1" x14ac:dyDescent="0.25">
      <c r="A283" s="63"/>
      <c r="U283" s="64" t="str">
        <f t="shared" si="8"/>
        <v>Exclude</v>
      </c>
      <c r="W283" s="65" t="str">
        <f t="shared" si="7"/>
        <v>Exclude</v>
      </c>
    </row>
    <row r="284" spans="1:23" s="64" customFormat="1" x14ac:dyDescent="0.25">
      <c r="A284" s="63"/>
      <c r="U284" s="64" t="str">
        <f t="shared" si="8"/>
        <v>Exclude</v>
      </c>
      <c r="W284" s="65" t="str">
        <f t="shared" si="7"/>
        <v>Exclude</v>
      </c>
    </row>
    <row r="285" spans="1:23" s="64" customFormat="1" x14ac:dyDescent="0.25">
      <c r="A285" s="63"/>
      <c r="U285" s="64" t="str">
        <f t="shared" si="8"/>
        <v>Exclude</v>
      </c>
      <c r="W285" s="65" t="str">
        <f t="shared" si="7"/>
        <v>Exclude</v>
      </c>
    </row>
    <row r="286" spans="1:23" s="64" customFormat="1" x14ac:dyDescent="0.25">
      <c r="A286" s="63"/>
      <c r="U286" s="64" t="str">
        <f t="shared" si="8"/>
        <v>Exclude</v>
      </c>
      <c r="W286" s="65" t="str">
        <f t="shared" si="7"/>
        <v>Exclude</v>
      </c>
    </row>
    <row r="287" spans="1:23" s="64" customFormat="1" x14ac:dyDescent="0.25">
      <c r="A287" s="63"/>
      <c r="U287" s="64" t="str">
        <f t="shared" si="8"/>
        <v>Exclude</v>
      </c>
      <c r="W287" s="65" t="str">
        <f t="shared" ref="W287:W350" si="9">IF(R287="TruePositive",IF(R286&lt;&gt;"Anticipatory",LOG10(N287),"Exclude"),"Exclude")</f>
        <v>Exclude</v>
      </c>
    </row>
    <row r="288" spans="1:23" s="64" customFormat="1" x14ac:dyDescent="0.25">
      <c r="A288" s="63"/>
      <c r="U288" s="64" t="str">
        <f t="shared" si="8"/>
        <v>Exclude</v>
      </c>
      <c r="W288" s="65" t="str">
        <f t="shared" si="9"/>
        <v>Exclude</v>
      </c>
    </row>
    <row r="289" spans="1:23" s="64" customFormat="1" x14ac:dyDescent="0.25">
      <c r="A289" s="63"/>
      <c r="U289" s="64" t="str">
        <f t="shared" si="8"/>
        <v>Exclude</v>
      </c>
      <c r="W289" s="65" t="str">
        <f t="shared" si="9"/>
        <v>Exclude</v>
      </c>
    </row>
    <row r="290" spans="1:23" s="64" customFormat="1" x14ac:dyDescent="0.25">
      <c r="A290" s="63"/>
      <c r="U290" s="64" t="str">
        <f t="shared" si="8"/>
        <v>Exclude</v>
      </c>
      <c r="W290" s="65" t="str">
        <f t="shared" si="9"/>
        <v>Exclude</v>
      </c>
    </row>
    <row r="291" spans="1:23" s="64" customFormat="1" x14ac:dyDescent="0.25">
      <c r="A291" s="63"/>
      <c r="U291" s="64" t="str">
        <f t="shared" si="8"/>
        <v>Exclude</v>
      </c>
      <c r="W291" s="65" t="str">
        <f t="shared" si="9"/>
        <v>Exclude</v>
      </c>
    </row>
    <row r="292" spans="1:23" s="64" customFormat="1" x14ac:dyDescent="0.25">
      <c r="A292" s="63"/>
      <c r="U292" s="64" t="str">
        <f t="shared" si="8"/>
        <v>Exclude</v>
      </c>
      <c r="W292" s="65" t="str">
        <f t="shared" si="9"/>
        <v>Exclude</v>
      </c>
    </row>
    <row r="293" spans="1:23" s="64" customFormat="1" x14ac:dyDescent="0.25">
      <c r="A293" s="63"/>
      <c r="U293" s="64" t="str">
        <f t="shared" si="8"/>
        <v>Exclude</v>
      </c>
      <c r="W293" s="65" t="str">
        <f t="shared" si="9"/>
        <v>Exclude</v>
      </c>
    </row>
    <row r="294" spans="1:23" s="64" customFormat="1" x14ac:dyDescent="0.25">
      <c r="A294" s="63"/>
      <c r="U294" s="64" t="str">
        <f t="shared" si="8"/>
        <v>Exclude</v>
      </c>
      <c r="W294" s="65" t="str">
        <f t="shared" si="9"/>
        <v>Exclude</v>
      </c>
    </row>
    <row r="295" spans="1:23" s="64" customFormat="1" x14ac:dyDescent="0.25">
      <c r="A295" s="63"/>
      <c r="U295" s="64" t="str">
        <f t="shared" si="8"/>
        <v>Exclude</v>
      </c>
      <c r="W295" s="65" t="str">
        <f t="shared" si="9"/>
        <v>Exclude</v>
      </c>
    </row>
    <row r="296" spans="1:23" s="64" customFormat="1" x14ac:dyDescent="0.25">
      <c r="A296" s="63"/>
      <c r="U296" s="64" t="str">
        <f t="shared" si="8"/>
        <v>Exclude</v>
      </c>
      <c r="W296" s="65" t="str">
        <f t="shared" si="9"/>
        <v>Exclude</v>
      </c>
    </row>
    <row r="297" spans="1:23" s="64" customFormat="1" x14ac:dyDescent="0.25">
      <c r="A297" s="63"/>
      <c r="U297" s="64" t="str">
        <f t="shared" si="8"/>
        <v>Exclude</v>
      </c>
      <c r="W297" s="65" t="str">
        <f t="shared" si="9"/>
        <v>Exclude</v>
      </c>
    </row>
    <row r="298" spans="1:23" s="64" customFormat="1" x14ac:dyDescent="0.25">
      <c r="A298" s="63"/>
      <c r="U298" s="64" t="str">
        <f t="shared" si="8"/>
        <v>Exclude</v>
      </c>
      <c r="W298" s="65" t="str">
        <f t="shared" si="9"/>
        <v>Exclude</v>
      </c>
    </row>
    <row r="299" spans="1:23" s="64" customFormat="1" x14ac:dyDescent="0.25">
      <c r="A299" s="63"/>
      <c r="U299" s="64" t="str">
        <f t="shared" si="8"/>
        <v>Exclude</v>
      </c>
      <c r="W299" s="65" t="str">
        <f t="shared" si="9"/>
        <v>Exclude</v>
      </c>
    </row>
    <row r="300" spans="1:23" s="64" customFormat="1" x14ac:dyDescent="0.25">
      <c r="A300" s="63"/>
      <c r="U300" s="64" t="str">
        <f t="shared" si="8"/>
        <v>Exclude</v>
      </c>
      <c r="W300" s="65" t="str">
        <f t="shared" si="9"/>
        <v>Exclude</v>
      </c>
    </row>
    <row r="301" spans="1:23" s="64" customFormat="1" x14ac:dyDescent="0.25">
      <c r="A301" s="63"/>
      <c r="U301" s="64" t="str">
        <f t="shared" si="8"/>
        <v>Exclude</v>
      </c>
      <c r="W301" s="65" t="str">
        <f t="shared" si="9"/>
        <v>Exclude</v>
      </c>
    </row>
    <row r="302" spans="1:23" s="64" customFormat="1" x14ac:dyDescent="0.25">
      <c r="A302" s="63"/>
      <c r="U302" s="64" t="str">
        <f t="shared" si="8"/>
        <v>Exclude</v>
      </c>
      <c r="W302" s="65" t="str">
        <f t="shared" si="9"/>
        <v>Exclude</v>
      </c>
    </row>
    <row r="303" spans="1:23" s="64" customFormat="1" x14ac:dyDescent="0.25">
      <c r="A303" s="63"/>
      <c r="U303" s="64" t="str">
        <f t="shared" si="8"/>
        <v>Exclude</v>
      </c>
      <c r="W303" s="65" t="str">
        <f t="shared" si="9"/>
        <v>Exclude</v>
      </c>
    </row>
    <row r="304" spans="1:23" s="64" customFormat="1" x14ac:dyDescent="0.25">
      <c r="A304" s="63"/>
      <c r="U304" s="64" t="str">
        <f t="shared" si="8"/>
        <v>Exclude</v>
      </c>
      <c r="W304" s="65" t="str">
        <f t="shared" si="9"/>
        <v>Exclude</v>
      </c>
    </row>
    <row r="305" spans="1:23" s="64" customFormat="1" x14ac:dyDescent="0.25">
      <c r="A305" s="63"/>
      <c r="U305" s="64" t="str">
        <f t="shared" si="8"/>
        <v>Exclude</v>
      </c>
      <c r="W305" s="65" t="str">
        <f t="shared" si="9"/>
        <v>Exclude</v>
      </c>
    </row>
    <row r="306" spans="1:23" s="64" customFormat="1" x14ac:dyDescent="0.25">
      <c r="A306" s="63"/>
      <c r="U306" s="64" t="str">
        <f t="shared" si="8"/>
        <v>Exclude</v>
      </c>
      <c r="W306" s="65" t="str">
        <f t="shared" si="9"/>
        <v>Exclude</v>
      </c>
    </row>
    <row r="307" spans="1:23" s="64" customFormat="1" x14ac:dyDescent="0.25">
      <c r="A307" s="63"/>
      <c r="U307" s="64" t="str">
        <f t="shared" si="8"/>
        <v>Exclude</v>
      </c>
      <c r="W307" s="65" t="str">
        <f t="shared" si="9"/>
        <v>Exclude</v>
      </c>
    </row>
    <row r="308" spans="1:23" s="64" customFormat="1" x14ac:dyDescent="0.25">
      <c r="A308" s="63"/>
      <c r="U308" s="64" t="str">
        <f t="shared" si="8"/>
        <v>Exclude</v>
      </c>
      <c r="W308" s="65" t="str">
        <f t="shared" si="9"/>
        <v>Exclude</v>
      </c>
    </row>
    <row r="309" spans="1:23" s="64" customFormat="1" x14ac:dyDescent="0.25">
      <c r="A309" s="63"/>
      <c r="U309" s="64" t="str">
        <f t="shared" si="8"/>
        <v>Exclude</v>
      </c>
      <c r="W309" s="65" t="str">
        <f t="shared" si="9"/>
        <v>Exclude</v>
      </c>
    </row>
    <row r="310" spans="1:23" s="64" customFormat="1" x14ac:dyDescent="0.25">
      <c r="A310" s="63"/>
      <c r="U310" s="64" t="str">
        <f t="shared" ref="U310:U373" si="10">IF(R310="TruePositive",IF(R309&lt;&gt;"Anticipatory",(N310),"Pant"),"Exclude")</f>
        <v>Exclude</v>
      </c>
      <c r="W310" s="65" t="str">
        <f t="shared" si="9"/>
        <v>Exclude</v>
      </c>
    </row>
    <row r="311" spans="1:23" s="64" customFormat="1" x14ac:dyDescent="0.25">
      <c r="A311" s="63"/>
      <c r="U311" s="64" t="str">
        <f t="shared" si="10"/>
        <v>Exclude</v>
      </c>
      <c r="W311" s="65" t="str">
        <f t="shared" si="9"/>
        <v>Exclude</v>
      </c>
    </row>
    <row r="312" spans="1:23" s="64" customFormat="1" x14ac:dyDescent="0.25">
      <c r="A312" s="63"/>
      <c r="U312" s="64" t="str">
        <f t="shared" si="10"/>
        <v>Exclude</v>
      </c>
      <c r="W312" s="65" t="str">
        <f t="shared" si="9"/>
        <v>Exclude</v>
      </c>
    </row>
    <row r="313" spans="1:23" s="64" customFormat="1" x14ac:dyDescent="0.25">
      <c r="A313" s="63"/>
      <c r="U313" s="64" t="str">
        <f t="shared" si="10"/>
        <v>Exclude</v>
      </c>
      <c r="W313" s="65" t="str">
        <f t="shared" si="9"/>
        <v>Exclude</v>
      </c>
    </row>
    <row r="314" spans="1:23" s="64" customFormat="1" x14ac:dyDescent="0.25">
      <c r="A314" s="63"/>
      <c r="U314" s="64" t="str">
        <f t="shared" si="10"/>
        <v>Exclude</v>
      </c>
      <c r="W314" s="65" t="str">
        <f t="shared" si="9"/>
        <v>Exclude</v>
      </c>
    </row>
    <row r="315" spans="1:23" s="64" customFormat="1" x14ac:dyDescent="0.25">
      <c r="A315" s="63"/>
      <c r="U315" s="64" t="str">
        <f t="shared" si="10"/>
        <v>Exclude</v>
      </c>
      <c r="W315" s="65" t="str">
        <f t="shared" si="9"/>
        <v>Exclude</v>
      </c>
    </row>
    <row r="316" spans="1:23" s="64" customFormat="1" x14ac:dyDescent="0.25">
      <c r="A316" s="63"/>
      <c r="U316" s="64" t="str">
        <f t="shared" si="10"/>
        <v>Exclude</v>
      </c>
      <c r="W316" s="65" t="str">
        <f t="shared" si="9"/>
        <v>Exclude</v>
      </c>
    </row>
    <row r="317" spans="1:23" s="64" customFormat="1" x14ac:dyDescent="0.25">
      <c r="A317" s="63"/>
      <c r="U317" s="64" t="str">
        <f t="shared" si="10"/>
        <v>Exclude</v>
      </c>
      <c r="W317" s="65" t="str">
        <f t="shared" si="9"/>
        <v>Exclude</v>
      </c>
    </row>
    <row r="318" spans="1:23" s="64" customFormat="1" x14ac:dyDescent="0.25">
      <c r="A318" s="63"/>
      <c r="U318" s="64" t="str">
        <f t="shared" si="10"/>
        <v>Exclude</v>
      </c>
      <c r="W318" s="65" t="str">
        <f t="shared" si="9"/>
        <v>Exclude</v>
      </c>
    </row>
    <row r="319" spans="1:23" s="64" customFormat="1" x14ac:dyDescent="0.25">
      <c r="A319" s="63"/>
      <c r="U319" s="64" t="str">
        <f t="shared" si="10"/>
        <v>Exclude</v>
      </c>
      <c r="W319" s="65" t="str">
        <f t="shared" si="9"/>
        <v>Exclude</v>
      </c>
    </row>
    <row r="320" spans="1:23" s="64" customFormat="1" x14ac:dyDescent="0.25">
      <c r="A320" s="63"/>
      <c r="U320" s="64" t="str">
        <f t="shared" si="10"/>
        <v>Exclude</v>
      </c>
      <c r="W320" s="65" t="str">
        <f t="shared" si="9"/>
        <v>Exclude</v>
      </c>
    </row>
    <row r="321" spans="1:23" s="64" customFormat="1" x14ac:dyDescent="0.25">
      <c r="A321" s="63"/>
      <c r="U321" s="64" t="str">
        <f t="shared" si="10"/>
        <v>Exclude</v>
      </c>
      <c r="W321" s="65" t="str">
        <f t="shared" si="9"/>
        <v>Exclude</v>
      </c>
    </row>
    <row r="322" spans="1:23" s="64" customFormat="1" x14ac:dyDescent="0.25">
      <c r="A322" s="63"/>
      <c r="U322" s="64" t="str">
        <f t="shared" si="10"/>
        <v>Exclude</v>
      </c>
      <c r="W322" s="65" t="str">
        <f t="shared" si="9"/>
        <v>Exclude</v>
      </c>
    </row>
    <row r="323" spans="1:23" s="64" customFormat="1" x14ac:dyDescent="0.25">
      <c r="A323" s="63"/>
      <c r="U323" s="64" t="str">
        <f t="shared" si="10"/>
        <v>Exclude</v>
      </c>
      <c r="W323" s="65" t="str">
        <f t="shared" si="9"/>
        <v>Exclude</v>
      </c>
    </row>
    <row r="324" spans="1:23" s="64" customFormat="1" x14ac:dyDescent="0.25">
      <c r="A324" s="63"/>
      <c r="U324" s="64" t="str">
        <f t="shared" si="10"/>
        <v>Exclude</v>
      </c>
      <c r="W324" s="65" t="str">
        <f t="shared" si="9"/>
        <v>Exclude</v>
      </c>
    </row>
    <row r="325" spans="1:23" s="64" customFormat="1" x14ac:dyDescent="0.25">
      <c r="A325" s="63"/>
      <c r="U325" s="64" t="str">
        <f t="shared" si="10"/>
        <v>Exclude</v>
      </c>
      <c r="W325" s="65" t="str">
        <f t="shared" si="9"/>
        <v>Exclude</v>
      </c>
    </row>
    <row r="326" spans="1:23" s="64" customFormat="1" x14ac:dyDescent="0.25">
      <c r="A326" s="63"/>
      <c r="U326" s="64" t="str">
        <f t="shared" si="10"/>
        <v>Exclude</v>
      </c>
      <c r="W326" s="65" t="str">
        <f t="shared" si="9"/>
        <v>Exclude</v>
      </c>
    </row>
    <row r="327" spans="1:23" s="64" customFormat="1" x14ac:dyDescent="0.25">
      <c r="A327" s="63"/>
      <c r="U327" s="64" t="str">
        <f t="shared" si="10"/>
        <v>Exclude</v>
      </c>
      <c r="W327" s="65" t="str">
        <f t="shared" si="9"/>
        <v>Exclude</v>
      </c>
    </row>
    <row r="328" spans="1:23" s="64" customFormat="1" x14ac:dyDescent="0.25">
      <c r="A328" s="63"/>
      <c r="U328" s="64" t="str">
        <f t="shared" si="10"/>
        <v>Exclude</v>
      </c>
      <c r="W328" s="65" t="str">
        <f t="shared" si="9"/>
        <v>Exclude</v>
      </c>
    </row>
    <row r="329" spans="1:23" s="64" customFormat="1" x14ac:dyDescent="0.25">
      <c r="A329" s="63"/>
      <c r="U329" s="64" t="str">
        <f t="shared" si="10"/>
        <v>Exclude</v>
      </c>
      <c r="W329" s="65" t="str">
        <f t="shared" si="9"/>
        <v>Exclude</v>
      </c>
    </row>
    <row r="330" spans="1:23" s="64" customFormat="1" x14ac:dyDescent="0.25">
      <c r="A330" s="63"/>
      <c r="U330" s="64" t="str">
        <f t="shared" si="10"/>
        <v>Exclude</v>
      </c>
      <c r="W330" s="65" t="str">
        <f t="shared" si="9"/>
        <v>Exclude</v>
      </c>
    </row>
    <row r="331" spans="1:23" s="64" customFormat="1" x14ac:dyDescent="0.25">
      <c r="A331" s="63"/>
      <c r="U331" s="64" t="str">
        <f t="shared" si="10"/>
        <v>Exclude</v>
      </c>
      <c r="W331" s="65" t="str">
        <f t="shared" si="9"/>
        <v>Exclude</v>
      </c>
    </row>
    <row r="332" spans="1:23" s="64" customFormat="1" x14ac:dyDescent="0.25">
      <c r="A332" s="63"/>
      <c r="U332" s="64" t="str">
        <f t="shared" si="10"/>
        <v>Exclude</v>
      </c>
      <c r="W332" s="65" t="str">
        <f t="shared" si="9"/>
        <v>Exclude</v>
      </c>
    </row>
    <row r="333" spans="1:23" s="64" customFormat="1" x14ac:dyDescent="0.25">
      <c r="A333" s="63"/>
      <c r="U333" s="64" t="str">
        <f t="shared" si="10"/>
        <v>Exclude</v>
      </c>
      <c r="W333" s="65" t="str">
        <f t="shared" si="9"/>
        <v>Exclude</v>
      </c>
    </row>
    <row r="334" spans="1:23" s="64" customFormat="1" x14ac:dyDescent="0.25">
      <c r="A334" s="63"/>
      <c r="U334" s="64" t="str">
        <f t="shared" si="10"/>
        <v>Exclude</v>
      </c>
      <c r="W334" s="65" t="str">
        <f t="shared" si="9"/>
        <v>Exclude</v>
      </c>
    </row>
    <row r="335" spans="1:23" s="64" customFormat="1" x14ac:dyDescent="0.25">
      <c r="A335" s="63"/>
      <c r="U335" s="64" t="str">
        <f t="shared" si="10"/>
        <v>Exclude</v>
      </c>
      <c r="W335" s="65" t="str">
        <f t="shared" si="9"/>
        <v>Exclude</v>
      </c>
    </row>
    <row r="336" spans="1:23" s="64" customFormat="1" x14ac:dyDescent="0.25">
      <c r="A336" s="63"/>
      <c r="U336" s="64" t="str">
        <f t="shared" si="10"/>
        <v>Exclude</v>
      </c>
      <c r="W336" s="65" t="str">
        <f t="shared" si="9"/>
        <v>Exclude</v>
      </c>
    </row>
    <row r="337" spans="1:23" s="64" customFormat="1" x14ac:dyDescent="0.25">
      <c r="A337" s="63"/>
      <c r="U337" s="64" t="str">
        <f t="shared" si="10"/>
        <v>Exclude</v>
      </c>
      <c r="W337" s="65" t="str">
        <f t="shared" si="9"/>
        <v>Exclude</v>
      </c>
    </row>
    <row r="338" spans="1:23" s="64" customFormat="1" x14ac:dyDescent="0.25">
      <c r="A338" s="63"/>
      <c r="U338" s="64" t="str">
        <f t="shared" si="10"/>
        <v>Exclude</v>
      </c>
      <c r="W338" s="65" t="str">
        <f t="shared" si="9"/>
        <v>Exclude</v>
      </c>
    </row>
    <row r="339" spans="1:23" s="64" customFormat="1" x14ac:dyDescent="0.25">
      <c r="A339" s="63"/>
      <c r="U339" s="64" t="str">
        <f t="shared" si="10"/>
        <v>Exclude</v>
      </c>
      <c r="W339" s="65" t="str">
        <f t="shared" si="9"/>
        <v>Exclude</v>
      </c>
    </row>
    <row r="340" spans="1:23" s="64" customFormat="1" x14ac:dyDescent="0.25">
      <c r="A340" s="63"/>
      <c r="U340" s="64" t="str">
        <f t="shared" si="10"/>
        <v>Exclude</v>
      </c>
      <c r="W340" s="65" t="str">
        <f t="shared" si="9"/>
        <v>Exclude</v>
      </c>
    </row>
    <row r="341" spans="1:23" s="64" customFormat="1" x14ac:dyDescent="0.25">
      <c r="A341" s="63"/>
      <c r="U341" s="64" t="str">
        <f t="shared" si="10"/>
        <v>Exclude</v>
      </c>
      <c r="W341" s="65" t="str">
        <f t="shared" si="9"/>
        <v>Exclude</v>
      </c>
    </row>
    <row r="342" spans="1:23" s="64" customFormat="1" x14ac:dyDescent="0.25">
      <c r="A342" s="63"/>
      <c r="U342" s="64" t="str">
        <f t="shared" si="10"/>
        <v>Exclude</v>
      </c>
      <c r="W342" s="65" t="str">
        <f t="shared" si="9"/>
        <v>Exclude</v>
      </c>
    </row>
    <row r="343" spans="1:23" s="64" customFormat="1" x14ac:dyDescent="0.25">
      <c r="A343" s="63"/>
      <c r="U343" s="64" t="str">
        <f t="shared" si="10"/>
        <v>Exclude</v>
      </c>
      <c r="W343" s="65" t="str">
        <f t="shared" si="9"/>
        <v>Exclude</v>
      </c>
    </row>
    <row r="344" spans="1:23" s="64" customFormat="1" x14ac:dyDescent="0.25">
      <c r="A344" s="63"/>
      <c r="U344" s="64" t="str">
        <f t="shared" si="10"/>
        <v>Exclude</v>
      </c>
      <c r="W344" s="65" t="str">
        <f t="shared" si="9"/>
        <v>Exclude</v>
      </c>
    </row>
    <row r="345" spans="1:23" s="64" customFormat="1" x14ac:dyDescent="0.25">
      <c r="A345" s="63"/>
      <c r="U345" s="64" t="str">
        <f t="shared" si="10"/>
        <v>Exclude</v>
      </c>
      <c r="W345" s="65" t="str">
        <f t="shared" si="9"/>
        <v>Exclude</v>
      </c>
    </row>
    <row r="346" spans="1:23" s="64" customFormat="1" x14ac:dyDescent="0.25">
      <c r="A346" s="63"/>
      <c r="U346" s="64" t="str">
        <f t="shared" si="10"/>
        <v>Exclude</v>
      </c>
      <c r="W346" s="65" t="str">
        <f t="shared" si="9"/>
        <v>Exclude</v>
      </c>
    </row>
    <row r="347" spans="1:23" s="64" customFormat="1" x14ac:dyDescent="0.25">
      <c r="A347" s="63"/>
      <c r="U347" s="64" t="str">
        <f t="shared" si="10"/>
        <v>Exclude</v>
      </c>
      <c r="W347" s="65" t="str">
        <f t="shared" si="9"/>
        <v>Exclude</v>
      </c>
    </row>
    <row r="348" spans="1:23" s="64" customFormat="1" x14ac:dyDescent="0.25">
      <c r="A348" s="63"/>
      <c r="U348" s="64" t="str">
        <f t="shared" si="10"/>
        <v>Exclude</v>
      </c>
      <c r="W348" s="65" t="str">
        <f t="shared" si="9"/>
        <v>Exclude</v>
      </c>
    </row>
    <row r="349" spans="1:23" s="64" customFormat="1" x14ac:dyDescent="0.25">
      <c r="A349" s="63"/>
      <c r="U349" s="64" t="str">
        <f t="shared" si="10"/>
        <v>Exclude</v>
      </c>
      <c r="W349" s="65" t="str">
        <f t="shared" si="9"/>
        <v>Exclude</v>
      </c>
    </row>
    <row r="350" spans="1:23" s="64" customFormat="1" x14ac:dyDescent="0.25">
      <c r="A350" s="63"/>
      <c r="U350" s="64" t="str">
        <f t="shared" si="10"/>
        <v>Exclude</v>
      </c>
      <c r="W350" s="65" t="str">
        <f t="shared" si="9"/>
        <v>Exclude</v>
      </c>
    </row>
    <row r="351" spans="1:23" s="64" customFormat="1" x14ac:dyDescent="0.25">
      <c r="A351" s="63"/>
      <c r="U351" s="64" t="str">
        <f t="shared" si="10"/>
        <v>Exclude</v>
      </c>
      <c r="W351" s="65" t="str">
        <f t="shared" ref="W351:W414" si="11">IF(R351="TruePositive",IF(R350&lt;&gt;"Anticipatory",LOG10(N351),"Exclude"),"Exclude")</f>
        <v>Exclude</v>
      </c>
    </row>
    <row r="352" spans="1:23" s="64" customFormat="1" x14ac:dyDescent="0.25">
      <c r="A352" s="63"/>
      <c r="U352" s="64" t="str">
        <f t="shared" si="10"/>
        <v>Exclude</v>
      </c>
      <c r="W352" s="65" t="str">
        <f t="shared" si="11"/>
        <v>Exclude</v>
      </c>
    </row>
    <row r="353" spans="1:23" s="64" customFormat="1" x14ac:dyDescent="0.25">
      <c r="A353" s="63"/>
      <c r="U353" s="64" t="str">
        <f t="shared" si="10"/>
        <v>Exclude</v>
      </c>
      <c r="W353" s="65" t="str">
        <f t="shared" si="11"/>
        <v>Exclude</v>
      </c>
    </row>
    <row r="354" spans="1:23" s="64" customFormat="1" x14ac:dyDescent="0.25">
      <c r="A354" s="63"/>
      <c r="U354" s="64" t="str">
        <f t="shared" si="10"/>
        <v>Exclude</v>
      </c>
      <c r="W354" s="65" t="str">
        <f t="shared" si="11"/>
        <v>Exclude</v>
      </c>
    </row>
    <row r="355" spans="1:23" s="64" customFormat="1" x14ac:dyDescent="0.25">
      <c r="A355" s="63"/>
      <c r="U355" s="64" t="str">
        <f t="shared" si="10"/>
        <v>Exclude</v>
      </c>
      <c r="W355" s="65" t="str">
        <f t="shared" si="11"/>
        <v>Exclude</v>
      </c>
    </row>
    <row r="356" spans="1:23" s="64" customFormat="1" x14ac:dyDescent="0.25">
      <c r="A356" s="63"/>
      <c r="U356" s="64" t="str">
        <f t="shared" si="10"/>
        <v>Exclude</v>
      </c>
      <c r="W356" s="65" t="str">
        <f t="shared" si="11"/>
        <v>Exclude</v>
      </c>
    </row>
    <row r="357" spans="1:23" s="64" customFormat="1" x14ac:dyDescent="0.25">
      <c r="A357" s="63"/>
      <c r="U357" s="64" t="str">
        <f t="shared" si="10"/>
        <v>Exclude</v>
      </c>
      <c r="W357" s="65" t="str">
        <f t="shared" si="11"/>
        <v>Exclude</v>
      </c>
    </row>
    <row r="358" spans="1:23" s="64" customFormat="1" x14ac:dyDescent="0.25">
      <c r="A358" s="63"/>
      <c r="U358" s="64" t="str">
        <f t="shared" si="10"/>
        <v>Exclude</v>
      </c>
      <c r="W358" s="65" t="str">
        <f t="shared" si="11"/>
        <v>Exclude</v>
      </c>
    </row>
    <row r="359" spans="1:23" s="64" customFormat="1" x14ac:dyDescent="0.25">
      <c r="A359" s="63"/>
      <c r="U359" s="64" t="str">
        <f t="shared" si="10"/>
        <v>Exclude</v>
      </c>
      <c r="W359" s="65" t="str">
        <f t="shared" si="11"/>
        <v>Exclude</v>
      </c>
    </row>
    <row r="360" spans="1:23" s="64" customFormat="1" x14ac:dyDescent="0.25">
      <c r="A360" s="63"/>
      <c r="U360" s="64" t="str">
        <f t="shared" si="10"/>
        <v>Exclude</v>
      </c>
      <c r="W360" s="65" t="str">
        <f t="shared" si="11"/>
        <v>Exclude</v>
      </c>
    </row>
    <row r="361" spans="1:23" s="64" customFormat="1" x14ac:dyDescent="0.25">
      <c r="A361" s="63"/>
      <c r="U361" s="64" t="str">
        <f t="shared" si="10"/>
        <v>Exclude</v>
      </c>
      <c r="W361" s="65" t="str">
        <f t="shared" si="11"/>
        <v>Exclude</v>
      </c>
    </row>
    <row r="362" spans="1:23" s="64" customFormat="1" x14ac:dyDescent="0.25">
      <c r="A362" s="63"/>
      <c r="U362" s="64" t="str">
        <f t="shared" si="10"/>
        <v>Exclude</v>
      </c>
      <c r="W362" s="65" t="str">
        <f t="shared" si="11"/>
        <v>Exclude</v>
      </c>
    </row>
    <row r="363" spans="1:23" s="64" customFormat="1" x14ac:dyDescent="0.25">
      <c r="A363" s="63"/>
      <c r="U363" s="64" t="str">
        <f t="shared" si="10"/>
        <v>Exclude</v>
      </c>
      <c r="W363" s="65" t="str">
        <f t="shared" si="11"/>
        <v>Exclude</v>
      </c>
    </row>
    <row r="364" spans="1:23" s="64" customFormat="1" x14ac:dyDescent="0.25">
      <c r="A364" s="63"/>
      <c r="U364" s="64" t="str">
        <f t="shared" si="10"/>
        <v>Exclude</v>
      </c>
      <c r="W364" s="65" t="str">
        <f t="shared" si="11"/>
        <v>Exclude</v>
      </c>
    </row>
    <row r="365" spans="1:23" s="64" customFormat="1" x14ac:dyDescent="0.25">
      <c r="A365" s="63"/>
      <c r="U365" s="64" t="str">
        <f t="shared" si="10"/>
        <v>Exclude</v>
      </c>
      <c r="W365" s="65" t="str">
        <f t="shared" si="11"/>
        <v>Exclude</v>
      </c>
    </row>
    <row r="366" spans="1:23" s="64" customFormat="1" x14ac:dyDescent="0.25">
      <c r="A366" s="63"/>
      <c r="U366" s="64" t="str">
        <f t="shared" si="10"/>
        <v>Exclude</v>
      </c>
      <c r="W366" s="65" t="str">
        <f t="shared" si="11"/>
        <v>Exclude</v>
      </c>
    </row>
    <row r="367" spans="1:23" s="64" customFormat="1" x14ac:dyDescent="0.25">
      <c r="A367" s="63"/>
      <c r="U367" s="64" t="str">
        <f t="shared" si="10"/>
        <v>Exclude</v>
      </c>
      <c r="W367" s="65" t="str">
        <f t="shared" si="11"/>
        <v>Exclude</v>
      </c>
    </row>
    <row r="368" spans="1:23" s="64" customFormat="1" x14ac:dyDescent="0.25">
      <c r="A368" s="63"/>
      <c r="U368" s="64" t="str">
        <f t="shared" si="10"/>
        <v>Exclude</v>
      </c>
      <c r="W368" s="65" t="str">
        <f t="shared" si="11"/>
        <v>Exclude</v>
      </c>
    </row>
    <row r="369" spans="1:23" s="64" customFormat="1" x14ac:dyDescent="0.25">
      <c r="A369" s="63"/>
      <c r="U369" s="64" t="str">
        <f t="shared" si="10"/>
        <v>Exclude</v>
      </c>
      <c r="W369" s="65" t="str">
        <f t="shared" si="11"/>
        <v>Exclude</v>
      </c>
    </row>
    <row r="370" spans="1:23" s="64" customFormat="1" x14ac:dyDescent="0.25">
      <c r="A370" s="63"/>
      <c r="U370" s="64" t="str">
        <f t="shared" si="10"/>
        <v>Exclude</v>
      </c>
      <c r="W370" s="65" t="str">
        <f t="shared" si="11"/>
        <v>Exclude</v>
      </c>
    </row>
    <row r="371" spans="1:23" s="64" customFormat="1" x14ac:dyDescent="0.25">
      <c r="A371" s="63"/>
      <c r="U371" s="64" t="str">
        <f t="shared" si="10"/>
        <v>Exclude</v>
      </c>
      <c r="W371" s="65" t="str">
        <f t="shared" si="11"/>
        <v>Exclude</v>
      </c>
    </row>
    <row r="372" spans="1:23" s="64" customFormat="1" x14ac:dyDescent="0.25">
      <c r="A372" s="63"/>
      <c r="U372" s="64" t="str">
        <f t="shared" si="10"/>
        <v>Exclude</v>
      </c>
      <c r="W372" s="65" t="str">
        <f t="shared" si="11"/>
        <v>Exclude</v>
      </c>
    </row>
    <row r="373" spans="1:23" s="64" customFormat="1" x14ac:dyDescent="0.25">
      <c r="A373" s="63"/>
      <c r="U373" s="64" t="str">
        <f t="shared" si="10"/>
        <v>Exclude</v>
      </c>
      <c r="W373" s="65" t="str">
        <f t="shared" si="11"/>
        <v>Exclude</v>
      </c>
    </row>
    <row r="374" spans="1:23" s="64" customFormat="1" x14ac:dyDescent="0.25">
      <c r="A374" s="63"/>
      <c r="U374" s="64" t="str">
        <f t="shared" ref="U374:U437" si="12">IF(R374="TruePositive",IF(R373&lt;&gt;"Anticipatory",(N374),"Pant"),"Exclude")</f>
        <v>Exclude</v>
      </c>
      <c r="W374" s="65" t="str">
        <f t="shared" si="11"/>
        <v>Exclude</v>
      </c>
    </row>
    <row r="375" spans="1:23" s="64" customFormat="1" x14ac:dyDescent="0.25">
      <c r="A375" s="63"/>
      <c r="U375" s="64" t="str">
        <f t="shared" si="12"/>
        <v>Exclude</v>
      </c>
      <c r="W375" s="65" t="str">
        <f t="shared" si="11"/>
        <v>Exclude</v>
      </c>
    </row>
    <row r="376" spans="1:23" s="64" customFormat="1" x14ac:dyDescent="0.25">
      <c r="A376" s="63"/>
      <c r="U376" s="64" t="str">
        <f t="shared" si="12"/>
        <v>Exclude</v>
      </c>
      <c r="W376" s="65" t="str">
        <f t="shared" si="11"/>
        <v>Exclude</v>
      </c>
    </row>
    <row r="377" spans="1:23" s="64" customFormat="1" x14ac:dyDescent="0.25">
      <c r="A377" s="63"/>
      <c r="U377" s="64" t="str">
        <f t="shared" si="12"/>
        <v>Exclude</v>
      </c>
      <c r="W377" s="65" t="str">
        <f t="shared" si="11"/>
        <v>Exclude</v>
      </c>
    </row>
    <row r="378" spans="1:23" s="64" customFormat="1" x14ac:dyDescent="0.25">
      <c r="A378" s="63"/>
      <c r="U378" s="64" t="str">
        <f t="shared" si="12"/>
        <v>Exclude</v>
      </c>
      <c r="W378" s="65" t="str">
        <f t="shared" si="11"/>
        <v>Exclude</v>
      </c>
    </row>
    <row r="379" spans="1:23" s="64" customFormat="1" x14ac:dyDescent="0.25">
      <c r="A379" s="63"/>
      <c r="U379" s="64" t="str">
        <f t="shared" si="12"/>
        <v>Exclude</v>
      </c>
      <c r="W379" s="65" t="str">
        <f t="shared" si="11"/>
        <v>Exclude</v>
      </c>
    </row>
    <row r="380" spans="1:23" s="64" customFormat="1" x14ac:dyDescent="0.25">
      <c r="A380" s="63"/>
      <c r="U380" s="64" t="str">
        <f t="shared" si="12"/>
        <v>Exclude</v>
      </c>
      <c r="W380" s="65" t="str">
        <f t="shared" si="11"/>
        <v>Exclude</v>
      </c>
    </row>
    <row r="381" spans="1:23" s="64" customFormat="1" x14ac:dyDescent="0.25">
      <c r="A381" s="63"/>
      <c r="U381" s="64" t="str">
        <f t="shared" si="12"/>
        <v>Exclude</v>
      </c>
      <c r="W381" s="65" t="str">
        <f t="shared" si="11"/>
        <v>Exclude</v>
      </c>
    </row>
    <row r="382" spans="1:23" s="64" customFormat="1" x14ac:dyDescent="0.25">
      <c r="A382" s="63"/>
      <c r="U382" s="64" t="str">
        <f t="shared" si="12"/>
        <v>Exclude</v>
      </c>
      <c r="W382" s="65" t="str">
        <f t="shared" si="11"/>
        <v>Exclude</v>
      </c>
    </row>
    <row r="383" spans="1:23" s="64" customFormat="1" x14ac:dyDescent="0.25">
      <c r="A383" s="63"/>
      <c r="U383" s="64" t="str">
        <f t="shared" si="12"/>
        <v>Exclude</v>
      </c>
      <c r="W383" s="65" t="str">
        <f t="shared" si="11"/>
        <v>Exclude</v>
      </c>
    </row>
    <row r="384" spans="1:23" s="64" customFormat="1" x14ac:dyDescent="0.25">
      <c r="A384" s="63"/>
      <c r="U384" s="64" t="str">
        <f t="shared" si="12"/>
        <v>Exclude</v>
      </c>
      <c r="W384" s="65" t="str">
        <f t="shared" si="11"/>
        <v>Exclude</v>
      </c>
    </row>
    <row r="385" spans="1:23" s="64" customFormat="1" x14ac:dyDescent="0.25">
      <c r="A385" s="63"/>
      <c r="U385" s="64" t="str">
        <f t="shared" si="12"/>
        <v>Exclude</v>
      </c>
      <c r="W385" s="65" t="str">
        <f t="shared" si="11"/>
        <v>Exclude</v>
      </c>
    </row>
    <row r="386" spans="1:23" s="64" customFormat="1" x14ac:dyDescent="0.25">
      <c r="A386" s="63"/>
      <c r="U386" s="64" t="str">
        <f t="shared" si="12"/>
        <v>Exclude</v>
      </c>
      <c r="W386" s="65" t="str">
        <f t="shared" si="11"/>
        <v>Exclude</v>
      </c>
    </row>
    <row r="387" spans="1:23" s="64" customFormat="1" x14ac:dyDescent="0.25">
      <c r="A387" s="63"/>
      <c r="U387" s="64" t="str">
        <f t="shared" si="12"/>
        <v>Exclude</v>
      </c>
      <c r="W387" s="65" t="str">
        <f t="shared" si="11"/>
        <v>Exclude</v>
      </c>
    </row>
    <row r="388" spans="1:23" s="64" customFormat="1" x14ac:dyDescent="0.25">
      <c r="A388" s="63"/>
      <c r="U388" s="64" t="str">
        <f t="shared" si="12"/>
        <v>Exclude</v>
      </c>
      <c r="W388" s="65" t="str">
        <f t="shared" si="11"/>
        <v>Exclude</v>
      </c>
    </row>
    <row r="389" spans="1:23" s="64" customFormat="1" x14ac:dyDescent="0.25">
      <c r="A389" s="63"/>
      <c r="U389" s="64" t="str">
        <f t="shared" si="12"/>
        <v>Exclude</v>
      </c>
      <c r="W389" s="65" t="str">
        <f t="shared" si="11"/>
        <v>Exclude</v>
      </c>
    </row>
    <row r="390" spans="1:23" s="64" customFormat="1" x14ac:dyDescent="0.25">
      <c r="A390" s="63"/>
      <c r="U390" s="64" t="str">
        <f t="shared" si="12"/>
        <v>Exclude</v>
      </c>
      <c r="W390" s="65" t="str">
        <f t="shared" si="11"/>
        <v>Exclude</v>
      </c>
    </row>
    <row r="391" spans="1:23" s="64" customFormat="1" x14ac:dyDescent="0.25">
      <c r="A391" s="63"/>
      <c r="U391" s="64" t="str">
        <f t="shared" si="12"/>
        <v>Exclude</v>
      </c>
      <c r="W391" s="65" t="str">
        <f t="shared" si="11"/>
        <v>Exclude</v>
      </c>
    </row>
    <row r="392" spans="1:23" s="64" customFormat="1" x14ac:dyDescent="0.25">
      <c r="A392" s="63"/>
      <c r="U392" s="64" t="str">
        <f t="shared" si="12"/>
        <v>Exclude</v>
      </c>
      <c r="W392" s="65" t="str">
        <f t="shared" si="11"/>
        <v>Exclude</v>
      </c>
    </row>
    <row r="393" spans="1:23" s="64" customFormat="1" x14ac:dyDescent="0.25">
      <c r="A393" s="63"/>
      <c r="U393" s="64" t="str">
        <f t="shared" si="12"/>
        <v>Exclude</v>
      </c>
      <c r="W393" s="65" t="str">
        <f t="shared" si="11"/>
        <v>Exclude</v>
      </c>
    </row>
    <row r="394" spans="1:23" s="64" customFormat="1" x14ac:dyDescent="0.25">
      <c r="A394" s="63"/>
      <c r="U394" s="64" t="str">
        <f t="shared" si="12"/>
        <v>Exclude</v>
      </c>
      <c r="W394" s="65" t="str">
        <f t="shared" si="11"/>
        <v>Exclude</v>
      </c>
    </row>
    <row r="395" spans="1:23" s="64" customFormat="1" x14ac:dyDescent="0.25">
      <c r="A395" s="63"/>
      <c r="U395" s="64" t="str">
        <f t="shared" si="12"/>
        <v>Exclude</v>
      </c>
      <c r="W395" s="65" t="str">
        <f t="shared" si="11"/>
        <v>Exclude</v>
      </c>
    </row>
    <row r="396" spans="1:23" s="64" customFormat="1" x14ac:dyDescent="0.25">
      <c r="A396" s="63"/>
      <c r="U396" s="64" t="str">
        <f t="shared" si="12"/>
        <v>Exclude</v>
      </c>
      <c r="W396" s="65" t="str">
        <f t="shared" si="11"/>
        <v>Exclude</v>
      </c>
    </row>
    <row r="397" spans="1:23" s="64" customFormat="1" x14ac:dyDescent="0.25">
      <c r="A397" s="63"/>
      <c r="U397" s="64" t="str">
        <f t="shared" si="12"/>
        <v>Exclude</v>
      </c>
      <c r="W397" s="65" t="str">
        <f t="shared" si="11"/>
        <v>Exclude</v>
      </c>
    </row>
    <row r="398" spans="1:23" s="64" customFormat="1" x14ac:dyDescent="0.25">
      <c r="A398" s="63"/>
      <c r="U398" s="64" t="str">
        <f t="shared" si="12"/>
        <v>Exclude</v>
      </c>
      <c r="W398" s="65" t="str">
        <f t="shared" si="11"/>
        <v>Exclude</v>
      </c>
    </row>
    <row r="399" spans="1:23" s="64" customFormat="1" x14ac:dyDescent="0.25">
      <c r="A399" s="63"/>
      <c r="U399" s="64" t="str">
        <f t="shared" si="12"/>
        <v>Exclude</v>
      </c>
      <c r="W399" s="65" t="str">
        <f t="shared" si="11"/>
        <v>Exclude</v>
      </c>
    </row>
    <row r="400" spans="1:23" s="64" customFormat="1" x14ac:dyDescent="0.25">
      <c r="A400" s="63"/>
      <c r="U400" s="64" t="str">
        <f t="shared" si="12"/>
        <v>Exclude</v>
      </c>
      <c r="W400" s="65" t="str">
        <f t="shared" si="11"/>
        <v>Exclude</v>
      </c>
    </row>
    <row r="401" spans="1:23" s="64" customFormat="1" x14ac:dyDescent="0.25">
      <c r="A401" s="63"/>
      <c r="U401" s="64" t="str">
        <f t="shared" si="12"/>
        <v>Exclude</v>
      </c>
      <c r="W401" s="65" t="str">
        <f t="shared" si="11"/>
        <v>Exclude</v>
      </c>
    </row>
    <row r="402" spans="1:23" s="64" customFormat="1" x14ac:dyDescent="0.25">
      <c r="A402" s="63"/>
      <c r="U402" s="64" t="str">
        <f t="shared" si="12"/>
        <v>Exclude</v>
      </c>
      <c r="W402" s="65" t="str">
        <f t="shared" si="11"/>
        <v>Exclude</v>
      </c>
    </row>
    <row r="403" spans="1:23" s="64" customFormat="1" x14ac:dyDescent="0.25">
      <c r="A403" s="63"/>
      <c r="U403" s="64" t="str">
        <f t="shared" si="12"/>
        <v>Exclude</v>
      </c>
      <c r="W403" s="65" t="str">
        <f t="shared" si="11"/>
        <v>Exclude</v>
      </c>
    </row>
    <row r="404" spans="1:23" s="64" customFormat="1" x14ac:dyDescent="0.25">
      <c r="A404" s="63"/>
      <c r="U404" s="64" t="str">
        <f t="shared" si="12"/>
        <v>Exclude</v>
      </c>
      <c r="W404" s="65" t="str">
        <f t="shared" si="11"/>
        <v>Exclude</v>
      </c>
    </row>
    <row r="405" spans="1:23" s="64" customFormat="1" x14ac:dyDescent="0.25">
      <c r="A405" s="63"/>
      <c r="U405" s="64" t="str">
        <f t="shared" si="12"/>
        <v>Exclude</v>
      </c>
      <c r="W405" s="65" t="str">
        <f t="shared" si="11"/>
        <v>Exclude</v>
      </c>
    </row>
    <row r="406" spans="1:23" s="64" customFormat="1" x14ac:dyDescent="0.25">
      <c r="A406" s="63"/>
      <c r="U406" s="64" t="str">
        <f t="shared" si="12"/>
        <v>Exclude</v>
      </c>
      <c r="W406" s="65" t="str">
        <f t="shared" si="11"/>
        <v>Exclude</v>
      </c>
    </row>
    <row r="407" spans="1:23" s="64" customFormat="1" x14ac:dyDescent="0.25">
      <c r="A407" s="63"/>
      <c r="U407" s="64" t="str">
        <f t="shared" si="12"/>
        <v>Exclude</v>
      </c>
      <c r="W407" s="65" t="str">
        <f t="shared" si="11"/>
        <v>Exclude</v>
      </c>
    </row>
    <row r="408" spans="1:23" s="64" customFormat="1" x14ac:dyDescent="0.25">
      <c r="A408" s="63"/>
      <c r="U408" s="64" t="str">
        <f t="shared" si="12"/>
        <v>Exclude</v>
      </c>
      <c r="W408" s="65" t="str">
        <f t="shared" si="11"/>
        <v>Exclude</v>
      </c>
    </row>
    <row r="409" spans="1:23" s="64" customFormat="1" x14ac:dyDescent="0.25">
      <c r="A409" s="63"/>
      <c r="U409" s="64" t="str">
        <f t="shared" si="12"/>
        <v>Exclude</v>
      </c>
      <c r="W409" s="65" t="str">
        <f t="shared" si="11"/>
        <v>Exclude</v>
      </c>
    </row>
    <row r="410" spans="1:23" s="64" customFormat="1" x14ac:dyDescent="0.25">
      <c r="A410" s="63"/>
      <c r="U410" s="64" t="str">
        <f t="shared" si="12"/>
        <v>Exclude</v>
      </c>
      <c r="W410" s="65" t="str">
        <f t="shared" si="11"/>
        <v>Exclude</v>
      </c>
    </row>
    <row r="411" spans="1:23" s="64" customFormat="1" x14ac:dyDescent="0.25">
      <c r="A411" s="63"/>
      <c r="U411" s="64" t="str">
        <f t="shared" si="12"/>
        <v>Exclude</v>
      </c>
      <c r="W411" s="65" t="str">
        <f t="shared" si="11"/>
        <v>Exclude</v>
      </c>
    </row>
    <row r="412" spans="1:23" s="64" customFormat="1" x14ac:dyDescent="0.25">
      <c r="A412" s="63"/>
      <c r="U412" s="64" t="str">
        <f t="shared" si="12"/>
        <v>Exclude</v>
      </c>
      <c r="W412" s="65" t="str">
        <f t="shared" si="11"/>
        <v>Exclude</v>
      </c>
    </row>
    <row r="413" spans="1:23" s="64" customFormat="1" x14ac:dyDescent="0.25">
      <c r="A413" s="63"/>
      <c r="U413" s="64" t="str">
        <f t="shared" si="12"/>
        <v>Exclude</v>
      </c>
      <c r="W413" s="65" t="str">
        <f t="shared" si="11"/>
        <v>Exclude</v>
      </c>
    </row>
    <row r="414" spans="1:23" s="64" customFormat="1" x14ac:dyDescent="0.25">
      <c r="A414" s="63"/>
      <c r="U414" s="64" t="str">
        <f t="shared" si="12"/>
        <v>Exclude</v>
      </c>
      <c r="W414" s="65" t="str">
        <f t="shared" si="11"/>
        <v>Exclude</v>
      </c>
    </row>
    <row r="415" spans="1:23" s="64" customFormat="1" x14ac:dyDescent="0.25">
      <c r="A415" s="63"/>
      <c r="U415" s="64" t="str">
        <f t="shared" si="12"/>
        <v>Exclude</v>
      </c>
      <c r="W415" s="65" t="str">
        <f t="shared" ref="W415:W478" si="13">IF(R415="TruePositive",IF(R414&lt;&gt;"Anticipatory",LOG10(N415),"Exclude"),"Exclude")</f>
        <v>Exclude</v>
      </c>
    </row>
    <row r="416" spans="1:23" s="64" customFormat="1" x14ac:dyDescent="0.25">
      <c r="A416" s="63"/>
      <c r="U416" s="64" t="str">
        <f t="shared" si="12"/>
        <v>Exclude</v>
      </c>
      <c r="W416" s="65" t="str">
        <f t="shared" si="13"/>
        <v>Exclude</v>
      </c>
    </row>
    <row r="417" spans="1:23" s="64" customFormat="1" x14ac:dyDescent="0.25">
      <c r="A417" s="63"/>
      <c r="U417" s="64" t="str">
        <f t="shared" si="12"/>
        <v>Exclude</v>
      </c>
      <c r="W417" s="65" t="str">
        <f t="shared" si="13"/>
        <v>Exclude</v>
      </c>
    </row>
    <row r="418" spans="1:23" s="64" customFormat="1" x14ac:dyDescent="0.25">
      <c r="A418" s="63"/>
      <c r="U418" s="64" t="str">
        <f t="shared" si="12"/>
        <v>Exclude</v>
      </c>
      <c r="W418" s="65" t="str">
        <f t="shared" si="13"/>
        <v>Exclude</v>
      </c>
    </row>
    <row r="419" spans="1:23" s="64" customFormat="1" x14ac:dyDescent="0.25">
      <c r="A419" s="63"/>
      <c r="U419" s="64" t="str">
        <f t="shared" si="12"/>
        <v>Exclude</v>
      </c>
      <c r="W419" s="65" t="str">
        <f t="shared" si="13"/>
        <v>Exclude</v>
      </c>
    </row>
    <row r="420" spans="1:23" s="64" customFormat="1" x14ac:dyDescent="0.25">
      <c r="A420" s="63"/>
      <c r="U420" s="64" t="str">
        <f t="shared" si="12"/>
        <v>Exclude</v>
      </c>
      <c r="W420" s="65" t="str">
        <f t="shared" si="13"/>
        <v>Exclude</v>
      </c>
    </row>
    <row r="421" spans="1:23" s="64" customFormat="1" x14ac:dyDescent="0.25">
      <c r="A421" s="63"/>
      <c r="U421" s="64" t="str">
        <f t="shared" si="12"/>
        <v>Exclude</v>
      </c>
      <c r="W421" s="65" t="str">
        <f t="shared" si="13"/>
        <v>Exclude</v>
      </c>
    </row>
    <row r="422" spans="1:23" s="64" customFormat="1" x14ac:dyDescent="0.25">
      <c r="A422" s="63"/>
      <c r="U422" s="64" t="str">
        <f t="shared" si="12"/>
        <v>Exclude</v>
      </c>
      <c r="W422" s="65" t="str">
        <f t="shared" si="13"/>
        <v>Exclude</v>
      </c>
    </row>
    <row r="423" spans="1:23" s="64" customFormat="1" x14ac:dyDescent="0.25">
      <c r="A423" s="63"/>
      <c r="U423" s="64" t="str">
        <f t="shared" si="12"/>
        <v>Exclude</v>
      </c>
      <c r="W423" s="65" t="str">
        <f t="shared" si="13"/>
        <v>Exclude</v>
      </c>
    </row>
    <row r="424" spans="1:23" s="64" customFormat="1" x14ac:dyDescent="0.25">
      <c r="A424" s="63"/>
      <c r="U424" s="64" t="str">
        <f t="shared" si="12"/>
        <v>Exclude</v>
      </c>
      <c r="W424" s="65" t="str">
        <f t="shared" si="13"/>
        <v>Exclude</v>
      </c>
    </row>
    <row r="425" spans="1:23" s="64" customFormat="1" x14ac:dyDescent="0.25">
      <c r="A425" s="63"/>
      <c r="U425" s="64" t="str">
        <f t="shared" si="12"/>
        <v>Exclude</v>
      </c>
      <c r="W425" s="65" t="str">
        <f t="shared" si="13"/>
        <v>Exclude</v>
      </c>
    </row>
    <row r="426" spans="1:23" s="64" customFormat="1" x14ac:dyDescent="0.25">
      <c r="A426" s="63"/>
      <c r="U426" s="64" t="str">
        <f t="shared" si="12"/>
        <v>Exclude</v>
      </c>
      <c r="W426" s="65" t="str">
        <f t="shared" si="13"/>
        <v>Exclude</v>
      </c>
    </row>
    <row r="427" spans="1:23" s="64" customFormat="1" x14ac:dyDescent="0.25">
      <c r="A427" s="63"/>
      <c r="U427" s="64" t="str">
        <f t="shared" si="12"/>
        <v>Exclude</v>
      </c>
      <c r="W427" s="65" t="str">
        <f t="shared" si="13"/>
        <v>Exclude</v>
      </c>
    </row>
    <row r="428" spans="1:23" s="64" customFormat="1" x14ac:dyDescent="0.25">
      <c r="A428" s="63"/>
      <c r="U428" s="64" t="str">
        <f t="shared" si="12"/>
        <v>Exclude</v>
      </c>
      <c r="W428" s="65" t="str">
        <f t="shared" si="13"/>
        <v>Exclude</v>
      </c>
    </row>
    <row r="429" spans="1:23" s="64" customFormat="1" x14ac:dyDescent="0.25">
      <c r="A429" s="63"/>
      <c r="U429" s="64" t="str">
        <f t="shared" si="12"/>
        <v>Exclude</v>
      </c>
      <c r="W429" s="65" t="str">
        <f t="shared" si="13"/>
        <v>Exclude</v>
      </c>
    </row>
    <row r="430" spans="1:23" s="64" customFormat="1" x14ac:dyDescent="0.25">
      <c r="A430" s="63"/>
      <c r="U430" s="64" t="str">
        <f t="shared" si="12"/>
        <v>Exclude</v>
      </c>
      <c r="W430" s="65" t="str">
        <f t="shared" si="13"/>
        <v>Exclude</v>
      </c>
    </row>
    <row r="431" spans="1:23" s="64" customFormat="1" x14ac:dyDescent="0.25">
      <c r="A431" s="63"/>
      <c r="U431" s="64" t="str">
        <f t="shared" si="12"/>
        <v>Exclude</v>
      </c>
      <c r="W431" s="65" t="str">
        <f t="shared" si="13"/>
        <v>Exclude</v>
      </c>
    </row>
    <row r="432" spans="1:23" s="64" customFormat="1" x14ac:dyDescent="0.25">
      <c r="A432" s="63"/>
      <c r="U432" s="64" t="str">
        <f t="shared" si="12"/>
        <v>Exclude</v>
      </c>
      <c r="W432" s="65" t="str">
        <f t="shared" si="13"/>
        <v>Exclude</v>
      </c>
    </row>
    <row r="433" spans="1:23" s="64" customFormat="1" x14ac:dyDescent="0.25">
      <c r="A433" s="63"/>
      <c r="U433" s="64" t="str">
        <f t="shared" si="12"/>
        <v>Exclude</v>
      </c>
      <c r="W433" s="65" t="str">
        <f t="shared" si="13"/>
        <v>Exclude</v>
      </c>
    </row>
    <row r="434" spans="1:23" s="64" customFormat="1" x14ac:dyDescent="0.25">
      <c r="A434" s="63"/>
      <c r="U434" s="64" t="str">
        <f t="shared" si="12"/>
        <v>Exclude</v>
      </c>
      <c r="W434" s="65" t="str">
        <f t="shared" si="13"/>
        <v>Exclude</v>
      </c>
    </row>
    <row r="435" spans="1:23" s="64" customFormat="1" x14ac:dyDescent="0.25">
      <c r="A435" s="63"/>
      <c r="U435" s="64" t="str">
        <f t="shared" si="12"/>
        <v>Exclude</v>
      </c>
      <c r="W435" s="65" t="str">
        <f t="shared" si="13"/>
        <v>Exclude</v>
      </c>
    </row>
    <row r="436" spans="1:23" s="64" customFormat="1" x14ac:dyDescent="0.25">
      <c r="A436" s="63"/>
      <c r="U436" s="64" t="str">
        <f t="shared" si="12"/>
        <v>Exclude</v>
      </c>
      <c r="W436" s="65" t="str">
        <f t="shared" si="13"/>
        <v>Exclude</v>
      </c>
    </row>
    <row r="437" spans="1:23" s="64" customFormat="1" x14ac:dyDescent="0.25">
      <c r="A437" s="63"/>
      <c r="U437" s="64" t="str">
        <f t="shared" si="12"/>
        <v>Exclude</v>
      </c>
      <c r="W437" s="65" t="str">
        <f t="shared" si="13"/>
        <v>Exclude</v>
      </c>
    </row>
    <row r="438" spans="1:23" s="64" customFormat="1" x14ac:dyDescent="0.25">
      <c r="A438" s="63"/>
      <c r="U438" s="64" t="str">
        <f t="shared" ref="U438:U500" si="14">IF(R438="TruePositive",IF(R437&lt;&gt;"Anticipatory",(N438),"Pant"),"Exclude")</f>
        <v>Exclude</v>
      </c>
      <c r="W438" s="65" t="str">
        <f t="shared" si="13"/>
        <v>Exclude</v>
      </c>
    </row>
    <row r="439" spans="1:23" s="64" customFormat="1" x14ac:dyDescent="0.25">
      <c r="A439" s="63"/>
      <c r="U439" s="64" t="str">
        <f t="shared" si="14"/>
        <v>Exclude</v>
      </c>
      <c r="W439" s="65" t="str">
        <f t="shared" si="13"/>
        <v>Exclude</v>
      </c>
    </row>
    <row r="440" spans="1:23" s="64" customFormat="1" x14ac:dyDescent="0.25">
      <c r="A440" s="63"/>
      <c r="U440" s="64" t="str">
        <f t="shared" si="14"/>
        <v>Exclude</v>
      </c>
      <c r="W440" s="65" t="str">
        <f t="shared" si="13"/>
        <v>Exclude</v>
      </c>
    </row>
    <row r="441" spans="1:23" s="64" customFormat="1" x14ac:dyDescent="0.25">
      <c r="A441" s="63"/>
      <c r="U441" s="64" t="str">
        <f t="shared" si="14"/>
        <v>Exclude</v>
      </c>
      <c r="W441" s="65" t="str">
        <f t="shared" si="13"/>
        <v>Exclude</v>
      </c>
    </row>
    <row r="442" spans="1:23" s="64" customFormat="1" x14ac:dyDescent="0.25">
      <c r="A442" s="63"/>
      <c r="U442" s="64" t="str">
        <f t="shared" si="14"/>
        <v>Exclude</v>
      </c>
      <c r="W442" s="65" t="str">
        <f t="shared" si="13"/>
        <v>Exclude</v>
      </c>
    </row>
    <row r="443" spans="1:23" s="64" customFormat="1" x14ac:dyDescent="0.25">
      <c r="A443" s="63"/>
      <c r="U443" s="64" t="str">
        <f t="shared" si="14"/>
        <v>Exclude</v>
      </c>
      <c r="W443" s="65" t="str">
        <f t="shared" si="13"/>
        <v>Exclude</v>
      </c>
    </row>
    <row r="444" spans="1:23" s="64" customFormat="1" x14ac:dyDescent="0.25">
      <c r="A444" s="63"/>
      <c r="U444" s="64" t="str">
        <f t="shared" si="14"/>
        <v>Exclude</v>
      </c>
      <c r="W444" s="65" t="str">
        <f t="shared" si="13"/>
        <v>Exclude</v>
      </c>
    </row>
    <row r="445" spans="1:23" s="64" customFormat="1" x14ac:dyDescent="0.25">
      <c r="A445" s="63"/>
      <c r="U445" s="64" t="str">
        <f t="shared" si="14"/>
        <v>Exclude</v>
      </c>
      <c r="W445" s="65" t="str">
        <f t="shared" si="13"/>
        <v>Exclude</v>
      </c>
    </row>
    <row r="446" spans="1:23" s="64" customFormat="1" x14ac:dyDescent="0.25">
      <c r="A446" s="63"/>
      <c r="U446" s="64" t="str">
        <f t="shared" si="14"/>
        <v>Exclude</v>
      </c>
      <c r="W446" s="65" t="str">
        <f t="shared" si="13"/>
        <v>Exclude</v>
      </c>
    </row>
    <row r="447" spans="1:23" s="64" customFormat="1" x14ac:dyDescent="0.25">
      <c r="A447" s="63"/>
      <c r="U447" s="64" t="str">
        <f t="shared" si="14"/>
        <v>Exclude</v>
      </c>
      <c r="W447" s="65" t="str">
        <f t="shared" si="13"/>
        <v>Exclude</v>
      </c>
    </row>
    <row r="448" spans="1:23" s="64" customFormat="1" x14ac:dyDescent="0.25">
      <c r="A448" s="63"/>
      <c r="U448" s="64" t="str">
        <f t="shared" si="14"/>
        <v>Exclude</v>
      </c>
      <c r="W448" s="65" t="str">
        <f t="shared" si="13"/>
        <v>Exclude</v>
      </c>
    </row>
    <row r="449" spans="1:23" s="64" customFormat="1" x14ac:dyDescent="0.25">
      <c r="A449" s="63"/>
      <c r="U449" s="64" t="str">
        <f t="shared" si="14"/>
        <v>Exclude</v>
      </c>
      <c r="W449" s="65" t="str">
        <f t="shared" si="13"/>
        <v>Exclude</v>
      </c>
    </row>
    <row r="450" spans="1:23" s="64" customFormat="1" x14ac:dyDescent="0.25">
      <c r="A450" s="63"/>
      <c r="U450" s="64" t="str">
        <f t="shared" si="14"/>
        <v>Exclude</v>
      </c>
      <c r="W450" s="65" t="str">
        <f t="shared" si="13"/>
        <v>Exclude</v>
      </c>
    </row>
    <row r="451" spans="1:23" s="64" customFormat="1" x14ac:dyDescent="0.25">
      <c r="A451" s="63"/>
      <c r="U451" s="64" t="str">
        <f t="shared" si="14"/>
        <v>Exclude</v>
      </c>
      <c r="W451" s="65" t="str">
        <f t="shared" si="13"/>
        <v>Exclude</v>
      </c>
    </row>
    <row r="452" spans="1:23" s="64" customFormat="1" x14ac:dyDescent="0.25">
      <c r="A452" s="63"/>
      <c r="U452" s="64" t="str">
        <f t="shared" si="14"/>
        <v>Exclude</v>
      </c>
      <c r="W452" s="65" t="str">
        <f t="shared" si="13"/>
        <v>Exclude</v>
      </c>
    </row>
    <row r="453" spans="1:23" s="64" customFormat="1" x14ac:dyDescent="0.25">
      <c r="A453" s="63"/>
      <c r="U453" s="64" t="str">
        <f t="shared" si="14"/>
        <v>Exclude</v>
      </c>
      <c r="W453" s="65" t="str">
        <f t="shared" si="13"/>
        <v>Exclude</v>
      </c>
    </row>
    <row r="454" spans="1:23" s="64" customFormat="1" x14ac:dyDescent="0.25">
      <c r="A454" s="63"/>
      <c r="U454" s="64" t="str">
        <f t="shared" si="14"/>
        <v>Exclude</v>
      </c>
      <c r="W454" s="65" t="str">
        <f t="shared" si="13"/>
        <v>Exclude</v>
      </c>
    </row>
    <row r="455" spans="1:23" s="64" customFormat="1" x14ac:dyDescent="0.25">
      <c r="A455" s="63"/>
      <c r="U455" s="64" t="str">
        <f t="shared" si="14"/>
        <v>Exclude</v>
      </c>
      <c r="W455" s="65" t="str">
        <f t="shared" si="13"/>
        <v>Exclude</v>
      </c>
    </row>
    <row r="456" spans="1:23" s="64" customFormat="1" x14ac:dyDescent="0.25">
      <c r="A456" s="63"/>
      <c r="U456" s="64" t="str">
        <f t="shared" si="14"/>
        <v>Exclude</v>
      </c>
      <c r="W456" s="65" t="str">
        <f t="shared" si="13"/>
        <v>Exclude</v>
      </c>
    </row>
    <row r="457" spans="1:23" s="64" customFormat="1" x14ac:dyDescent="0.25">
      <c r="A457" s="63"/>
      <c r="U457" s="64" t="str">
        <f t="shared" si="14"/>
        <v>Exclude</v>
      </c>
      <c r="W457" s="65" t="str">
        <f t="shared" si="13"/>
        <v>Exclude</v>
      </c>
    </row>
    <row r="458" spans="1:23" s="64" customFormat="1" x14ac:dyDescent="0.25">
      <c r="A458" s="63"/>
      <c r="U458" s="64" t="str">
        <f t="shared" si="14"/>
        <v>Exclude</v>
      </c>
      <c r="W458" s="65" t="str">
        <f t="shared" si="13"/>
        <v>Exclude</v>
      </c>
    </row>
    <row r="459" spans="1:23" s="64" customFormat="1" x14ac:dyDescent="0.25">
      <c r="A459" s="63"/>
      <c r="U459" s="64" t="str">
        <f t="shared" si="14"/>
        <v>Exclude</v>
      </c>
      <c r="W459" s="65" t="str">
        <f t="shared" si="13"/>
        <v>Exclude</v>
      </c>
    </row>
    <row r="460" spans="1:23" s="64" customFormat="1" x14ac:dyDescent="0.25">
      <c r="A460" s="63"/>
      <c r="U460" s="64" t="str">
        <f t="shared" si="14"/>
        <v>Exclude</v>
      </c>
      <c r="W460" s="65" t="str">
        <f t="shared" si="13"/>
        <v>Exclude</v>
      </c>
    </row>
    <row r="461" spans="1:23" s="64" customFormat="1" x14ac:dyDescent="0.25">
      <c r="A461" s="63"/>
      <c r="U461" s="64" t="str">
        <f t="shared" si="14"/>
        <v>Exclude</v>
      </c>
      <c r="W461" s="65" t="str">
        <f t="shared" si="13"/>
        <v>Exclude</v>
      </c>
    </row>
    <row r="462" spans="1:23" s="64" customFormat="1" x14ac:dyDescent="0.25">
      <c r="A462" s="63"/>
      <c r="U462" s="64" t="str">
        <f t="shared" si="14"/>
        <v>Exclude</v>
      </c>
      <c r="W462" s="65" t="str">
        <f t="shared" si="13"/>
        <v>Exclude</v>
      </c>
    </row>
    <row r="463" spans="1:23" s="64" customFormat="1" x14ac:dyDescent="0.25">
      <c r="A463" s="63"/>
      <c r="U463" s="64" t="str">
        <f t="shared" si="14"/>
        <v>Exclude</v>
      </c>
      <c r="W463" s="65" t="str">
        <f t="shared" si="13"/>
        <v>Exclude</v>
      </c>
    </row>
    <row r="464" spans="1:23" s="64" customFormat="1" x14ac:dyDescent="0.25">
      <c r="A464" s="63"/>
      <c r="U464" s="64" t="str">
        <f t="shared" si="14"/>
        <v>Exclude</v>
      </c>
      <c r="W464" s="65" t="str">
        <f t="shared" si="13"/>
        <v>Exclude</v>
      </c>
    </row>
    <row r="465" spans="1:23" s="64" customFormat="1" x14ac:dyDescent="0.25">
      <c r="A465" s="63"/>
      <c r="U465" s="64" t="str">
        <f t="shared" si="14"/>
        <v>Exclude</v>
      </c>
      <c r="W465" s="65" t="str">
        <f t="shared" si="13"/>
        <v>Exclude</v>
      </c>
    </row>
    <row r="466" spans="1:23" s="64" customFormat="1" x14ac:dyDescent="0.25">
      <c r="A466" s="63"/>
      <c r="U466" s="64" t="str">
        <f t="shared" si="14"/>
        <v>Exclude</v>
      </c>
      <c r="W466" s="65" t="str">
        <f t="shared" si="13"/>
        <v>Exclude</v>
      </c>
    </row>
    <row r="467" spans="1:23" s="64" customFormat="1" x14ac:dyDescent="0.25">
      <c r="A467" s="63"/>
      <c r="U467" s="64" t="str">
        <f t="shared" si="14"/>
        <v>Exclude</v>
      </c>
      <c r="W467" s="65" t="str">
        <f t="shared" si="13"/>
        <v>Exclude</v>
      </c>
    </row>
    <row r="468" spans="1:23" s="64" customFormat="1" x14ac:dyDescent="0.25">
      <c r="A468" s="63"/>
      <c r="U468" s="64" t="str">
        <f t="shared" si="14"/>
        <v>Exclude</v>
      </c>
      <c r="W468" s="65" t="str">
        <f t="shared" si="13"/>
        <v>Exclude</v>
      </c>
    </row>
    <row r="469" spans="1:23" s="64" customFormat="1" x14ac:dyDescent="0.25">
      <c r="A469" s="63"/>
      <c r="U469" s="64" t="str">
        <f t="shared" si="14"/>
        <v>Exclude</v>
      </c>
      <c r="W469" s="65" t="str">
        <f t="shared" si="13"/>
        <v>Exclude</v>
      </c>
    </row>
    <row r="470" spans="1:23" s="64" customFormat="1" x14ac:dyDescent="0.25">
      <c r="A470" s="63"/>
      <c r="U470" s="64" t="str">
        <f t="shared" si="14"/>
        <v>Exclude</v>
      </c>
      <c r="W470" s="65" t="str">
        <f t="shared" si="13"/>
        <v>Exclude</v>
      </c>
    </row>
    <row r="471" spans="1:23" s="64" customFormat="1" x14ac:dyDescent="0.25">
      <c r="A471" s="63"/>
      <c r="U471" s="64" t="str">
        <f t="shared" si="14"/>
        <v>Exclude</v>
      </c>
      <c r="W471" s="65" t="str">
        <f t="shared" si="13"/>
        <v>Exclude</v>
      </c>
    </row>
    <row r="472" spans="1:23" s="64" customFormat="1" x14ac:dyDescent="0.25">
      <c r="A472" s="63"/>
      <c r="U472" s="64" t="str">
        <f t="shared" si="14"/>
        <v>Exclude</v>
      </c>
      <c r="W472" s="65" t="str">
        <f t="shared" si="13"/>
        <v>Exclude</v>
      </c>
    </row>
    <row r="473" spans="1:23" s="64" customFormat="1" x14ac:dyDescent="0.25">
      <c r="A473" s="63"/>
      <c r="U473" s="64" t="str">
        <f t="shared" si="14"/>
        <v>Exclude</v>
      </c>
      <c r="W473" s="65" t="str">
        <f t="shared" si="13"/>
        <v>Exclude</v>
      </c>
    </row>
    <row r="474" spans="1:23" s="64" customFormat="1" x14ac:dyDescent="0.25">
      <c r="A474" s="63"/>
      <c r="U474" s="64" t="str">
        <f t="shared" si="14"/>
        <v>Exclude</v>
      </c>
      <c r="W474" s="65" t="str">
        <f t="shared" si="13"/>
        <v>Exclude</v>
      </c>
    </row>
    <row r="475" spans="1:23" s="64" customFormat="1" x14ac:dyDescent="0.25">
      <c r="A475" s="63"/>
      <c r="U475" s="64" t="str">
        <f t="shared" si="14"/>
        <v>Exclude</v>
      </c>
      <c r="W475" s="65" t="str">
        <f t="shared" si="13"/>
        <v>Exclude</v>
      </c>
    </row>
    <row r="476" spans="1:23" s="64" customFormat="1" x14ac:dyDescent="0.25">
      <c r="A476" s="63"/>
      <c r="U476" s="64" t="str">
        <f t="shared" si="14"/>
        <v>Exclude</v>
      </c>
      <c r="W476" s="65" t="str">
        <f t="shared" si="13"/>
        <v>Exclude</v>
      </c>
    </row>
    <row r="477" spans="1:23" s="64" customFormat="1" x14ac:dyDescent="0.25">
      <c r="A477" s="63"/>
      <c r="U477" s="64" t="str">
        <f t="shared" si="14"/>
        <v>Exclude</v>
      </c>
      <c r="W477" s="65" t="str">
        <f t="shared" si="13"/>
        <v>Exclude</v>
      </c>
    </row>
    <row r="478" spans="1:23" s="64" customFormat="1" x14ac:dyDescent="0.25">
      <c r="A478" s="63"/>
      <c r="U478" s="64" t="str">
        <f t="shared" si="14"/>
        <v>Exclude</v>
      </c>
      <c r="W478" s="65" t="str">
        <f t="shared" si="13"/>
        <v>Exclude</v>
      </c>
    </row>
    <row r="479" spans="1:23" s="64" customFormat="1" x14ac:dyDescent="0.25">
      <c r="A479" s="63"/>
      <c r="U479" s="64" t="str">
        <f t="shared" si="14"/>
        <v>Exclude</v>
      </c>
      <c r="W479" s="65" t="str">
        <f t="shared" ref="W479:W536" si="15">IF(R479="TruePositive",IF(R478&lt;&gt;"Anticipatory",LOG10(N479),"Exclude"),"Exclude")</f>
        <v>Exclude</v>
      </c>
    </row>
    <row r="480" spans="1:23" s="64" customFormat="1" x14ac:dyDescent="0.25">
      <c r="A480" s="63"/>
      <c r="U480" s="64" t="str">
        <f t="shared" si="14"/>
        <v>Exclude</v>
      </c>
      <c r="W480" s="65" t="str">
        <f t="shared" si="15"/>
        <v>Exclude</v>
      </c>
    </row>
    <row r="481" spans="1:23" s="64" customFormat="1" x14ac:dyDescent="0.25">
      <c r="A481" s="63"/>
      <c r="U481" s="64" t="str">
        <f t="shared" si="14"/>
        <v>Exclude</v>
      </c>
      <c r="W481" s="65" t="str">
        <f t="shared" si="15"/>
        <v>Exclude</v>
      </c>
    </row>
    <row r="482" spans="1:23" s="64" customFormat="1" x14ac:dyDescent="0.25">
      <c r="A482" s="63"/>
      <c r="U482" s="64" t="str">
        <f t="shared" si="14"/>
        <v>Exclude</v>
      </c>
      <c r="W482" s="65" t="str">
        <f t="shared" si="15"/>
        <v>Exclude</v>
      </c>
    </row>
    <row r="483" spans="1:23" s="64" customFormat="1" x14ac:dyDescent="0.25">
      <c r="A483" s="63"/>
      <c r="U483" s="64" t="str">
        <f t="shared" si="14"/>
        <v>Exclude</v>
      </c>
      <c r="W483" s="65" t="str">
        <f t="shared" si="15"/>
        <v>Exclude</v>
      </c>
    </row>
    <row r="484" spans="1:23" s="64" customFormat="1" x14ac:dyDescent="0.25">
      <c r="A484" s="63"/>
      <c r="U484" s="64" t="str">
        <f>IF(R484="TruePositive",IF(#REF!&lt;&gt;"Anticipatory",(N484),"Pant"),"Exclude")</f>
        <v>Exclude</v>
      </c>
      <c r="W484" s="65" t="str">
        <f>IF(R484="TruePositive",IF(#REF!&lt;&gt;"Anticipatory",LOG10(N484),"Exclude"),"Exclude")</f>
        <v>Exclude</v>
      </c>
    </row>
    <row r="485" spans="1:23" s="64" customFormat="1" x14ac:dyDescent="0.25">
      <c r="A485" s="63"/>
      <c r="U485" s="64" t="str">
        <f t="shared" si="14"/>
        <v>Exclude</v>
      </c>
      <c r="W485" s="65" t="str">
        <f t="shared" si="15"/>
        <v>Exclude</v>
      </c>
    </row>
    <row r="486" spans="1:23" s="64" customFormat="1" x14ac:dyDescent="0.25">
      <c r="A486" s="63"/>
      <c r="U486" s="64" t="str">
        <f t="shared" si="14"/>
        <v>Exclude</v>
      </c>
      <c r="W486" s="65" t="str">
        <f t="shared" si="15"/>
        <v>Exclude</v>
      </c>
    </row>
    <row r="487" spans="1:23" s="64" customFormat="1" x14ac:dyDescent="0.25">
      <c r="A487" s="63"/>
      <c r="U487" s="64" t="str">
        <f t="shared" si="14"/>
        <v>Exclude</v>
      </c>
      <c r="W487" s="65" t="str">
        <f t="shared" si="15"/>
        <v>Exclude</v>
      </c>
    </row>
    <row r="488" spans="1:23" s="64" customFormat="1" x14ac:dyDescent="0.25">
      <c r="A488" s="63"/>
      <c r="U488" s="64" t="str">
        <f t="shared" si="14"/>
        <v>Exclude</v>
      </c>
      <c r="W488" s="65" t="str">
        <f t="shared" si="15"/>
        <v>Exclude</v>
      </c>
    </row>
    <row r="489" spans="1:23" s="64" customFormat="1" x14ac:dyDescent="0.25">
      <c r="A489" s="63"/>
      <c r="U489" s="64" t="str">
        <f t="shared" si="14"/>
        <v>Exclude</v>
      </c>
      <c r="W489" s="65" t="str">
        <f t="shared" si="15"/>
        <v>Exclude</v>
      </c>
    </row>
    <row r="490" spans="1:23" s="64" customFormat="1" x14ac:dyDescent="0.25">
      <c r="A490" s="63"/>
      <c r="U490" s="64" t="str">
        <f t="shared" si="14"/>
        <v>Exclude</v>
      </c>
      <c r="W490" s="65" t="str">
        <f t="shared" si="15"/>
        <v>Exclude</v>
      </c>
    </row>
    <row r="491" spans="1:23" s="64" customFormat="1" x14ac:dyDescent="0.25">
      <c r="A491" s="63"/>
      <c r="U491" s="64" t="str">
        <f t="shared" si="14"/>
        <v>Exclude</v>
      </c>
      <c r="W491" s="65" t="str">
        <f t="shared" si="15"/>
        <v>Exclude</v>
      </c>
    </row>
    <row r="492" spans="1:23" s="64" customFormat="1" x14ac:dyDescent="0.25">
      <c r="A492" s="63"/>
      <c r="U492" s="64" t="str">
        <f t="shared" si="14"/>
        <v>Exclude</v>
      </c>
      <c r="W492" s="65" t="str">
        <f t="shared" si="15"/>
        <v>Exclude</v>
      </c>
    </row>
    <row r="493" spans="1:23" s="64" customFormat="1" x14ac:dyDescent="0.25">
      <c r="A493" s="63"/>
      <c r="U493" s="64" t="str">
        <f t="shared" si="14"/>
        <v>Exclude</v>
      </c>
      <c r="W493" s="65" t="str">
        <f t="shared" si="15"/>
        <v>Exclude</v>
      </c>
    </row>
    <row r="494" spans="1:23" s="64" customFormat="1" x14ac:dyDescent="0.25">
      <c r="A494" s="63"/>
      <c r="U494" s="64" t="str">
        <f t="shared" si="14"/>
        <v>Exclude</v>
      </c>
      <c r="W494" s="65" t="str">
        <f t="shared" si="15"/>
        <v>Exclude</v>
      </c>
    </row>
    <row r="495" spans="1:23" s="64" customFormat="1" x14ac:dyDescent="0.25">
      <c r="A495" s="63"/>
      <c r="U495" s="64" t="str">
        <f t="shared" si="14"/>
        <v>Exclude</v>
      </c>
      <c r="W495" s="65" t="str">
        <f t="shared" si="15"/>
        <v>Exclude</v>
      </c>
    </row>
    <row r="496" spans="1:23" s="64" customFormat="1" x14ac:dyDescent="0.25">
      <c r="A496" s="63"/>
      <c r="U496" s="64" t="str">
        <f t="shared" si="14"/>
        <v>Exclude</v>
      </c>
      <c r="W496" s="65" t="str">
        <f t="shared" si="15"/>
        <v>Exclude</v>
      </c>
    </row>
    <row r="497" spans="1:23" s="64" customFormat="1" x14ac:dyDescent="0.25">
      <c r="A497" s="63"/>
      <c r="U497" s="64" t="str">
        <f t="shared" si="14"/>
        <v>Exclude</v>
      </c>
      <c r="W497" s="65" t="str">
        <f t="shared" si="15"/>
        <v>Exclude</v>
      </c>
    </row>
    <row r="498" spans="1:23" s="64" customFormat="1" x14ac:dyDescent="0.25">
      <c r="A498" s="63"/>
      <c r="U498" s="64" t="str">
        <f t="shared" si="14"/>
        <v>Exclude</v>
      </c>
      <c r="W498" s="65" t="str">
        <f t="shared" si="15"/>
        <v>Exclude</v>
      </c>
    </row>
    <row r="499" spans="1:23" s="64" customFormat="1" x14ac:dyDescent="0.25">
      <c r="A499" s="63"/>
      <c r="U499" s="64" t="str">
        <f t="shared" si="14"/>
        <v>Exclude</v>
      </c>
      <c r="W499" s="65" t="str">
        <f t="shared" si="15"/>
        <v>Exclude</v>
      </c>
    </row>
    <row r="500" spans="1:23" s="64" customFormat="1" x14ac:dyDescent="0.25">
      <c r="A500" s="63"/>
      <c r="U500" s="64" t="str">
        <f t="shared" si="14"/>
        <v>Exclude</v>
      </c>
      <c r="W500" s="65" t="str">
        <f t="shared" si="15"/>
        <v>Exclude</v>
      </c>
    </row>
    <row r="501" spans="1:23" s="64" customFormat="1" x14ac:dyDescent="0.25">
      <c r="A501" s="63"/>
      <c r="U501" s="64" t="str">
        <f t="shared" ref="U501:U564" si="16">IF(R501="TruePositive",IF(R500&lt;&gt;"Anticipatory",(N501),"Pant"),"Exclude")</f>
        <v>Exclude</v>
      </c>
      <c r="W501" s="65" t="str">
        <f t="shared" si="15"/>
        <v>Exclude</v>
      </c>
    </row>
    <row r="502" spans="1:23" s="64" customFormat="1" x14ac:dyDescent="0.25">
      <c r="A502" s="63"/>
      <c r="U502" s="64" t="str">
        <f t="shared" si="16"/>
        <v>Exclude</v>
      </c>
      <c r="W502" s="65" t="str">
        <f t="shared" si="15"/>
        <v>Exclude</v>
      </c>
    </row>
    <row r="503" spans="1:23" s="64" customFormat="1" x14ac:dyDescent="0.25">
      <c r="A503" s="63"/>
      <c r="U503" s="64" t="str">
        <f t="shared" si="16"/>
        <v>Exclude</v>
      </c>
      <c r="W503" s="65" t="str">
        <f t="shared" si="15"/>
        <v>Exclude</v>
      </c>
    </row>
    <row r="504" spans="1:23" s="64" customFormat="1" x14ac:dyDescent="0.25">
      <c r="A504" s="63"/>
      <c r="U504" s="64" t="str">
        <f t="shared" si="16"/>
        <v>Exclude</v>
      </c>
      <c r="W504" s="65" t="str">
        <f t="shared" si="15"/>
        <v>Exclude</v>
      </c>
    </row>
    <row r="505" spans="1:23" s="64" customFormat="1" x14ac:dyDescent="0.25">
      <c r="A505" s="63"/>
      <c r="U505" s="64" t="str">
        <f t="shared" si="16"/>
        <v>Exclude</v>
      </c>
      <c r="W505" s="65" t="str">
        <f t="shared" si="15"/>
        <v>Exclude</v>
      </c>
    </row>
    <row r="506" spans="1:23" s="64" customFormat="1" x14ac:dyDescent="0.25">
      <c r="A506" s="63"/>
      <c r="U506" s="64" t="str">
        <f t="shared" si="16"/>
        <v>Exclude</v>
      </c>
      <c r="W506" s="65" t="str">
        <f t="shared" si="15"/>
        <v>Exclude</v>
      </c>
    </row>
    <row r="507" spans="1:23" s="64" customFormat="1" x14ac:dyDescent="0.25">
      <c r="A507" s="63"/>
      <c r="U507" s="64" t="str">
        <f t="shared" si="16"/>
        <v>Exclude</v>
      </c>
      <c r="W507" s="65" t="str">
        <f t="shared" si="15"/>
        <v>Exclude</v>
      </c>
    </row>
    <row r="508" spans="1:23" s="64" customFormat="1" x14ac:dyDescent="0.25">
      <c r="A508" s="63"/>
      <c r="U508" s="64" t="str">
        <f t="shared" si="16"/>
        <v>Exclude</v>
      </c>
      <c r="W508" s="65" t="str">
        <f t="shared" si="15"/>
        <v>Exclude</v>
      </c>
    </row>
    <row r="509" spans="1:23" s="64" customFormat="1" x14ac:dyDescent="0.25">
      <c r="A509" s="63"/>
      <c r="U509" s="64" t="str">
        <f t="shared" si="16"/>
        <v>Exclude</v>
      </c>
      <c r="W509" s="65" t="str">
        <f t="shared" si="15"/>
        <v>Exclude</v>
      </c>
    </row>
    <row r="510" spans="1:23" s="64" customFormat="1" x14ac:dyDescent="0.25">
      <c r="A510" s="63"/>
      <c r="U510" s="64" t="str">
        <f t="shared" si="16"/>
        <v>Exclude</v>
      </c>
      <c r="W510" s="65" t="str">
        <f t="shared" si="15"/>
        <v>Exclude</v>
      </c>
    </row>
    <row r="511" spans="1:23" s="64" customFormat="1" x14ac:dyDescent="0.25">
      <c r="A511" s="63"/>
      <c r="U511" s="64" t="str">
        <f t="shared" si="16"/>
        <v>Exclude</v>
      </c>
      <c r="W511" s="65" t="str">
        <f t="shared" si="15"/>
        <v>Exclude</v>
      </c>
    </row>
    <row r="512" spans="1:23" s="64" customFormat="1" x14ac:dyDescent="0.25">
      <c r="A512" s="63"/>
      <c r="U512" s="64" t="str">
        <f t="shared" si="16"/>
        <v>Exclude</v>
      </c>
      <c r="W512" s="65" t="str">
        <f t="shared" si="15"/>
        <v>Exclude</v>
      </c>
    </row>
    <row r="513" spans="1:23" s="64" customFormat="1" x14ac:dyDescent="0.25">
      <c r="A513" s="63"/>
      <c r="U513" s="64" t="str">
        <f t="shared" si="16"/>
        <v>Exclude</v>
      </c>
      <c r="W513" s="65" t="str">
        <f t="shared" si="15"/>
        <v>Exclude</v>
      </c>
    </row>
    <row r="514" spans="1:23" s="64" customFormat="1" x14ac:dyDescent="0.25">
      <c r="A514" s="63"/>
      <c r="U514" s="64" t="str">
        <f t="shared" si="16"/>
        <v>Exclude</v>
      </c>
      <c r="W514" s="65" t="str">
        <f t="shared" si="15"/>
        <v>Exclude</v>
      </c>
    </row>
    <row r="515" spans="1:23" s="64" customFormat="1" x14ac:dyDescent="0.25">
      <c r="A515" s="63"/>
      <c r="U515" s="64" t="str">
        <f t="shared" si="16"/>
        <v>Exclude</v>
      </c>
      <c r="W515" s="65" t="str">
        <f t="shared" si="15"/>
        <v>Exclude</v>
      </c>
    </row>
    <row r="516" spans="1:23" s="64" customFormat="1" x14ac:dyDescent="0.25">
      <c r="A516" s="63"/>
      <c r="U516" s="64" t="str">
        <f t="shared" si="16"/>
        <v>Exclude</v>
      </c>
      <c r="W516" s="65" t="str">
        <f t="shared" si="15"/>
        <v>Exclude</v>
      </c>
    </row>
    <row r="517" spans="1:23" s="64" customFormat="1" x14ac:dyDescent="0.25">
      <c r="A517" s="63"/>
      <c r="U517" s="64" t="str">
        <f t="shared" si="16"/>
        <v>Exclude</v>
      </c>
      <c r="W517" s="65" t="str">
        <f t="shared" si="15"/>
        <v>Exclude</v>
      </c>
    </row>
    <row r="518" spans="1:23" s="64" customFormat="1" x14ac:dyDescent="0.25">
      <c r="A518" s="63"/>
      <c r="U518" s="64" t="str">
        <f t="shared" si="16"/>
        <v>Exclude</v>
      </c>
      <c r="W518" s="65" t="str">
        <f t="shared" si="15"/>
        <v>Exclude</v>
      </c>
    </row>
    <row r="519" spans="1:23" s="64" customFormat="1" x14ac:dyDescent="0.25">
      <c r="A519" s="63"/>
      <c r="U519" s="64" t="str">
        <f t="shared" si="16"/>
        <v>Exclude</v>
      </c>
      <c r="W519" s="65" t="str">
        <f t="shared" si="15"/>
        <v>Exclude</v>
      </c>
    </row>
    <row r="520" spans="1:23" s="64" customFormat="1" x14ac:dyDescent="0.25">
      <c r="A520" s="63"/>
      <c r="U520" s="64" t="str">
        <f t="shared" si="16"/>
        <v>Exclude</v>
      </c>
      <c r="W520" s="65" t="str">
        <f t="shared" si="15"/>
        <v>Exclude</v>
      </c>
    </row>
    <row r="521" spans="1:23" s="64" customFormat="1" x14ac:dyDescent="0.25">
      <c r="A521" s="63"/>
      <c r="U521" s="64" t="str">
        <f t="shared" si="16"/>
        <v>Exclude</v>
      </c>
      <c r="W521" s="65" t="str">
        <f t="shared" si="15"/>
        <v>Exclude</v>
      </c>
    </row>
    <row r="522" spans="1:23" s="64" customFormat="1" x14ac:dyDescent="0.25">
      <c r="A522" s="63"/>
      <c r="U522" s="64" t="str">
        <f t="shared" si="16"/>
        <v>Exclude</v>
      </c>
      <c r="W522" s="65" t="str">
        <f t="shared" si="15"/>
        <v>Exclude</v>
      </c>
    </row>
    <row r="523" spans="1:23" s="64" customFormat="1" x14ac:dyDescent="0.25">
      <c r="A523" s="63"/>
      <c r="U523" s="64" t="str">
        <f t="shared" si="16"/>
        <v>Exclude</v>
      </c>
      <c r="W523" s="65" t="str">
        <f t="shared" si="15"/>
        <v>Exclude</v>
      </c>
    </row>
    <row r="524" spans="1:23" s="64" customFormat="1" x14ac:dyDescent="0.25">
      <c r="A524" s="63"/>
      <c r="U524" s="64" t="str">
        <f t="shared" si="16"/>
        <v>Exclude</v>
      </c>
      <c r="W524" s="65" t="str">
        <f t="shared" si="15"/>
        <v>Exclude</v>
      </c>
    </row>
    <row r="525" spans="1:23" s="64" customFormat="1" x14ac:dyDescent="0.25">
      <c r="A525" s="63"/>
      <c r="U525" s="64" t="str">
        <f t="shared" si="16"/>
        <v>Exclude</v>
      </c>
      <c r="W525" s="65" t="str">
        <f t="shared" si="15"/>
        <v>Exclude</v>
      </c>
    </row>
    <row r="526" spans="1:23" s="64" customFormat="1" x14ac:dyDescent="0.25">
      <c r="A526" s="63"/>
      <c r="U526" s="64" t="str">
        <f t="shared" si="16"/>
        <v>Exclude</v>
      </c>
      <c r="W526" s="65" t="str">
        <f t="shared" si="15"/>
        <v>Exclude</v>
      </c>
    </row>
    <row r="527" spans="1:23" s="64" customFormat="1" x14ac:dyDescent="0.25">
      <c r="A527" s="63"/>
      <c r="U527" s="64" t="str">
        <f t="shared" si="16"/>
        <v>Exclude</v>
      </c>
      <c r="W527" s="65" t="str">
        <f t="shared" si="15"/>
        <v>Exclude</v>
      </c>
    </row>
    <row r="528" spans="1:23" s="64" customFormat="1" x14ac:dyDescent="0.25">
      <c r="A528" s="63"/>
      <c r="U528" s="64" t="str">
        <f t="shared" si="16"/>
        <v>Exclude</v>
      </c>
      <c r="W528" s="65" t="str">
        <f t="shared" si="15"/>
        <v>Exclude</v>
      </c>
    </row>
    <row r="529" spans="1:23" s="64" customFormat="1" x14ac:dyDescent="0.25">
      <c r="A529" s="63"/>
      <c r="U529" s="64" t="str">
        <f t="shared" si="16"/>
        <v>Exclude</v>
      </c>
      <c r="W529" s="65" t="str">
        <f t="shared" si="15"/>
        <v>Exclude</v>
      </c>
    </row>
    <row r="530" spans="1:23" s="64" customFormat="1" x14ac:dyDescent="0.25">
      <c r="A530" s="63"/>
      <c r="U530" s="64" t="str">
        <f t="shared" si="16"/>
        <v>Exclude</v>
      </c>
      <c r="W530" s="65" t="str">
        <f t="shared" si="15"/>
        <v>Exclude</v>
      </c>
    </row>
    <row r="531" spans="1:23" s="64" customFormat="1" x14ac:dyDescent="0.25">
      <c r="A531" s="63"/>
      <c r="U531" s="64" t="str">
        <f t="shared" si="16"/>
        <v>Exclude</v>
      </c>
      <c r="W531" s="65" t="str">
        <f t="shared" si="15"/>
        <v>Exclude</v>
      </c>
    </row>
    <row r="532" spans="1:23" s="64" customFormat="1" x14ac:dyDescent="0.25">
      <c r="A532" s="63"/>
      <c r="U532" s="64" t="str">
        <f t="shared" si="16"/>
        <v>Exclude</v>
      </c>
      <c r="W532" s="65" t="str">
        <f t="shared" si="15"/>
        <v>Exclude</v>
      </c>
    </row>
    <row r="533" spans="1:23" s="64" customFormat="1" x14ac:dyDescent="0.25">
      <c r="A533" s="63"/>
      <c r="U533" s="64" t="str">
        <f t="shared" si="16"/>
        <v>Exclude</v>
      </c>
      <c r="W533" s="65" t="str">
        <f t="shared" si="15"/>
        <v>Exclude</v>
      </c>
    </row>
    <row r="534" spans="1:23" s="64" customFormat="1" x14ac:dyDescent="0.25">
      <c r="A534" s="63"/>
      <c r="U534" s="64" t="str">
        <f t="shared" si="16"/>
        <v>Exclude</v>
      </c>
      <c r="W534" s="65" t="str">
        <f t="shared" si="15"/>
        <v>Exclude</v>
      </c>
    </row>
    <row r="535" spans="1:23" s="64" customFormat="1" x14ac:dyDescent="0.25">
      <c r="A535" s="63"/>
      <c r="U535" s="64" t="str">
        <f t="shared" si="16"/>
        <v>Exclude</v>
      </c>
      <c r="W535" s="65" t="str">
        <f t="shared" si="15"/>
        <v>Exclude</v>
      </c>
    </row>
    <row r="536" spans="1:23" s="64" customFormat="1" x14ac:dyDescent="0.25">
      <c r="A536" s="63"/>
      <c r="U536" s="64" t="str">
        <f t="shared" si="16"/>
        <v>Exclude</v>
      </c>
      <c r="W536" s="65" t="str">
        <f t="shared" si="15"/>
        <v>Exclude</v>
      </c>
    </row>
    <row r="537" spans="1:23" s="64" customFormat="1" x14ac:dyDescent="0.25">
      <c r="A537" s="63"/>
      <c r="U537" s="64" t="str">
        <f t="shared" si="16"/>
        <v>Exclude</v>
      </c>
      <c r="W537" s="65" t="str">
        <f>IF(R537="TruePositive",IF(R536&lt;&gt;"Anticipatory",LOG10(N537),"Exclude"),"Exclude")</f>
        <v>Exclude</v>
      </c>
    </row>
    <row r="538" spans="1:23" s="64" customFormat="1" x14ac:dyDescent="0.25">
      <c r="A538" s="63"/>
      <c r="U538" s="64" t="str">
        <f t="shared" si="16"/>
        <v>Exclude</v>
      </c>
      <c r="W538" s="65" t="str">
        <f t="shared" ref="W538:W601" si="17">IF(R538="TruePositive",IF(R537&lt;&gt;"Anticipatory",LOG10(N538),"Exclude"),"Exclude")</f>
        <v>Exclude</v>
      </c>
    </row>
    <row r="539" spans="1:23" s="64" customFormat="1" x14ac:dyDescent="0.25">
      <c r="A539" s="63"/>
      <c r="U539" s="64" t="str">
        <f t="shared" si="16"/>
        <v>Exclude</v>
      </c>
      <c r="W539" s="65" t="str">
        <f t="shared" si="17"/>
        <v>Exclude</v>
      </c>
    </row>
    <row r="540" spans="1:23" s="64" customFormat="1" x14ac:dyDescent="0.25">
      <c r="A540" s="63"/>
      <c r="U540" s="64" t="str">
        <f t="shared" si="16"/>
        <v>Exclude</v>
      </c>
      <c r="W540" s="65" t="str">
        <f t="shared" si="17"/>
        <v>Exclude</v>
      </c>
    </row>
    <row r="541" spans="1:23" s="64" customFormat="1" x14ac:dyDescent="0.25">
      <c r="A541" s="63"/>
      <c r="U541" s="64" t="str">
        <f t="shared" si="16"/>
        <v>Exclude</v>
      </c>
      <c r="W541" s="65" t="str">
        <f t="shared" si="17"/>
        <v>Exclude</v>
      </c>
    </row>
    <row r="542" spans="1:23" s="64" customFormat="1" x14ac:dyDescent="0.25">
      <c r="A542" s="63"/>
      <c r="U542" s="64" t="str">
        <f t="shared" si="16"/>
        <v>Exclude</v>
      </c>
      <c r="W542" s="65" t="str">
        <f t="shared" si="17"/>
        <v>Exclude</v>
      </c>
    </row>
    <row r="543" spans="1:23" s="64" customFormat="1" x14ac:dyDescent="0.25">
      <c r="A543" s="63"/>
      <c r="U543" s="64" t="str">
        <f t="shared" si="16"/>
        <v>Exclude</v>
      </c>
      <c r="W543" s="65" t="str">
        <f t="shared" si="17"/>
        <v>Exclude</v>
      </c>
    </row>
    <row r="544" spans="1:23" s="64" customFormat="1" x14ac:dyDescent="0.25">
      <c r="A544" s="63"/>
      <c r="U544" s="64" t="str">
        <f t="shared" si="16"/>
        <v>Exclude</v>
      </c>
      <c r="W544" s="65" t="str">
        <f t="shared" si="17"/>
        <v>Exclude</v>
      </c>
    </row>
    <row r="545" spans="1:23" s="64" customFormat="1" x14ac:dyDescent="0.25">
      <c r="A545" s="63"/>
      <c r="U545" s="64" t="str">
        <f t="shared" si="16"/>
        <v>Exclude</v>
      </c>
      <c r="W545" s="65" t="str">
        <f t="shared" si="17"/>
        <v>Exclude</v>
      </c>
    </row>
    <row r="546" spans="1:23" s="64" customFormat="1" x14ac:dyDescent="0.25">
      <c r="A546" s="63"/>
      <c r="U546" s="64" t="str">
        <f t="shared" si="16"/>
        <v>Exclude</v>
      </c>
      <c r="W546" s="65" t="str">
        <f t="shared" si="17"/>
        <v>Exclude</v>
      </c>
    </row>
    <row r="547" spans="1:23" s="64" customFormat="1" x14ac:dyDescent="0.25">
      <c r="A547" s="63"/>
      <c r="U547" s="64" t="str">
        <f t="shared" si="16"/>
        <v>Exclude</v>
      </c>
      <c r="W547" s="65" t="str">
        <f t="shared" si="17"/>
        <v>Exclude</v>
      </c>
    </row>
    <row r="548" spans="1:23" s="64" customFormat="1" x14ac:dyDescent="0.25">
      <c r="A548" s="63"/>
      <c r="U548" s="64" t="str">
        <f t="shared" si="16"/>
        <v>Exclude</v>
      </c>
      <c r="W548" s="65" t="str">
        <f t="shared" si="17"/>
        <v>Exclude</v>
      </c>
    </row>
    <row r="549" spans="1:23" s="64" customFormat="1" x14ac:dyDescent="0.25">
      <c r="A549" s="63"/>
      <c r="U549" s="64" t="str">
        <f t="shared" si="16"/>
        <v>Exclude</v>
      </c>
      <c r="W549" s="65" t="str">
        <f t="shared" si="17"/>
        <v>Exclude</v>
      </c>
    </row>
    <row r="550" spans="1:23" s="64" customFormat="1" x14ac:dyDescent="0.25">
      <c r="A550" s="63"/>
      <c r="U550" s="64" t="str">
        <f t="shared" si="16"/>
        <v>Exclude</v>
      </c>
      <c r="W550" s="65" t="str">
        <f t="shared" si="17"/>
        <v>Exclude</v>
      </c>
    </row>
    <row r="551" spans="1:23" s="64" customFormat="1" x14ac:dyDescent="0.25">
      <c r="A551" s="63"/>
      <c r="U551" s="64" t="str">
        <f t="shared" si="16"/>
        <v>Exclude</v>
      </c>
      <c r="W551" s="65" t="str">
        <f t="shared" si="17"/>
        <v>Exclude</v>
      </c>
    </row>
    <row r="552" spans="1:23" s="64" customFormat="1" x14ac:dyDescent="0.25">
      <c r="A552" s="63"/>
      <c r="U552" s="64" t="str">
        <f t="shared" si="16"/>
        <v>Exclude</v>
      </c>
      <c r="W552" s="65" t="str">
        <f t="shared" si="17"/>
        <v>Exclude</v>
      </c>
    </row>
    <row r="553" spans="1:23" s="64" customFormat="1" x14ac:dyDescent="0.25">
      <c r="A553" s="63"/>
      <c r="U553" s="64" t="str">
        <f t="shared" si="16"/>
        <v>Exclude</v>
      </c>
      <c r="W553" s="65" t="str">
        <f t="shared" si="17"/>
        <v>Exclude</v>
      </c>
    </row>
    <row r="554" spans="1:23" s="64" customFormat="1" x14ac:dyDescent="0.25">
      <c r="A554" s="63"/>
      <c r="U554" s="64" t="str">
        <f t="shared" si="16"/>
        <v>Exclude</v>
      </c>
      <c r="W554" s="65" t="str">
        <f t="shared" si="17"/>
        <v>Exclude</v>
      </c>
    </row>
    <row r="555" spans="1:23" s="64" customFormat="1" x14ac:dyDescent="0.25">
      <c r="A555" s="63"/>
      <c r="U555" s="64" t="str">
        <f t="shared" si="16"/>
        <v>Exclude</v>
      </c>
      <c r="W555" s="65" t="str">
        <f t="shared" si="17"/>
        <v>Exclude</v>
      </c>
    </row>
    <row r="556" spans="1:23" s="64" customFormat="1" x14ac:dyDescent="0.25">
      <c r="A556" s="63"/>
      <c r="U556" s="64" t="str">
        <f t="shared" si="16"/>
        <v>Exclude</v>
      </c>
      <c r="W556" s="65" t="str">
        <f t="shared" si="17"/>
        <v>Exclude</v>
      </c>
    </row>
    <row r="557" spans="1:23" s="64" customFormat="1" x14ac:dyDescent="0.25">
      <c r="A557" s="63"/>
      <c r="U557" s="64" t="str">
        <f t="shared" si="16"/>
        <v>Exclude</v>
      </c>
      <c r="W557" s="65" t="str">
        <f t="shared" si="17"/>
        <v>Exclude</v>
      </c>
    </row>
    <row r="558" spans="1:23" s="64" customFormat="1" x14ac:dyDescent="0.25">
      <c r="A558" s="63"/>
      <c r="U558" s="64" t="str">
        <f t="shared" si="16"/>
        <v>Exclude</v>
      </c>
      <c r="W558" s="65" t="str">
        <f t="shared" si="17"/>
        <v>Exclude</v>
      </c>
    </row>
    <row r="559" spans="1:23" s="64" customFormat="1" x14ac:dyDescent="0.25">
      <c r="A559" s="63"/>
      <c r="U559" s="64" t="str">
        <f t="shared" si="16"/>
        <v>Exclude</v>
      </c>
      <c r="W559" s="65" t="str">
        <f t="shared" si="17"/>
        <v>Exclude</v>
      </c>
    </row>
    <row r="560" spans="1:23" s="64" customFormat="1" x14ac:dyDescent="0.25">
      <c r="A560" s="63"/>
      <c r="U560" s="64" t="str">
        <f t="shared" si="16"/>
        <v>Exclude</v>
      </c>
      <c r="W560" s="65" t="str">
        <f t="shared" si="17"/>
        <v>Exclude</v>
      </c>
    </row>
    <row r="561" spans="1:23" s="64" customFormat="1" x14ac:dyDescent="0.25">
      <c r="A561" s="63"/>
      <c r="U561" s="64" t="str">
        <f t="shared" si="16"/>
        <v>Exclude</v>
      </c>
      <c r="W561" s="65" t="str">
        <f t="shared" si="17"/>
        <v>Exclude</v>
      </c>
    </row>
    <row r="562" spans="1:23" s="64" customFormat="1" x14ac:dyDescent="0.25">
      <c r="A562" s="63"/>
      <c r="U562" s="64" t="str">
        <f t="shared" si="16"/>
        <v>Exclude</v>
      </c>
      <c r="W562" s="65" t="str">
        <f t="shared" si="17"/>
        <v>Exclude</v>
      </c>
    </row>
    <row r="563" spans="1:23" s="64" customFormat="1" x14ac:dyDescent="0.25">
      <c r="A563" s="63"/>
      <c r="U563" s="64" t="str">
        <f t="shared" si="16"/>
        <v>Exclude</v>
      </c>
      <c r="W563" s="65" t="str">
        <f t="shared" si="17"/>
        <v>Exclude</v>
      </c>
    </row>
    <row r="564" spans="1:23" s="64" customFormat="1" x14ac:dyDescent="0.25">
      <c r="A564" s="63"/>
      <c r="U564" s="64" t="str">
        <f t="shared" si="16"/>
        <v>Exclude</v>
      </c>
      <c r="W564" s="65" t="str">
        <f t="shared" si="17"/>
        <v>Exclude</v>
      </c>
    </row>
    <row r="565" spans="1:23" s="64" customFormat="1" x14ac:dyDescent="0.25">
      <c r="A565" s="63"/>
      <c r="U565" s="64" t="str">
        <f t="shared" ref="U565:U628" si="18">IF(R565="TruePositive",IF(R564&lt;&gt;"Anticipatory",(N565),"Pant"),"Exclude")</f>
        <v>Exclude</v>
      </c>
      <c r="W565" s="65" t="str">
        <f t="shared" si="17"/>
        <v>Exclude</v>
      </c>
    </row>
    <row r="566" spans="1:23" s="64" customFormat="1" x14ac:dyDescent="0.25">
      <c r="A566" s="63"/>
      <c r="U566" s="64" t="str">
        <f t="shared" si="18"/>
        <v>Exclude</v>
      </c>
      <c r="W566" s="65" t="str">
        <f t="shared" si="17"/>
        <v>Exclude</v>
      </c>
    </row>
    <row r="567" spans="1:23" s="64" customFormat="1" x14ac:dyDescent="0.25">
      <c r="A567" s="63"/>
      <c r="U567" s="64" t="str">
        <f t="shared" si="18"/>
        <v>Exclude</v>
      </c>
      <c r="W567" s="65" t="str">
        <f t="shared" si="17"/>
        <v>Exclude</v>
      </c>
    </row>
    <row r="568" spans="1:23" s="64" customFormat="1" x14ac:dyDescent="0.25">
      <c r="A568" s="63"/>
      <c r="U568" s="64" t="str">
        <f t="shared" si="18"/>
        <v>Exclude</v>
      </c>
      <c r="W568" s="65" t="str">
        <f t="shared" si="17"/>
        <v>Exclude</v>
      </c>
    </row>
    <row r="569" spans="1:23" s="64" customFormat="1" x14ac:dyDescent="0.25">
      <c r="A569" s="63"/>
      <c r="U569" s="64" t="str">
        <f t="shared" si="18"/>
        <v>Exclude</v>
      </c>
      <c r="W569" s="65" t="str">
        <f t="shared" si="17"/>
        <v>Exclude</v>
      </c>
    </row>
    <row r="570" spans="1:23" s="64" customFormat="1" x14ac:dyDescent="0.25">
      <c r="A570" s="63"/>
      <c r="U570" s="64" t="str">
        <f t="shared" si="18"/>
        <v>Exclude</v>
      </c>
      <c r="W570" s="65" t="str">
        <f t="shared" si="17"/>
        <v>Exclude</v>
      </c>
    </row>
    <row r="571" spans="1:23" s="64" customFormat="1" x14ac:dyDescent="0.25">
      <c r="A571" s="63"/>
      <c r="U571" s="64" t="str">
        <f t="shared" si="18"/>
        <v>Exclude</v>
      </c>
      <c r="W571" s="65" t="str">
        <f t="shared" si="17"/>
        <v>Exclude</v>
      </c>
    </row>
    <row r="572" spans="1:23" s="64" customFormat="1" x14ac:dyDescent="0.25">
      <c r="A572" s="63"/>
      <c r="U572" s="64" t="str">
        <f t="shared" si="18"/>
        <v>Exclude</v>
      </c>
      <c r="W572" s="65" t="str">
        <f t="shared" si="17"/>
        <v>Exclude</v>
      </c>
    </row>
    <row r="573" spans="1:23" s="64" customFormat="1" x14ac:dyDescent="0.25">
      <c r="A573" s="63"/>
      <c r="U573" s="64" t="str">
        <f t="shared" si="18"/>
        <v>Exclude</v>
      </c>
      <c r="W573" s="65" t="str">
        <f t="shared" si="17"/>
        <v>Exclude</v>
      </c>
    </row>
    <row r="574" spans="1:23" s="64" customFormat="1" x14ac:dyDescent="0.25">
      <c r="A574" s="63"/>
      <c r="U574" s="64" t="str">
        <f t="shared" si="18"/>
        <v>Exclude</v>
      </c>
      <c r="W574" s="65" t="str">
        <f t="shared" si="17"/>
        <v>Exclude</v>
      </c>
    </row>
    <row r="575" spans="1:23" s="64" customFormat="1" x14ac:dyDescent="0.25">
      <c r="A575" s="63"/>
      <c r="U575" s="64" t="str">
        <f t="shared" si="18"/>
        <v>Exclude</v>
      </c>
      <c r="W575" s="65" t="str">
        <f t="shared" si="17"/>
        <v>Exclude</v>
      </c>
    </row>
    <row r="576" spans="1:23" s="64" customFormat="1" x14ac:dyDescent="0.25">
      <c r="A576" s="63"/>
      <c r="U576" s="64" t="str">
        <f t="shared" si="18"/>
        <v>Exclude</v>
      </c>
      <c r="W576" s="65" t="str">
        <f t="shared" si="17"/>
        <v>Exclude</v>
      </c>
    </row>
    <row r="577" spans="1:23" s="64" customFormat="1" x14ac:dyDescent="0.25">
      <c r="A577" s="63"/>
      <c r="U577" s="64" t="str">
        <f t="shared" si="18"/>
        <v>Exclude</v>
      </c>
      <c r="W577" s="65" t="str">
        <f t="shared" si="17"/>
        <v>Exclude</v>
      </c>
    </row>
    <row r="578" spans="1:23" s="64" customFormat="1" x14ac:dyDescent="0.25">
      <c r="A578" s="63"/>
      <c r="U578" s="64" t="str">
        <f t="shared" si="18"/>
        <v>Exclude</v>
      </c>
      <c r="W578" s="65" t="str">
        <f t="shared" si="17"/>
        <v>Exclude</v>
      </c>
    </row>
    <row r="579" spans="1:23" s="64" customFormat="1" x14ac:dyDescent="0.25">
      <c r="A579" s="63"/>
      <c r="U579" s="64" t="str">
        <f t="shared" si="18"/>
        <v>Exclude</v>
      </c>
      <c r="W579" s="65" t="str">
        <f t="shared" si="17"/>
        <v>Exclude</v>
      </c>
    </row>
    <row r="580" spans="1:23" s="64" customFormat="1" x14ac:dyDescent="0.25">
      <c r="A580" s="63"/>
      <c r="U580" s="64" t="str">
        <f t="shared" si="18"/>
        <v>Exclude</v>
      </c>
      <c r="W580" s="65" t="str">
        <f t="shared" si="17"/>
        <v>Exclude</v>
      </c>
    </row>
    <row r="581" spans="1:23" s="64" customFormat="1" x14ac:dyDescent="0.25">
      <c r="A581" s="63"/>
      <c r="U581" s="64" t="str">
        <f t="shared" si="18"/>
        <v>Exclude</v>
      </c>
      <c r="W581" s="65" t="str">
        <f t="shared" si="17"/>
        <v>Exclude</v>
      </c>
    </row>
    <row r="582" spans="1:23" s="64" customFormat="1" x14ac:dyDescent="0.25">
      <c r="A582" s="63"/>
      <c r="U582" s="64" t="str">
        <f t="shared" si="18"/>
        <v>Exclude</v>
      </c>
      <c r="W582" s="65" t="str">
        <f t="shared" si="17"/>
        <v>Exclude</v>
      </c>
    </row>
    <row r="583" spans="1:23" s="64" customFormat="1" x14ac:dyDescent="0.25">
      <c r="A583" s="63"/>
      <c r="U583" s="64" t="str">
        <f t="shared" si="18"/>
        <v>Exclude</v>
      </c>
      <c r="W583" s="65" t="str">
        <f t="shared" si="17"/>
        <v>Exclude</v>
      </c>
    </row>
    <row r="584" spans="1:23" s="64" customFormat="1" x14ac:dyDescent="0.25">
      <c r="A584" s="63"/>
      <c r="U584" s="64" t="str">
        <f t="shared" si="18"/>
        <v>Exclude</v>
      </c>
      <c r="W584" s="65" t="str">
        <f t="shared" si="17"/>
        <v>Exclude</v>
      </c>
    </row>
    <row r="585" spans="1:23" s="64" customFormat="1" x14ac:dyDescent="0.25">
      <c r="A585" s="63"/>
      <c r="U585" s="64" t="str">
        <f t="shared" si="18"/>
        <v>Exclude</v>
      </c>
      <c r="W585" s="65" t="str">
        <f t="shared" si="17"/>
        <v>Exclude</v>
      </c>
    </row>
    <row r="586" spans="1:23" s="64" customFormat="1" x14ac:dyDescent="0.25">
      <c r="A586" s="63"/>
      <c r="U586" s="64" t="str">
        <f t="shared" si="18"/>
        <v>Exclude</v>
      </c>
      <c r="W586" s="65" t="str">
        <f t="shared" si="17"/>
        <v>Exclude</v>
      </c>
    </row>
    <row r="587" spans="1:23" s="64" customFormat="1" x14ac:dyDescent="0.25">
      <c r="A587" s="63"/>
      <c r="U587" s="64" t="str">
        <f t="shared" si="18"/>
        <v>Exclude</v>
      </c>
      <c r="W587" s="65" t="str">
        <f t="shared" si="17"/>
        <v>Exclude</v>
      </c>
    </row>
    <row r="588" spans="1:23" s="64" customFormat="1" x14ac:dyDescent="0.25">
      <c r="A588" s="63"/>
      <c r="U588" s="64" t="str">
        <f t="shared" si="18"/>
        <v>Exclude</v>
      </c>
      <c r="W588" s="65" t="str">
        <f t="shared" si="17"/>
        <v>Exclude</v>
      </c>
    </row>
    <row r="589" spans="1:23" s="64" customFormat="1" x14ac:dyDescent="0.25">
      <c r="A589" s="63"/>
      <c r="U589" s="64" t="str">
        <f t="shared" si="18"/>
        <v>Exclude</v>
      </c>
      <c r="W589" s="65" t="str">
        <f t="shared" si="17"/>
        <v>Exclude</v>
      </c>
    </row>
    <row r="590" spans="1:23" s="64" customFormat="1" x14ac:dyDescent="0.25">
      <c r="A590" s="63"/>
      <c r="U590" s="64" t="str">
        <f t="shared" si="18"/>
        <v>Exclude</v>
      </c>
      <c r="W590" s="65" t="str">
        <f t="shared" si="17"/>
        <v>Exclude</v>
      </c>
    </row>
    <row r="591" spans="1:23" s="64" customFormat="1" x14ac:dyDescent="0.25">
      <c r="A591" s="63"/>
      <c r="U591" s="64" t="str">
        <f t="shared" si="18"/>
        <v>Exclude</v>
      </c>
      <c r="W591" s="65" t="str">
        <f t="shared" si="17"/>
        <v>Exclude</v>
      </c>
    </row>
    <row r="592" spans="1:23" s="64" customFormat="1" x14ac:dyDescent="0.25">
      <c r="A592" s="63"/>
      <c r="U592" s="64" t="str">
        <f t="shared" si="18"/>
        <v>Exclude</v>
      </c>
      <c r="W592" s="65" t="str">
        <f t="shared" si="17"/>
        <v>Exclude</v>
      </c>
    </row>
    <row r="593" spans="1:23" s="64" customFormat="1" x14ac:dyDescent="0.25">
      <c r="A593" s="63"/>
      <c r="U593" s="64" t="str">
        <f t="shared" si="18"/>
        <v>Exclude</v>
      </c>
      <c r="W593" s="65" t="str">
        <f t="shared" si="17"/>
        <v>Exclude</v>
      </c>
    </row>
    <row r="594" spans="1:23" s="64" customFormat="1" x14ac:dyDescent="0.25">
      <c r="A594" s="63"/>
      <c r="U594" s="64" t="str">
        <f t="shared" si="18"/>
        <v>Exclude</v>
      </c>
      <c r="W594" s="65" t="str">
        <f t="shared" si="17"/>
        <v>Exclude</v>
      </c>
    </row>
    <row r="595" spans="1:23" s="64" customFormat="1" x14ac:dyDescent="0.25">
      <c r="A595" s="63"/>
      <c r="U595" s="64" t="str">
        <f t="shared" si="18"/>
        <v>Exclude</v>
      </c>
      <c r="W595" s="65" t="str">
        <f t="shared" si="17"/>
        <v>Exclude</v>
      </c>
    </row>
    <row r="596" spans="1:23" s="64" customFormat="1" x14ac:dyDescent="0.25">
      <c r="A596" s="63"/>
      <c r="U596" s="64" t="str">
        <f t="shared" si="18"/>
        <v>Exclude</v>
      </c>
      <c r="W596" s="65" t="str">
        <f t="shared" si="17"/>
        <v>Exclude</v>
      </c>
    </row>
    <row r="597" spans="1:23" s="64" customFormat="1" x14ac:dyDescent="0.25">
      <c r="A597" s="63"/>
      <c r="U597" s="64" t="str">
        <f t="shared" si="18"/>
        <v>Exclude</v>
      </c>
      <c r="W597" s="65" t="str">
        <f t="shared" si="17"/>
        <v>Exclude</v>
      </c>
    </row>
    <row r="598" spans="1:23" s="64" customFormat="1" x14ac:dyDescent="0.25">
      <c r="A598" s="63"/>
      <c r="U598" s="64" t="str">
        <f t="shared" si="18"/>
        <v>Exclude</v>
      </c>
      <c r="W598" s="65" t="str">
        <f t="shared" si="17"/>
        <v>Exclude</v>
      </c>
    </row>
    <row r="599" spans="1:23" s="64" customFormat="1" x14ac:dyDescent="0.25">
      <c r="A599" s="63"/>
      <c r="U599" s="64" t="str">
        <f t="shared" si="18"/>
        <v>Exclude</v>
      </c>
      <c r="W599" s="65" t="str">
        <f t="shared" si="17"/>
        <v>Exclude</v>
      </c>
    </row>
    <row r="600" spans="1:23" s="64" customFormat="1" x14ac:dyDescent="0.25">
      <c r="A600" s="63"/>
      <c r="U600" s="64" t="str">
        <f t="shared" si="18"/>
        <v>Exclude</v>
      </c>
      <c r="W600" s="65" t="str">
        <f t="shared" si="17"/>
        <v>Exclude</v>
      </c>
    </row>
    <row r="601" spans="1:23" s="64" customFormat="1" x14ac:dyDescent="0.25">
      <c r="A601" s="63"/>
      <c r="U601" s="64" t="str">
        <f t="shared" si="18"/>
        <v>Exclude</v>
      </c>
      <c r="W601" s="65" t="str">
        <f t="shared" si="17"/>
        <v>Exclude</v>
      </c>
    </row>
    <row r="602" spans="1:23" s="64" customFormat="1" x14ac:dyDescent="0.25">
      <c r="A602" s="63"/>
      <c r="U602" s="64" t="str">
        <f t="shared" si="18"/>
        <v>Exclude</v>
      </c>
      <c r="W602" s="65" t="str">
        <f t="shared" ref="W602:W611" si="19">IF(R602="TruePositive",IF(R601&lt;&gt;"Anticipatory",LOG10(N602),"Exclude"),"Exclude")</f>
        <v>Exclude</v>
      </c>
    </row>
    <row r="603" spans="1:23" s="64" customFormat="1" x14ac:dyDescent="0.25">
      <c r="A603" s="63"/>
      <c r="U603" s="64" t="str">
        <f t="shared" si="18"/>
        <v>Exclude</v>
      </c>
      <c r="W603" s="65" t="str">
        <f t="shared" si="19"/>
        <v>Exclude</v>
      </c>
    </row>
    <row r="604" spans="1:23" s="64" customFormat="1" x14ac:dyDescent="0.25">
      <c r="A604" s="63"/>
      <c r="U604" s="64" t="str">
        <f t="shared" si="18"/>
        <v>Exclude</v>
      </c>
      <c r="W604" s="65" t="str">
        <f t="shared" si="19"/>
        <v>Exclude</v>
      </c>
    </row>
    <row r="605" spans="1:23" s="64" customFormat="1" x14ac:dyDescent="0.25">
      <c r="A605" s="63"/>
      <c r="U605" s="64" t="str">
        <f t="shared" si="18"/>
        <v>Exclude</v>
      </c>
      <c r="W605" s="65" t="str">
        <f t="shared" si="19"/>
        <v>Exclude</v>
      </c>
    </row>
    <row r="606" spans="1:23" s="64" customFormat="1" x14ac:dyDescent="0.25">
      <c r="A606" s="63"/>
      <c r="U606" s="64" t="str">
        <f t="shared" si="18"/>
        <v>Exclude</v>
      </c>
      <c r="W606" s="65" t="str">
        <f t="shared" si="19"/>
        <v>Exclude</v>
      </c>
    </row>
    <row r="607" spans="1:23" s="64" customFormat="1" x14ac:dyDescent="0.25">
      <c r="A607" s="63"/>
      <c r="U607" s="64" t="str">
        <f t="shared" si="18"/>
        <v>Exclude</v>
      </c>
      <c r="W607" s="65" t="str">
        <f t="shared" si="19"/>
        <v>Exclude</v>
      </c>
    </row>
    <row r="608" spans="1:23" s="64" customFormat="1" x14ac:dyDescent="0.25">
      <c r="A608" s="63"/>
      <c r="U608" s="64" t="str">
        <f t="shared" si="18"/>
        <v>Exclude</v>
      </c>
      <c r="W608" s="65" t="str">
        <f t="shared" si="19"/>
        <v>Exclude</v>
      </c>
    </row>
    <row r="609" spans="1:23" s="64" customFormat="1" x14ac:dyDescent="0.25">
      <c r="A609" s="63"/>
      <c r="U609" s="64" t="str">
        <f t="shared" si="18"/>
        <v>Exclude</v>
      </c>
      <c r="W609" s="65" t="str">
        <f t="shared" si="19"/>
        <v>Exclude</v>
      </c>
    </row>
    <row r="610" spans="1:23" s="64" customFormat="1" x14ac:dyDescent="0.25">
      <c r="A610" s="63"/>
      <c r="U610" s="64" t="str">
        <f t="shared" si="18"/>
        <v>Exclude</v>
      </c>
      <c r="W610" s="65" t="str">
        <f t="shared" si="19"/>
        <v>Exclude</v>
      </c>
    </row>
    <row r="611" spans="1:23" s="64" customFormat="1" x14ac:dyDescent="0.25">
      <c r="A611" s="63"/>
      <c r="U611" s="64" t="str">
        <f t="shared" si="18"/>
        <v>Exclude</v>
      </c>
      <c r="W611" s="65" t="str">
        <f t="shared" si="19"/>
        <v>Exclude</v>
      </c>
    </row>
    <row r="612" spans="1:23" s="64" customFormat="1" x14ac:dyDescent="0.25">
      <c r="A612" s="63"/>
      <c r="U612" s="64" t="str">
        <f t="shared" si="18"/>
        <v>Exclude</v>
      </c>
      <c r="W612" s="65"/>
    </row>
    <row r="613" spans="1:23" s="64" customFormat="1" x14ac:dyDescent="0.25">
      <c r="A613" s="63"/>
      <c r="U613" s="64" t="str">
        <f t="shared" si="18"/>
        <v>Exclude</v>
      </c>
      <c r="W613" s="65"/>
    </row>
    <row r="614" spans="1:23" s="64" customFormat="1" x14ac:dyDescent="0.25">
      <c r="A614" s="63"/>
      <c r="U614" s="64" t="str">
        <f t="shared" si="18"/>
        <v>Exclude</v>
      </c>
      <c r="W614" s="65"/>
    </row>
    <row r="615" spans="1:23" s="64" customFormat="1" x14ac:dyDescent="0.25">
      <c r="A615" s="63"/>
      <c r="U615" s="64" t="str">
        <f t="shared" si="18"/>
        <v>Exclude</v>
      </c>
      <c r="W615" s="65"/>
    </row>
    <row r="616" spans="1:23" s="64" customFormat="1" x14ac:dyDescent="0.25">
      <c r="A616" s="63"/>
      <c r="U616" s="64" t="str">
        <f t="shared" si="18"/>
        <v>Exclude</v>
      </c>
      <c r="W616" s="65"/>
    </row>
    <row r="617" spans="1:23" s="64" customFormat="1" x14ac:dyDescent="0.25">
      <c r="A617" s="63"/>
      <c r="U617" s="64" t="str">
        <f t="shared" si="18"/>
        <v>Exclude</v>
      </c>
      <c r="W617" s="65"/>
    </row>
    <row r="618" spans="1:23" s="64" customFormat="1" x14ac:dyDescent="0.25">
      <c r="A618" s="63"/>
      <c r="U618" s="64" t="str">
        <f t="shared" si="18"/>
        <v>Exclude</v>
      </c>
      <c r="W618" s="65"/>
    </row>
    <row r="619" spans="1:23" s="64" customFormat="1" x14ac:dyDescent="0.25">
      <c r="A619" s="63"/>
      <c r="U619" s="64" t="str">
        <f t="shared" si="18"/>
        <v>Exclude</v>
      </c>
      <c r="W619" s="65"/>
    </row>
    <row r="620" spans="1:23" s="64" customFormat="1" x14ac:dyDescent="0.25">
      <c r="A620" s="63"/>
      <c r="U620" s="64" t="str">
        <f t="shared" si="18"/>
        <v>Exclude</v>
      </c>
      <c r="W620" s="65"/>
    </row>
    <row r="621" spans="1:23" s="64" customFormat="1" x14ac:dyDescent="0.25">
      <c r="A621" s="63"/>
      <c r="U621" s="64" t="str">
        <f t="shared" si="18"/>
        <v>Exclude</v>
      </c>
      <c r="W621" s="65"/>
    </row>
    <row r="622" spans="1:23" s="64" customFormat="1" x14ac:dyDescent="0.25">
      <c r="A622" s="63"/>
      <c r="U622" s="64" t="str">
        <f t="shared" si="18"/>
        <v>Exclude</v>
      </c>
      <c r="W622" s="65"/>
    </row>
    <row r="623" spans="1:23" s="64" customFormat="1" x14ac:dyDescent="0.25">
      <c r="A623" s="63"/>
      <c r="U623" s="64" t="str">
        <f t="shared" si="18"/>
        <v>Exclude</v>
      </c>
      <c r="W623" s="65"/>
    </row>
    <row r="624" spans="1:23" s="64" customFormat="1" x14ac:dyDescent="0.25">
      <c r="A624" s="63"/>
      <c r="U624" s="64" t="str">
        <f t="shared" si="18"/>
        <v>Exclude</v>
      </c>
      <c r="W624" s="65"/>
    </row>
    <row r="625" spans="1:23" s="64" customFormat="1" x14ac:dyDescent="0.25">
      <c r="A625" s="63"/>
      <c r="U625" s="64" t="str">
        <f t="shared" si="18"/>
        <v>Exclude</v>
      </c>
      <c r="W625" s="65"/>
    </row>
    <row r="626" spans="1:23" s="64" customFormat="1" x14ac:dyDescent="0.25">
      <c r="A626" s="63"/>
      <c r="U626" s="64" t="str">
        <f t="shared" si="18"/>
        <v>Exclude</v>
      </c>
      <c r="W626" s="65"/>
    </row>
    <row r="627" spans="1:23" s="64" customFormat="1" x14ac:dyDescent="0.25">
      <c r="A627" s="63"/>
      <c r="U627" s="64" t="str">
        <f t="shared" si="18"/>
        <v>Exclude</v>
      </c>
      <c r="W627" s="65"/>
    </row>
    <row r="628" spans="1:23" s="64" customFormat="1" x14ac:dyDescent="0.25">
      <c r="A628" s="63"/>
      <c r="U628" s="64" t="str">
        <f t="shared" si="18"/>
        <v>Exclude</v>
      </c>
      <c r="W628" s="65"/>
    </row>
    <row r="629" spans="1:23" s="64" customFormat="1" x14ac:dyDescent="0.25">
      <c r="A629" s="63"/>
      <c r="U629" s="64" t="str">
        <f t="shared" ref="U629:U644" si="20">IF(R629="TruePositive",IF(R628&lt;&gt;"Anticipatory",(N629),"Pant"),"Exclude")</f>
        <v>Exclude</v>
      </c>
      <c r="W629" s="65"/>
    </row>
    <row r="630" spans="1:23" s="64" customFormat="1" x14ac:dyDescent="0.25">
      <c r="A630" s="63"/>
      <c r="U630" s="64" t="str">
        <f t="shared" si="20"/>
        <v>Exclude</v>
      </c>
      <c r="W630" s="65"/>
    </row>
    <row r="631" spans="1:23" s="64" customFormat="1" x14ac:dyDescent="0.25">
      <c r="A631" s="63"/>
      <c r="U631" s="64" t="str">
        <f t="shared" si="20"/>
        <v>Exclude</v>
      </c>
      <c r="W631" s="65"/>
    </row>
    <row r="632" spans="1:23" s="64" customFormat="1" x14ac:dyDescent="0.25">
      <c r="A632" s="63"/>
      <c r="U632" s="64" t="str">
        <f t="shared" si="20"/>
        <v>Exclude</v>
      </c>
      <c r="W632" s="65"/>
    </row>
    <row r="633" spans="1:23" s="64" customFormat="1" x14ac:dyDescent="0.25">
      <c r="A633" s="63"/>
      <c r="U633" s="64" t="str">
        <f t="shared" si="20"/>
        <v>Exclude</v>
      </c>
      <c r="W633" s="65"/>
    </row>
    <row r="634" spans="1:23" s="64" customFormat="1" x14ac:dyDescent="0.25">
      <c r="A634" s="63"/>
      <c r="U634" s="64" t="str">
        <f t="shared" si="20"/>
        <v>Exclude</v>
      </c>
      <c r="W634" s="65"/>
    </row>
    <row r="635" spans="1:23" s="64" customFormat="1" x14ac:dyDescent="0.25">
      <c r="A635" s="63"/>
      <c r="U635" s="64" t="str">
        <f t="shared" si="20"/>
        <v>Exclude</v>
      </c>
      <c r="W635" s="65"/>
    </row>
    <row r="636" spans="1:23" s="64" customFormat="1" x14ac:dyDescent="0.25">
      <c r="A636" s="63"/>
      <c r="U636" s="64" t="str">
        <f t="shared" si="20"/>
        <v>Exclude</v>
      </c>
      <c r="W636" s="65"/>
    </row>
    <row r="637" spans="1:23" s="64" customFormat="1" x14ac:dyDescent="0.25">
      <c r="A637" s="63"/>
      <c r="U637" s="64" t="str">
        <f t="shared" si="20"/>
        <v>Exclude</v>
      </c>
    </row>
    <row r="638" spans="1:23" s="64" customFormat="1" x14ac:dyDescent="0.25">
      <c r="A638" s="63"/>
      <c r="U638" s="64" t="str">
        <f t="shared" si="20"/>
        <v>Exclude</v>
      </c>
    </row>
    <row r="639" spans="1:23" s="64" customFormat="1" x14ac:dyDescent="0.25">
      <c r="A639" s="63"/>
      <c r="U639" s="64" t="str">
        <f t="shared" si="20"/>
        <v>Exclude</v>
      </c>
    </row>
    <row r="640" spans="1:23" s="64" customFormat="1" x14ac:dyDescent="0.25">
      <c r="A640" s="63"/>
      <c r="U640" s="64" t="str">
        <f t="shared" si="20"/>
        <v>Exclude</v>
      </c>
    </row>
    <row r="641" spans="1:21" s="64" customFormat="1" x14ac:dyDescent="0.25">
      <c r="A641" s="63"/>
      <c r="U641" s="64" t="str">
        <f t="shared" si="20"/>
        <v>Exclude</v>
      </c>
    </row>
    <row r="642" spans="1:21" s="64" customFormat="1" x14ac:dyDescent="0.25">
      <c r="A642" s="63"/>
      <c r="U642" s="64" t="str">
        <f t="shared" si="20"/>
        <v>Exclude</v>
      </c>
    </row>
    <row r="643" spans="1:21" s="64" customFormat="1" x14ac:dyDescent="0.25">
      <c r="A643" s="63"/>
      <c r="U643" s="64" t="str">
        <f t="shared" si="20"/>
        <v>Exclude</v>
      </c>
    </row>
    <row r="644" spans="1:21" s="64" customFormat="1" x14ac:dyDescent="0.25">
      <c r="A644" s="63"/>
      <c r="U644" s="64" t="str">
        <f t="shared" si="20"/>
        <v>Exclude</v>
      </c>
    </row>
    <row r="645" spans="1:21" s="64" customFormat="1" x14ac:dyDescent="0.25">
      <c r="A645" s="63"/>
    </row>
    <row r="646" spans="1:21" s="64" customFormat="1" x14ac:dyDescent="0.25">
      <c r="A646" s="63"/>
    </row>
    <row r="647" spans="1:21" s="64" customFormat="1" x14ac:dyDescent="0.25">
      <c r="A647" s="63"/>
    </row>
    <row r="648" spans="1:21" s="64" customFormat="1" x14ac:dyDescent="0.25">
      <c r="A648" s="63"/>
    </row>
    <row r="649" spans="1:21" s="64" customFormat="1" x14ac:dyDescent="0.25">
      <c r="A649" s="63"/>
    </row>
    <row r="650" spans="1:21" s="64" customFormat="1" x14ac:dyDescent="0.25">
      <c r="A650" s="63"/>
    </row>
    <row r="651" spans="1:21" s="64" customFormat="1" x14ac:dyDescent="0.25">
      <c r="A651" s="63"/>
    </row>
    <row r="652" spans="1:21" s="64" customFormat="1" x14ac:dyDescent="0.25">
      <c r="A652" s="63"/>
    </row>
    <row r="653" spans="1:21" s="64" customFormat="1" x14ac:dyDescent="0.25">
      <c r="A653" s="63"/>
    </row>
    <row r="654" spans="1:21" s="64" customFormat="1" x14ac:dyDescent="0.25">
      <c r="A654" s="63"/>
    </row>
    <row r="655" spans="1:21" s="64" customFormat="1" x14ac:dyDescent="0.25">
      <c r="A655" s="63"/>
    </row>
    <row r="656" spans="1:21" s="64" customFormat="1" x14ac:dyDescent="0.25">
      <c r="A656" s="63"/>
    </row>
    <row r="657" spans="1:1" s="64" customFormat="1" x14ac:dyDescent="0.25">
      <c r="A657" s="63"/>
    </row>
    <row r="658" spans="1:1" s="64" customFormat="1" x14ac:dyDescent="0.25">
      <c r="A658" s="63"/>
    </row>
    <row r="659" spans="1:1" s="64" customFormat="1" x14ac:dyDescent="0.25">
      <c r="A659" s="63"/>
    </row>
    <row r="660" spans="1:1" s="64" customFormat="1" x14ac:dyDescent="0.25">
      <c r="A660" s="63"/>
    </row>
    <row r="661" spans="1:1" s="64" customFormat="1" x14ac:dyDescent="0.25">
      <c r="A661" s="63"/>
    </row>
    <row r="662" spans="1:1" s="64" customFormat="1" x14ac:dyDescent="0.25">
      <c r="A662" s="63"/>
    </row>
  </sheetData>
  <conditionalFormatting sqref="A30:XFD654">
    <cfRule type="expression" dxfId="70" priority="36">
      <formula>MOD(ROW(),2)=0</formula>
    </cfRule>
  </conditionalFormatting>
  <conditionalFormatting sqref="W1:W4 W6:W10 W28:W1048576">
    <cfRule type="containsText" dxfId="69" priority="34" operator="containsText" text="Exclude">
      <formula>NOT(ISERROR(SEARCH("Exclude",W1)))</formula>
    </cfRule>
  </conditionalFormatting>
  <conditionalFormatting sqref="A26:C26 H27">
    <cfRule type="containsErrors" dxfId="68" priority="33">
      <formula>ISERROR(A26)</formula>
    </cfRule>
  </conditionalFormatting>
  <conditionalFormatting sqref="U1:U2 U24 U26:U1048576">
    <cfRule type="containsText" dxfId="67" priority="24" operator="containsText" text="Pant">
      <formula>NOT(ISERROR(SEARCH("Pant",U1)))</formula>
    </cfRule>
    <cfRule type="containsText" dxfId="66" priority="31" operator="containsText" text="Exclude">
      <formula>NOT(ISERROR(SEARCH("Exclude",U1)))</formula>
    </cfRule>
  </conditionalFormatting>
  <conditionalFormatting sqref="A11:C11">
    <cfRule type="containsErrors" dxfId="65" priority="22">
      <formula>ISERROR(A11)</formula>
    </cfRule>
  </conditionalFormatting>
  <conditionalFormatting sqref="Q11 Q9">
    <cfRule type="containsText" dxfId="64" priority="20" operator="containsText" text="Pant">
      <formula>NOT(ISERROR(SEARCH("Pant",Q9)))</formula>
    </cfRule>
    <cfRule type="containsText" dxfId="63" priority="21" operator="containsText" text="Exclude">
      <formula>NOT(ISERROR(SEARCH("Exclude",Q9)))</formula>
    </cfRule>
  </conditionalFormatting>
  <conditionalFormatting sqref="A8:C8">
    <cfRule type="containsErrors" dxfId="62" priority="19">
      <formula>ISERROR(A8)</formula>
    </cfRule>
  </conditionalFormatting>
  <conditionalFormatting sqref="Q8 Q6">
    <cfRule type="containsText" dxfId="61" priority="17" operator="containsText" text="Pant">
      <formula>NOT(ISERROR(SEARCH("Pant",Q6)))</formula>
    </cfRule>
    <cfRule type="containsText" dxfId="60" priority="18" operator="containsText" text="Exclude">
      <formula>NOT(ISERROR(SEARCH("Exclude",Q6)))</formula>
    </cfRule>
  </conditionalFormatting>
  <conditionalFormatting sqref="A5:C5">
    <cfRule type="containsErrors" dxfId="59" priority="16">
      <formula>ISERROR(A5)</formula>
    </cfRule>
  </conditionalFormatting>
  <conditionalFormatting sqref="Q5 U3">
    <cfRule type="containsText" dxfId="58" priority="14" operator="containsText" text="Pant">
      <formula>NOT(ISERROR(SEARCH("Pant",Q3)))</formula>
    </cfRule>
    <cfRule type="containsText" dxfId="57" priority="15" operator="containsText" text="Exclude">
      <formula>NOT(ISERROR(SEARCH("Exclude",Q3)))</formula>
    </cfRule>
  </conditionalFormatting>
  <conditionalFormatting sqref="A23:C23">
    <cfRule type="containsErrors" dxfId="56" priority="13">
      <formula>ISERROR(A23)</formula>
    </cfRule>
  </conditionalFormatting>
  <conditionalFormatting sqref="Q23 Q21">
    <cfRule type="containsText" dxfId="55" priority="11" operator="containsText" text="Pant">
      <formula>NOT(ISERROR(SEARCH("Pant",Q21)))</formula>
    </cfRule>
    <cfRule type="containsText" dxfId="54" priority="12" operator="containsText" text="Exclude">
      <formula>NOT(ISERROR(SEARCH("Exclude",Q21)))</formula>
    </cfRule>
  </conditionalFormatting>
  <conditionalFormatting sqref="W12:W13 W15:W19">
    <cfRule type="containsText" dxfId="53" priority="10" operator="containsText" text="Exclude">
      <formula>NOT(ISERROR(SEARCH("Exclude",W12)))</formula>
    </cfRule>
  </conditionalFormatting>
  <conditionalFormatting sqref="A20:C20">
    <cfRule type="containsErrors" dxfId="52" priority="9">
      <formula>ISERROR(A20)</formula>
    </cfRule>
  </conditionalFormatting>
  <conditionalFormatting sqref="Q20 Q18">
    <cfRule type="containsText" dxfId="51" priority="7" operator="containsText" text="Pant">
      <formula>NOT(ISERROR(SEARCH("Pant",Q18)))</formula>
    </cfRule>
    <cfRule type="containsText" dxfId="50" priority="8" operator="containsText" text="Exclude">
      <formula>NOT(ISERROR(SEARCH("Exclude",Q18)))</formula>
    </cfRule>
  </conditionalFormatting>
  <conditionalFormatting sqref="A17:C17">
    <cfRule type="containsErrors" dxfId="49" priority="6">
      <formula>ISERROR(A17)</formula>
    </cfRule>
  </conditionalFormatting>
  <conditionalFormatting sqref="Q17 Q15">
    <cfRule type="containsText" dxfId="48" priority="4" operator="containsText" text="Pant">
      <formula>NOT(ISERROR(SEARCH("Pant",Q15)))</formula>
    </cfRule>
    <cfRule type="containsText" dxfId="47" priority="5" operator="containsText" text="Exclude">
      <formula>NOT(ISERROR(SEARCH("Exclude",Q15)))</formula>
    </cfRule>
  </conditionalFormatting>
  <conditionalFormatting sqref="A14:C14">
    <cfRule type="containsErrors" dxfId="46" priority="3">
      <formula>ISERROR(A14)</formula>
    </cfRule>
  </conditionalFormatting>
  <conditionalFormatting sqref="Q14 Q12">
    <cfRule type="containsText" dxfId="45" priority="1" operator="containsText" text="Pant">
      <formula>NOT(ISERROR(SEARCH("Pant",Q12)))</formula>
    </cfRule>
    <cfRule type="containsText" dxfId="44" priority="2" operator="containsText" text="Exclude">
      <formula>NOT(ISERROR(SEARCH("Exclude",Q12)))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TextToColumnsCPAL">
                <anchor moveWithCells="1" sizeWithCells="1">
                  <from>
                    <xdr:col>7</xdr:col>
                    <xdr:colOff>857250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72B89-9341-4EA7-83AA-42BB7D3CD7B0}">
  <sheetPr codeName="Sheet18"/>
  <dimension ref="A1:W654"/>
  <sheetViews>
    <sheetView zoomScale="85" zoomScaleNormal="85" workbookViewId="0">
      <pane ySplit="20" topLeftCell="A21" activePane="bottomLeft" state="frozen"/>
      <selection activeCell="E1" sqref="E1"/>
      <selection pane="bottomLeft" activeCell="G36" sqref="G36"/>
    </sheetView>
  </sheetViews>
  <sheetFormatPr defaultColWidth="9.140625" defaultRowHeight="15" x14ac:dyDescent="0.25"/>
  <cols>
    <col min="1" max="1" width="19.85546875" style="65" customWidth="1"/>
    <col min="2" max="2" width="15.85546875" style="65" customWidth="1"/>
    <col min="3" max="3" width="16.7109375" style="65" customWidth="1"/>
    <col min="4" max="4" width="16.85546875" style="65" bestFit="1" customWidth="1"/>
    <col min="5" max="5" width="17" style="65" bestFit="1" customWidth="1"/>
    <col min="6" max="6" width="16.140625" style="65" bestFit="1" customWidth="1"/>
    <col min="7" max="7" width="15.7109375" style="65" customWidth="1"/>
    <col min="8" max="8" width="15.28515625" style="65" customWidth="1"/>
    <col min="9" max="9" width="25.28515625" style="65" customWidth="1"/>
    <col min="10" max="10" width="19.140625" style="65" customWidth="1"/>
    <col min="11" max="11" width="27.5703125" style="65" customWidth="1"/>
    <col min="12" max="12" width="19.85546875" style="65" customWidth="1"/>
    <col min="13" max="13" width="12.7109375" style="65" bestFit="1" customWidth="1"/>
    <col min="14" max="14" width="14.28515625" style="65" customWidth="1"/>
    <col min="15" max="15" width="15.42578125" style="65" bestFit="1" customWidth="1"/>
    <col min="16" max="16" width="14.5703125" style="65" customWidth="1"/>
    <col min="17" max="17" width="18.140625" style="65" customWidth="1"/>
    <col min="18" max="18" width="15.7109375" style="65" customWidth="1"/>
    <col min="19" max="20" width="12" style="65" customWidth="1"/>
    <col min="21" max="21" width="17.85546875" style="65" customWidth="1"/>
    <col min="22" max="22" width="9.140625" style="65"/>
    <col min="23" max="23" width="7.140625" style="65" customWidth="1"/>
    <col min="24" max="16384" width="9.140625" style="65"/>
  </cols>
  <sheetData>
    <row r="1" spans="1:21" s="28" customFormat="1" ht="22.5" x14ac:dyDescent="0.3">
      <c r="C1" s="1" t="s">
        <v>156</v>
      </c>
      <c r="I1" s="30"/>
      <c r="J1" s="30"/>
      <c r="K1" s="30"/>
      <c r="L1" s="30"/>
      <c r="M1" s="33"/>
      <c r="N1" s="33"/>
      <c r="O1" s="33"/>
      <c r="P1" s="33"/>
      <c r="Q1" s="33"/>
      <c r="R1" s="33"/>
    </row>
    <row r="2" spans="1:21" s="28" customFormat="1" x14ac:dyDescent="0.25">
      <c r="D2" s="29"/>
      <c r="I2" s="30"/>
      <c r="J2" s="30"/>
      <c r="K2" s="30"/>
      <c r="L2" s="30"/>
      <c r="M2" s="33"/>
      <c r="N2" s="33"/>
      <c r="O2" s="33"/>
      <c r="P2" s="33"/>
      <c r="Q2" s="33"/>
      <c r="R2" s="33"/>
    </row>
    <row r="3" spans="1:21" s="28" customFormat="1" ht="18.75" x14ac:dyDescent="0.3">
      <c r="A3" s="69" t="s">
        <v>88</v>
      </c>
    </row>
    <row r="4" spans="1:21" s="33" customFormat="1" x14ac:dyDescent="0.25">
      <c r="A4" s="40" t="s">
        <v>0</v>
      </c>
      <c r="B4" s="40" t="s">
        <v>1</v>
      </c>
      <c r="C4" s="40" t="s">
        <v>2</v>
      </c>
      <c r="D4" s="40" t="s">
        <v>3</v>
      </c>
      <c r="E4" s="40" t="s">
        <v>4</v>
      </c>
      <c r="F4" s="40" t="s">
        <v>6</v>
      </c>
      <c r="G4" s="40" t="s">
        <v>5</v>
      </c>
      <c r="H4" s="40" t="s">
        <v>84</v>
      </c>
      <c r="I4" s="40" t="s">
        <v>58</v>
      </c>
      <c r="J4" s="40" t="s">
        <v>52</v>
      </c>
      <c r="K4" s="40" t="s">
        <v>54</v>
      </c>
      <c r="L4" s="40" t="s">
        <v>55</v>
      </c>
      <c r="M4" s="40" t="s">
        <v>56</v>
      </c>
      <c r="N4" s="40" t="s">
        <v>49</v>
      </c>
      <c r="O4" s="40" t="s">
        <v>50</v>
      </c>
      <c r="P4" s="40" t="s">
        <v>51</v>
      </c>
      <c r="Q4" s="40" t="s">
        <v>66</v>
      </c>
      <c r="R4" s="40"/>
    </row>
    <row r="5" spans="1:21" s="33" customFormat="1" x14ac:dyDescent="0.25">
      <c r="A5" s="107" t="e">
        <f>AVERAGEIF(B21:B991,1,W21:W991)</f>
        <v>#DIV/0!</v>
      </c>
      <c r="B5" s="107" t="e">
        <f>STDEV(W21:W49)</f>
        <v>#DIV/0!</v>
      </c>
      <c r="C5" s="107" t="e">
        <f>ASIN(SQRT(D5/G5))</f>
        <v>#DIV/0!</v>
      </c>
      <c r="D5" s="33">
        <f>COUNTIFS(B21:B991,1,R21:R991,"TruePositive")</f>
        <v>0</v>
      </c>
      <c r="E5" s="33">
        <f>COUNTIFS(B21:B991,1,R21:R991,"LegalError")+COUNTIFS(B21:B991,1,R21:R991,"WithinSearch")+COUNTIFS(B21:B991,1,R21:R991,"BetweenSearch")+COUNTIFS(B21:B991,1,R21:R991,"Perseverative")+COUNTIFS(B21:B991,1,R21:R991,"SameNode")+COUNTIFS(B21:B991,1,R21:R991,"BetweenNode")+COUNTIFS(B21:B991,1,R21:R991,"Outer")+COUNTIFS(B21:B991,1,R21:R991,"Anticipatory")+COUNTIFS(B21:B991,1,R21:R991,"Post")+COUNTIFS(B21:B991,1,R21:R991,"DistractorError")</f>
        <v>0</v>
      </c>
      <c r="F5" s="33">
        <f>COUNTIFS(B21:B991,1,R21:R991,"TruePositive")</f>
        <v>0</v>
      </c>
      <c r="G5" s="33">
        <f>SUM(D5+E5)</f>
        <v>0</v>
      </c>
      <c r="I5" s="33">
        <f>COUNTIFS(B21:B991,1,R21:R991,"LegalError")+COUNTIFS(B21:B991,1,R21:R991,"WithinSearch")+COUNTIFS(B21:B991,1,R21:R991,"BetweenSearch")+COUNTIFS(B21:B991,1,R21:R991,"Perseverative")+COUNTIFS(B21:B991,1,R21:R991,"SameNode")+COUNTIFS(B21:B991,1,R21:R991,"DistractorError")</f>
        <v>0</v>
      </c>
      <c r="J5" s="101">
        <f>COUNTIFS(B21:B991,1,R21:R991,"BetweenNode")+COUNTIFS(B21:B991,1,R21:R991,"Outer")+COUNTIFS(B21:B991,1,R21:R991,"Anticipatory")+COUNTIFS(B21:B991,1,R21:R991,"Post")</f>
        <v>0</v>
      </c>
      <c r="K5" s="33">
        <f>COUNTIFS(B21:B991,1,R21:R991,"Anticipatory")</f>
        <v>0</v>
      </c>
      <c r="L5" s="33">
        <f>COUNTIFS(B21:B991,1,R21:R991,"Post")</f>
        <v>0</v>
      </c>
      <c r="M5" s="33">
        <f>COUNTIFS(B21:B991,1,R21:R991,"MaxOut")</f>
        <v>0</v>
      </c>
      <c r="N5" s="107" t="e">
        <f>AVERAGEIF(B21:B991,1,U21:U991)</f>
        <v>#DIV/0!</v>
      </c>
      <c r="O5" s="107" t="e">
        <f>STDEV(U21:U49)</f>
        <v>#DIV/0!</v>
      </c>
      <c r="P5" s="107" t="e">
        <f>D5/G5</f>
        <v>#DIV/0!</v>
      </c>
      <c r="Q5" s="33">
        <f>SUM(D5)-COUNTIFS(B21:B991,1,U21:U991,"Pant")</f>
        <v>0</v>
      </c>
    </row>
    <row r="6" spans="1:21" s="33" customFormat="1" ht="18.75" x14ac:dyDescent="0.3">
      <c r="A6" s="106" t="s">
        <v>89</v>
      </c>
      <c r="B6" s="107"/>
      <c r="C6" s="107"/>
      <c r="O6" s="107"/>
    </row>
    <row r="7" spans="1:21" s="33" customFormat="1" x14ac:dyDescent="0.25">
      <c r="A7" s="105" t="s">
        <v>0</v>
      </c>
      <c r="B7" s="105" t="s">
        <v>1</v>
      </c>
      <c r="C7" s="105" t="s">
        <v>2</v>
      </c>
      <c r="D7" s="40" t="s">
        <v>3</v>
      </c>
      <c r="E7" s="40" t="s">
        <v>4</v>
      </c>
      <c r="F7" s="40" t="s">
        <v>6</v>
      </c>
      <c r="G7" s="40" t="s">
        <v>5</v>
      </c>
      <c r="H7" s="40" t="s">
        <v>84</v>
      </c>
      <c r="I7" s="40" t="s">
        <v>58</v>
      </c>
      <c r="J7" s="40" t="s">
        <v>52</v>
      </c>
      <c r="K7" s="40" t="s">
        <v>54</v>
      </c>
      <c r="L7" s="40" t="s">
        <v>55</v>
      </c>
      <c r="M7" s="40" t="s">
        <v>56</v>
      </c>
      <c r="N7" s="40" t="s">
        <v>49</v>
      </c>
      <c r="O7" s="105" t="s">
        <v>50</v>
      </c>
      <c r="P7" s="40" t="s">
        <v>51</v>
      </c>
      <c r="Q7" s="40" t="s">
        <v>66</v>
      </c>
    </row>
    <row r="8" spans="1:21" s="33" customFormat="1" x14ac:dyDescent="0.25">
      <c r="A8" s="107" t="e">
        <f>AVERAGEIF(B21:B991,2,W21:W991)</f>
        <v>#DIV/0!</v>
      </c>
      <c r="B8" s="107" t="e">
        <f>STDEV(W50:W88)</f>
        <v>#DIV/0!</v>
      </c>
      <c r="C8" s="107" t="e">
        <f>ASIN(SQRT(D8/G8))</f>
        <v>#DIV/0!</v>
      </c>
      <c r="D8" s="33">
        <f>COUNTIFS(B21:B991,2,R21:R991,"TruePositive")</f>
        <v>0</v>
      </c>
      <c r="E8" s="33">
        <f>COUNTIFS(B21:B991,2,R21:R991,"LegalError")+COUNTIFS(B21:B991,2,R21:R991,"WithinSearch")+COUNTIFS(B21:B991,2,R21:R991,"BetweenSearch")+COUNTIFS(B21:B991,2,R21:R991,"Perseverative")+COUNTIFS(B21:B991,2,R21:R991,"SameNode")+COUNTIFS(B21:B991,2,R21:R991,"BetweenNode")+COUNTIFS(B21:B991,2,R21:R991,"Outer")+COUNTIFS(B21:B991,2,R21:R991,"Anticipatory")+COUNTIFS(B21:B991,2,R21:R991,"Post")+COUNTIFS(B21:B991,2,R21:R991,"DistractorError")</f>
        <v>0</v>
      </c>
      <c r="F8" s="33">
        <f>COUNTIFS(B21:B991,2,R21:R991,"TruePositive")</f>
        <v>0</v>
      </c>
      <c r="G8" s="33">
        <f>SUM(D8+E8)</f>
        <v>0</v>
      </c>
      <c r="H8" s="33">
        <f>(L88+700)-(L49+700)</f>
        <v>0</v>
      </c>
      <c r="I8" s="33">
        <f>COUNTIFS(B21:B991,2,R21:R991,"LegalError")+COUNTIFS(B21:B991,2,R21:R991,"WithinSearch")+COUNTIFS(B21:B991,2,R21:R991,"BetweenSearch")+COUNTIFS(B21:B991,2,R21:R991,"Perseverative")+COUNTIFS(B21:B991,2,R21:R991,"SameNode")+COUNTIFS(B21:B991,2,R21:R991,"DistractorError")</f>
        <v>0</v>
      </c>
      <c r="J8" s="101">
        <f>COUNTIFS(B21:B991,2,R21:R991,"BetweenNode")+COUNTIFS(B21:B991,2,R21:R991,"Outer")+COUNTIFS(B21:B991,2,R21:R991,"Anticipatory")+COUNTIFS(B21:B991,2,R21:R991,"Post")</f>
        <v>0</v>
      </c>
      <c r="K8" s="33">
        <f>COUNTIFS(B21:B991,2,R21:R991,"Anticipatory")</f>
        <v>0</v>
      </c>
      <c r="L8" s="33">
        <f>COUNTIFS(B21:B991,2,R21:R991,"Post")</f>
        <v>0</v>
      </c>
      <c r="M8" s="33">
        <f>COUNTIFS(B21:B991,2,R21:R991,"MaxOut")</f>
        <v>0</v>
      </c>
      <c r="N8" s="107" t="e">
        <f>AVERAGEIF(B21:B991,2,U21:U991)</f>
        <v>#DIV/0!</v>
      </c>
      <c r="O8" s="107" t="e">
        <f>STDEV(U50:U88)</f>
        <v>#DIV/0!</v>
      </c>
      <c r="P8" s="107" t="e">
        <f>D8/G8</f>
        <v>#DIV/0!</v>
      </c>
      <c r="Q8" s="33">
        <f>SUM(D8)-COUNTIFS(B21:B991,2,U21:U991,"Pant")</f>
        <v>0</v>
      </c>
    </row>
    <row r="9" spans="1:21" s="33" customFormat="1" ht="18.75" x14ac:dyDescent="0.3">
      <c r="A9" s="106" t="s">
        <v>90</v>
      </c>
      <c r="B9" s="107"/>
      <c r="C9" s="107"/>
      <c r="O9" s="107"/>
    </row>
    <row r="10" spans="1:21" s="33" customFormat="1" x14ac:dyDescent="0.25">
      <c r="A10" s="105" t="s">
        <v>0</v>
      </c>
      <c r="B10" s="105" t="s">
        <v>1</v>
      </c>
      <c r="C10" s="105" t="s">
        <v>2</v>
      </c>
      <c r="D10" s="40" t="s">
        <v>3</v>
      </c>
      <c r="E10" s="40" t="s">
        <v>4</v>
      </c>
      <c r="F10" s="40" t="s">
        <v>6</v>
      </c>
      <c r="G10" s="40" t="s">
        <v>5</v>
      </c>
      <c r="H10" s="40" t="s">
        <v>84</v>
      </c>
      <c r="I10" s="40" t="s">
        <v>58</v>
      </c>
      <c r="J10" s="40" t="s">
        <v>52</v>
      </c>
      <c r="K10" s="40" t="s">
        <v>54</v>
      </c>
      <c r="L10" s="40" t="s">
        <v>55</v>
      </c>
      <c r="M10" s="40" t="s">
        <v>56</v>
      </c>
      <c r="N10" s="40" t="s">
        <v>49</v>
      </c>
      <c r="O10" s="105" t="s">
        <v>50</v>
      </c>
      <c r="P10" s="40" t="s">
        <v>51</v>
      </c>
      <c r="Q10" s="40" t="s">
        <v>66</v>
      </c>
    </row>
    <row r="11" spans="1:21" s="33" customFormat="1" x14ac:dyDescent="0.25">
      <c r="A11" s="107" t="e">
        <f>AVERAGEIF(B21:B991,3,W21:W991)</f>
        <v>#DIV/0!</v>
      </c>
      <c r="B11" s="107" t="e">
        <f>STDEV(W89:W121)</f>
        <v>#DIV/0!</v>
      </c>
      <c r="C11" s="107" t="e">
        <f>ASIN(SQRT(D11/G11))</f>
        <v>#DIV/0!</v>
      </c>
      <c r="D11" s="33">
        <f>COUNTIFS(B21:B991,3,R21:R991,"TruePositive")</f>
        <v>0</v>
      </c>
      <c r="E11" s="33">
        <f>COUNTIFS(B21:B991,3,R21:R991,"LegalError")+COUNTIFS(B21:B991,3,R21:R991,"WithinSearch")+COUNTIFS(B21:B991,3,R21:R991,"BetweenSearch")+COUNTIFS(B21:B991,3,R21:R991,"Perseverative")+COUNTIFS(B21:B991,3,R21:R991,"SameNode")+COUNTIFS(B21:B991,3,R21:R991,"BetweenNode")+COUNTIFS(B21:B991,3,R21:R991,"Outer")+COUNTIFS(B21:B991,3,R21:R991,"Anticipatory")+COUNTIFS(B21:B991,3,R21:R991,"Post")+COUNTIFS(B21:B991,3,R21:R991,"DistractorError")</f>
        <v>0</v>
      </c>
      <c r="F11" s="33">
        <f>COUNTIFS(B21:B991,3,R21:R991,"TruePositive")</f>
        <v>0</v>
      </c>
      <c r="G11" s="33">
        <f>SUM(D11+E11)</f>
        <v>0</v>
      </c>
      <c r="H11" s="33">
        <f>(L121+700)-(L88+700)</f>
        <v>0</v>
      </c>
      <c r="I11" s="33">
        <f>COUNTIFS(B21:B991,3,R21:R991,"LegalError")+COUNTIFS(B21:B991,3,R21:R991,"WithinSearch")+COUNTIFS(B21:B991,3,R21:R991,"BetweenSearch")+COUNTIFS(B21:B991,3,R21:R991,"Perseverative")+COUNTIFS(B21:B991,3,R21:R991,"SameNode")+COUNTIFS(B21:B991,3,R21:R991,"DistractorError")</f>
        <v>0</v>
      </c>
      <c r="J11" s="101">
        <f>COUNTIFS(B21:B991,3,R21:R991,"BetweenNode")+COUNTIFS(B21:B991,3,R21:R991,"Outer")+COUNTIFS(B21:B991,3,R21:R991,"Anticipatory")+COUNTIFS(B21:B991,3,R21:R991,"Post")</f>
        <v>0</v>
      </c>
      <c r="K11" s="33">
        <f>COUNTIFS(B21:B991,3,R21:R991,"Anticipatory")</f>
        <v>0</v>
      </c>
      <c r="L11" s="33">
        <f>COUNTIFS(B21:B991,3,R21:R991,"Post")</f>
        <v>0</v>
      </c>
      <c r="M11" s="33">
        <f>COUNTIFS(B21:B991,3,R21:R991,"MaxOut")</f>
        <v>0</v>
      </c>
      <c r="N11" s="107" t="e">
        <f>AVERAGEIF(B21:B991,3,U21:U991)</f>
        <v>#DIV/0!</v>
      </c>
      <c r="O11" s="107" t="e">
        <f>STDEV(U89:U121)</f>
        <v>#DIV/0!</v>
      </c>
      <c r="P11" s="107" t="e">
        <f>D11/G11</f>
        <v>#DIV/0!</v>
      </c>
      <c r="Q11" s="33">
        <f>SUM(D11)-COUNTIFS(B21:B991,3,U21:U991,"Pant")</f>
        <v>0</v>
      </c>
    </row>
    <row r="12" spans="1:21" s="33" customFormat="1" ht="15.75" customHeight="1" x14ac:dyDescent="0.3">
      <c r="A12" s="106" t="s">
        <v>91</v>
      </c>
      <c r="B12" s="107"/>
      <c r="C12" s="107"/>
    </row>
    <row r="13" spans="1:21" s="33" customFormat="1" ht="15.75" customHeight="1" x14ac:dyDescent="0.25">
      <c r="A13" s="105" t="s">
        <v>0</v>
      </c>
      <c r="B13" s="105" t="s">
        <v>1</v>
      </c>
      <c r="C13" s="105" t="s">
        <v>2</v>
      </c>
      <c r="D13" s="40" t="s">
        <v>3</v>
      </c>
      <c r="E13" s="40" t="s">
        <v>4</v>
      </c>
      <c r="F13" s="40" t="s">
        <v>6</v>
      </c>
      <c r="G13" s="40" t="s">
        <v>5</v>
      </c>
      <c r="H13" s="40" t="s">
        <v>84</v>
      </c>
      <c r="I13" s="68" t="s">
        <v>154</v>
      </c>
      <c r="J13" s="40" t="s">
        <v>63</v>
      </c>
      <c r="K13" s="40" t="s">
        <v>153</v>
      </c>
      <c r="L13" s="40" t="s">
        <v>64</v>
      </c>
      <c r="M13" s="40" t="s">
        <v>58</v>
      </c>
      <c r="N13" s="40" t="s">
        <v>52</v>
      </c>
      <c r="O13" s="40" t="s">
        <v>54</v>
      </c>
      <c r="P13" s="40" t="s">
        <v>55</v>
      </c>
      <c r="Q13" s="40" t="s">
        <v>56</v>
      </c>
      <c r="R13" s="40" t="s">
        <v>49</v>
      </c>
      <c r="S13" s="40" t="s">
        <v>50</v>
      </c>
      <c r="T13" s="40" t="s">
        <v>51</v>
      </c>
      <c r="U13" s="40" t="s">
        <v>66</v>
      </c>
    </row>
    <row r="14" spans="1:21" s="33" customFormat="1" x14ac:dyDescent="0.25">
      <c r="A14" s="107" t="e">
        <f>AVERAGE(W21:W611)</f>
        <v>#DIV/0!</v>
      </c>
      <c r="B14" s="107" t="e">
        <f>STDEV(W21:W611)</f>
        <v>#DIV/0!</v>
      </c>
      <c r="C14" s="107" t="e">
        <f>ASIN(SQRT(D14/G14))</f>
        <v>#DIV/0!</v>
      </c>
      <c r="D14" s="33">
        <f>COUNTIF(R21:R536,"TruePositive")</f>
        <v>0</v>
      </c>
      <c r="E14" s="33">
        <f>COUNTIF(R21:R536,"LegalError")+COUNTIF(R21:R536,"WithinSearch")+COUNTIF(R21:R536,"BetweenSearch")+COUNTIF(R21:R536,"Perseverative")+COUNTIF(R21:R536,"SameNode")+COUNTIF(R21:R536,"BetweenNode")+COUNTIF(R21:R536,"Outer")+COUNTIF(R21:R536,"Anticipatory")+COUNTIF(R21:R536,"Post")+COUNTIF(R21:R536,"DistractorError")</f>
        <v>0</v>
      </c>
      <c r="F14" s="33">
        <f>COUNTIF(R21:R536,"TruePositive")</f>
        <v>0</v>
      </c>
      <c r="G14" s="33">
        <f>SUM(D14+E14)</f>
        <v>0</v>
      </c>
      <c r="I14" s="101">
        <f>(F14/6)*100</f>
        <v>0</v>
      </c>
      <c r="J14" s="33" t="str">
        <f>IF(I14=100,"Yes","No")</f>
        <v>No</v>
      </c>
      <c r="K14" s="33">
        <f>E14</f>
        <v>0</v>
      </c>
      <c r="L14" s="33" t="s">
        <v>157</v>
      </c>
      <c r="M14" s="33">
        <f>COUNTIF(R21:R536,"LegalError")+COUNTIF(R21:R536,"WithinSearch")+COUNTIF(R21:R536,"BetweenSearch")+COUNTIF(R21:R536,"Perseverative")+COUNTIF(R21:R536,"SameNode")+COUNTIF(R21:R536,"DistractorError")</f>
        <v>0</v>
      </c>
      <c r="N14" s="101">
        <f>COUNTIF(R21:R536,"BetweenNode")+COUNTIF(R21:R536,"Outer")+COUNTIF(R21:R536,"Anticipatory")+COUNTIF(R21:R536,"Post")</f>
        <v>0</v>
      </c>
      <c r="O14" s="33">
        <f>COUNTIF(R21:R536,"Anticipatory")</f>
        <v>0</v>
      </c>
      <c r="P14" s="33">
        <f>COUNTIF(R21:R536,"Post")</f>
        <v>0</v>
      </c>
      <c r="Q14" s="33">
        <f>COUNTIF(R21:R536,"MaxOut")</f>
        <v>0</v>
      </c>
      <c r="R14" s="107" t="e">
        <f>AVERAGE(U21:U611)</f>
        <v>#DIV/0!</v>
      </c>
      <c r="S14" s="107" t="e">
        <f>STDEV(U21:U611)</f>
        <v>#DIV/0!</v>
      </c>
      <c r="T14" s="107" t="e">
        <f>D14/G14</f>
        <v>#DIV/0!</v>
      </c>
      <c r="U14" s="33">
        <f>SUM(D14)-COUNTIF(U21:U536,"Pant")</f>
        <v>0</v>
      </c>
    </row>
    <row r="15" spans="1:21" s="33" customFormat="1" x14ac:dyDescent="0.25">
      <c r="A15" s="107"/>
      <c r="B15" s="107"/>
      <c r="C15" s="107"/>
      <c r="I15" s="101"/>
      <c r="N15" s="101"/>
      <c r="R15" s="107"/>
      <c r="S15" s="107"/>
      <c r="T15" s="107"/>
    </row>
    <row r="16" spans="1:21" s="33" customFormat="1" x14ac:dyDescent="0.25">
      <c r="A16" s="107"/>
      <c r="B16" s="107"/>
      <c r="C16" s="107"/>
      <c r="I16" s="101"/>
      <c r="N16" s="101"/>
      <c r="R16" s="107"/>
      <c r="S16" s="107"/>
      <c r="T16" s="107"/>
    </row>
    <row r="17" spans="1:23" s="33" customFormat="1" x14ac:dyDescent="0.25">
      <c r="A17" s="107"/>
      <c r="B17" s="107"/>
      <c r="C17" s="107"/>
      <c r="I17" s="101"/>
      <c r="N17" s="101"/>
      <c r="R17" s="107"/>
      <c r="S17" s="107"/>
      <c r="T17" s="107"/>
    </row>
    <row r="18" spans="1:23" s="33" customFormat="1" x14ac:dyDescent="0.25">
      <c r="A18" s="107"/>
      <c r="B18" s="107"/>
      <c r="C18" s="107"/>
      <c r="I18" s="101"/>
      <c r="N18" s="101"/>
      <c r="R18" s="107"/>
      <c r="S18" s="107"/>
      <c r="T18" s="107"/>
    </row>
    <row r="19" spans="1:23" s="28" customFormat="1" x14ac:dyDescent="0.25">
      <c r="A19" s="27"/>
    </row>
    <row r="20" spans="1:23" s="28" customFormat="1" x14ac:dyDescent="0.25">
      <c r="U20" s="29"/>
      <c r="W20" s="29"/>
    </row>
    <row r="21" spans="1:23" s="67" customFormat="1" x14ac:dyDescent="0.25">
      <c r="A21" s="66"/>
      <c r="U21" s="64" t="str">
        <f t="shared" ref="U21:U43" si="0">IF(R21="TruePositive",IF(R20&lt;&gt;"Anticipatory",(N21),"Pant"),"Exclude")</f>
        <v>Exclude</v>
      </c>
      <c r="W21" s="65" t="str">
        <f>IF(R21="TruePositive",IF(R20&lt;&gt;"Anticipatory",LOG10(N21),"Exclude"),"Exclude")</f>
        <v>Exclude</v>
      </c>
    </row>
    <row r="22" spans="1:23" s="64" customFormat="1" x14ac:dyDescent="0.25">
      <c r="A22" s="63"/>
      <c r="U22" s="64" t="str">
        <f t="shared" si="0"/>
        <v>Exclude</v>
      </c>
      <c r="W22" s="65" t="str">
        <f t="shared" ref="W22:W85" si="1">IF(R22="TruePositive",IF(R21&lt;&gt;"Anticipatory",LOG10(N22),"Exclude"),"Exclude")</f>
        <v>Exclude</v>
      </c>
    </row>
    <row r="23" spans="1:23" s="64" customFormat="1" x14ac:dyDescent="0.25">
      <c r="A23" s="63"/>
      <c r="U23" s="64" t="str">
        <f t="shared" si="0"/>
        <v>Exclude</v>
      </c>
      <c r="W23" s="65" t="str">
        <f t="shared" si="1"/>
        <v>Exclude</v>
      </c>
    </row>
    <row r="24" spans="1:23" s="64" customFormat="1" x14ac:dyDescent="0.25">
      <c r="A24" s="63"/>
      <c r="U24" s="64" t="str">
        <f t="shared" si="0"/>
        <v>Exclude</v>
      </c>
      <c r="W24" s="65" t="str">
        <f t="shared" si="1"/>
        <v>Exclude</v>
      </c>
    </row>
    <row r="25" spans="1:23" s="64" customFormat="1" x14ac:dyDescent="0.25">
      <c r="A25" s="63"/>
      <c r="U25" s="64" t="str">
        <f t="shared" si="0"/>
        <v>Exclude</v>
      </c>
      <c r="W25" s="65" t="str">
        <f t="shared" si="1"/>
        <v>Exclude</v>
      </c>
    </row>
    <row r="26" spans="1:23" s="64" customFormat="1" x14ac:dyDescent="0.25">
      <c r="A26" s="63"/>
      <c r="U26" s="64" t="str">
        <f t="shared" si="0"/>
        <v>Exclude</v>
      </c>
      <c r="W26" s="65" t="str">
        <f t="shared" si="1"/>
        <v>Exclude</v>
      </c>
    </row>
    <row r="27" spans="1:23" s="64" customFormat="1" x14ac:dyDescent="0.25">
      <c r="A27" s="63"/>
      <c r="U27" s="64" t="str">
        <f t="shared" si="0"/>
        <v>Exclude</v>
      </c>
      <c r="W27" s="65" t="str">
        <f t="shared" si="1"/>
        <v>Exclude</v>
      </c>
    </row>
    <row r="28" spans="1:23" s="64" customFormat="1" x14ac:dyDescent="0.25">
      <c r="A28" s="63"/>
      <c r="U28" s="64" t="str">
        <f t="shared" si="0"/>
        <v>Exclude</v>
      </c>
      <c r="W28" s="65" t="str">
        <f t="shared" si="1"/>
        <v>Exclude</v>
      </c>
    </row>
    <row r="29" spans="1:23" s="64" customFormat="1" x14ac:dyDescent="0.25">
      <c r="A29" s="63"/>
      <c r="U29" s="64" t="str">
        <f t="shared" si="0"/>
        <v>Exclude</v>
      </c>
      <c r="W29" s="65" t="str">
        <f t="shared" si="1"/>
        <v>Exclude</v>
      </c>
    </row>
    <row r="30" spans="1:23" s="64" customFormat="1" x14ac:dyDescent="0.25">
      <c r="A30" s="63"/>
      <c r="U30" s="64" t="str">
        <f t="shared" si="0"/>
        <v>Exclude</v>
      </c>
      <c r="W30" s="65" t="str">
        <f t="shared" si="1"/>
        <v>Exclude</v>
      </c>
    </row>
    <row r="31" spans="1:23" s="64" customFormat="1" x14ac:dyDescent="0.25">
      <c r="A31" s="63"/>
      <c r="U31" s="64" t="str">
        <f t="shared" si="0"/>
        <v>Exclude</v>
      </c>
      <c r="W31" s="65" t="str">
        <f t="shared" si="1"/>
        <v>Exclude</v>
      </c>
    </row>
    <row r="32" spans="1:23" s="64" customFormat="1" x14ac:dyDescent="0.25">
      <c r="A32" s="63"/>
      <c r="U32" s="64" t="str">
        <f t="shared" si="0"/>
        <v>Exclude</v>
      </c>
      <c r="W32" s="65" t="str">
        <f t="shared" si="1"/>
        <v>Exclude</v>
      </c>
    </row>
    <row r="33" spans="1:23" s="64" customFormat="1" x14ac:dyDescent="0.25">
      <c r="A33" s="63"/>
      <c r="U33" s="64" t="str">
        <f t="shared" si="0"/>
        <v>Exclude</v>
      </c>
      <c r="W33" s="65" t="str">
        <f t="shared" si="1"/>
        <v>Exclude</v>
      </c>
    </row>
    <row r="34" spans="1:23" s="64" customFormat="1" x14ac:dyDescent="0.25">
      <c r="A34" s="63"/>
      <c r="U34" s="64" t="str">
        <f t="shared" si="0"/>
        <v>Exclude</v>
      </c>
      <c r="W34" s="65" t="str">
        <f t="shared" si="1"/>
        <v>Exclude</v>
      </c>
    </row>
    <row r="35" spans="1:23" s="64" customFormat="1" x14ac:dyDescent="0.25">
      <c r="A35" s="63"/>
      <c r="U35" s="64" t="str">
        <f t="shared" si="0"/>
        <v>Exclude</v>
      </c>
      <c r="W35" s="65" t="str">
        <f t="shared" si="1"/>
        <v>Exclude</v>
      </c>
    </row>
    <row r="36" spans="1:23" s="64" customFormat="1" x14ac:dyDescent="0.25">
      <c r="A36" s="63"/>
      <c r="U36" s="64" t="str">
        <f t="shared" si="0"/>
        <v>Exclude</v>
      </c>
      <c r="W36" s="65" t="str">
        <f t="shared" si="1"/>
        <v>Exclude</v>
      </c>
    </row>
    <row r="37" spans="1:23" s="64" customFormat="1" x14ac:dyDescent="0.25">
      <c r="A37" s="63"/>
      <c r="U37" s="64" t="str">
        <f t="shared" si="0"/>
        <v>Exclude</v>
      </c>
      <c r="W37" s="65" t="str">
        <f t="shared" si="1"/>
        <v>Exclude</v>
      </c>
    </row>
    <row r="38" spans="1:23" s="64" customFormat="1" x14ac:dyDescent="0.25">
      <c r="A38" s="63"/>
      <c r="U38" s="64" t="str">
        <f t="shared" si="0"/>
        <v>Exclude</v>
      </c>
      <c r="W38" s="65" t="str">
        <f t="shared" si="1"/>
        <v>Exclude</v>
      </c>
    </row>
    <row r="39" spans="1:23" s="64" customFormat="1" x14ac:dyDescent="0.25">
      <c r="A39" s="63"/>
      <c r="U39" s="64" t="str">
        <f t="shared" si="0"/>
        <v>Exclude</v>
      </c>
      <c r="W39" s="65" t="str">
        <f t="shared" si="1"/>
        <v>Exclude</v>
      </c>
    </row>
    <row r="40" spans="1:23" s="64" customFormat="1" x14ac:dyDescent="0.25">
      <c r="A40" s="63"/>
      <c r="U40" s="64" t="str">
        <f t="shared" si="0"/>
        <v>Exclude</v>
      </c>
      <c r="W40" s="65" t="str">
        <f t="shared" si="1"/>
        <v>Exclude</v>
      </c>
    </row>
    <row r="41" spans="1:23" s="64" customFormat="1" x14ac:dyDescent="0.25">
      <c r="A41" s="63"/>
      <c r="U41" s="64" t="str">
        <f t="shared" si="0"/>
        <v>Exclude</v>
      </c>
      <c r="W41" s="65" t="str">
        <f t="shared" si="1"/>
        <v>Exclude</v>
      </c>
    </row>
    <row r="42" spans="1:23" s="64" customFormat="1" x14ac:dyDescent="0.25">
      <c r="A42" s="63"/>
      <c r="U42" s="64" t="str">
        <f t="shared" si="0"/>
        <v>Exclude</v>
      </c>
      <c r="W42" s="65" t="str">
        <f t="shared" si="1"/>
        <v>Exclude</v>
      </c>
    </row>
    <row r="43" spans="1:23" s="64" customFormat="1" x14ac:dyDescent="0.25">
      <c r="A43" s="63"/>
      <c r="U43" s="64" t="str">
        <f t="shared" si="0"/>
        <v>Exclude</v>
      </c>
      <c r="W43" s="65" t="str">
        <f t="shared" si="1"/>
        <v>Exclude</v>
      </c>
    </row>
    <row r="44" spans="1:23" s="64" customFormat="1" x14ac:dyDescent="0.25">
      <c r="A44" s="63"/>
      <c r="U44" s="64" t="str">
        <f>IF(R44="TruePositive",IF(R43&lt;&gt;"Anticipatory",(N44),"Pant"),"Exclude")</f>
        <v>Exclude</v>
      </c>
      <c r="W44" s="65" t="str">
        <f t="shared" si="1"/>
        <v>Exclude</v>
      </c>
    </row>
    <row r="45" spans="1:23" s="64" customFormat="1" x14ac:dyDescent="0.25">
      <c r="A45" s="63"/>
      <c r="U45" s="64" t="str">
        <f t="shared" ref="U45:U108" si="2">IF(R45="TruePositive",IF(R44&lt;&gt;"Anticipatory",(N45),"Pant"),"Exclude")</f>
        <v>Exclude</v>
      </c>
      <c r="W45" s="65" t="str">
        <f t="shared" si="1"/>
        <v>Exclude</v>
      </c>
    </row>
    <row r="46" spans="1:23" s="64" customFormat="1" x14ac:dyDescent="0.25">
      <c r="A46" s="63"/>
      <c r="U46" s="64" t="str">
        <f t="shared" si="2"/>
        <v>Exclude</v>
      </c>
      <c r="W46" s="65" t="str">
        <f t="shared" si="1"/>
        <v>Exclude</v>
      </c>
    </row>
    <row r="47" spans="1:23" s="64" customFormat="1" x14ac:dyDescent="0.25">
      <c r="A47" s="63"/>
      <c r="U47" s="64" t="str">
        <f t="shared" si="2"/>
        <v>Exclude</v>
      </c>
      <c r="W47" s="65" t="str">
        <f t="shared" si="1"/>
        <v>Exclude</v>
      </c>
    </row>
    <row r="48" spans="1:23" s="64" customFormat="1" x14ac:dyDescent="0.25">
      <c r="A48" s="63"/>
      <c r="U48" s="64" t="str">
        <f t="shared" si="2"/>
        <v>Exclude</v>
      </c>
      <c r="W48" s="65" t="str">
        <f t="shared" si="1"/>
        <v>Exclude</v>
      </c>
    </row>
    <row r="49" spans="1:23" s="64" customFormat="1" x14ac:dyDescent="0.25">
      <c r="A49" s="63"/>
      <c r="U49" s="64" t="str">
        <f t="shared" si="2"/>
        <v>Exclude</v>
      </c>
      <c r="W49" s="65" t="str">
        <f t="shared" si="1"/>
        <v>Exclude</v>
      </c>
    </row>
    <row r="50" spans="1:23" s="64" customFormat="1" x14ac:dyDescent="0.25">
      <c r="A50" s="63"/>
      <c r="U50" s="64" t="str">
        <f t="shared" si="2"/>
        <v>Exclude</v>
      </c>
      <c r="W50" s="65" t="str">
        <f t="shared" si="1"/>
        <v>Exclude</v>
      </c>
    </row>
    <row r="51" spans="1:23" s="64" customFormat="1" x14ac:dyDescent="0.25">
      <c r="A51" s="63"/>
      <c r="U51" s="64" t="str">
        <f t="shared" si="2"/>
        <v>Exclude</v>
      </c>
      <c r="W51" s="65" t="str">
        <f t="shared" si="1"/>
        <v>Exclude</v>
      </c>
    </row>
    <row r="52" spans="1:23" s="64" customFormat="1" x14ac:dyDescent="0.25">
      <c r="A52" s="63"/>
      <c r="U52" s="64" t="str">
        <f t="shared" si="2"/>
        <v>Exclude</v>
      </c>
      <c r="W52" s="65" t="str">
        <f t="shared" si="1"/>
        <v>Exclude</v>
      </c>
    </row>
    <row r="53" spans="1:23" s="64" customFormat="1" x14ac:dyDescent="0.25">
      <c r="A53" s="63"/>
      <c r="U53" s="64" t="str">
        <f t="shared" si="2"/>
        <v>Exclude</v>
      </c>
      <c r="W53" s="65" t="str">
        <f t="shared" si="1"/>
        <v>Exclude</v>
      </c>
    </row>
    <row r="54" spans="1:23" s="64" customFormat="1" x14ac:dyDescent="0.25">
      <c r="A54" s="63"/>
      <c r="U54" s="64" t="str">
        <f t="shared" si="2"/>
        <v>Exclude</v>
      </c>
      <c r="W54" s="65" t="str">
        <f t="shared" si="1"/>
        <v>Exclude</v>
      </c>
    </row>
    <row r="55" spans="1:23" s="64" customFormat="1" x14ac:dyDescent="0.25">
      <c r="A55" s="63"/>
      <c r="U55" s="64" t="str">
        <f t="shared" si="2"/>
        <v>Exclude</v>
      </c>
      <c r="W55" s="65" t="str">
        <f t="shared" si="1"/>
        <v>Exclude</v>
      </c>
    </row>
    <row r="56" spans="1:23" s="64" customFormat="1" x14ac:dyDescent="0.25">
      <c r="A56" s="63"/>
      <c r="U56" s="64" t="str">
        <f t="shared" si="2"/>
        <v>Exclude</v>
      </c>
      <c r="W56" s="65" t="str">
        <f t="shared" si="1"/>
        <v>Exclude</v>
      </c>
    </row>
    <row r="57" spans="1:23" s="64" customFormat="1" x14ac:dyDescent="0.25">
      <c r="A57" s="63"/>
      <c r="U57" s="64" t="str">
        <f t="shared" si="2"/>
        <v>Exclude</v>
      </c>
      <c r="W57" s="65" t="str">
        <f t="shared" si="1"/>
        <v>Exclude</v>
      </c>
    </row>
    <row r="58" spans="1:23" s="64" customFormat="1" x14ac:dyDescent="0.25">
      <c r="A58" s="63"/>
      <c r="U58" s="64" t="str">
        <f t="shared" si="2"/>
        <v>Exclude</v>
      </c>
      <c r="W58" s="65" t="str">
        <f t="shared" si="1"/>
        <v>Exclude</v>
      </c>
    </row>
    <row r="59" spans="1:23" s="64" customFormat="1" x14ac:dyDescent="0.25">
      <c r="A59" s="63"/>
      <c r="U59" s="64" t="str">
        <f t="shared" si="2"/>
        <v>Exclude</v>
      </c>
      <c r="W59" s="65" t="str">
        <f t="shared" si="1"/>
        <v>Exclude</v>
      </c>
    </row>
    <row r="60" spans="1:23" s="64" customFormat="1" x14ac:dyDescent="0.25">
      <c r="A60" s="63"/>
      <c r="U60" s="64" t="str">
        <f t="shared" si="2"/>
        <v>Exclude</v>
      </c>
      <c r="W60" s="65" t="str">
        <f t="shared" si="1"/>
        <v>Exclude</v>
      </c>
    </row>
    <row r="61" spans="1:23" s="64" customFormat="1" x14ac:dyDescent="0.25">
      <c r="A61" s="63"/>
      <c r="U61" s="64" t="str">
        <f t="shared" si="2"/>
        <v>Exclude</v>
      </c>
      <c r="W61" s="65" t="str">
        <f t="shared" si="1"/>
        <v>Exclude</v>
      </c>
    </row>
    <row r="62" spans="1:23" s="64" customFormat="1" x14ac:dyDescent="0.25">
      <c r="A62" s="63"/>
      <c r="U62" s="64" t="str">
        <f t="shared" si="2"/>
        <v>Exclude</v>
      </c>
      <c r="W62" s="65" t="str">
        <f t="shared" si="1"/>
        <v>Exclude</v>
      </c>
    </row>
    <row r="63" spans="1:23" s="64" customFormat="1" x14ac:dyDescent="0.25">
      <c r="A63" s="63"/>
      <c r="U63" s="64" t="str">
        <f t="shared" si="2"/>
        <v>Exclude</v>
      </c>
      <c r="W63" s="65" t="str">
        <f t="shared" si="1"/>
        <v>Exclude</v>
      </c>
    </row>
    <row r="64" spans="1:23" s="64" customFormat="1" x14ac:dyDescent="0.25">
      <c r="A64" s="63"/>
      <c r="U64" s="64" t="str">
        <f t="shared" si="2"/>
        <v>Exclude</v>
      </c>
      <c r="W64" s="65" t="str">
        <f t="shared" si="1"/>
        <v>Exclude</v>
      </c>
    </row>
    <row r="65" spans="1:23" s="64" customFormat="1" x14ac:dyDescent="0.25">
      <c r="A65" s="63"/>
      <c r="U65" s="64" t="str">
        <f t="shared" si="2"/>
        <v>Exclude</v>
      </c>
      <c r="W65" s="65" t="str">
        <f t="shared" si="1"/>
        <v>Exclude</v>
      </c>
    </row>
    <row r="66" spans="1:23" s="64" customFormat="1" x14ac:dyDescent="0.25">
      <c r="A66" s="63"/>
      <c r="U66" s="64" t="str">
        <f t="shared" si="2"/>
        <v>Exclude</v>
      </c>
      <c r="W66" s="65" t="str">
        <f t="shared" si="1"/>
        <v>Exclude</v>
      </c>
    </row>
    <row r="67" spans="1:23" s="64" customFormat="1" x14ac:dyDescent="0.25">
      <c r="A67" s="63"/>
      <c r="U67" s="64" t="str">
        <f t="shared" si="2"/>
        <v>Exclude</v>
      </c>
      <c r="W67" s="65" t="str">
        <f t="shared" si="1"/>
        <v>Exclude</v>
      </c>
    </row>
    <row r="68" spans="1:23" s="64" customFormat="1" x14ac:dyDescent="0.25">
      <c r="A68" s="63"/>
      <c r="U68" s="64" t="str">
        <f t="shared" si="2"/>
        <v>Exclude</v>
      </c>
      <c r="W68" s="65" t="str">
        <f t="shared" si="1"/>
        <v>Exclude</v>
      </c>
    </row>
    <row r="69" spans="1:23" s="64" customFormat="1" x14ac:dyDescent="0.25">
      <c r="A69" s="63"/>
      <c r="U69" s="64" t="str">
        <f t="shared" si="2"/>
        <v>Exclude</v>
      </c>
      <c r="W69" s="65" t="str">
        <f t="shared" si="1"/>
        <v>Exclude</v>
      </c>
    </row>
    <row r="70" spans="1:23" s="64" customFormat="1" x14ac:dyDescent="0.25">
      <c r="A70" s="63"/>
      <c r="U70" s="64" t="str">
        <f t="shared" si="2"/>
        <v>Exclude</v>
      </c>
      <c r="W70" s="65" t="str">
        <f t="shared" si="1"/>
        <v>Exclude</v>
      </c>
    </row>
    <row r="71" spans="1:23" s="64" customFormat="1" x14ac:dyDescent="0.25">
      <c r="A71" s="63"/>
      <c r="U71" s="64" t="str">
        <f t="shared" si="2"/>
        <v>Exclude</v>
      </c>
      <c r="W71" s="65" t="str">
        <f t="shared" si="1"/>
        <v>Exclude</v>
      </c>
    </row>
    <row r="72" spans="1:23" s="64" customFormat="1" x14ac:dyDescent="0.25">
      <c r="A72" s="63"/>
      <c r="U72" s="64" t="str">
        <f t="shared" si="2"/>
        <v>Exclude</v>
      </c>
      <c r="W72" s="65" t="str">
        <f t="shared" si="1"/>
        <v>Exclude</v>
      </c>
    </row>
    <row r="73" spans="1:23" s="64" customFormat="1" x14ac:dyDescent="0.25">
      <c r="A73" s="63"/>
      <c r="U73" s="64" t="str">
        <f t="shared" si="2"/>
        <v>Exclude</v>
      </c>
      <c r="W73" s="65" t="str">
        <f t="shared" si="1"/>
        <v>Exclude</v>
      </c>
    </row>
    <row r="74" spans="1:23" s="64" customFormat="1" x14ac:dyDescent="0.25">
      <c r="A74" s="63"/>
      <c r="U74" s="64" t="str">
        <f t="shared" si="2"/>
        <v>Exclude</v>
      </c>
      <c r="W74" s="65" t="str">
        <f t="shared" si="1"/>
        <v>Exclude</v>
      </c>
    </row>
    <row r="75" spans="1:23" s="64" customFormat="1" x14ac:dyDescent="0.25">
      <c r="A75" s="63"/>
      <c r="U75" s="64" t="str">
        <f t="shared" si="2"/>
        <v>Exclude</v>
      </c>
      <c r="W75" s="65" t="str">
        <f t="shared" si="1"/>
        <v>Exclude</v>
      </c>
    </row>
    <row r="76" spans="1:23" s="64" customFormat="1" x14ac:dyDescent="0.25">
      <c r="A76" s="63"/>
      <c r="U76" s="64" t="str">
        <f t="shared" si="2"/>
        <v>Exclude</v>
      </c>
      <c r="W76" s="65" t="str">
        <f t="shared" si="1"/>
        <v>Exclude</v>
      </c>
    </row>
    <row r="77" spans="1:23" s="64" customFormat="1" x14ac:dyDescent="0.25">
      <c r="A77" s="63"/>
      <c r="U77" s="64" t="str">
        <f t="shared" si="2"/>
        <v>Exclude</v>
      </c>
      <c r="W77" s="65" t="str">
        <f t="shared" si="1"/>
        <v>Exclude</v>
      </c>
    </row>
    <row r="78" spans="1:23" s="64" customFormat="1" x14ac:dyDescent="0.25">
      <c r="A78" s="63"/>
      <c r="U78" s="64" t="str">
        <f t="shared" si="2"/>
        <v>Exclude</v>
      </c>
      <c r="W78" s="65" t="str">
        <f t="shared" si="1"/>
        <v>Exclude</v>
      </c>
    </row>
    <row r="79" spans="1:23" s="64" customFormat="1" x14ac:dyDescent="0.25">
      <c r="A79" s="63"/>
      <c r="U79" s="64" t="str">
        <f t="shared" si="2"/>
        <v>Exclude</v>
      </c>
      <c r="W79" s="65" t="str">
        <f t="shared" si="1"/>
        <v>Exclude</v>
      </c>
    </row>
    <row r="80" spans="1:23" s="64" customFormat="1" x14ac:dyDescent="0.25">
      <c r="A80" s="63"/>
      <c r="U80" s="64" t="str">
        <f t="shared" si="2"/>
        <v>Exclude</v>
      </c>
      <c r="W80" s="65" t="str">
        <f t="shared" si="1"/>
        <v>Exclude</v>
      </c>
    </row>
    <row r="81" spans="1:23" s="64" customFormat="1" x14ac:dyDescent="0.25">
      <c r="A81" s="63"/>
      <c r="U81" s="64" t="str">
        <f t="shared" si="2"/>
        <v>Exclude</v>
      </c>
      <c r="W81" s="65" t="str">
        <f t="shared" si="1"/>
        <v>Exclude</v>
      </c>
    </row>
    <row r="82" spans="1:23" s="64" customFormat="1" x14ac:dyDescent="0.25">
      <c r="A82" s="63"/>
      <c r="U82" s="64" t="str">
        <f t="shared" si="2"/>
        <v>Exclude</v>
      </c>
      <c r="W82" s="65" t="str">
        <f t="shared" si="1"/>
        <v>Exclude</v>
      </c>
    </row>
    <row r="83" spans="1:23" s="64" customFormat="1" x14ac:dyDescent="0.25">
      <c r="A83" s="63"/>
      <c r="U83" s="64" t="str">
        <f t="shared" si="2"/>
        <v>Exclude</v>
      </c>
      <c r="W83" s="65" t="str">
        <f t="shared" si="1"/>
        <v>Exclude</v>
      </c>
    </row>
    <row r="84" spans="1:23" s="64" customFormat="1" x14ac:dyDescent="0.25">
      <c r="A84" s="63"/>
      <c r="U84" s="64" t="str">
        <f t="shared" si="2"/>
        <v>Exclude</v>
      </c>
      <c r="W84" s="65" t="str">
        <f t="shared" si="1"/>
        <v>Exclude</v>
      </c>
    </row>
    <row r="85" spans="1:23" s="64" customFormat="1" x14ac:dyDescent="0.25">
      <c r="A85" s="63"/>
      <c r="U85" s="64" t="str">
        <f t="shared" si="2"/>
        <v>Exclude</v>
      </c>
      <c r="W85" s="65" t="str">
        <f t="shared" si="1"/>
        <v>Exclude</v>
      </c>
    </row>
    <row r="86" spans="1:23" s="64" customFormat="1" x14ac:dyDescent="0.25">
      <c r="A86" s="63"/>
      <c r="U86" s="64" t="str">
        <f t="shared" si="2"/>
        <v>Exclude</v>
      </c>
      <c r="W86" s="65" t="str">
        <f t="shared" ref="W86:W149" si="3">IF(R86="TruePositive",IF(R85&lt;&gt;"Anticipatory",LOG10(N86),"Exclude"),"Exclude")</f>
        <v>Exclude</v>
      </c>
    </row>
    <row r="87" spans="1:23" s="64" customFormat="1" x14ac:dyDescent="0.25">
      <c r="A87" s="63"/>
      <c r="U87" s="64" t="str">
        <f t="shared" si="2"/>
        <v>Exclude</v>
      </c>
      <c r="W87" s="65" t="str">
        <f t="shared" si="3"/>
        <v>Exclude</v>
      </c>
    </row>
    <row r="88" spans="1:23" s="64" customFormat="1" x14ac:dyDescent="0.25">
      <c r="A88" s="63"/>
      <c r="U88" s="64" t="str">
        <f t="shared" si="2"/>
        <v>Exclude</v>
      </c>
      <c r="W88" s="65" t="str">
        <f t="shared" si="3"/>
        <v>Exclude</v>
      </c>
    </row>
    <row r="89" spans="1:23" s="64" customFormat="1" x14ac:dyDescent="0.25">
      <c r="A89" s="63"/>
      <c r="U89" s="64" t="str">
        <f t="shared" si="2"/>
        <v>Exclude</v>
      </c>
      <c r="W89" s="65" t="str">
        <f t="shared" si="3"/>
        <v>Exclude</v>
      </c>
    </row>
    <row r="90" spans="1:23" s="64" customFormat="1" x14ac:dyDescent="0.25">
      <c r="A90" s="63"/>
      <c r="U90" s="64" t="str">
        <f t="shared" si="2"/>
        <v>Exclude</v>
      </c>
      <c r="W90" s="65" t="str">
        <f t="shared" si="3"/>
        <v>Exclude</v>
      </c>
    </row>
    <row r="91" spans="1:23" s="64" customFormat="1" x14ac:dyDescent="0.25">
      <c r="A91" s="63"/>
      <c r="U91" s="64" t="str">
        <f t="shared" si="2"/>
        <v>Exclude</v>
      </c>
      <c r="W91" s="65" t="str">
        <f t="shared" si="3"/>
        <v>Exclude</v>
      </c>
    </row>
    <row r="92" spans="1:23" s="64" customFormat="1" x14ac:dyDescent="0.25">
      <c r="A92" s="63"/>
      <c r="U92" s="64" t="str">
        <f t="shared" si="2"/>
        <v>Exclude</v>
      </c>
      <c r="W92" s="65" t="str">
        <f t="shared" si="3"/>
        <v>Exclude</v>
      </c>
    </row>
    <row r="93" spans="1:23" s="64" customFormat="1" x14ac:dyDescent="0.25">
      <c r="A93" s="63"/>
      <c r="U93" s="64" t="str">
        <f t="shared" si="2"/>
        <v>Exclude</v>
      </c>
      <c r="W93" s="65" t="str">
        <f t="shared" si="3"/>
        <v>Exclude</v>
      </c>
    </row>
    <row r="94" spans="1:23" s="64" customFormat="1" x14ac:dyDescent="0.25">
      <c r="A94" s="63"/>
      <c r="U94" s="64" t="str">
        <f t="shared" si="2"/>
        <v>Exclude</v>
      </c>
      <c r="W94" s="65" t="str">
        <f t="shared" si="3"/>
        <v>Exclude</v>
      </c>
    </row>
    <row r="95" spans="1:23" s="64" customFormat="1" x14ac:dyDescent="0.25">
      <c r="A95" s="63"/>
      <c r="U95" s="64" t="str">
        <f t="shared" si="2"/>
        <v>Exclude</v>
      </c>
      <c r="W95" s="65" t="str">
        <f t="shared" si="3"/>
        <v>Exclude</v>
      </c>
    </row>
    <row r="96" spans="1:23" s="64" customFormat="1" x14ac:dyDescent="0.25">
      <c r="A96" s="63"/>
      <c r="U96" s="64" t="str">
        <f t="shared" si="2"/>
        <v>Exclude</v>
      </c>
      <c r="W96" s="65" t="str">
        <f t="shared" si="3"/>
        <v>Exclude</v>
      </c>
    </row>
    <row r="97" spans="1:23" s="64" customFormat="1" x14ac:dyDescent="0.25">
      <c r="A97" s="63"/>
      <c r="U97" s="64" t="str">
        <f t="shared" si="2"/>
        <v>Exclude</v>
      </c>
      <c r="W97" s="65" t="str">
        <f t="shared" si="3"/>
        <v>Exclude</v>
      </c>
    </row>
    <row r="98" spans="1:23" s="64" customFormat="1" x14ac:dyDescent="0.25">
      <c r="A98" s="63"/>
      <c r="U98" s="64" t="str">
        <f t="shared" si="2"/>
        <v>Exclude</v>
      </c>
      <c r="W98" s="65" t="str">
        <f t="shared" si="3"/>
        <v>Exclude</v>
      </c>
    </row>
    <row r="99" spans="1:23" s="64" customFormat="1" x14ac:dyDescent="0.25">
      <c r="A99" s="63"/>
      <c r="U99" s="64" t="str">
        <f t="shared" si="2"/>
        <v>Exclude</v>
      </c>
      <c r="W99" s="65" t="str">
        <f t="shared" si="3"/>
        <v>Exclude</v>
      </c>
    </row>
    <row r="100" spans="1:23" s="64" customFormat="1" x14ac:dyDescent="0.25">
      <c r="A100" s="63"/>
      <c r="U100" s="64" t="str">
        <f t="shared" si="2"/>
        <v>Exclude</v>
      </c>
      <c r="W100" s="65" t="str">
        <f t="shared" si="3"/>
        <v>Exclude</v>
      </c>
    </row>
    <row r="101" spans="1:23" s="64" customFormat="1" x14ac:dyDescent="0.25">
      <c r="A101" s="63"/>
      <c r="U101" s="64" t="str">
        <f t="shared" si="2"/>
        <v>Exclude</v>
      </c>
      <c r="W101" s="65" t="str">
        <f t="shared" si="3"/>
        <v>Exclude</v>
      </c>
    </row>
    <row r="102" spans="1:23" s="64" customFormat="1" x14ac:dyDescent="0.25">
      <c r="A102" s="63"/>
      <c r="U102" s="64" t="str">
        <f t="shared" si="2"/>
        <v>Exclude</v>
      </c>
      <c r="W102" s="65" t="str">
        <f t="shared" si="3"/>
        <v>Exclude</v>
      </c>
    </row>
    <row r="103" spans="1:23" s="64" customFormat="1" x14ac:dyDescent="0.25">
      <c r="A103" s="63"/>
      <c r="U103" s="64" t="str">
        <f t="shared" si="2"/>
        <v>Exclude</v>
      </c>
      <c r="W103" s="65" t="str">
        <f t="shared" si="3"/>
        <v>Exclude</v>
      </c>
    </row>
    <row r="104" spans="1:23" s="64" customFormat="1" x14ac:dyDescent="0.25">
      <c r="A104" s="63"/>
      <c r="U104" s="64" t="str">
        <f t="shared" si="2"/>
        <v>Exclude</v>
      </c>
      <c r="W104" s="65" t="str">
        <f t="shared" si="3"/>
        <v>Exclude</v>
      </c>
    </row>
    <row r="105" spans="1:23" s="64" customFormat="1" x14ac:dyDescent="0.25">
      <c r="A105" s="63"/>
      <c r="U105" s="64" t="str">
        <f t="shared" si="2"/>
        <v>Exclude</v>
      </c>
      <c r="W105" s="65" t="str">
        <f t="shared" si="3"/>
        <v>Exclude</v>
      </c>
    </row>
    <row r="106" spans="1:23" s="64" customFormat="1" x14ac:dyDescent="0.25">
      <c r="A106" s="63"/>
      <c r="U106" s="64" t="str">
        <f t="shared" si="2"/>
        <v>Exclude</v>
      </c>
      <c r="W106" s="65" t="str">
        <f t="shared" si="3"/>
        <v>Exclude</v>
      </c>
    </row>
    <row r="107" spans="1:23" s="64" customFormat="1" x14ac:dyDescent="0.25">
      <c r="A107" s="63"/>
      <c r="U107" s="64" t="str">
        <f t="shared" si="2"/>
        <v>Exclude</v>
      </c>
      <c r="W107" s="65" t="str">
        <f t="shared" si="3"/>
        <v>Exclude</v>
      </c>
    </row>
    <row r="108" spans="1:23" s="64" customFormat="1" x14ac:dyDescent="0.25">
      <c r="A108" s="63"/>
      <c r="U108" s="64" t="str">
        <f t="shared" si="2"/>
        <v>Exclude</v>
      </c>
      <c r="W108" s="65" t="str">
        <f t="shared" si="3"/>
        <v>Exclude</v>
      </c>
    </row>
    <row r="109" spans="1:23" s="64" customFormat="1" x14ac:dyDescent="0.25">
      <c r="A109" s="63"/>
      <c r="U109" s="64" t="str">
        <f t="shared" ref="U109:U172" si="4">IF(R109="TruePositive",IF(R108&lt;&gt;"Anticipatory",(N109),"Pant"),"Exclude")</f>
        <v>Exclude</v>
      </c>
      <c r="W109" s="65" t="str">
        <f t="shared" si="3"/>
        <v>Exclude</v>
      </c>
    </row>
    <row r="110" spans="1:23" s="64" customFormat="1" x14ac:dyDescent="0.25">
      <c r="A110" s="63"/>
      <c r="U110" s="64" t="str">
        <f t="shared" si="4"/>
        <v>Exclude</v>
      </c>
      <c r="W110" s="65" t="str">
        <f t="shared" si="3"/>
        <v>Exclude</v>
      </c>
    </row>
    <row r="111" spans="1:23" s="64" customFormat="1" x14ac:dyDescent="0.25">
      <c r="A111" s="63"/>
      <c r="U111" s="64" t="str">
        <f t="shared" si="4"/>
        <v>Exclude</v>
      </c>
      <c r="W111" s="65" t="str">
        <f t="shared" si="3"/>
        <v>Exclude</v>
      </c>
    </row>
    <row r="112" spans="1:23" s="64" customFormat="1" x14ac:dyDescent="0.25">
      <c r="A112" s="63"/>
      <c r="U112" s="64" t="str">
        <f t="shared" si="4"/>
        <v>Exclude</v>
      </c>
      <c r="W112" s="65" t="str">
        <f t="shared" si="3"/>
        <v>Exclude</v>
      </c>
    </row>
    <row r="113" spans="1:23" s="64" customFormat="1" x14ac:dyDescent="0.25">
      <c r="A113" s="63"/>
      <c r="U113" s="64" t="str">
        <f t="shared" si="4"/>
        <v>Exclude</v>
      </c>
      <c r="W113" s="65" t="str">
        <f t="shared" si="3"/>
        <v>Exclude</v>
      </c>
    </row>
    <row r="114" spans="1:23" s="64" customFormat="1" x14ac:dyDescent="0.25">
      <c r="A114" s="63"/>
      <c r="U114" s="64" t="str">
        <f t="shared" si="4"/>
        <v>Exclude</v>
      </c>
      <c r="W114" s="65" t="str">
        <f t="shared" si="3"/>
        <v>Exclude</v>
      </c>
    </row>
    <row r="115" spans="1:23" s="64" customFormat="1" x14ac:dyDescent="0.25">
      <c r="A115" s="63"/>
      <c r="U115" s="64" t="str">
        <f t="shared" si="4"/>
        <v>Exclude</v>
      </c>
      <c r="W115" s="65" t="str">
        <f t="shared" si="3"/>
        <v>Exclude</v>
      </c>
    </row>
    <row r="116" spans="1:23" s="64" customFormat="1" x14ac:dyDescent="0.25">
      <c r="A116" s="63"/>
      <c r="U116" s="64" t="str">
        <f t="shared" si="4"/>
        <v>Exclude</v>
      </c>
      <c r="W116" s="65" t="str">
        <f t="shared" si="3"/>
        <v>Exclude</v>
      </c>
    </row>
    <row r="117" spans="1:23" s="64" customFormat="1" x14ac:dyDescent="0.25">
      <c r="A117" s="63"/>
      <c r="U117" s="64" t="str">
        <f t="shared" si="4"/>
        <v>Exclude</v>
      </c>
      <c r="W117" s="65" t="str">
        <f t="shared" si="3"/>
        <v>Exclude</v>
      </c>
    </row>
    <row r="118" spans="1:23" s="64" customFormat="1" x14ac:dyDescent="0.25">
      <c r="A118" s="63"/>
      <c r="U118" s="64" t="str">
        <f t="shared" si="4"/>
        <v>Exclude</v>
      </c>
      <c r="W118" s="65" t="str">
        <f t="shared" si="3"/>
        <v>Exclude</v>
      </c>
    </row>
    <row r="119" spans="1:23" s="64" customFormat="1" x14ac:dyDescent="0.25">
      <c r="A119" s="63"/>
      <c r="U119" s="64" t="str">
        <f t="shared" si="4"/>
        <v>Exclude</v>
      </c>
      <c r="W119" s="65" t="str">
        <f t="shared" si="3"/>
        <v>Exclude</v>
      </c>
    </row>
    <row r="120" spans="1:23" s="64" customFormat="1" x14ac:dyDescent="0.25">
      <c r="A120" s="63"/>
      <c r="U120" s="64" t="str">
        <f t="shared" si="4"/>
        <v>Exclude</v>
      </c>
      <c r="W120" s="65" t="str">
        <f t="shared" si="3"/>
        <v>Exclude</v>
      </c>
    </row>
    <row r="121" spans="1:23" s="64" customFormat="1" x14ac:dyDescent="0.25">
      <c r="A121" s="63"/>
      <c r="U121" s="64" t="str">
        <f t="shared" si="4"/>
        <v>Exclude</v>
      </c>
      <c r="W121" s="65" t="str">
        <f t="shared" si="3"/>
        <v>Exclude</v>
      </c>
    </row>
    <row r="122" spans="1:23" s="64" customFormat="1" x14ac:dyDescent="0.25">
      <c r="A122" s="63"/>
      <c r="U122" s="64" t="str">
        <f t="shared" si="4"/>
        <v>Exclude</v>
      </c>
      <c r="W122" s="65" t="str">
        <f t="shared" si="3"/>
        <v>Exclude</v>
      </c>
    </row>
    <row r="123" spans="1:23" s="64" customFormat="1" x14ac:dyDescent="0.25">
      <c r="A123" s="63"/>
      <c r="U123" s="64" t="str">
        <f t="shared" si="4"/>
        <v>Exclude</v>
      </c>
      <c r="W123" s="65" t="str">
        <f t="shared" si="3"/>
        <v>Exclude</v>
      </c>
    </row>
    <row r="124" spans="1:23" s="64" customFormat="1" x14ac:dyDescent="0.25">
      <c r="A124" s="63"/>
      <c r="U124" s="64" t="str">
        <f t="shared" si="4"/>
        <v>Exclude</v>
      </c>
      <c r="W124" s="65" t="str">
        <f t="shared" si="3"/>
        <v>Exclude</v>
      </c>
    </row>
    <row r="125" spans="1:23" s="64" customFormat="1" x14ac:dyDescent="0.25">
      <c r="A125" s="63"/>
      <c r="U125" s="64" t="str">
        <f t="shared" si="4"/>
        <v>Exclude</v>
      </c>
      <c r="W125" s="65" t="str">
        <f t="shared" si="3"/>
        <v>Exclude</v>
      </c>
    </row>
    <row r="126" spans="1:23" s="64" customFormat="1" x14ac:dyDescent="0.25">
      <c r="A126" s="63"/>
      <c r="U126" s="64" t="str">
        <f t="shared" si="4"/>
        <v>Exclude</v>
      </c>
      <c r="W126" s="65" t="str">
        <f t="shared" si="3"/>
        <v>Exclude</v>
      </c>
    </row>
    <row r="127" spans="1:23" s="64" customFormat="1" x14ac:dyDescent="0.25">
      <c r="A127" s="63"/>
      <c r="U127" s="64" t="str">
        <f t="shared" si="4"/>
        <v>Exclude</v>
      </c>
      <c r="W127" s="65" t="str">
        <f t="shared" si="3"/>
        <v>Exclude</v>
      </c>
    </row>
    <row r="128" spans="1:23" s="64" customFormat="1" x14ac:dyDescent="0.25">
      <c r="A128" s="63"/>
      <c r="U128" s="64" t="str">
        <f t="shared" si="4"/>
        <v>Exclude</v>
      </c>
      <c r="W128" s="65" t="str">
        <f t="shared" si="3"/>
        <v>Exclude</v>
      </c>
    </row>
    <row r="129" spans="1:23" s="64" customFormat="1" x14ac:dyDescent="0.25">
      <c r="A129" s="63"/>
      <c r="U129" s="64" t="str">
        <f t="shared" si="4"/>
        <v>Exclude</v>
      </c>
      <c r="W129" s="65" t="str">
        <f t="shared" si="3"/>
        <v>Exclude</v>
      </c>
    </row>
    <row r="130" spans="1:23" s="64" customFormat="1" x14ac:dyDescent="0.25">
      <c r="A130" s="63"/>
      <c r="U130" s="64" t="str">
        <f t="shared" si="4"/>
        <v>Exclude</v>
      </c>
      <c r="W130" s="65" t="str">
        <f t="shared" si="3"/>
        <v>Exclude</v>
      </c>
    </row>
    <row r="131" spans="1:23" s="64" customFormat="1" x14ac:dyDescent="0.25">
      <c r="A131" s="63"/>
      <c r="U131" s="64" t="str">
        <f t="shared" si="4"/>
        <v>Exclude</v>
      </c>
      <c r="W131" s="65" t="str">
        <f t="shared" si="3"/>
        <v>Exclude</v>
      </c>
    </row>
    <row r="132" spans="1:23" s="64" customFormat="1" x14ac:dyDescent="0.25">
      <c r="A132" s="63"/>
      <c r="U132" s="64" t="str">
        <f t="shared" si="4"/>
        <v>Exclude</v>
      </c>
      <c r="W132" s="65" t="str">
        <f t="shared" si="3"/>
        <v>Exclude</v>
      </c>
    </row>
    <row r="133" spans="1:23" s="64" customFormat="1" x14ac:dyDescent="0.25">
      <c r="A133" s="63"/>
      <c r="U133" s="64" t="str">
        <f t="shared" si="4"/>
        <v>Exclude</v>
      </c>
      <c r="W133" s="65" t="str">
        <f t="shared" si="3"/>
        <v>Exclude</v>
      </c>
    </row>
    <row r="134" spans="1:23" s="64" customFormat="1" x14ac:dyDescent="0.25">
      <c r="A134" s="63"/>
      <c r="U134" s="64" t="str">
        <f t="shared" si="4"/>
        <v>Exclude</v>
      </c>
      <c r="W134" s="65" t="str">
        <f t="shared" si="3"/>
        <v>Exclude</v>
      </c>
    </row>
    <row r="135" spans="1:23" s="64" customFormat="1" x14ac:dyDescent="0.25">
      <c r="A135" s="63"/>
      <c r="U135" s="64" t="str">
        <f t="shared" si="4"/>
        <v>Exclude</v>
      </c>
      <c r="W135" s="65" t="str">
        <f t="shared" si="3"/>
        <v>Exclude</v>
      </c>
    </row>
    <row r="136" spans="1:23" s="64" customFormat="1" x14ac:dyDescent="0.25">
      <c r="A136" s="63"/>
      <c r="U136" s="64" t="str">
        <f t="shared" si="4"/>
        <v>Exclude</v>
      </c>
      <c r="W136" s="65" t="str">
        <f t="shared" si="3"/>
        <v>Exclude</v>
      </c>
    </row>
    <row r="137" spans="1:23" s="64" customFormat="1" x14ac:dyDescent="0.25">
      <c r="A137" s="63"/>
      <c r="U137" s="64" t="str">
        <f t="shared" si="4"/>
        <v>Exclude</v>
      </c>
      <c r="W137" s="65" t="str">
        <f t="shared" si="3"/>
        <v>Exclude</v>
      </c>
    </row>
    <row r="138" spans="1:23" s="64" customFormat="1" x14ac:dyDescent="0.25">
      <c r="A138" s="63"/>
      <c r="U138" s="64" t="str">
        <f t="shared" si="4"/>
        <v>Exclude</v>
      </c>
      <c r="W138" s="65" t="str">
        <f t="shared" si="3"/>
        <v>Exclude</v>
      </c>
    </row>
    <row r="139" spans="1:23" s="64" customFormat="1" x14ac:dyDescent="0.25">
      <c r="A139" s="63"/>
      <c r="U139" s="64" t="str">
        <f t="shared" si="4"/>
        <v>Exclude</v>
      </c>
      <c r="W139" s="65" t="str">
        <f t="shared" si="3"/>
        <v>Exclude</v>
      </c>
    </row>
    <row r="140" spans="1:23" s="64" customFormat="1" x14ac:dyDescent="0.25">
      <c r="A140" s="63"/>
      <c r="U140" s="64" t="str">
        <f t="shared" si="4"/>
        <v>Exclude</v>
      </c>
      <c r="W140" s="65" t="str">
        <f t="shared" si="3"/>
        <v>Exclude</v>
      </c>
    </row>
    <row r="141" spans="1:23" s="64" customFormat="1" x14ac:dyDescent="0.25">
      <c r="A141" s="63"/>
      <c r="U141" s="64" t="str">
        <f t="shared" si="4"/>
        <v>Exclude</v>
      </c>
      <c r="W141" s="65" t="str">
        <f t="shared" si="3"/>
        <v>Exclude</v>
      </c>
    </row>
    <row r="142" spans="1:23" s="64" customFormat="1" x14ac:dyDescent="0.25">
      <c r="A142" s="63"/>
      <c r="U142" s="64" t="str">
        <f t="shared" si="4"/>
        <v>Exclude</v>
      </c>
      <c r="W142" s="65" t="str">
        <f t="shared" si="3"/>
        <v>Exclude</v>
      </c>
    </row>
    <row r="143" spans="1:23" s="64" customFormat="1" x14ac:dyDescent="0.25">
      <c r="A143" s="63"/>
      <c r="U143" s="64" t="str">
        <f t="shared" si="4"/>
        <v>Exclude</v>
      </c>
      <c r="W143" s="65" t="str">
        <f t="shared" si="3"/>
        <v>Exclude</v>
      </c>
    </row>
    <row r="144" spans="1:23" s="64" customFormat="1" x14ac:dyDescent="0.25">
      <c r="A144" s="63"/>
      <c r="U144" s="64" t="str">
        <f t="shared" si="4"/>
        <v>Exclude</v>
      </c>
      <c r="W144" s="65" t="str">
        <f t="shared" si="3"/>
        <v>Exclude</v>
      </c>
    </row>
    <row r="145" spans="1:23" s="64" customFormat="1" x14ac:dyDescent="0.25">
      <c r="A145" s="63"/>
      <c r="U145" s="64" t="str">
        <f t="shared" si="4"/>
        <v>Exclude</v>
      </c>
      <c r="W145" s="65" t="str">
        <f t="shared" si="3"/>
        <v>Exclude</v>
      </c>
    </row>
    <row r="146" spans="1:23" s="64" customFormat="1" x14ac:dyDescent="0.25">
      <c r="A146" s="63"/>
      <c r="U146" s="64" t="str">
        <f t="shared" si="4"/>
        <v>Exclude</v>
      </c>
      <c r="W146" s="65" t="str">
        <f t="shared" si="3"/>
        <v>Exclude</v>
      </c>
    </row>
    <row r="147" spans="1:23" s="64" customFormat="1" x14ac:dyDescent="0.25">
      <c r="A147" s="63"/>
      <c r="U147" s="64" t="str">
        <f t="shared" si="4"/>
        <v>Exclude</v>
      </c>
      <c r="W147" s="65" t="str">
        <f t="shared" si="3"/>
        <v>Exclude</v>
      </c>
    </row>
    <row r="148" spans="1:23" s="64" customFormat="1" x14ac:dyDescent="0.25">
      <c r="A148" s="63"/>
      <c r="U148" s="64" t="str">
        <f t="shared" si="4"/>
        <v>Exclude</v>
      </c>
      <c r="W148" s="65" t="str">
        <f t="shared" si="3"/>
        <v>Exclude</v>
      </c>
    </row>
    <row r="149" spans="1:23" s="64" customFormat="1" x14ac:dyDescent="0.25">
      <c r="A149" s="63"/>
      <c r="U149" s="64" t="str">
        <f t="shared" si="4"/>
        <v>Exclude</v>
      </c>
      <c r="W149" s="65" t="str">
        <f t="shared" si="3"/>
        <v>Exclude</v>
      </c>
    </row>
    <row r="150" spans="1:23" s="64" customFormat="1" x14ac:dyDescent="0.25">
      <c r="A150" s="63"/>
      <c r="U150" s="64" t="str">
        <f t="shared" si="4"/>
        <v>Exclude</v>
      </c>
      <c r="W150" s="65" t="str">
        <f t="shared" ref="W150:W213" si="5">IF(R150="TruePositive",IF(R149&lt;&gt;"Anticipatory",LOG10(N150),"Exclude"),"Exclude")</f>
        <v>Exclude</v>
      </c>
    </row>
    <row r="151" spans="1:23" s="64" customFormat="1" x14ac:dyDescent="0.25">
      <c r="A151" s="63"/>
      <c r="U151" s="64" t="str">
        <f t="shared" si="4"/>
        <v>Exclude</v>
      </c>
      <c r="W151" s="65" t="str">
        <f t="shared" si="5"/>
        <v>Exclude</v>
      </c>
    </row>
    <row r="152" spans="1:23" s="64" customFormat="1" x14ac:dyDescent="0.25">
      <c r="A152" s="63"/>
      <c r="U152" s="64" t="str">
        <f t="shared" si="4"/>
        <v>Exclude</v>
      </c>
      <c r="W152" s="65" t="str">
        <f t="shared" si="5"/>
        <v>Exclude</v>
      </c>
    </row>
    <row r="153" spans="1:23" s="64" customFormat="1" x14ac:dyDescent="0.25">
      <c r="A153" s="63"/>
      <c r="U153" s="64" t="str">
        <f t="shared" si="4"/>
        <v>Exclude</v>
      </c>
      <c r="W153" s="65" t="str">
        <f t="shared" si="5"/>
        <v>Exclude</v>
      </c>
    </row>
    <row r="154" spans="1:23" s="64" customFormat="1" x14ac:dyDescent="0.25">
      <c r="A154" s="63"/>
      <c r="U154" s="64" t="str">
        <f t="shared" si="4"/>
        <v>Exclude</v>
      </c>
      <c r="W154" s="65" t="str">
        <f t="shared" si="5"/>
        <v>Exclude</v>
      </c>
    </row>
    <row r="155" spans="1:23" s="64" customFormat="1" x14ac:dyDescent="0.25">
      <c r="A155" s="63"/>
      <c r="U155" s="64" t="str">
        <f t="shared" si="4"/>
        <v>Exclude</v>
      </c>
      <c r="W155" s="65" t="str">
        <f t="shared" si="5"/>
        <v>Exclude</v>
      </c>
    </row>
    <row r="156" spans="1:23" s="64" customFormat="1" x14ac:dyDescent="0.25">
      <c r="A156" s="63"/>
      <c r="U156" s="64" t="str">
        <f t="shared" si="4"/>
        <v>Exclude</v>
      </c>
      <c r="W156" s="65" t="str">
        <f t="shared" si="5"/>
        <v>Exclude</v>
      </c>
    </row>
    <row r="157" spans="1:23" s="64" customFormat="1" x14ac:dyDescent="0.25">
      <c r="A157" s="63"/>
      <c r="U157" s="64" t="str">
        <f t="shared" si="4"/>
        <v>Exclude</v>
      </c>
      <c r="W157" s="65" t="str">
        <f t="shared" si="5"/>
        <v>Exclude</v>
      </c>
    </row>
    <row r="158" spans="1:23" s="64" customFormat="1" x14ac:dyDescent="0.25">
      <c r="A158" s="63"/>
      <c r="U158" s="64" t="str">
        <f t="shared" si="4"/>
        <v>Exclude</v>
      </c>
      <c r="W158" s="65" t="str">
        <f t="shared" si="5"/>
        <v>Exclude</v>
      </c>
    </row>
    <row r="159" spans="1:23" s="64" customFormat="1" x14ac:dyDescent="0.25">
      <c r="A159" s="63"/>
      <c r="U159" s="64" t="str">
        <f t="shared" si="4"/>
        <v>Exclude</v>
      </c>
      <c r="W159" s="65" t="str">
        <f t="shared" si="5"/>
        <v>Exclude</v>
      </c>
    </row>
    <row r="160" spans="1:23" s="64" customFormat="1" x14ac:dyDescent="0.25">
      <c r="A160" s="63"/>
      <c r="U160" s="64" t="str">
        <f t="shared" si="4"/>
        <v>Exclude</v>
      </c>
      <c r="W160" s="65" t="str">
        <f t="shared" si="5"/>
        <v>Exclude</v>
      </c>
    </row>
    <row r="161" spans="1:23" s="64" customFormat="1" x14ac:dyDescent="0.25">
      <c r="A161" s="63"/>
      <c r="U161" s="64" t="str">
        <f t="shared" si="4"/>
        <v>Exclude</v>
      </c>
      <c r="W161" s="65" t="str">
        <f t="shared" si="5"/>
        <v>Exclude</v>
      </c>
    </row>
    <row r="162" spans="1:23" s="64" customFormat="1" x14ac:dyDescent="0.25">
      <c r="A162" s="63"/>
      <c r="U162" s="64" t="str">
        <f t="shared" si="4"/>
        <v>Exclude</v>
      </c>
      <c r="W162" s="65" t="str">
        <f t="shared" si="5"/>
        <v>Exclude</v>
      </c>
    </row>
    <row r="163" spans="1:23" s="64" customFormat="1" x14ac:dyDescent="0.25">
      <c r="A163" s="63"/>
      <c r="U163" s="64" t="str">
        <f t="shared" si="4"/>
        <v>Exclude</v>
      </c>
      <c r="W163" s="65" t="str">
        <f t="shared" si="5"/>
        <v>Exclude</v>
      </c>
    </row>
    <row r="164" spans="1:23" s="64" customFormat="1" x14ac:dyDescent="0.25">
      <c r="A164" s="63"/>
      <c r="U164" s="64" t="str">
        <f t="shared" si="4"/>
        <v>Exclude</v>
      </c>
      <c r="W164" s="65" t="str">
        <f t="shared" si="5"/>
        <v>Exclude</v>
      </c>
    </row>
    <row r="165" spans="1:23" s="64" customFormat="1" x14ac:dyDescent="0.25">
      <c r="A165" s="63"/>
      <c r="U165" s="64" t="str">
        <f t="shared" si="4"/>
        <v>Exclude</v>
      </c>
      <c r="W165" s="65" t="str">
        <f t="shared" si="5"/>
        <v>Exclude</v>
      </c>
    </row>
    <row r="166" spans="1:23" s="64" customFormat="1" x14ac:dyDescent="0.25">
      <c r="A166" s="63"/>
      <c r="U166" s="64" t="str">
        <f t="shared" si="4"/>
        <v>Exclude</v>
      </c>
      <c r="W166" s="65" t="str">
        <f t="shared" si="5"/>
        <v>Exclude</v>
      </c>
    </row>
    <row r="167" spans="1:23" s="64" customFormat="1" x14ac:dyDescent="0.25">
      <c r="A167" s="63"/>
      <c r="U167" s="64" t="str">
        <f t="shared" si="4"/>
        <v>Exclude</v>
      </c>
      <c r="W167" s="65" t="str">
        <f t="shared" si="5"/>
        <v>Exclude</v>
      </c>
    </row>
    <row r="168" spans="1:23" s="64" customFormat="1" x14ac:dyDescent="0.25">
      <c r="A168" s="63"/>
      <c r="U168" s="64" t="str">
        <f t="shared" si="4"/>
        <v>Exclude</v>
      </c>
      <c r="W168" s="65" t="str">
        <f t="shared" si="5"/>
        <v>Exclude</v>
      </c>
    </row>
    <row r="169" spans="1:23" s="64" customFormat="1" x14ac:dyDescent="0.25">
      <c r="A169" s="63"/>
      <c r="U169" s="64" t="str">
        <f t="shared" si="4"/>
        <v>Exclude</v>
      </c>
      <c r="W169" s="65" t="str">
        <f t="shared" si="5"/>
        <v>Exclude</v>
      </c>
    </row>
    <row r="170" spans="1:23" s="64" customFormat="1" x14ac:dyDescent="0.25">
      <c r="A170" s="63"/>
      <c r="U170" s="64" t="str">
        <f t="shared" si="4"/>
        <v>Exclude</v>
      </c>
      <c r="W170" s="65" t="str">
        <f t="shared" si="5"/>
        <v>Exclude</v>
      </c>
    </row>
    <row r="171" spans="1:23" s="64" customFormat="1" x14ac:dyDescent="0.25">
      <c r="A171" s="63"/>
      <c r="U171" s="64" t="str">
        <f t="shared" si="4"/>
        <v>Exclude</v>
      </c>
      <c r="W171" s="65" t="str">
        <f t="shared" si="5"/>
        <v>Exclude</v>
      </c>
    </row>
    <row r="172" spans="1:23" s="64" customFormat="1" x14ac:dyDescent="0.25">
      <c r="A172" s="63"/>
      <c r="U172" s="64" t="str">
        <f t="shared" si="4"/>
        <v>Exclude</v>
      </c>
      <c r="W172" s="65" t="str">
        <f t="shared" si="5"/>
        <v>Exclude</v>
      </c>
    </row>
    <row r="173" spans="1:23" s="64" customFormat="1" x14ac:dyDescent="0.25">
      <c r="A173" s="63"/>
      <c r="U173" s="64" t="str">
        <f t="shared" ref="U173:U236" si="6">IF(R173="TruePositive",IF(R172&lt;&gt;"Anticipatory",(N173),"Pant"),"Exclude")</f>
        <v>Exclude</v>
      </c>
      <c r="W173" s="65" t="str">
        <f t="shared" si="5"/>
        <v>Exclude</v>
      </c>
    </row>
    <row r="174" spans="1:23" s="64" customFormat="1" x14ac:dyDescent="0.25">
      <c r="A174" s="63"/>
      <c r="U174" s="64" t="str">
        <f t="shared" si="6"/>
        <v>Exclude</v>
      </c>
      <c r="W174" s="65" t="str">
        <f t="shared" si="5"/>
        <v>Exclude</v>
      </c>
    </row>
    <row r="175" spans="1:23" s="64" customFormat="1" x14ac:dyDescent="0.25">
      <c r="A175" s="63"/>
      <c r="U175" s="64" t="str">
        <f t="shared" si="6"/>
        <v>Exclude</v>
      </c>
      <c r="W175" s="65" t="str">
        <f t="shared" si="5"/>
        <v>Exclude</v>
      </c>
    </row>
    <row r="176" spans="1:23" s="64" customFormat="1" x14ac:dyDescent="0.25">
      <c r="A176" s="63"/>
      <c r="U176" s="64" t="str">
        <f t="shared" si="6"/>
        <v>Exclude</v>
      </c>
      <c r="W176" s="65" t="str">
        <f t="shared" si="5"/>
        <v>Exclude</v>
      </c>
    </row>
    <row r="177" spans="1:23" s="64" customFormat="1" x14ac:dyDescent="0.25">
      <c r="A177" s="63"/>
      <c r="U177" s="64" t="str">
        <f t="shared" si="6"/>
        <v>Exclude</v>
      </c>
      <c r="W177" s="65" t="str">
        <f t="shared" si="5"/>
        <v>Exclude</v>
      </c>
    </row>
    <row r="178" spans="1:23" s="64" customFormat="1" x14ac:dyDescent="0.25">
      <c r="A178" s="63"/>
      <c r="U178" s="64" t="str">
        <f t="shared" si="6"/>
        <v>Exclude</v>
      </c>
      <c r="W178" s="65" t="str">
        <f t="shared" si="5"/>
        <v>Exclude</v>
      </c>
    </row>
    <row r="179" spans="1:23" s="64" customFormat="1" x14ac:dyDescent="0.25">
      <c r="A179" s="63"/>
      <c r="U179" s="64" t="str">
        <f t="shared" si="6"/>
        <v>Exclude</v>
      </c>
      <c r="W179" s="65" t="str">
        <f t="shared" si="5"/>
        <v>Exclude</v>
      </c>
    </row>
    <row r="180" spans="1:23" s="64" customFormat="1" x14ac:dyDescent="0.25">
      <c r="A180" s="63"/>
      <c r="U180" s="64" t="str">
        <f t="shared" si="6"/>
        <v>Exclude</v>
      </c>
      <c r="W180" s="65" t="str">
        <f t="shared" si="5"/>
        <v>Exclude</v>
      </c>
    </row>
    <row r="181" spans="1:23" s="64" customFormat="1" x14ac:dyDescent="0.25">
      <c r="A181" s="63"/>
      <c r="U181" s="64" t="str">
        <f t="shared" si="6"/>
        <v>Exclude</v>
      </c>
      <c r="W181" s="65" t="str">
        <f t="shared" si="5"/>
        <v>Exclude</v>
      </c>
    </row>
    <row r="182" spans="1:23" s="64" customFormat="1" x14ac:dyDescent="0.25">
      <c r="A182" s="63"/>
      <c r="U182" s="64" t="str">
        <f t="shared" si="6"/>
        <v>Exclude</v>
      </c>
      <c r="W182" s="65" t="str">
        <f t="shared" si="5"/>
        <v>Exclude</v>
      </c>
    </row>
    <row r="183" spans="1:23" s="64" customFormat="1" x14ac:dyDescent="0.25">
      <c r="A183" s="63"/>
      <c r="U183" s="64" t="str">
        <f t="shared" si="6"/>
        <v>Exclude</v>
      </c>
      <c r="W183" s="65" t="str">
        <f t="shared" si="5"/>
        <v>Exclude</v>
      </c>
    </row>
    <row r="184" spans="1:23" s="64" customFormat="1" x14ac:dyDescent="0.25">
      <c r="A184" s="63"/>
      <c r="U184" s="64" t="str">
        <f t="shared" si="6"/>
        <v>Exclude</v>
      </c>
      <c r="W184" s="65" t="str">
        <f t="shared" si="5"/>
        <v>Exclude</v>
      </c>
    </row>
    <row r="185" spans="1:23" s="64" customFormat="1" x14ac:dyDescent="0.25">
      <c r="A185" s="63"/>
      <c r="U185" s="64" t="str">
        <f t="shared" si="6"/>
        <v>Exclude</v>
      </c>
      <c r="W185" s="65" t="str">
        <f t="shared" si="5"/>
        <v>Exclude</v>
      </c>
    </row>
    <row r="186" spans="1:23" s="64" customFormat="1" x14ac:dyDescent="0.25">
      <c r="A186" s="63"/>
      <c r="U186" s="64" t="str">
        <f t="shared" si="6"/>
        <v>Exclude</v>
      </c>
      <c r="W186" s="65" t="str">
        <f t="shared" si="5"/>
        <v>Exclude</v>
      </c>
    </row>
    <row r="187" spans="1:23" s="64" customFormat="1" x14ac:dyDescent="0.25">
      <c r="A187" s="63"/>
      <c r="U187" s="64" t="str">
        <f t="shared" si="6"/>
        <v>Exclude</v>
      </c>
      <c r="W187" s="65" t="str">
        <f t="shared" si="5"/>
        <v>Exclude</v>
      </c>
    </row>
    <row r="188" spans="1:23" s="64" customFormat="1" x14ac:dyDescent="0.25">
      <c r="A188" s="63"/>
      <c r="U188" s="64" t="str">
        <f t="shared" si="6"/>
        <v>Exclude</v>
      </c>
      <c r="W188" s="65" t="str">
        <f t="shared" si="5"/>
        <v>Exclude</v>
      </c>
    </row>
    <row r="189" spans="1:23" s="64" customFormat="1" x14ac:dyDescent="0.25">
      <c r="A189" s="63"/>
      <c r="U189" s="64" t="str">
        <f t="shared" si="6"/>
        <v>Exclude</v>
      </c>
      <c r="W189" s="65" t="str">
        <f t="shared" si="5"/>
        <v>Exclude</v>
      </c>
    </row>
    <row r="190" spans="1:23" s="64" customFormat="1" x14ac:dyDescent="0.25">
      <c r="A190" s="63"/>
      <c r="U190" s="64" t="str">
        <f t="shared" si="6"/>
        <v>Exclude</v>
      </c>
      <c r="W190" s="65" t="str">
        <f t="shared" si="5"/>
        <v>Exclude</v>
      </c>
    </row>
    <row r="191" spans="1:23" s="64" customFormat="1" x14ac:dyDescent="0.25">
      <c r="A191" s="63"/>
      <c r="U191" s="64" t="str">
        <f t="shared" si="6"/>
        <v>Exclude</v>
      </c>
      <c r="W191" s="65" t="str">
        <f t="shared" si="5"/>
        <v>Exclude</v>
      </c>
    </row>
    <row r="192" spans="1:23" s="64" customFormat="1" x14ac:dyDescent="0.25">
      <c r="A192" s="63"/>
      <c r="U192" s="64" t="str">
        <f t="shared" si="6"/>
        <v>Exclude</v>
      </c>
      <c r="W192" s="65" t="str">
        <f t="shared" si="5"/>
        <v>Exclude</v>
      </c>
    </row>
    <row r="193" spans="1:23" s="64" customFormat="1" x14ac:dyDescent="0.25">
      <c r="A193" s="63"/>
      <c r="U193" s="64" t="str">
        <f t="shared" si="6"/>
        <v>Exclude</v>
      </c>
      <c r="W193" s="65" t="str">
        <f t="shared" si="5"/>
        <v>Exclude</v>
      </c>
    </row>
    <row r="194" spans="1:23" s="64" customFormat="1" x14ac:dyDescent="0.25">
      <c r="A194" s="63"/>
      <c r="U194" s="64" t="str">
        <f t="shared" si="6"/>
        <v>Exclude</v>
      </c>
      <c r="W194" s="65" t="str">
        <f t="shared" si="5"/>
        <v>Exclude</v>
      </c>
    </row>
    <row r="195" spans="1:23" s="64" customFormat="1" x14ac:dyDescent="0.25">
      <c r="A195" s="63"/>
      <c r="U195" s="64" t="str">
        <f t="shared" si="6"/>
        <v>Exclude</v>
      </c>
      <c r="W195" s="65" t="str">
        <f t="shared" si="5"/>
        <v>Exclude</v>
      </c>
    </row>
    <row r="196" spans="1:23" s="64" customFormat="1" x14ac:dyDescent="0.25">
      <c r="A196" s="63"/>
      <c r="U196" s="64" t="str">
        <f t="shared" si="6"/>
        <v>Exclude</v>
      </c>
      <c r="W196" s="65" t="str">
        <f t="shared" si="5"/>
        <v>Exclude</v>
      </c>
    </row>
    <row r="197" spans="1:23" s="64" customFormat="1" x14ac:dyDescent="0.25">
      <c r="A197" s="63"/>
      <c r="U197" s="64" t="str">
        <f t="shared" si="6"/>
        <v>Exclude</v>
      </c>
      <c r="W197" s="65" t="str">
        <f t="shared" si="5"/>
        <v>Exclude</v>
      </c>
    </row>
    <row r="198" spans="1:23" s="64" customFormat="1" x14ac:dyDescent="0.25">
      <c r="A198" s="63"/>
      <c r="U198" s="64" t="str">
        <f t="shared" si="6"/>
        <v>Exclude</v>
      </c>
      <c r="W198" s="65" t="str">
        <f t="shared" si="5"/>
        <v>Exclude</v>
      </c>
    </row>
    <row r="199" spans="1:23" s="64" customFormat="1" x14ac:dyDescent="0.25">
      <c r="A199" s="63"/>
      <c r="U199" s="64" t="str">
        <f t="shared" si="6"/>
        <v>Exclude</v>
      </c>
      <c r="W199" s="65" t="str">
        <f t="shared" si="5"/>
        <v>Exclude</v>
      </c>
    </row>
    <row r="200" spans="1:23" s="64" customFormat="1" x14ac:dyDescent="0.25">
      <c r="A200" s="63"/>
      <c r="U200" s="64" t="str">
        <f t="shared" si="6"/>
        <v>Exclude</v>
      </c>
      <c r="W200" s="65" t="str">
        <f t="shared" si="5"/>
        <v>Exclude</v>
      </c>
    </row>
    <row r="201" spans="1:23" s="64" customFormat="1" x14ac:dyDescent="0.25">
      <c r="A201" s="63"/>
      <c r="U201" s="64" t="str">
        <f t="shared" si="6"/>
        <v>Exclude</v>
      </c>
      <c r="W201" s="65" t="str">
        <f t="shared" si="5"/>
        <v>Exclude</v>
      </c>
    </row>
    <row r="202" spans="1:23" s="64" customFormat="1" x14ac:dyDescent="0.25">
      <c r="A202" s="63"/>
      <c r="U202" s="64" t="str">
        <f t="shared" si="6"/>
        <v>Exclude</v>
      </c>
      <c r="W202" s="65" t="str">
        <f t="shared" si="5"/>
        <v>Exclude</v>
      </c>
    </row>
    <row r="203" spans="1:23" s="64" customFormat="1" x14ac:dyDescent="0.25">
      <c r="A203" s="63"/>
      <c r="U203" s="64" t="str">
        <f t="shared" si="6"/>
        <v>Exclude</v>
      </c>
      <c r="W203" s="65" t="str">
        <f t="shared" si="5"/>
        <v>Exclude</v>
      </c>
    </row>
    <row r="204" spans="1:23" s="64" customFormat="1" x14ac:dyDescent="0.25">
      <c r="A204" s="63"/>
      <c r="U204" s="64" t="str">
        <f t="shared" si="6"/>
        <v>Exclude</v>
      </c>
      <c r="W204" s="65" t="str">
        <f t="shared" si="5"/>
        <v>Exclude</v>
      </c>
    </row>
    <row r="205" spans="1:23" s="64" customFormat="1" x14ac:dyDescent="0.25">
      <c r="A205" s="63"/>
      <c r="U205" s="64" t="str">
        <f t="shared" si="6"/>
        <v>Exclude</v>
      </c>
      <c r="W205" s="65" t="str">
        <f t="shared" si="5"/>
        <v>Exclude</v>
      </c>
    </row>
    <row r="206" spans="1:23" s="64" customFormat="1" x14ac:dyDescent="0.25">
      <c r="A206" s="63"/>
      <c r="U206" s="64" t="str">
        <f t="shared" si="6"/>
        <v>Exclude</v>
      </c>
      <c r="W206" s="65" t="str">
        <f t="shared" si="5"/>
        <v>Exclude</v>
      </c>
    </row>
    <row r="207" spans="1:23" s="64" customFormat="1" x14ac:dyDescent="0.25">
      <c r="A207" s="63"/>
      <c r="U207" s="64" t="str">
        <f t="shared" si="6"/>
        <v>Exclude</v>
      </c>
      <c r="W207" s="65" t="str">
        <f t="shared" si="5"/>
        <v>Exclude</v>
      </c>
    </row>
    <row r="208" spans="1:23" s="64" customFormat="1" x14ac:dyDescent="0.25">
      <c r="A208" s="63"/>
      <c r="U208" s="64" t="str">
        <f t="shared" si="6"/>
        <v>Exclude</v>
      </c>
      <c r="W208" s="65" t="str">
        <f t="shared" si="5"/>
        <v>Exclude</v>
      </c>
    </row>
    <row r="209" spans="1:23" s="64" customFormat="1" x14ac:dyDescent="0.25">
      <c r="A209" s="63"/>
      <c r="U209" s="64" t="str">
        <f t="shared" si="6"/>
        <v>Exclude</v>
      </c>
      <c r="W209" s="65" t="str">
        <f t="shared" si="5"/>
        <v>Exclude</v>
      </c>
    </row>
    <row r="210" spans="1:23" s="64" customFormat="1" x14ac:dyDescent="0.25">
      <c r="A210" s="63"/>
      <c r="U210" s="64" t="str">
        <f t="shared" si="6"/>
        <v>Exclude</v>
      </c>
      <c r="W210" s="65" t="str">
        <f t="shared" si="5"/>
        <v>Exclude</v>
      </c>
    </row>
    <row r="211" spans="1:23" s="64" customFormat="1" x14ac:dyDescent="0.25">
      <c r="A211" s="63"/>
      <c r="U211" s="64" t="str">
        <f t="shared" si="6"/>
        <v>Exclude</v>
      </c>
      <c r="W211" s="65" t="str">
        <f t="shared" si="5"/>
        <v>Exclude</v>
      </c>
    </row>
    <row r="212" spans="1:23" s="64" customFormat="1" x14ac:dyDescent="0.25">
      <c r="A212" s="63"/>
      <c r="U212" s="64" t="str">
        <f t="shared" si="6"/>
        <v>Exclude</v>
      </c>
      <c r="W212" s="65" t="str">
        <f t="shared" si="5"/>
        <v>Exclude</v>
      </c>
    </row>
    <row r="213" spans="1:23" s="64" customFormat="1" x14ac:dyDescent="0.25">
      <c r="A213" s="63"/>
      <c r="U213" s="64" t="str">
        <f t="shared" si="6"/>
        <v>Exclude</v>
      </c>
      <c r="W213" s="65" t="str">
        <f t="shared" si="5"/>
        <v>Exclude</v>
      </c>
    </row>
    <row r="214" spans="1:23" s="64" customFormat="1" x14ac:dyDescent="0.25">
      <c r="A214" s="63"/>
      <c r="U214" s="64" t="str">
        <f t="shared" si="6"/>
        <v>Exclude</v>
      </c>
      <c r="W214" s="65" t="str">
        <f t="shared" ref="W214:W277" si="7">IF(R214="TruePositive",IF(R213&lt;&gt;"Anticipatory",LOG10(N214),"Exclude"),"Exclude")</f>
        <v>Exclude</v>
      </c>
    </row>
    <row r="215" spans="1:23" s="64" customFormat="1" x14ac:dyDescent="0.25">
      <c r="A215" s="63"/>
      <c r="U215" s="64" t="str">
        <f t="shared" si="6"/>
        <v>Exclude</v>
      </c>
      <c r="W215" s="65" t="str">
        <f t="shared" si="7"/>
        <v>Exclude</v>
      </c>
    </row>
    <row r="216" spans="1:23" s="64" customFormat="1" x14ac:dyDescent="0.25">
      <c r="A216" s="63"/>
      <c r="U216" s="64" t="str">
        <f t="shared" si="6"/>
        <v>Exclude</v>
      </c>
      <c r="W216" s="65" t="str">
        <f t="shared" si="7"/>
        <v>Exclude</v>
      </c>
    </row>
    <row r="217" spans="1:23" s="64" customFormat="1" x14ac:dyDescent="0.25">
      <c r="A217" s="63"/>
      <c r="U217" s="64" t="str">
        <f t="shared" si="6"/>
        <v>Exclude</v>
      </c>
      <c r="W217" s="65" t="str">
        <f t="shared" si="7"/>
        <v>Exclude</v>
      </c>
    </row>
    <row r="218" spans="1:23" s="64" customFormat="1" x14ac:dyDescent="0.25">
      <c r="A218" s="63"/>
      <c r="U218" s="64" t="str">
        <f t="shared" si="6"/>
        <v>Exclude</v>
      </c>
      <c r="W218" s="65" t="str">
        <f t="shared" si="7"/>
        <v>Exclude</v>
      </c>
    </row>
    <row r="219" spans="1:23" s="64" customFormat="1" x14ac:dyDescent="0.25">
      <c r="A219" s="63"/>
      <c r="U219" s="64" t="str">
        <f t="shared" si="6"/>
        <v>Exclude</v>
      </c>
      <c r="W219" s="65" t="str">
        <f t="shared" si="7"/>
        <v>Exclude</v>
      </c>
    </row>
    <row r="220" spans="1:23" s="64" customFormat="1" x14ac:dyDescent="0.25">
      <c r="A220" s="63"/>
      <c r="U220" s="64" t="str">
        <f t="shared" si="6"/>
        <v>Exclude</v>
      </c>
      <c r="W220" s="65" t="str">
        <f t="shared" si="7"/>
        <v>Exclude</v>
      </c>
    </row>
    <row r="221" spans="1:23" s="64" customFormat="1" x14ac:dyDescent="0.25">
      <c r="A221" s="63"/>
      <c r="U221" s="64" t="str">
        <f t="shared" si="6"/>
        <v>Exclude</v>
      </c>
      <c r="W221" s="65" t="str">
        <f t="shared" si="7"/>
        <v>Exclude</v>
      </c>
    </row>
    <row r="222" spans="1:23" s="64" customFormat="1" x14ac:dyDescent="0.25">
      <c r="A222" s="63"/>
      <c r="U222" s="64" t="str">
        <f t="shared" si="6"/>
        <v>Exclude</v>
      </c>
      <c r="W222" s="65" t="str">
        <f t="shared" si="7"/>
        <v>Exclude</v>
      </c>
    </row>
    <row r="223" spans="1:23" s="64" customFormat="1" x14ac:dyDescent="0.25">
      <c r="A223" s="63"/>
      <c r="U223" s="64" t="str">
        <f t="shared" si="6"/>
        <v>Exclude</v>
      </c>
      <c r="W223" s="65" t="str">
        <f t="shared" si="7"/>
        <v>Exclude</v>
      </c>
    </row>
    <row r="224" spans="1:23" s="64" customFormat="1" x14ac:dyDescent="0.25">
      <c r="A224" s="63"/>
      <c r="U224" s="64" t="str">
        <f t="shared" si="6"/>
        <v>Exclude</v>
      </c>
      <c r="W224" s="65" t="str">
        <f t="shared" si="7"/>
        <v>Exclude</v>
      </c>
    </row>
    <row r="225" spans="1:23" s="64" customFormat="1" x14ac:dyDescent="0.25">
      <c r="A225" s="63"/>
      <c r="U225" s="64" t="str">
        <f t="shared" si="6"/>
        <v>Exclude</v>
      </c>
      <c r="W225" s="65" t="str">
        <f t="shared" si="7"/>
        <v>Exclude</v>
      </c>
    </row>
    <row r="226" spans="1:23" s="64" customFormat="1" x14ac:dyDescent="0.25">
      <c r="A226" s="63"/>
      <c r="U226" s="64" t="str">
        <f t="shared" si="6"/>
        <v>Exclude</v>
      </c>
      <c r="W226" s="65" t="str">
        <f t="shared" si="7"/>
        <v>Exclude</v>
      </c>
    </row>
    <row r="227" spans="1:23" s="64" customFormat="1" x14ac:dyDescent="0.25">
      <c r="A227" s="63"/>
      <c r="U227" s="64" t="str">
        <f t="shared" si="6"/>
        <v>Exclude</v>
      </c>
      <c r="W227" s="65" t="str">
        <f t="shared" si="7"/>
        <v>Exclude</v>
      </c>
    </row>
    <row r="228" spans="1:23" s="64" customFormat="1" x14ac:dyDescent="0.25">
      <c r="A228" s="63"/>
      <c r="U228" s="64" t="str">
        <f t="shared" si="6"/>
        <v>Exclude</v>
      </c>
      <c r="W228" s="65" t="str">
        <f t="shared" si="7"/>
        <v>Exclude</v>
      </c>
    </row>
    <row r="229" spans="1:23" s="64" customFormat="1" x14ac:dyDescent="0.25">
      <c r="A229" s="63"/>
      <c r="U229" s="64" t="str">
        <f t="shared" si="6"/>
        <v>Exclude</v>
      </c>
      <c r="W229" s="65" t="str">
        <f t="shared" si="7"/>
        <v>Exclude</v>
      </c>
    </row>
    <row r="230" spans="1:23" s="64" customFormat="1" x14ac:dyDescent="0.25">
      <c r="A230" s="63"/>
      <c r="U230" s="64" t="str">
        <f t="shared" si="6"/>
        <v>Exclude</v>
      </c>
      <c r="W230" s="65" t="str">
        <f t="shared" si="7"/>
        <v>Exclude</v>
      </c>
    </row>
    <row r="231" spans="1:23" s="64" customFormat="1" x14ac:dyDescent="0.25">
      <c r="A231" s="63"/>
      <c r="U231" s="64" t="str">
        <f t="shared" si="6"/>
        <v>Exclude</v>
      </c>
      <c r="W231" s="65" t="str">
        <f t="shared" si="7"/>
        <v>Exclude</v>
      </c>
    </row>
    <row r="232" spans="1:23" s="64" customFormat="1" x14ac:dyDescent="0.25">
      <c r="A232" s="63"/>
      <c r="U232" s="64" t="str">
        <f t="shared" si="6"/>
        <v>Exclude</v>
      </c>
      <c r="W232" s="65" t="str">
        <f t="shared" si="7"/>
        <v>Exclude</v>
      </c>
    </row>
    <row r="233" spans="1:23" s="64" customFormat="1" x14ac:dyDescent="0.25">
      <c r="A233" s="63"/>
      <c r="U233" s="64" t="str">
        <f t="shared" si="6"/>
        <v>Exclude</v>
      </c>
      <c r="W233" s="65" t="str">
        <f t="shared" si="7"/>
        <v>Exclude</v>
      </c>
    </row>
    <row r="234" spans="1:23" s="64" customFormat="1" x14ac:dyDescent="0.25">
      <c r="A234" s="63"/>
      <c r="U234" s="64" t="str">
        <f t="shared" si="6"/>
        <v>Exclude</v>
      </c>
      <c r="W234" s="65" t="str">
        <f t="shared" si="7"/>
        <v>Exclude</v>
      </c>
    </row>
    <row r="235" spans="1:23" s="64" customFormat="1" x14ac:dyDescent="0.25">
      <c r="A235" s="63"/>
      <c r="U235" s="64" t="str">
        <f t="shared" si="6"/>
        <v>Exclude</v>
      </c>
      <c r="W235" s="65" t="str">
        <f t="shared" si="7"/>
        <v>Exclude</v>
      </c>
    </row>
    <row r="236" spans="1:23" s="64" customFormat="1" x14ac:dyDescent="0.25">
      <c r="A236" s="63"/>
      <c r="U236" s="64" t="str">
        <f t="shared" si="6"/>
        <v>Exclude</v>
      </c>
      <c r="W236" s="65" t="str">
        <f t="shared" si="7"/>
        <v>Exclude</v>
      </c>
    </row>
    <row r="237" spans="1:23" s="64" customFormat="1" x14ac:dyDescent="0.25">
      <c r="A237" s="63"/>
      <c r="U237" s="64" t="str">
        <f t="shared" ref="U237:U300" si="8">IF(R237="TruePositive",IF(R236&lt;&gt;"Anticipatory",(N237),"Pant"),"Exclude")</f>
        <v>Exclude</v>
      </c>
      <c r="W237" s="65" t="str">
        <f t="shared" si="7"/>
        <v>Exclude</v>
      </c>
    </row>
    <row r="238" spans="1:23" s="64" customFormat="1" x14ac:dyDescent="0.25">
      <c r="A238" s="63"/>
      <c r="U238" s="64" t="str">
        <f t="shared" si="8"/>
        <v>Exclude</v>
      </c>
      <c r="W238" s="65" t="str">
        <f t="shared" si="7"/>
        <v>Exclude</v>
      </c>
    </row>
    <row r="239" spans="1:23" s="64" customFormat="1" x14ac:dyDescent="0.25">
      <c r="A239" s="63"/>
      <c r="U239" s="64" t="str">
        <f t="shared" si="8"/>
        <v>Exclude</v>
      </c>
      <c r="W239" s="65" t="str">
        <f t="shared" si="7"/>
        <v>Exclude</v>
      </c>
    </row>
    <row r="240" spans="1:23" s="64" customFormat="1" x14ac:dyDescent="0.25">
      <c r="A240" s="63"/>
      <c r="U240" s="64" t="str">
        <f t="shared" si="8"/>
        <v>Exclude</v>
      </c>
      <c r="W240" s="65" t="str">
        <f t="shared" si="7"/>
        <v>Exclude</v>
      </c>
    </row>
    <row r="241" spans="1:23" s="64" customFormat="1" x14ac:dyDescent="0.25">
      <c r="A241" s="63"/>
      <c r="U241" s="64" t="str">
        <f t="shared" si="8"/>
        <v>Exclude</v>
      </c>
      <c r="W241" s="65" t="str">
        <f t="shared" si="7"/>
        <v>Exclude</v>
      </c>
    </row>
    <row r="242" spans="1:23" s="64" customFormat="1" x14ac:dyDescent="0.25">
      <c r="A242" s="63"/>
      <c r="U242" s="64" t="str">
        <f t="shared" si="8"/>
        <v>Exclude</v>
      </c>
      <c r="W242" s="65" t="str">
        <f t="shared" si="7"/>
        <v>Exclude</v>
      </c>
    </row>
    <row r="243" spans="1:23" s="64" customFormat="1" x14ac:dyDescent="0.25">
      <c r="A243" s="63"/>
      <c r="U243" s="64" t="str">
        <f t="shared" si="8"/>
        <v>Exclude</v>
      </c>
      <c r="W243" s="65" t="str">
        <f t="shared" si="7"/>
        <v>Exclude</v>
      </c>
    </row>
    <row r="244" spans="1:23" s="64" customFormat="1" x14ac:dyDescent="0.25">
      <c r="A244" s="63"/>
      <c r="U244" s="64" t="str">
        <f t="shared" si="8"/>
        <v>Exclude</v>
      </c>
      <c r="W244" s="65" t="str">
        <f t="shared" si="7"/>
        <v>Exclude</v>
      </c>
    </row>
    <row r="245" spans="1:23" s="64" customFormat="1" x14ac:dyDescent="0.25">
      <c r="A245" s="63"/>
      <c r="U245" s="64" t="str">
        <f t="shared" si="8"/>
        <v>Exclude</v>
      </c>
      <c r="W245" s="65" t="str">
        <f t="shared" si="7"/>
        <v>Exclude</v>
      </c>
    </row>
    <row r="246" spans="1:23" s="64" customFormat="1" x14ac:dyDescent="0.25">
      <c r="A246" s="63"/>
      <c r="U246" s="64" t="str">
        <f t="shared" si="8"/>
        <v>Exclude</v>
      </c>
      <c r="W246" s="65" t="str">
        <f t="shared" si="7"/>
        <v>Exclude</v>
      </c>
    </row>
    <row r="247" spans="1:23" s="64" customFormat="1" x14ac:dyDescent="0.25">
      <c r="A247" s="63"/>
      <c r="U247" s="64" t="str">
        <f t="shared" si="8"/>
        <v>Exclude</v>
      </c>
      <c r="W247" s="65" t="str">
        <f t="shared" si="7"/>
        <v>Exclude</v>
      </c>
    </row>
    <row r="248" spans="1:23" s="64" customFormat="1" x14ac:dyDescent="0.25">
      <c r="A248" s="63"/>
      <c r="U248" s="64" t="str">
        <f t="shared" si="8"/>
        <v>Exclude</v>
      </c>
      <c r="W248" s="65" t="str">
        <f t="shared" si="7"/>
        <v>Exclude</v>
      </c>
    </row>
    <row r="249" spans="1:23" s="64" customFormat="1" x14ac:dyDescent="0.25">
      <c r="A249" s="63"/>
      <c r="U249" s="64" t="str">
        <f t="shared" si="8"/>
        <v>Exclude</v>
      </c>
      <c r="W249" s="65" t="str">
        <f t="shared" si="7"/>
        <v>Exclude</v>
      </c>
    </row>
    <row r="250" spans="1:23" s="64" customFormat="1" x14ac:dyDescent="0.25">
      <c r="A250" s="63"/>
      <c r="U250" s="64" t="str">
        <f t="shared" si="8"/>
        <v>Exclude</v>
      </c>
      <c r="W250" s="65" t="str">
        <f t="shared" si="7"/>
        <v>Exclude</v>
      </c>
    </row>
    <row r="251" spans="1:23" s="64" customFormat="1" x14ac:dyDescent="0.25">
      <c r="A251" s="63"/>
      <c r="U251" s="64" t="str">
        <f t="shared" si="8"/>
        <v>Exclude</v>
      </c>
      <c r="W251" s="65" t="str">
        <f t="shared" si="7"/>
        <v>Exclude</v>
      </c>
    </row>
    <row r="252" spans="1:23" s="64" customFormat="1" x14ac:dyDescent="0.25">
      <c r="A252" s="63"/>
      <c r="U252" s="64" t="str">
        <f t="shared" si="8"/>
        <v>Exclude</v>
      </c>
      <c r="W252" s="65" t="str">
        <f t="shared" si="7"/>
        <v>Exclude</v>
      </c>
    </row>
    <row r="253" spans="1:23" s="64" customFormat="1" x14ac:dyDescent="0.25">
      <c r="A253" s="63"/>
      <c r="U253" s="64" t="str">
        <f t="shared" si="8"/>
        <v>Exclude</v>
      </c>
      <c r="W253" s="65" t="str">
        <f t="shared" si="7"/>
        <v>Exclude</v>
      </c>
    </row>
    <row r="254" spans="1:23" s="64" customFormat="1" x14ac:dyDescent="0.25">
      <c r="A254" s="63"/>
      <c r="U254" s="64" t="str">
        <f t="shared" si="8"/>
        <v>Exclude</v>
      </c>
      <c r="W254" s="65" t="str">
        <f t="shared" si="7"/>
        <v>Exclude</v>
      </c>
    </row>
    <row r="255" spans="1:23" s="64" customFormat="1" x14ac:dyDescent="0.25">
      <c r="A255" s="63"/>
      <c r="U255" s="64" t="str">
        <f t="shared" si="8"/>
        <v>Exclude</v>
      </c>
      <c r="W255" s="65" t="str">
        <f t="shared" si="7"/>
        <v>Exclude</v>
      </c>
    </row>
    <row r="256" spans="1:23" s="64" customFormat="1" x14ac:dyDescent="0.25">
      <c r="A256" s="63"/>
      <c r="U256" s="64" t="str">
        <f t="shared" si="8"/>
        <v>Exclude</v>
      </c>
      <c r="W256" s="65" t="str">
        <f t="shared" si="7"/>
        <v>Exclude</v>
      </c>
    </row>
    <row r="257" spans="1:23" s="64" customFormat="1" x14ac:dyDescent="0.25">
      <c r="A257" s="63"/>
      <c r="U257" s="64" t="str">
        <f t="shared" si="8"/>
        <v>Exclude</v>
      </c>
      <c r="W257" s="65" t="str">
        <f t="shared" si="7"/>
        <v>Exclude</v>
      </c>
    </row>
    <row r="258" spans="1:23" s="64" customFormat="1" x14ac:dyDescent="0.25">
      <c r="A258" s="63"/>
      <c r="U258" s="64" t="str">
        <f t="shared" si="8"/>
        <v>Exclude</v>
      </c>
      <c r="W258" s="65" t="str">
        <f t="shared" si="7"/>
        <v>Exclude</v>
      </c>
    </row>
    <row r="259" spans="1:23" s="64" customFormat="1" x14ac:dyDescent="0.25">
      <c r="A259" s="63"/>
      <c r="U259" s="64" t="str">
        <f t="shared" si="8"/>
        <v>Exclude</v>
      </c>
      <c r="W259" s="65" t="str">
        <f t="shared" si="7"/>
        <v>Exclude</v>
      </c>
    </row>
    <row r="260" spans="1:23" s="64" customFormat="1" x14ac:dyDescent="0.25">
      <c r="A260" s="63"/>
      <c r="U260" s="64" t="str">
        <f t="shared" si="8"/>
        <v>Exclude</v>
      </c>
      <c r="W260" s="65" t="str">
        <f t="shared" si="7"/>
        <v>Exclude</v>
      </c>
    </row>
    <row r="261" spans="1:23" s="64" customFormat="1" x14ac:dyDescent="0.25">
      <c r="A261" s="63"/>
      <c r="U261" s="64" t="str">
        <f t="shared" si="8"/>
        <v>Exclude</v>
      </c>
      <c r="W261" s="65" t="str">
        <f t="shared" si="7"/>
        <v>Exclude</v>
      </c>
    </row>
    <row r="262" spans="1:23" s="64" customFormat="1" x14ac:dyDescent="0.25">
      <c r="A262" s="63"/>
      <c r="U262" s="64" t="str">
        <f t="shared" si="8"/>
        <v>Exclude</v>
      </c>
      <c r="W262" s="65" t="str">
        <f t="shared" si="7"/>
        <v>Exclude</v>
      </c>
    </row>
    <row r="263" spans="1:23" s="64" customFormat="1" x14ac:dyDescent="0.25">
      <c r="A263" s="63"/>
      <c r="U263" s="64" t="str">
        <f t="shared" si="8"/>
        <v>Exclude</v>
      </c>
      <c r="W263" s="65" t="str">
        <f t="shared" si="7"/>
        <v>Exclude</v>
      </c>
    </row>
    <row r="264" spans="1:23" s="64" customFormat="1" x14ac:dyDescent="0.25">
      <c r="A264" s="63"/>
      <c r="U264" s="64" t="str">
        <f t="shared" si="8"/>
        <v>Exclude</v>
      </c>
      <c r="W264" s="65" t="str">
        <f t="shared" si="7"/>
        <v>Exclude</v>
      </c>
    </row>
    <row r="265" spans="1:23" s="64" customFormat="1" x14ac:dyDescent="0.25">
      <c r="A265" s="63"/>
      <c r="U265" s="64" t="str">
        <f t="shared" si="8"/>
        <v>Exclude</v>
      </c>
      <c r="W265" s="65" t="str">
        <f t="shared" si="7"/>
        <v>Exclude</v>
      </c>
    </row>
    <row r="266" spans="1:23" s="64" customFormat="1" x14ac:dyDescent="0.25">
      <c r="A266" s="63"/>
      <c r="U266" s="64" t="str">
        <f t="shared" si="8"/>
        <v>Exclude</v>
      </c>
      <c r="W266" s="65" t="str">
        <f t="shared" si="7"/>
        <v>Exclude</v>
      </c>
    </row>
    <row r="267" spans="1:23" s="64" customFormat="1" x14ac:dyDescent="0.25">
      <c r="A267" s="63"/>
      <c r="U267" s="64" t="str">
        <f t="shared" si="8"/>
        <v>Exclude</v>
      </c>
      <c r="W267" s="65" t="str">
        <f t="shared" si="7"/>
        <v>Exclude</v>
      </c>
    </row>
    <row r="268" spans="1:23" s="64" customFormat="1" x14ac:dyDescent="0.25">
      <c r="A268" s="63"/>
      <c r="U268" s="64" t="str">
        <f t="shared" si="8"/>
        <v>Exclude</v>
      </c>
      <c r="W268" s="65" t="str">
        <f t="shared" si="7"/>
        <v>Exclude</v>
      </c>
    </row>
    <row r="269" spans="1:23" s="64" customFormat="1" x14ac:dyDescent="0.25">
      <c r="A269" s="63"/>
      <c r="U269" s="64" t="str">
        <f t="shared" si="8"/>
        <v>Exclude</v>
      </c>
      <c r="W269" s="65" t="str">
        <f t="shared" si="7"/>
        <v>Exclude</v>
      </c>
    </row>
    <row r="270" spans="1:23" s="64" customFormat="1" x14ac:dyDescent="0.25">
      <c r="A270" s="63"/>
      <c r="U270" s="64" t="str">
        <f t="shared" si="8"/>
        <v>Exclude</v>
      </c>
      <c r="W270" s="65" t="str">
        <f t="shared" si="7"/>
        <v>Exclude</v>
      </c>
    </row>
    <row r="271" spans="1:23" s="64" customFormat="1" x14ac:dyDescent="0.25">
      <c r="A271" s="63"/>
      <c r="U271" s="64" t="str">
        <f t="shared" si="8"/>
        <v>Exclude</v>
      </c>
      <c r="W271" s="65" t="str">
        <f t="shared" si="7"/>
        <v>Exclude</v>
      </c>
    </row>
    <row r="272" spans="1:23" s="64" customFormat="1" x14ac:dyDescent="0.25">
      <c r="A272" s="63"/>
      <c r="U272" s="64" t="str">
        <f t="shared" si="8"/>
        <v>Exclude</v>
      </c>
      <c r="W272" s="65" t="str">
        <f t="shared" si="7"/>
        <v>Exclude</v>
      </c>
    </row>
    <row r="273" spans="1:23" s="64" customFormat="1" x14ac:dyDescent="0.25">
      <c r="A273" s="63"/>
      <c r="U273" s="64" t="str">
        <f t="shared" si="8"/>
        <v>Exclude</v>
      </c>
      <c r="W273" s="65" t="str">
        <f t="shared" si="7"/>
        <v>Exclude</v>
      </c>
    </row>
    <row r="274" spans="1:23" s="64" customFormat="1" x14ac:dyDescent="0.25">
      <c r="A274" s="63"/>
      <c r="U274" s="64" t="str">
        <f t="shared" si="8"/>
        <v>Exclude</v>
      </c>
      <c r="W274" s="65" t="str">
        <f t="shared" si="7"/>
        <v>Exclude</v>
      </c>
    </row>
    <row r="275" spans="1:23" s="64" customFormat="1" x14ac:dyDescent="0.25">
      <c r="A275" s="63"/>
      <c r="U275" s="64" t="str">
        <f t="shared" si="8"/>
        <v>Exclude</v>
      </c>
      <c r="W275" s="65" t="str">
        <f t="shared" si="7"/>
        <v>Exclude</v>
      </c>
    </row>
    <row r="276" spans="1:23" s="64" customFormat="1" x14ac:dyDescent="0.25">
      <c r="A276" s="63"/>
      <c r="U276" s="64" t="str">
        <f t="shared" si="8"/>
        <v>Exclude</v>
      </c>
      <c r="W276" s="65" t="str">
        <f t="shared" si="7"/>
        <v>Exclude</v>
      </c>
    </row>
    <row r="277" spans="1:23" s="64" customFormat="1" x14ac:dyDescent="0.25">
      <c r="A277" s="63"/>
      <c r="U277" s="64" t="str">
        <f t="shared" si="8"/>
        <v>Exclude</v>
      </c>
      <c r="W277" s="65" t="str">
        <f t="shared" si="7"/>
        <v>Exclude</v>
      </c>
    </row>
    <row r="278" spans="1:23" s="64" customFormat="1" x14ac:dyDescent="0.25">
      <c r="A278" s="63"/>
      <c r="U278" s="64" t="str">
        <f t="shared" si="8"/>
        <v>Exclude</v>
      </c>
      <c r="W278" s="65" t="str">
        <f t="shared" ref="W278:W341" si="9">IF(R278="TruePositive",IF(R277&lt;&gt;"Anticipatory",LOG10(N278),"Exclude"),"Exclude")</f>
        <v>Exclude</v>
      </c>
    </row>
    <row r="279" spans="1:23" s="64" customFormat="1" x14ac:dyDescent="0.25">
      <c r="A279" s="63"/>
      <c r="U279" s="64" t="str">
        <f t="shared" si="8"/>
        <v>Exclude</v>
      </c>
      <c r="W279" s="65" t="str">
        <f t="shared" si="9"/>
        <v>Exclude</v>
      </c>
    </row>
    <row r="280" spans="1:23" s="64" customFormat="1" x14ac:dyDescent="0.25">
      <c r="A280" s="63"/>
      <c r="U280" s="64" t="str">
        <f t="shared" si="8"/>
        <v>Exclude</v>
      </c>
      <c r="W280" s="65" t="str">
        <f t="shared" si="9"/>
        <v>Exclude</v>
      </c>
    </row>
    <row r="281" spans="1:23" s="64" customFormat="1" x14ac:dyDescent="0.25">
      <c r="A281" s="63"/>
      <c r="U281" s="64" t="str">
        <f t="shared" si="8"/>
        <v>Exclude</v>
      </c>
      <c r="W281" s="65" t="str">
        <f t="shared" si="9"/>
        <v>Exclude</v>
      </c>
    </row>
    <row r="282" spans="1:23" s="64" customFormat="1" x14ac:dyDescent="0.25">
      <c r="A282" s="63"/>
      <c r="U282" s="64" t="str">
        <f t="shared" si="8"/>
        <v>Exclude</v>
      </c>
      <c r="W282" s="65" t="str">
        <f t="shared" si="9"/>
        <v>Exclude</v>
      </c>
    </row>
    <row r="283" spans="1:23" s="64" customFormat="1" x14ac:dyDescent="0.25">
      <c r="A283" s="63"/>
      <c r="U283" s="64" t="str">
        <f t="shared" si="8"/>
        <v>Exclude</v>
      </c>
      <c r="W283" s="65" t="str">
        <f t="shared" si="9"/>
        <v>Exclude</v>
      </c>
    </row>
    <row r="284" spans="1:23" s="64" customFormat="1" x14ac:dyDescent="0.25">
      <c r="A284" s="63"/>
      <c r="U284" s="64" t="str">
        <f t="shared" si="8"/>
        <v>Exclude</v>
      </c>
      <c r="W284" s="65" t="str">
        <f t="shared" si="9"/>
        <v>Exclude</v>
      </c>
    </row>
    <row r="285" spans="1:23" s="64" customFormat="1" x14ac:dyDescent="0.25">
      <c r="A285" s="63"/>
      <c r="U285" s="64" t="str">
        <f t="shared" si="8"/>
        <v>Exclude</v>
      </c>
      <c r="W285" s="65" t="str">
        <f t="shared" si="9"/>
        <v>Exclude</v>
      </c>
    </row>
    <row r="286" spans="1:23" s="64" customFormat="1" x14ac:dyDescent="0.25">
      <c r="A286" s="63"/>
      <c r="U286" s="64" t="str">
        <f t="shared" si="8"/>
        <v>Exclude</v>
      </c>
      <c r="W286" s="65" t="str">
        <f t="shared" si="9"/>
        <v>Exclude</v>
      </c>
    </row>
    <row r="287" spans="1:23" s="64" customFormat="1" x14ac:dyDescent="0.25">
      <c r="A287" s="63"/>
      <c r="U287" s="64" t="str">
        <f t="shared" si="8"/>
        <v>Exclude</v>
      </c>
      <c r="W287" s="65" t="str">
        <f t="shared" si="9"/>
        <v>Exclude</v>
      </c>
    </row>
    <row r="288" spans="1:23" s="64" customFormat="1" x14ac:dyDescent="0.25">
      <c r="A288" s="63"/>
      <c r="U288" s="64" t="str">
        <f t="shared" si="8"/>
        <v>Exclude</v>
      </c>
      <c r="W288" s="65" t="str">
        <f t="shared" si="9"/>
        <v>Exclude</v>
      </c>
    </row>
    <row r="289" spans="1:23" s="64" customFormat="1" x14ac:dyDescent="0.25">
      <c r="A289" s="63"/>
      <c r="U289" s="64" t="str">
        <f t="shared" si="8"/>
        <v>Exclude</v>
      </c>
      <c r="W289" s="65" t="str">
        <f t="shared" si="9"/>
        <v>Exclude</v>
      </c>
    </row>
    <row r="290" spans="1:23" s="64" customFormat="1" x14ac:dyDescent="0.25">
      <c r="A290" s="63"/>
      <c r="U290" s="64" t="str">
        <f t="shared" si="8"/>
        <v>Exclude</v>
      </c>
      <c r="W290" s="65" t="str">
        <f t="shared" si="9"/>
        <v>Exclude</v>
      </c>
    </row>
    <row r="291" spans="1:23" s="64" customFormat="1" x14ac:dyDescent="0.25">
      <c r="A291" s="63"/>
      <c r="U291" s="64" t="str">
        <f t="shared" si="8"/>
        <v>Exclude</v>
      </c>
      <c r="W291" s="65" t="str">
        <f t="shared" si="9"/>
        <v>Exclude</v>
      </c>
    </row>
    <row r="292" spans="1:23" s="64" customFormat="1" x14ac:dyDescent="0.25">
      <c r="A292" s="63"/>
      <c r="U292" s="64" t="str">
        <f t="shared" si="8"/>
        <v>Exclude</v>
      </c>
      <c r="W292" s="65" t="str">
        <f t="shared" si="9"/>
        <v>Exclude</v>
      </c>
    </row>
    <row r="293" spans="1:23" s="64" customFormat="1" x14ac:dyDescent="0.25">
      <c r="A293" s="63"/>
      <c r="U293" s="64" t="str">
        <f t="shared" si="8"/>
        <v>Exclude</v>
      </c>
      <c r="W293" s="65" t="str">
        <f t="shared" si="9"/>
        <v>Exclude</v>
      </c>
    </row>
    <row r="294" spans="1:23" s="64" customFormat="1" x14ac:dyDescent="0.25">
      <c r="A294" s="63"/>
      <c r="U294" s="64" t="str">
        <f t="shared" si="8"/>
        <v>Exclude</v>
      </c>
      <c r="W294" s="65" t="str">
        <f t="shared" si="9"/>
        <v>Exclude</v>
      </c>
    </row>
    <row r="295" spans="1:23" s="64" customFormat="1" x14ac:dyDescent="0.25">
      <c r="A295" s="63"/>
      <c r="U295" s="64" t="str">
        <f t="shared" si="8"/>
        <v>Exclude</v>
      </c>
      <c r="W295" s="65" t="str">
        <f t="shared" si="9"/>
        <v>Exclude</v>
      </c>
    </row>
    <row r="296" spans="1:23" s="64" customFormat="1" x14ac:dyDescent="0.25">
      <c r="A296" s="63"/>
      <c r="U296" s="64" t="str">
        <f t="shared" si="8"/>
        <v>Exclude</v>
      </c>
      <c r="W296" s="65" t="str">
        <f t="shared" si="9"/>
        <v>Exclude</v>
      </c>
    </row>
    <row r="297" spans="1:23" s="64" customFormat="1" x14ac:dyDescent="0.25">
      <c r="A297" s="63"/>
      <c r="U297" s="64" t="str">
        <f t="shared" si="8"/>
        <v>Exclude</v>
      </c>
      <c r="W297" s="65" t="str">
        <f t="shared" si="9"/>
        <v>Exclude</v>
      </c>
    </row>
    <row r="298" spans="1:23" s="64" customFormat="1" x14ac:dyDescent="0.25">
      <c r="A298" s="63"/>
      <c r="U298" s="64" t="str">
        <f t="shared" si="8"/>
        <v>Exclude</v>
      </c>
      <c r="W298" s="65" t="str">
        <f t="shared" si="9"/>
        <v>Exclude</v>
      </c>
    </row>
    <row r="299" spans="1:23" s="64" customFormat="1" x14ac:dyDescent="0.25">
      <c r="A299" s="63"/>
      <c r="U299" s="64" t="str">
        <f t="shared" si="8"/>
        <v>Exclude</v>
      </c>
      <c r="W299" s="65" t="str">
        <f t="shared" si="9"/>
        <v>Exclude</v>
      </c>
    </row>
    <row r="300" spans="1:23" s="64" customFormat="1" x14ac:dyDescent="0.25">
      <c r="A300" s="63"/>
      <c r="U300" s="64" t="str">
        <f t="shared" si="8"/>
        <v>Exclude</v>
      </c>
      <c r="W300" s="65" t="str">
        <f t="shared" si="9"/>
        <v>Exclude</v>
      </c>
    </row>
    <row r="301" spans="1:23" s="64" customFormat="1" x14ac:dyDescent="0.25">
      <c r="A301" s="63"/>
      <c r="U301" s="64" t="str">
        <f t="shared" ref="U301:U364" si="10">IF(R301="TruePositive",IF(R300&lt;&gt;"Anticipatory",(N301),"Pant"),"Exclude")</f>
        <v>Exclude</v>
      </c>
      <c r="W301" s="65" t="str">
        <f t="shared" si="9"/>
        <v>Exclude</v>
      </c>
    </row>
    <row r="302" spans="1:23" s="64" customFormat="1" x14ac:dyDescent="0.25">
      <c r="A302" s="63"/>
      <c r="U302" s="64" t="str">
        <f t="shared" si="10"/>
        <v>Exclude</v>
      </c>
      <c r="W302" s="65" t="str">
        <f t="shared" si="9"/>
        <v>Exclude</v>
      </c>
    </row>
    <row r="303" spans="1:23" s="64" customFormat="1" x14ac:dyDescent="0.25">
      <c r="A303" s="63"/>
      <c r="U303" s="64" t="str">
        <f t="shared" si="10"/>
        <v>Exclude</v>
      </c>
      <c r="W303" s="65" t="str">
        <f t="shared" si="9"/>
        <v>Exclude</v>
      </c>
    </row>
    <row r="304" spans="1:23" s="64" customFormat="1" x14ac:dyDescent="0.25">
      <c r="A304" s="63"/>
      <c r="U304" s="64" t="str">
        <f t="shared" si="10"/>
        <v>Exclude</v>
      </c>
      <c r="W304" s="65" t="str">
        <f t="shared" si="9"/>
        <v>Exclude</v>
      </c>
    </row>
    <row r="305" spans="1:23" s="64" customFormat="1" x14ac:dyDescent="0.25">
      <c r="A305" s="63"/>
      <c r="U305" s="64" t="str">
        <f t="shared" si="10"/>
        <v>Exclude</v>
      </c>
      <c r="W305" s="65" t="str">
        <f t="shared" si="9"/>
        <v>Exclude</v>
      </c>
    </row>
    <row r="306" spans="1:23" s="64" customFormat="1" x14ac:dyDescent="0.25">
      <c r="A306" s="63"/>
      <c r="U306" s="64" t="str">
        <f t="shared" si="10"/>
        <v>Exclude</v>
      </c>
      <c r="W306" s="65" t="str">
        <f t="shared" si="9"/>
        <v>Exclude</v>
      </c>
    </row>
    <row r="307" spans="1:23" s="64" customFormat="1" x14ac:dyDescent="0.25">
      <c r="A307" s="63"/>
      <c r="U307" s="64" t="str">
        <f t="shared" si="10"/>
        <v>Exclude</v>
      </c>
      <c r="W307" s="65" t="str">
        <f t="shared" si="9"/>
        <v>Exclude</v>
      </c>
    </row>
    <row r="308" spans="1:23" s="64" customFormat="1" x14ac:dyDescent="0.25">
      <c r="A308" s="63"/>
      <c r="U308" s="64" t="str">
        <f t="shared" si="10"/>
        <v>Exclude</v>
      </c>
      <c r="W308" s="65" t="str">
        <f t="shared" si="9"/>
        <v>Exclude</v>
      </c>
    </row>
    <row r="309" spans="1:23" s="64" customFormat="1" x14ac:dyDescent="0.25">
      <c r="A309" s="63"/>
      <c r="U309" s="64" t="str">
        <f t="shared" si="10"/>
        <v>Exclude</v>
      </c>
      <c r="W309" s="65" t="str">
        <f t="shared" si="9"/>
        <v>Exclude</v>
      </c>
    </row>
    <row r="310" spans="1:23" s="64" customFormat="1" x14ac:dyDescent="0.25">
      <c r="A310" s="63"/>
      <c r="U310" s="64" t="str">
        <f t="shared" si="10"/>
        <v>Exclude</v>
      </c>
      <c r="W310" s="65" t="str">
        <f t="shared" si="9"/>
        <v>Exclude</v>
      </c>
    </row>
    <row r="311" spans="1:23" s="64" customFormat="1" x14ac:dyDescent="0.25">
      <c r="A311" s="63"/>
      <c r="U311" s="64" t="str">
        <f t="shared" si="10"/>
        <v>Exclude</v>
      </c>
      <c r="W311" s="65" t="str">
        <f t="shared" si="9"/>
        <v>Exclude</v>
      </c>
    </row>
    <row r="312" spans="1:23" s="64" customFormat="1" x14ac:dyDescent="0.25">
      <c r="A312" s="63"/>
      <c r="U312" s="64" t="str">
        <f t="shared" si="10"/>
        <v>Exclude</v>
      </c>
      <c r="W312" s="65" t="str">
        <f t="shared" si="9"/>
        <v>Exclude</v>
      </c>
    </row>
    <row r="313" spans="1:23" s="64" customFormat="1" x14ac:dyDescent="0.25">
      <c r="A313" s="63"/>
      <c r="U313" s="64" t="str">
        <f t="shared" si="10"/>
        <v>Exclude</v>
      </c>
      <c r="W313" s="65" t="str">
        <f t="shared" si="9"/>
        <v>Exclude</v>
      </c>
    </row>
    <row r="314" spans="1:23" s="64" customFormat="1" x14ac:dyDescent="0.25">
      <c r="A314" s="63"/>
      <c r="U314" s="64" t="str">
        <f t="shared" si="10"/>
        <v>Exclude</v>
      </c>
      <c r="W314" s="65" t="str">
        <f t="shared" si="9"/>
        <v>Exclude</v>
      </c>
    </row>
    <row r="315" spans="1:23" s="64" customFormat="1" x14ac:dyDescent="0.25">
      <c r="A315" s="63"/>
      <c r="U315" s="64" t="str">
        <f t="shared" si="10"/>
        <v>Exclude</v>
      </c>
      <c r="W315" s="65" t="str">
        <f t="shared" si="9"/>
        <v>Exclude</v>
      </c>
    </row>
    <row r="316" spans="1:23" s="64" customFormat="1" x14ac:dyDescent="0.25">
      <c r="A316" s="63"/>
      <c r="U316" s="64" t="str">
        <f t="shared" si="10"/>
        <v>Exclude</v>
      </c>
      <c r="W316" s="65" t="str">
        <f t="shared" si="9"/>
        <v>Exclude</v>
      </c>
    </row>
    <row r="317" spans="1:23" s="64" customFormat="1" x14ac:dyDescent="0.25">
      <c r="A317" s="63"/>
      <c r="U317" s="64" t="str">
        <f t="shared" si="10"/>
        <v>Exclude</v>
      </c>
      <c r="W317" s="65" t="str">
        <f t="shared" si="9"/>
        <v>Exclude</v>
      </c>
    </row>
    <row r="318" spans="1:23" s="64" customFormat="1" x14ac:dyDescent="0.25">
      <c r="A318" s="63"/>
      <c r="U318" s="64" t="str">
        <f t="shared" si="10"/>
        <v>Exclude</v>
      </c>
      <c r="W318" s="65" t="str">
        <f t="shared" si="9"/>
        <v>Exclude</v>
      </c>
    </row>
    <row r="319" spans="1:23" s="64" customFormat="1" x14ac:dyDescent="0.25">
      <c r="A319" s="63"/>
      <c r="U319" s="64" t="str">
        <f t="shared" si="10"/>
        <v>Exclude</v>
      </c>
      <c r="W319" s="65" t="str">
        <f t="shared" si="9"/>
        <v>Exclude</v>
      </c>
    </row>
    <row r="320" spans="1:23" s="64" customFormat="1" x14ac:dyDescent="0.25">
      <c r="A320" s="63"/>
      <c r="U320" s="64" t="str">
        <f t="shared" si="10"/>
        <v>Exclude</v>
      </c>
      <c r="W320" s="65" t="str">
        <f t="shared" si="9"/>
        <v>Exclude</v>
      </c>
    </row>
    <row r="321" spans="1:23" s="64" customFormat="1" x14ac:dyDescent="0.25">
      <c r="A321" s="63"/>
      <c r="U321" s="64" t="str">
        <f t="shared" si="10"/>
        <v>Exclude</v>
      </c>
      <c r="W321" s="65" t="str">
        <f t="shared" si="9"/>
        <v>Exclude</v>
      </c>
    </row>
    <row r="322" spans="1:23" s="64" customFormat="1" x14ac:dyDescent="0.25">
      <c r="A322" s="63"/>
      <c r="U322" s="64" t="str">
        <f t="shared" si="10"/>
        <v>Exclude</v>
      </c>
      <c r="W322" s="65" t="str">
        <f t="shared" si="9"/>
        <v>Exclude</v>
      </c>
    </row>
    <row r="323" spans="1:23" s="64" customFormat="1" x14ac:dyDescent="0.25">
      <c r="A323" s="63"/>
      <c r="U323" s="64" t="str">
        <f t="shared" si="10"/>
        <v>Exclude</v>
      </c>
      <c r="W323" s="65" t="str">
        <f t="shared" si="9"/>
        <v>Exclude</v>
      </c>
    </row>
    <row r="324" spans="1:23" s="64" customFormat="1" x14ac:dyDescent="0.25">
      <c r="A324" s="63"/>
      <c r="U324" s="64" t="str">
        <f t="shared" si="10"/>
        <v>Exclude</v>
      </c>
      <c r="W324" s="65" t="str">
        <f t="shared" si="9"/>
        <v>Exclude</v>
      </c>
    </row>
    <row r="325" spans="1:23" s="64" customFormat="1" x14ac:dyDescent="0.25">
      <c r="A325" s="63"/>
      <c r="U325" s="64" t="str">
        <f t="shared" si="10"/>
        <v>Exclude</v>
      </c>
      <c r="W325" s="65" t="str">
        <f t="shared" si="9"/>
        <v>Exclude</v>
      </c>
    </row>
    <row r="326" spans="1:23" s="64" customFormat="1" x14ac:dyDescent="0.25">
      <c r="A326" s="63"/>
      <c r="U326" s="64" t="str">
        <f t="shared" si="10"/>
        <v>Exclude</v>
      </c>
      <c r="W326" s="65" t="str">
        <f t="shared" si="9"/>
        <v>Exclude</v>
      </c>
    </row>
    <row r="327" spans="1:23" s="64" customFormat="1" x14ac:dyDescent="0.25">
      <c r="A327" s="63"/>
      <c r="U327" s="64" t="str">
        <f t="shared" si="10"/>
        <v>Exclude</v>
      </c>
      <c r="W327" s="65" t="str">
        <f t="shared" si="9"/>
        <v>Exclude</v>
      </c>
    </row>
    <row r="328" spans="1:23" s="64" customFormat="1" x14ac:dyDescent="0.25">
      <c r="A328" s="63"/>
      <c r="U328" s="64" t="str">
        <f t="shared" si="10"/>
        <v>Exclude</v>
      </c>
      <c r="W328" s="65" t="str">
        <f t="shared" si="9"/>
        <v>Exclude</v>
      </c>
    </row>
    <row r="329" spans="1:23" s="64" customFormat="1" x14ac:dyDescent="0.25">
      <c r="A329" s="63"/>
      <c r="U329" s="64" t="str">
        <f t="shared" si="10"/>
        <v>Exclude</v>
      </c>
      <c r="W329" s="65" t="str">
        <f t="shared" si="9"/>
        <v>Exclude</v>
      </c>
    </row>
    <row r="330" spans="1:23" s="64" customFormat="1" x14ac:dyDescent="0.25">
      <c r="A330" s="63"/>
      <c r="U330" s="64" t="str">
        <f t="shared" si="10"/>
        <v>Exclude</v>
      </c>
      <c r="W330" s="65" t="str">
        <f t="shared" si="9"/>
        <v>Exclude</v>
      </c>
    </row>
    <row r="331" spans="1:23" s="64" customFormat="1" x14ac:dyDescent="0.25">
      <c r="A331" s="63"/>
      <c r="U331" s="64" t="str">
        <f t="shared" si="10"/>
        <v>Exclude</v>
      </c>
      <c r="W331" s="65" t="str">
        <f t="shared" si="9"/>
        <v>Exclude</v>
      </c>
    </row>
    <row r="332" spans="1:23" s="64" customFormat="1" x14ac:dyDescent="0.25">
      <c r="A332" s="63"/>
      <c r="U332" s="64" t="str">
        <f t="shared" si="10"/>
        <v>Exclude</v>
      </c>
      <c r="W332" s="65" t="str">
        <f t="shared" si="9"/>
        <v>Exclude</v>
      </c>
    </row>
    <row r="333" spans="1:23" s="64" customFormat="1" x14ac:dyDescent="0.25">
      <c r="A333" s="63"/>
      <c r="U333" s="64" t="str">
        <f t="shared" si="10"/>
        <v>Exclude</v>
      </c>
      <c r="W333" s="65" t="str">
        <f t="shared" si="9"/>
        <v>Exclude</v>
      </c>
    </row>
    <row r="334" spans="1:23" s="64" customFormat="1" x14ac:dyDescent="0.25">
      <c r="A334" s="63"/>
      <c r="U334" s="64" t="str">
        <f t="shared" si="10"/>
        <v>Exclude</v>
      </c>
      <c r="W334" s="65" t="str">
        <f t="shared" si="9"/>
        <v>Exclude</v>
      </c>
    </row>
    <row r="335" spans="1:23" s="64" customFormat="1" x14ac:dyDescent="0.25">
      <c r="A335" s="63"/>
      <c r="U335" s="64" t="str">
        <f t="shared" si="10"/>
        <v>Exclude</v>
      </c>
      <c r="W335" s="65" t="str">
        <f t="shared" si="9"/>
        <v>Exclude</v>
      </c>
    </row>
    <row r="336" spans="1:23" s="64" customFormat="1" x14ac:dyDescent="0.25">
      <c r="A336" s="63"/>
      <c r="U336" s="64" t="str">
        <f t="shared" si="10"/>
        <v>Exclude</v>
      </c>
      <c r="W336" s="65" t="str">
        <f t="shared" si="9"/>
        <v>Exclude</v>
      </c>
    </row>
    <row r="337" spans="1:23" s="64" customFormat="1" x14ac:dyDescent="0.25">
      <c r="A337" s="63"/>
      <c r="U337" s="64" t="str">
        <f t="shared" si="10"/>
        <v>Exclude</v>
      </c>
      <c r="W337" s="65" t="str">
        <f t="shared" si="9"/>
        <v>Exclude</v>
      </c>
    </row>
    <row r="338" spans="1:23" s="64" customFormat="1" x14ac:dyDescent="0.25">
      <c r="A338" s="63"/>
      <c r="U338" s="64" t="str">
        <f t="shared" si="10"/>
        <v>Exclude</v>
      </c>
      <c r="W338" s="65" t="str">
        <f t="shared" si="9"/>
        <v>Exclude</v>
      </c>
    </row>
    <row r="339" spans="1:23" s="64" customFormat="1" x14ac:dyDescent="0.25">
      <c r="A339" s="63"/>
      <c r="U339" s="64" t="str">
        <f t="shared" si="10"/>
        <v>Exclude</v>
      </c>
      <c r="W339" s="65" t="str">
        <f t="shared" si="9"/>
        <v>Exclude</v>
      </c>
    </row>
    <row r="340" spans="1:23" s="64" customFormat="1" x14ac:dyDescent="0.25">
      <c r="A340" s="63"/>
      <c r="U340" s="64" t="str">
        <f t="shared" si="10"/>
        <v>Exclude</v>
      </c>
      <c r="W340" s="65" t="str">
        <f t="shared" si="9"/>
        <v>Exclude</v>
      </c>
    </row>
    <row r="341" spans="1:23" s="64" customFormat="1" x14ac:dyDescent="0.25">
      <c r="A341" s="63"/>
      <c r="U341" s="64" t="str">
        <f t="shared" si="10"/>
        <v>Exclude</v>
      </c>
      <c r="W341" s="65" t="str">
        <f t="shared" si="9"/>
        <v>Exclude</v>
      </c>
    </row>
    <row r="342" spans="1:23" s="64" customFormat="1" x14ac:dyDescent="0.25">
      <c r="A342" s="63"/>
      <c r="U342" s="64" t="str">
        <f t="shared" si="10"/>
        <v>Exclude</v>
      </c>
      <c r="W342" s="65" t="str">
        <f t="shared" ref="W342:W405" si="11">IF(R342="TruePositive",IF(R341&lt;&gt;"Anticipatory",LOG10(N342),"Exclude"),"Exclude")</f>
        <v>Exclude</v>
      </c>
    </row>
    <row r="343" spans="1:23" s="64" customFormat="1" x14ac:dyDescent="0.25">
      <c r="A343" s="63"/>
      <c r="U343" s="64" t="str">
        <f t="shared" si="10"/>
        <v>Exclude</v>
      </c>
      <c r="W343" s="65" t="str">
        <f t="shared" si="11"/>
        <v>Exclude</v>
      </c>
    </row>
    <row r="344" spans="1:23" s="64" customFormat="1" x14ac:dyDescent="0.25">
      <c r="A344" s="63"/>
      <c r="U344" s="64" t="str">
        <f t="shared" si="10"/>
        <v>Exclude</v>
      </c>
      <c r="W344" s="65" t="str">
        <f t="shared" si="11"/>
        <v>Exclude</v>
      </c>
    </row>
    <row r="345" spans="1:23" s="64" customFormat="1" x14ac:dyDescent="0.25">
      <c r="A345" s="63"/>
      <c r="U345" s="64" t="str">
        <f t="shared" si="10"/>
        <v>Exclude</v>
      </c>
      <c r="W345" s="65" t="str">
        <f t="shared" si="11"/>
        <v>Exclude</v>
      </c>
    </row>
    <row r="346" spans="1:23" s="64" customFormat="1" x14ac:dyDescent="0.25">
      <c r="A346" s="63"/>
      <c r="U346" s="64" t="str">
        <f t="shared" si="10"/>
        <v>Exclude</v>
      </c>
      <c r="W346" s="65" t="str">
        <f t="shared" si="11"/>
        <v>Exclude</v>
      </c>
    </row>
    <row r="347" spans="1:23" s="64" customFormat="1" x14ac:dyDescent="0.25">
      <c r="A347" s="63"/>
      <c r="U347" s="64" t="str">
        <f t="shared" si="10"/>
        <v>Exclude</v>
      </c>
      <c r="W347" s="65" t="str">
        <f t="shared" si="11"/>
        <v>Exclude</v>
      </c>
    </row>
    <row r="348" spans="1:23" s="64" customFormat="1" x14ac:dyDescent="0.25">
      <c r="A348" s="63"/>
      <c r="U348" s="64" t="str">
        <f t="shared" si="10"/>
        <v>Exclude</v>
      </c>
      <c r="W348" s="65" t="str">
        <f t="shared" si="11"/>
        <v>Exclude</v>
      </c>
    </row>
    <row r="349" spans="1:23" s="64" customFormat="1" x14ac:dyDescent="0.25">
      <c r="A349" s="63"/>
      <c r="U349" s="64" t="str">
        <f t="shared" si="10"/>
        <v>Exclude</v>
      </c>
      <c r="W349" s="65" t="str">
        <f t="shared" si="11"/>
        <v>Exclude</v>
      </c>
    </row>
    <row r="350" spans="1:23" s="64" customFormat="1" x14ac:dyDescent="0.25">
      <c r="A350" s="63"/>
      <c r="U350" s="64" t="str">
        <f t="shared" si="10"/>
        <v>Exclude</v>
      </c>
      <c r="W350" s="65" t="str">
        <f t="shared" si="11"/>
        <v>Exclude</v>
      </c>
    </row>
    <row r="351" spans="1:23" s="64" customFormat="1" x14ac:dyDescent="0.25">
      <c r="A351" s="63"/>
      <c r="U351" s="64" t="str">
        <f t="shared" si="10"/>
        <v>Exclude</v>
      </c>
      <c r="W351" s="65" t="str">
        <f t="shared" si="11"/>
        <v>Exclude</v>
      </c>
    </row>
    <row r="352" spans="1:23" s="64" customFormat="1" x14ac:dyDescent="0.25">
      <c r="A352" s="63"/>
      <c r="U352" s="64" t="str">
        <f t="shared" si="10"/>
        <v>Exclude</v>
      </c>
      <c r="W352" s="65" t="str">
        <f t="shared" si="11"/>
        <v>Exclude</v>
      </c>
    </row>
    <row r="353" spans="1:23" s="64" customFormat="1" x14ac:dyDescent="0.25">
      <c r="A353" s="63"/>
      <c r="U353" s="64" t="str">
        <f t="shared" si="10"/>
        <v>Exclude</v>
      </c>
      <c r="W353" s="65" t="str">
        <f t="shared" si="11"/>
        <v>Exclude</v>
      </c>
    </row>
    <row r="354" spans="1:23" s="64" customFormat="1" x14ac:dyDescent="0.25">
      <c r="A354" s="63"/>
      <c r="U354" s="64" t="str">
        <f t="shared" si="10"/>
        <v>Exclude</v>
      </c>
      <c r="W354" s="65" t="str">
        <f t="shared" si="11"/>
        <v>Exclude</v>
      </c>
    </row>
    <row r="355" spans="1:23" s="64" customFormat="1" x14ac:dyDescent="0.25">
      <c r="A355" s="63"/>
      <c r="U355" s="64" t="str">
        <f t="shared" si="10"/>
        <v>Exclude</v>
      </c>
      <c r="W355" s="65" t="str">
        <f t="shared" si="11"/>
        <v>Exclude</v>
      </c>
    </row>
    <row r="356" spans="1:23" s="64" customFormat="1" x14ac:dyDescent="0.25">
      <c r="A356" s="63"/>
      <c r="U356" s="64" t="str">
        <f t="shared" si="10"/>
        <v>Exclude</v>
      </c>
      <c r="W356" s="65" t="str">
        <f t="shared" si="11"/>
        <v>Exclude</v>
      </c>
    </row>
    <row r="357" spans="1:23" s="64" customFormat="1" x14ac:dyDescent="0.25">
      <c r="A357" s="63"/>
      <c r="U357" s="64" t="str">
        <f t="shared" si="10"/>
        <v>Exclude</v>
      </c>
      <c r="W357" s="65" t="str">
        <f t="shared" si="11"/>
        <v>Exclude</v>
      </c>
    </row>
    <row r="358" spans="1:23" s="64" customFormat="1" x14ac:dyDescent="0.25">
      <c r="A358" s="63"/>
      <c r="U358" s="64" t="str">
        <f t="shared" si="10"/>
        <v>Exclude</v>
      </c>
      <c r="W358" s="65" t="str">
        <f t="shared" si="11"/>
        <v>Exclude</v>
      </c>
    </row>
    <row r="359" spans="1:23" s="64" customFormat="1" x14ac:dyDescent="0.25">
      <c r="A359" s="63"/>
      <c r="U359" s="64" t="str">
        <f t="shared" si="10"/>
        <v>Exclude</v>
      </c>
      <c r="W359" s="65" t="str">
        <f t="shared" si="11"/>
        <v>Exclude</v>
      </c>
    </row>
    <row r="360" spans="1:23" s="64" customFormat="1" x14ac:dyDescent="0.25">
      <c r="A360" s="63"/>
      <c r="U360" s="64" t="str">
        <f t="shared" si="10"/>
        <v>Exclude</v>
      </c>
      <c r="W360" s="65" t="str">
        <f t="shared" si="11"/>
        <v>Exclude</v>
      </c>
    </row>
    <row r="361" spans="1:23" s="64" customFormat="1" x14ac:dyDescent="0.25">
      <c r="A361" s="63"/>
      <c r="U361" s="64" t="str">
        <f t="shared" si="10"/>
        <v>Exclude</v>
      </c>
      <c r="W361" s="65" t="str">
        <f t="shared" si="11"/>
        <v>Exclude</v>
      </c>
    </row>
    <row r="362" spans="1:23" s="64" customFormat="1" x14ac:dyDescent="0.25">
      <c r="A362" s="63"/>
      <c r="U362" s="64" t="str">
        <f t="shared" si="10"/>
        <v>Exclude</v>
      </c>
      <c r="W362" s="65" t="str">
        <f t="shared" si="11"/>
        <v>Exclude</v>
      </c>
    </row>
    <row r="363" spans="1:23" s="64" customFormat="1" x14ac:dyDescent="0.25">
      <c r="A363" s="63"/>
      <c r="U363" s="64" t="str">
        <f t="shared" si="10"/>
        <v>Exclude</v>
      </c>
      <c r="W363" s="65" t="str">
        <f t="shared" si="11"/>
        <v>Exclude</v>
      </c>
    </row>
    <row r="364" spans="1:23" s="64" customFormat="1" x14ac:dyDescent="0.25">
      <c r="A364" s="63"/>
      <c r="U364" s="64" t="str">
        <f t="shared" si="10"/>
        <v>Exclude</v>
      </c>
      <c r="W364" s="65" t="str">
        <f t="shared" si="11"/>
        <v>Exclude</v>
      </c>
    </row>
    <row r="365" spans="1:23" s="64" customFormat="1" x14ac:dyDescent="0.25">
      <c r="A365" s="63"/>
      <c r="U365" s="64" t="str">
        <f t="shared" ref="U365:U428" si="12">IF(R365="TruePositive",IF(R364&lt;&gt;"Anticipatory",(N365),"Pant"),"Exclude")</f>
        <v>Exclude</v>
      </c>
      <c r="W365" s="65" t="str">
        <f t="shared" si="11"/>
        <v>Exclude</v>
      </c>
    </row>
    <row r="366" spans="1:23" s="64" customFormat="1" x14ac:dyDescent="0.25">
      <c r="A366" s="63"/>
      <c r="U366" s="64" t="str">
        <f t="shared" si="12"/>
        <v>Exclude</v>
      </c>
      <c r="W366" s="65" t="str">
        <f t="shared" si="11"/>
        <v>Exclude</v>
      </c>
    </row>
    <row r="367" spans="1:23" s="64" customFormat="1" x14ac:dyDescent="0.25">
      <c r="A367" s="63"/>
      <c r="U367" s="64" t="str">
        <f t="shared" si="12"/>
        <v>Exclude</v>
      </c>
      <c r="W367" s="65" t="str">
        <f t="shared" si="11"/>
        <v>Exclude</v>
      </c>
    </row>
    <row r="368" spans="1:23" s="64" customFormat="1" x14ac:dyDescent="0.25">
      <c r="A368" s="63"/>
      <c r="U368" s="64" t="str">
        <f t="shared" si="12"/>
        <v>Exclude</v>
      </c>
      <c r="W368" s="65" t="str">
        <f t="shared" si="11"/>
        <v>Exclude</v>
      </c>
    </row>
    <row r="369" spans="1:23" s="64" customFormat="1" x14ac:dyDescent="0.25">
      <c r="A369" s="63"/>
      <c r="U369" s="64" t="str">
        <f t="shared" si="12"/>
        <v>Exclude</v>
      </c>
      <c r="W369" s="65" t="str">
        <f t="shared" si="11"/>
        <v>Exclude</v>
      </c>
    </row>
    <row r="370" spans="1:23" s="64" customFormat="1" x14ac:dyDescent="0.25">
      <c r="A370" s="63"/>
      <c r="U370" s="64" t="str">
        <f t="shared" si="12"/>
        <v>Exclude</v>
      </c>
      <c r="W370" s="65" t="str">
        <f t="shared" si="11"/>
        <v>Exclude</v>
      </c>
    </row>
    <row r="371" spans="1:23" s="64" customFormat="1" x14ac:dyDescent="0.25">
      <c r="A371" s="63"/>
      <c r="U371" s="64" t="str">
        <f t="shared" si="12"/>
        <v>Exclude</v>
      </c>
      <c r="W371" s="65" t="str">
        <f t="shared" si="11"/>
        <v>Exclude</v>
      </c>
    </row>
    <row r="372" spans="1:23" s="64" customFormat="1" x14ac:dyDescent="0.25">
      <c r="A372" s="63"/>
      <c r="U372" s="64" t="str">
        <f t="shared" si="12"/>
        <v>Exclude</v>
      </c>
      <c r="W372" s="65" t="str">
        <f t="shared" si="11"/>
        <v>Exclude</v>
      </c>
    </row>
    <row r="373" spans="1:23" s="64" customFormat="1" x14ac:dyDescent="0.25">
      <c r="A373" s="63"/>
      <c r="U373" s="64" t="str">
        <f t="shared" si="12"/>
        <v>Exclude</v>
      </c>
      <c r="W373" s="65" t="str">
        <f t="shared" si="11"/>
        <v>Exclude</v>
      </c>
    </row>
    <row r="374" spans="1:23" s="64" customFormat="1" x14ac:dyDescent="0.25">
      <c r="A374" s="63"/>
      <c r="U374" s="64" t="str">
        <f t="shared" si="12"/>
        <v>Exclude</v>
      </c>
      <c r="W374" s="65" t="str">
        <f t="shared" si="11"/>
        <v>Exclude</v>
      </c>
    </row>
    <row r="375" spans="1:23" s="64" customFormat="1" x14ac:dyDescent="0.25">
      <c r="A375" s="63"/>
      <c r="U375" s="64" t="str">
        <f t="shared" si="12"/>
        <v>Exclude</v>
      </c>
      <c r="W375" s="65" t="str">
        <f t="shared" si="11"/>
        <v>Exclude</v>
      </c>
    </row>
    <row r="376" spans="1:23" s="64" customFormat="1" x14ac:dyDescent="0.25">
      <c r="A376" s="63"/>
      <c r="U376" s="64" t="str">
        <f t="shared" si="12"/>
        <v>Exclude</v>
      </c>
      <c r="W376" s="65" t="str">
        <f t="shared" si="11"/>
        <v>Exclude</v>
      </c>
    </row>
    <row r="377" spans="1:23" s="64" customFormat="1" x14ac:dyDescent="0.25">
      <c r="A377" s="63"/>
      <c r="U377" s="64" t="str">
        <f t="shared" si="12"/>
        <v>Exclude</v>
      </c>
      <c r="W377" s="65" t="str">
        <f t="shared" si="11"/>
        <v>Exclude</v>
      </c>
    </row>
    <row r="378" spans="1:23" s="64" customFormat="1" x14ac:dyDescent="0.25">
      <c r="A378" s="63"/>
      <c r="U378" s="64" t="str">
        <f t="shared" si="12"/>
        <v>Exclude</v>
      </c>
      <c r="W378" s="65" t="str">
        <f t="shared" si="11"/>
        <v>Exclude</v>
      </c>
    </row>
    <row r="379" spans="1:23" s="64" customFormat="1" x14ac:dyDescent="0.25">
      <c r="A379" s="63"/>
      <c r="U379" s="64" t="str">
        <f t="shared" si="12"/>
        <v>Exclude</v>
      </c>
      <c r="W379" s="65" t="str">
        <f t="shared" si="11"/>
        <v>Exclude</v>
      </c>
    </row>
    <row r="380" spans="1:23" s="64" customFormat="1" x14ac:dyDescent="0.25">
      <c r="A380" s="63"/>
      <c r="U380" s="64" t="str">
        <f t="shared" si="12"/>
        <v>Exclude</v>
      </c>
      <c r="W380" s="65" t="str">
        <f t="shared" si="11"/>
        <v>Exclude</v>
      </c>
    </row>
    <row r="381" spans="1:23" s="64" customFormat="1" x14ac:dyDescent="0.25">
      <c r="A381" s="63"/>
      <c r="U381" s="64" t="str">
        <f t="shared" si="12"/>
        <v>Exclude</v>
      </c>
      <c r="W381" s="65" t="str">
        <f t="shared" si="11"/>
        <v>Exclude</v>
      </c>
    </row>
    <row r="382" spans="1:23" s="64" customFormat="1" x14ac:dyDescent="0.25">
      <c r="A382" s="63"/>
      <c r="U382" s="64" t="str">
        <f t="shared" si="12"/>
        <v>Exclude</v>
      </c>
      <c r="W382" s="65" t="str">
        <f t="shared" si="11"/>
        <v>Exclude</v>
      </c>
    </row>
    <row r="383" spans="1:23" s="64" customFormat="1" x14ac:dyDescent="0.25">
      <c r="A383" s="63"/>
      <c r="U383" s="64" t="str">
        <f t="shared" si="12"/>
        <v>Exclude</v>
      </c>
      <c r="W383" s="65" t="str">
        <f t="shared" si="11"/>
        <v>Exclude</v>
      </c>
    </row>
    <row r="384" spans="1:23" s="64" customFormat="1" x14ac:dyDescent="0.25">
      <c r="A384" s="63"/>
      <c r="U384" s="64" t="str">
        <f t="shared" si="12"/>
        <v>Exclude</v>
      </c>
      <c r="W384" s="65" t="str">
        <f t="shared" si="11"/>
        <v>Exclude</v>
      </c>
    </row>
    <row r="385" spans="1:23" s="64" customFormat="1" x14ac:dyDescent="0.25">
      <c r="A385" s="63"/>
      <c r="U385" s="64" t="str">
        <f t="shared" si="12"/>
        <v>Exclude</v>
      </c>
      <c r="W385" s="65" t="str">
        <f t="shared" si="11"/>
        <v>Exclude</v>
      </c>
    </row>
    <row r="386" spans="1:23" s="64" customFormat="1" x14ac:dyDescent="0.25">
      <c r="A386" s="63"/>
      <c r="U386" s="64" t="str">
        <f t="shared" si="12"/>
        <v>Exclude</v>
      </c>
      <c r="W386" s="65" t="str">
        <f t="shared" si="11"/>
        <v>Exclude</v>
      </c>
    </row>
    <row r="387" spans="1:23" s="64" customFormat="1" x14ac:dyDescent="0.25">
      <c r="A387" s="63"/>
      <c r="U387" s="64" t="str">
        <f t="shared" si="12"/>
        <v>Exclude</v>
      </c>
      <c r="W387" s="65" t="str">
        <f t="shared" si="11"/>
        <v>Exclude</v>
      </c>
    </row>
    <row r="388" spans="1:23" s="64" customFormat="1" x14ac:dyDescent="0.25">
      <c r="A388" s="63"/>
      <c r="U388" s="64" t="str">
        <f t="shared" si="12"/>
        <v>Exclude</v>
      </c>
      <c r="W388" s="65" t="str">
        <f t="shared" si="11"/>
        <v>Exclude</v>
      </c>
    </row>
    <row r="389" spans="1:23" s="64" customFormat="1" x14ac:dyDescent="0.25">
      <c r="A389" s="63"/>
      <c r="U389" s="64" t="str">
        <f t="shared" si="12"/>
        <v>Exclude</v>
      </c>
      <c r="W389" s="65" t="str">
        <f t="shared" si="11"/>
        <v>Exclude</v>
      </c>
    </row>
    <row r="390" spans="1:23" s="64" customFormat="1" x14ac:dyDescent="0.25">
      <c r="A390" s="63"/>
      <c r="U390" s="64" t="str">
        <f t="shared" si="12"/>
        <v>Exclude</v>
      </c>
      <c r="W390" s="65" t="str">
        <f t="shared" si="11"/>
        <v>Exclude</v>
      </c>
    </row>
    <row r="391" spans="1:23" s="64" customFormat="1" x14ac:dyDescent="0.25">
      <c r="A391" s="63"/>
      <c r="U391" s="64" t="str">
        <f t="shared" si="12"/>
        <v>Exclude</v>
      </c>
      <c r="W391" s="65" t="str">
        <f t="shared" si="11"/>
        <v>Exclude</v>
      </c>
    </row>
    <row r="392" spans="1:23" s="64" customFormat="1" x14ac:dyDescent="0.25">
      <c r="A392" s="63"/>
      <c r="U392" s="64" t="str">
        <f t="shared" si="12"/>
        <v>Exclude</v>
      </c>
      <c r="W392" s="65" t="str">
        <f t="shared" si="11"/>
        <v>Exclude</v>
      </c>
    </row>
    <row r="393" spans="1:23" s="64" customFormat="1" x14ac:dyDescent="0.25">
      <c r="A393" s="63"/>
      <c r="U393" s="64" t="str">
        <f t="shared" si="12"/>
        <v>Exclude</v>
      </c>
      <c r="W393" s="65" t="str">
        <f t="shared" si="11"/>
        <v>Exclude</v>
      </c>
    </row>
    <row r="394" spans="1:23" s="64" customFormat="1" x14ac:dyDescent="0.25">
      <c r="A394" s="63"/>
      <c r="U394" s="64" t="str">
        <f t="shared" si="12"/>
        <v>Exclude</v>
      </c>
      <c r="W394" s="65" t="str">
        <f t="shared" si="11"/>
        <v>Exclude</v>
      </c>
    </row>
    <row r="395" spans="1:23" s="64" customFormat="1" x14ac:dyDescent="0.25">
      <c r="A395" s="63"/>
      <c r="U395" s="64" t="str">
        <f t="shared" si="12"/>
        <v>Exclude</v>
      </c>
      <c r="W395" s="65" t="str">
        <f t="shared" si="11"/>
        <v>Exclude</v>
      </c>
    </row>
    <row r="396" spans="1:23" s="64" customFormat="1" x14ac:dyDescent="0.25">
      <c r="A396" s="63"/>
      <c r="U396" s="64" t="str">
        <f t="shared" si="12"/>
        <v>Exclude</v>
      </c>
      <c r="W396" s="65" t="str">
        <f t="shared" si="11"/>
        <v>Exclude</v>
      </c>
    </row>
    <row r="397" spans="1:23" s="64" customFormat="1" x14ac:dyDescent="0.25">
      <c r="A397" s="63"/>
      <c r="U397" s="64" t="str">
        <f t="shared" si="12"/>
        <v>Exclude</v>
      </c>
      <c r="W397" s="65" t="str">
        <f t="shared" si="11"/>
        <v>Exclude</v>
      </c>
    </row>
    <row r="398" spans="1:23" s="64" customFormat="1" x14ac:dyDescent="0.25">
      <c r="A398" s="63"/>
      <c r="U398" s="64" t="str">
        <f t="shared" si="12"/>
        <v>Exclude</v>
      </c>
      <c r="W398" s="65" t="str">
        <f t="shared" si="11"/>
        <v>Exclude</v>
      </c>
    </row>
    <row r="399" spans="1:23" s="64" customFormat="1" x14ac:dyDescent="0.25">
      <c r="A399" s="63"/>
      <c r="U399" s="64" t="str">
        <f t="shared" si="12"/>
        <v>Exclude</v>
      </c>
      <c r="W399" s="65" t="str">
        <f t="shared" si="11"/>
        <v>Exclude</v>
      </c>
    </row>
    <row r="400" spans="1:23" s="64" customFormat="1" x14ac:dyDescent="0.25">
      <c r="A400" s="63"/>
      <c r="U400" s="64" t="str">
        <f t="shared" si="12"/>
        <v>Exclude</v>
      </c>
      <c r="W400" s="65" t="str">
        <f t="shared" si="11"/>
        <v>Exclude</v>
      </c>
    </row>
    <row r="401" spans="1:23" s="64" customFormat="1" x14ac:dyDescent="0.25">
      <c r="A401" s="63"/>
      <c r="U401" s="64" t="str">
        <f t="shared" si="12"/>
        <v>Exclude</v>
      </c>
      <c r="W401" s="65" t="str">
        <f t="shared" si="11"/>
        <v>Exclude</v>
      </c>
    </row>
    <row r="402" spans="1:23" s="64" customFormat="1" x14ac:dyDescent="0.25">
      <c r="A402" s="63"/>
      <c r="U402" s="64" t="str">
        <f t="shared" si="12"/>
        <v>Exclude</v>
      </c>
      <c r="W402" s="65" t="str">
        <f t="shared" si="11"/>
        <v>Exclude</v>
      </c>
    </row>
    <row r="403" spans="1:23" s="64" customFormat="1" x14ac:dyDescent="0.25">
      <c r="A403" s="63"/>
      <c r="U403" s="64" t="str">
        <f t="shared" si="12"/>
        <v>Exclude</v>
      </c>
      <c r="W403" s="65" t="str">
        <f t="shared" si="11"/>
        <v>Exclude</v>
      </c>
    </row>
    <row r="404" spans="1:23" s="64" customFormat="1" x14ac:dyDescent="0.25">
      <c r="A404" s="63"/>
      <c r="U404" s="64" t="str">
        <f t="shared" si="12"/>
        <v>Exclude</v>
      </c>
      <c r="W404" s="65" t="str">
        <f t="shared" si="11"/>
        <v>Exclude</v>
      </c>
    </row>
    <row r="405" spans="1:23" s="64" customFormat="1" x14ac:dyDescent="0.25">
      <c r="A405" s="63"/>
      <c r="U405" s="64" t="str">
        <f t="shared" si="12"/>
        <v>Exclude</v>
      </c>
      <c r="W405" s="65" t="str">
        <f t="shared" si="11"/>
        <v>Exclude</v>
      </c>
    </row>
    <row r="406" spans="1:23" s="64" customFormat="1" x14ac:dyDescent="0.25">
      <c r="A406" s="63"/>
      <c r="U406" s="64" t="str">
        <f t="shared" si="12"/>
        <v>Exclude</v>
      </c>
      <c r="W406" s="65" t="str">
        <f t="shared" ref="W406:W469" si="13">IF(R406="TruePositive",IF(R405&lt;&gt;"Anticipatory",LOG10(N406),"Exclude"),"Exclude")</f>
        <v>Exclude</v>
      </c>
    </row>
    <row r="407" spans="1:23" s="64" customFormat="1" x14ac:dyDescent="0.25">
      <c r="A407" s="63"/>
      <c r="U407" s="64" t="str">
        <f t="shared" si="12"/>
        <v>Exclude</v>
      </c>
      <c r="W407" s="65" t="str">
        <f t="shared" si="13"/>
        <v>Exclude</v>
      </c>
    </row>
    <row r="408" spans="1:23" s="64" customFormat="1" x14ac:dyDescent="0.25">
      <c r="A408" s="63"/>
      <c r="U408" s="64" t="str">
        <f t="shared" si="12"/>
        <v>Exclude</v>
      </c>
      <c r="W408" s="65" t="str">
        <f t="shared" si="13"/>
        <v>Exclude</v>
      </c>
    </row>
    <row r="409" spans="1:23" s="64" customFormat="1" x14ac:dyDescent="0.25">
      <c r="A409" s="63"/>
      <c r="U409" s="64" t="str">
        <f t="shared" si="12"/>
        <v>Exclude</v>
      </c>
      <c r="W409" s="65" t="str">
        <f t="shared" si="13"/>
        <v>Exclude</v>
      </c>
    </row>
    <row r="410" spans="1:23" s="64" customFormat="1" x14ac:dyDescent="0.25">
      <c r="A410" s="63"/>
      <c r="U410" s="64" t="str">
        <f t="shared" si="12"/>
        <v>Exclude</v>
      </c>
      <c r="W410" s="65" t="str">
        <f t="shared" si="13"/>
        <v>Exclude</v>
      </c>
    </row>
    <row r="411" spans="1:23" s="64" customFormat="1" x14ac:dyDescent="0.25">
      <c r="A411" s="63"/>
      <c r="U411" s="64" t="str">
        <f t="shared" si="12"/>
        <v>Exclude</v>
      </c>
      <c r="W411" s="65" t="str">
        <f t="shared" si="13"/>
        <v>Exclude</v>
      </c>
    </row>
    <row r="412" spans="1:23" s="64" customFormat="1" x14ac:dyDescent="0.25">
      <c r="A412" s="63"/>
      <c r="U412" s="64" t="str">
        <f t="shared" si="12"/>
        <v>Exclude</v>
      </c>
      <c r="W412" s="65" t="str">
        <f t="shared" si="13"/>
        <v>Exclude</v>
      </c>
    </row>
    <row r="413" spans="1:23" s="64" customFormat="1" x14ac:dyDescent="0.25">
      <c r="A413" s="63"/>
      <c r="U413" s="64" t="str">
        <f t="shared" si="12"/>
        <v>Exclude</v>
      </c>
      <c r="W413" s="65" t="str">
        <f t="shared" si="13"/>
        <v>Exclude</v>
      </c>
    </row>
    <row r="414" spans="1:23" s="64" customFormat="1" x14ac:dyDescent="0.25">
      <c r="A414" s="63"/>
      <c r="U414" s="64" t="str">
        <f t="shared" si="12"/>
        <v>Exclude</v>
      </c>
      <c r="W414" s="65" t="str">
        <f t="shared" si="13"/>
        <v>Exclude</v>
      </c>
    </row>
    <row r="415" spans="1:23" s="64" customFormat="1" x14ac:dyDescent="0.25">
      <c r="A415" s="63"/>
      <c r="U415" s="64" t="str">
        <f t="shared" si="12"/>
        <v>Exclude</v>
      </c>
      <c r="W415" s="65" t="str">
        <f t="shared" si="13"/>
        <v>Exclude</v>
      </c>
    </row>
    <row r="416" spans="1:23" s="64" customFormat="1" x14ac:dyDescent="0.25">
      <c r="A416" s="63"/>
      <c r="U416" s="64" t="str">
        <f t="shared" si="12"/>
        <v>Exclude</v>
      </c>
      <c r="W416" s="65" t="str">
        <f t="shared" si="13"/>
        <v>Exclude</v>
      </c>
    </row>
    <row r="417" spans="1:23" s="64" customFormat="1" x14ac:dyDescent="0.25">
      <c r="A417" s="63"/>
      <c r="U417" s="64" t="str">
        <f t="shared" si="12"/>
        <v>Exclude</v>
      </c>
      <c r="W417" s="65" t="str">
        <f t="shared" si="13"/>
        <v>Exclude</v>
      </c>
    </row>
    <row r="418" spans="1:23" s="64" customFormat="1" x14ac:dyDescent="0.25">
      <c r="A418" s="63"/>
      <c r="U418" s="64" t="str">
        <f t="shared" si="12"/>
        <v>Exclude</v>
      </c>
      <c r="W418" s="65" t="str">
        <f t="shared" si="13"/>
        <v>Exclude</v>
      </c>
    </row>
    <row r="419" spans="1:23" s="64" customFormat="1" x14ac:dyDescent="0.25">
      <c r="A419" s="63"/>
      <c r="U419" s="64" t="str">
        <f t="shared" si="12"/>
        <v>Exclude</v>
      </c>
      <c r="W419" s="65" t="str">
        <f t="shared" si="13"/>
        <v>Exclude</v>
      </c>
    </row>
    <row r="420" spans="1:23" s="64" customFormat="1" x14ac:dyDescent="0.25">
      <c r="A420" s="63"/>
      <c r="U420" s="64" t="str">
        <f t="shared" si="12"/>
        <v>Exclude</v>
      </c>
      <c r="W420" s="65" t="str">
        <f t="shared" si="13"/>
        <v>Exclude</v>
      </c>
    </row>
    <row r="421" spans="1:23" s="64" customFormat="1" x14ac:dyDescent="0.25">
      <c r="A421" s="63"/>
      <c r="U421" s="64" t="str">
        <f t="shared" si="12"/>
        <v>Exclude</v>
      </c>
      <c r="W421" s="65" t="str">
        <f t="shared" si="13"/>
        <v>Exclude</v>
      </c>
    </row>
    <row r="422" spans="1:23" s="64" customFormat="1" x14ac:dyDescent="0.25">
      <c r="A422" s="63"/>
      <c r="U422" s="64" t="str">
        <f t="shared" si="12"/>
        <v>Exclude</v>
      </c>
      <c r="W422" s="65" t="str">
        <f t="shared" si="13"/>
        <v>Exclude</v>
      </c>
    </row>
    <row r="423" spans="1:23" s="64" customFormat="1" x14ac:dyDescent="0.25">
      <c r="A423" s="63"/>
      <c r="U423" s="64" t="str">
        <f t="shared" si="12"/>
        <v>Exclude</v>
      </c>
      <c r="W423" s="65" t="str">
        <f t="shared" si="13"/>
        <v>Exclude</v>
      </c>
    </row>
    <row r="424" spans="1:23" s="64" customFormat="1" x14ac:dyDescent="0.25">
      <c r="A424" s="63"/>
      <c r="U424" s="64" t="str">
        <f t="shared" si="12"/>
        <v>Exclude</v>
      </c>
      <c r="W424" s="65" t="str">
        <f t="shared" si="13"/>
        <v>Exclude</v>
      </c>
    </row>
    <row r="425" spans="1:23" s="64" customFormat="1" x14ac:dyDescent="0.25">
      <c r="A425" s="63"/>
      <c r="U425" s="64" t="str">
        <f t="shared" si="12"/>
        <v>Exclude</v>
      </c>
      <c r="W425" s="65" t="str">
        <f t="shared" si="13"/>
        <v>Exclude</v>
      </c>
    </row>
    <row r="426" spans="1:23" s="64" customFormat="1" x14ac:dyDescent="0.25">
      <c r="A426" s="63"/>
      <c r="U426" s="64" t="str">
        <f t="shared" si="12"/>
        <v>Exclude</v>
      </c>
      <c r="W426" s="65" t="str">
        <f t="shared" si="13"/>
        <v>Exclude</v>
      </c>
    </row>
    <row r="427" spans="1:23" s="64" customFormat="1" x14ac:dyDescent="0.25">
      <c r="A427" s="63"/>
      <c r="U427" s="64" t="str">
        <f t="shared" si="12"/>
        <v>Exclude</v>
      </c>
      <c r="W427" s="65" t="str">
        <f t="shared" si="13"/>
        <v>Exclude</v>
      </c>
    </row>
    <row r="428" spans="1:23" s="64" customFormat="1" x14ac:dyDescent="0.25">
      <c r="A428" s="63"/>
      <c r="U428" s="64" t="str">
        <f t="shared" si="12"/>
        <v>Exclude</v>
      </c>
      <c r="W428" s="65" t="str">
        <f t="shared" si="13"/>
        <v>Exclude</v>
      </c>
    </row>
    <row r="429" spans="1:23" s="64" customFormat="1" x14ac:dyDescent="0.25">
      <c r="A429" s="63"/>
      <c r="U429" s="64" t="str">
        <f t="shared" ref="U429:U492" si="14">IF(R429="TruePositive",IF(R428&lt;&gt;"Anticipatory",(N429),"Pant"),"Exclude")</f>
        <v>Exclude</v>
      </c>
      <c r="W429" s="65" t="str">
        <f t="shared" si="13"/>
        <v>Exclude</v>
      </c>
    </row>
    <row r="430" spans="1:23" s="64" customFormat="1" x14ac:dyDescent="0.25">
      <c r="A430" s="63"/>
      <c r="U430" s="64" t="str">
        <f t="shared" si="14"/>
        <v>Exclude</v>
      </c>
      <c r="W430" s="65" t="str">
        <f t="shared" si="13"/>
        <v>Exclude</v>
      </c>
    </row>
    <row r="431" spans="1:23" s="64" customFormat="1" x14ac:dyDescent="0.25">
      <c r="A431" s="63"/>
      <c r="U431" s="64" t="str">
        <f t="shared" si="14"/>
        <v>Exclude</v>
      </c>
      <c r="W431" s="65" t="str">
        <f t="shared" si="13"/>
        <v>Exclude</v>
      </c>
    </row>
    <row r="432" spans="1:23" s="64" customFormat="1" x14ac:dyDescent="0.25">
      <c r="A432" s="63"/>
      <c r="U432" s="64" t="str">
        <f t="shared" si="14"/>
        <v>Exclude</v>
      </c>
      <c r="W432" s="65" t="str">
        <f t="shared" si="13"/>
        <v>Exclude</v>
      </c>
    </row>
    <row r="433" spans="1:23" s="64" customFormat="1" x14ac:dyDescent="0.25">
      <c r="A433" s="63"/>
      <c r="U433" s="64" t="str">
        <f t="shared" si="14"/>
        <v>Exclude</v>
      </c>
      <c r="W433" s="65" t="str">
        <f t="shared" si="13"/>
        <v>Exclude</v>
      </c>
    </row>
    <row r="434" spans="1:23" s="64" customFormat="1" x14ac:dyDescent="0.25">
      <c r="A434" s="63"/>
      <c r="U434" s="64" t="str">
        <f t="shared" si="14"/>
        <v>Exclude</v>
      </c>
      <c r="W434" s="65" t="str">
        <f t="shared" si="13"/>
        <v>Exclude</v>
      </c>
    </row>
    <row r="435" spans="1:23" s="64" customFormat="1" x14ac:dyDescent="0.25">
      <c r="A435" s="63"/>
      <c r="U435" s="64" t="str">
        <f t="shared" si="14"/>
        <v>Exclude</v>
      </c>
      <c r="W435" s="65" t="str">
        <f t="shared" si="13"/>
        <v>Exclude</v>
      </c>
    </row>
    <row r="436" spans="1:23" s="64" customFormat="1" x14ac:dyDescent="0.25">
      <c r="A436" s="63"/>
      <c r="U436" s="64" t="str">
        <f t="shared" si="14"/>
        <v>Exclude</v>
      </c>
      <c r="W436" s="65" t="str">
        <f t="shared" si="13"/>
        <v>Exclude</v>
      </c>
    </row>
    <row r="437" spans="1:23" s="64" customFormat="1" x14ac:dyDescent="0.25">
      <c r="A437" s="63"/>
      <c r="U437" s="64" t="str">
        <f t="shared" si="14"/>
        <v>Exclude</v>
      </c>
      <c r="W437" s="65" t="str">
        <f t="shared" si="13"/>
        <v>Exclude</v>
      </c>
    </row>
    <row r="438" spans="1:23" s="64" customFormat="1" x14ac:dyDescent="0.25">
      <c r="A438" s="63"/>
      <c r="U438" s="64" t="str">
        <f t="shared" si="14"/>
        <v>Exclude</v>
      </c>
      <c r="W438" s="65" t="str">
        <f t="shared" si="13"/>
        <v>Exclude</v>
      </c>
    </row>
    <row r="439" spans="1:23" s="64" customFormat="1" x14ac:dyDescent="0.25">
      <c r="A439" s="63"/>
      <c r="U439" s="64" t="str">
        <f t="shared" si="14"/>
        <v>Exclude</v>
      </c>
      <c r="W439" s="65" t="str">
        <f t="shared" si="13"/>
        <v>Exclude</v>
      </c>
    </row>
    <row r="440" spans="1:23" s="64" customFormat="1" x14ac:dyDescent="0.25">
      <c r="A440" s="63"/>
      <c r="U440" s="64" t="str">
        <f t="shared" si="14"/>
        <v>Exclude</v>
      </c>
      <c r="W440" s="65" t="str">
        <f t="shared" si="13"/>
        <v>Exclude</v>
      </c>
    </row>
    <row r="441" spans="1:23" s="64" customFormat="1" x14ac:dyDescent="0.25">
      <c r="A441" s="63"/>
      <c r="U441" s="64" t="str">
        <f t="shared" si="14"/>
        <v>Exclude</v>
      </c>
      <c r="W441" s="65" t="str">
        <f t="shared" si="13"/>
        <v>Exclude</v>
      </c>
    </row>
    <row r="442" spans="1:23" s="64" customFormat="1" x14ac:dyDescent="0.25">
      <c r="A442" s="63"/>
      <c r="U442" s="64" t="str">
        <f t="shared" si="14"/>
        <v>Exclude</v>
      </c>
      <c r="W442" s="65" t="str">
        <f t="shared" si="13"/>
        <v>Exclude</v>
      </c>
    </row>
    <row r="443" spans="1:23" s="64" customFormat="1" x14ac:dyDescent="0.25">
      <c r="A443" s="63"/>
      <c r="U443" s="64" t="str">
        <f t="shared" si="14"/>
        <v>Exclude</v>
      </c>
      <c r="W443" s="65" t="str">
        <f t="shared" si="13"/>
        <v>Exclude</v>
      </c>
    </row>
    <row r="444" spans="1:23" s="64" customFormat="1" x14ac:dyDescent="0.25">
      <c r="A444" s="63"/>
      <c r="U444" s="64" t="str">
        <f t="shared" si="14"/>
        <v>Exclude</v>
      </c>
      <c r="W444" s="65" t="str">
        <f t="shared" si="13"/>
        <v>Exclude</v>
      </c>
    </row>
    <row r="445" spans="1:23" s="64" customFormat="1" x14ac:dyDescent="0.25">
      <c r="A445" s="63"/>
      <c r="U445" s="64" t="str">
        <f t="shared" si="14"/>
        <v>Exclude</v>
      </c>
      <c r="W445" s="65" t="str">
        <f t="shared" si="13"/>
        <v>Exclude</v>
      </c>
    </row>
    <row r="446" spans="1:23" s="64" customFormat="1" x14ac:dyDescent="0.25">
      <c r="A446" s="63"/>
      <c r="U446" s="64" t="str">
        <f t="shared" si="14"/>
        <v>Exclude</v>
      </c>
      <c r="W446" s="65" t="str">
        <f t="shared" si="13"/>
        <v>Exclude</v>
      </c>
    </row>
    <row r="447" spans="1:23" s="64" customFormat="1" x14ac:dyDescent="0.25">
      <c r="A447" s="63"/>
      <c r="U447" s="64" t="str">
        <f t="shared" si="14"/>
        <v>Exclude</v>
      </c>
      <c r="W447" s="65" t="str">
        <f t="shared" si="13"/>
        <v>Exclude</v>
      </c>
    </row>
    <row r="448" spans="1:23" s="64" customFormat="1" x14ac:dyDescent="0.25">
      <c r="A448" s="63"/>
      <c r="U448" s="64" t="str">
        <f t="shared" si="14"/>
        <v>Exclude</v>
      </c>
      <c r="W448" s="65" t="str">
        <f t="shared" si="13"/>
        <v>Exclude</v>
      </c>
    </row>
    <row r="449" spans="1:23" s="64" customFormat="1" x14ac:dyDescent="0.25">
      <c r="A449" s="63"/>
      <c r="U449" s="64" t="str">
        <f t="shared" si="14"/>
        <v>Exclude</v>
      </c>
      <c r="W449" s="65" t="str">
        <f t="shared" si="13"/>
        <v>Exclude</v>
      </c>
    </row>
    <row r="450" spans="1:23" s="64" customFormat="1" x14ac:dyDescent="0.25">
      <c r="A450" s="63"/>
      <c r="U450" s="64" t="str">
        <f t="shared" si="14"/>
        <v>Exclude</v>
      </c>
      <c r="W450" s="65" t="str">
        <f t="shared" si="13"/>
        <v>Exclude</v>
      </c>
    </row>
    <row r="451" spans="1:23" s="64" customFormat="1" x14ac:dyDescent="0.25">
      <c r="A451" s="63"/>
      <c r="U451" s="64" t="str">
        <f t="shared" si="14"/>
        <v>Exclude</v>
      </c>
      <c r="W451" s="65" t="str">
        <f t="shared" si="13"/>
        <v>Exclude</v>
      </c>
    </row>
    <row r="452" spans="1:23" s="64" customFormat="1" x14ac:dyDescent="0.25">
      <c r="A452" s="63"/>
      <c r="U452" s="64" t="str">
        <f t="shared" si="14"/>
        <v>Exclude</v>
      </c>
      <c r="W452" s="65" t="str">
        <f t="shared" si="13"/>
        <v>Exclude</v>
      </c>
    </row>
    <row r="453" spans="1:23" s="64" customFormat="1" x14ac:dyDescent="0.25">
      <c r="A453" s="63"/>
      <c r="U453" s="64" t="str">
        <f t="shared" si="14"/>
        <v>Exclude</v>
      </c>
      <c r="W453" s="65" t="str">
        <f t="shared" si="13"/>
        <v>Exclude</v>
      </c>
    </row>
    <row r="454" spans="1:23" s="64" customFormat="1" x14ac:dyDescent="0.25">
      <c r="A454" s="63"/>
      <c r="U454" s="64" t="str">
        <f t="shared" si="14"/>
        <v>Exclude</v>
      </c>
      <c r="W454" s="65" t="str">
        <f t="shared" si="13"/>
        <v>Exclude</v>
      </c>
    </row>
    <row r="455" spans="1:23" s="64" customFormat="1" x14ac:dyDescent="0.25">
      <c r="A455" s="63"/>
      <c r="U455" s="64" t="str">
        <f t="shared" si="14"/>
        <v>Exclude</v>
      </c>
      <c r="W455" s="65" t="str">
        <f t="shared" si="13"/>
        <v>Exclude</v>
      </c>
    </row>
    <row r="456" spans="1:23" s="64" customFormat="1" x14ac:dyDescent="0.25">
      <c r="A456" s="63"/>
      <c r="U456" s="64" t="str">
        <f t="shared" si="14"/>
        <v>Exclude</v>
      </c>
      <c r="W456" s="65" t="str">
        <f t="shared" si="13"/>
        <v>Exclude</v>
      </c>
    </row>
    <row r="457" spans="1:23" s="64" customFormat="1" x14ac:dyDescent="0.25">
      <c r="A457" s="63"/>
      <c r="U457" s="64" t="str">
        <f t="shared" si="14"/>
        <v>Exclude</v>
      </c>
      <c r="W457" s="65" t="str">
        <f t="shared" si="13"/>
        <v>Exclude</v>
      </c>
    </row>
    <row r="458" spans="1:23" s="64" customFormat="1" x14ac:dyDescent="0.25">
      <c r="A458" s="63"/>
      <c r="U458" s="64" t="str">
        <f t="shared" si="14"/>
        <v>Exclude</v>
      </c>
      <c r="W458" s="65" t="str">
        <f t="shared" si="13"/>
        <v>Exclude</v>
      </c>
    </row>
    <row r="459" spans="1:23" s="64" customFormat="1" x14ac:dyDescent="0.25">
      <c r="A459" s="63"/>
      <c r="U459" s="64" t="str">
        <f t="shared" si="14"/>
        <v>Exclude</v>
      </c>
      <c r="W459" s="65" t="str">
        <f t="shared" si="13"/>
        <v>Exclude</v>
      </c>
    </row>
    <row r="460" spans="1:23" s="64" customFormat="1" x14ac:dyDescent="0.25">
      <c r="A460" s="63"/>
      <c r="U460" s="64" t="str">
        <f t="shared" si="14"/>
        <v>Exclude</v>
      </c>
      <c r="W460" s="65" t="str">
        <f t="shared" si="13"/>
        <v>Exclude</v>
      </c>
    </row>
    <row r="461" spans="1:23" s="64" customFormat="1" x14ac:dyDescent="0.25">
      <c r="A461" s="63"/>
      <c r="U461" s="64" t="str">
        <f t="shared" si="14"/>
        <v>Exclude</v>
      </c>
      <c r="W461" s="65" t="str">
        <f t="shared" si="13"/>
        <v>Exclude</v>
      </c>
    </row>
    <row r="462" spans="1:23" s="64" customFormat="1" x14ac:dyDescent="0.25">
      <c r="A462" s="63"/>
      <c r="U462" s="64" t="str">
        <f t="shared" si="14"/>
        <v>Exclude</v>
      </c>
      <c r="W462" s="65" t="str">
        <f t="shared" si="13"/>
        <v>Exclude</v>
      </c>
    </row>
    <row r="463" spans="1:23" s="64" customFormat="1" x14ac:dyDescent="0.25">
      <c r="A463" s="63"/>
      <c r="U463" s="64" t="str">
        <f t="shared" si="14"/>
        <v>Exclude</v>
      </c>
      <c r="W463" s="65" t="str">
        <f t="shared" si="13"/>
        <v>Exclude</v>
      </c>
    </row>
    <row r="464" spans="1:23" s="64" customFormat="1" x14ac:dyDescent="0.25">
      <c r="A464" s="63"/>
      <c r="U464" s="64" t="str">
        <f t="shared" si="14"/>
        <v>Exclude</v>
      </c>
      <c r="W464" s="65" t="str">
        <f t="shared" si="13"/>
        <v>Exclude</v>
      </c>
    </row>
    <row r="465" spans="1:23" s="64" customFormat="1" x14ac:dyDescent="0.25">
      <c r="A465" s="63"/>
      <c r="U465" s="64" t="str">
        <f t="shared" si="14"/>
        <v>Exclude</v>
      </c>
      <c r="W465" s="65" t="str">
        <f t="shared" si="13"/>
        <v>Exclude</v>
      </c>
    </row>
    <row r="466" spans="1:23" s="64" customFormat="1" x14ac:dyDescent="0.25">
      <c r="A466" s="63"/>
      <c r="U466" s="64" t="str">
        <f t="shared" si="14"/>
        <v>Exclude</v>
      </c>
      <c r="W466" s="65" t="str">
        <f t="shared" si="13"/>
        <v>Exclude</v>
      </c>
    </row>
    <row r="467" spans="1:23" s="64" customFormat="1" x14ac:dyDescent="0.25">
      <c r="A467" s="63"/>
      <c r="U467" s="64" t="str">
        <f t="shared" si="14"/>
        <v>Exclude</v>
      </c>
      <c r="W467" s="65" t="str">
        <f t="shared" si="13"/>
        <v>Exclude</v>
      </c>
    </row>
    <row r="468" spans="1:23" s="64" customFormat="1" x14ac:dyDescent="0.25">
      <c r="A468" s="63"/>
      <c r="U468" s="64" t="str">
        <f t="shared" si="14"/>
        <v>Exclude</v>
      </c>
      <c r="W468" s="65" t="str">
        <f t="shared" si="13"/>
        <v>Exclude</v>
      </c>
    </row>
    <row r="469" spans="1:23" s="64" customFormat="1" x14ac:dyDescent="0.25">
      <c r="A469" s="63"/>
      <c r="U469" s="64" t="str">
        <f t="shared" si="14"/>
        <v>Exclude</v>
      </c>
      <c r="W469" s="65" t="str">
        <f t="shared" si="13"/>
        <v>Exclude</v>
      </c>
    </row>
    <row r="470" spans="1:23" s="64" customFormat="1" x14ac:dyDescent="0.25">
      <c r="A470" s="63"/>
      <c r="U470" s="64" t="str">
        <f t="shared" si="14"/>
        <v>Exclude</v>
      </c>
      <c r="W470" s="65" t="str">
        <f t="shared" ref="W470:W528" si="15">IF(R470="TruePositive",IF(R469&lt;&gt;"Anticipatory",LOG10(N470),"Exclude"),"Exclude")</f>
        <v>Exclude</v>
      </c>
    </row>
    <row r="471" spans="1:23" s="64" customFormat="1" x14ac:dyDescent="0.25">
      <c r="A471" s="63"/>
      <c r="U471" s="64" t="str">
        <f t="shared" si="14"/>
        <v>Exclude</v>
      </c>
      <c r="W471" s="65" t="str">
        <f t="shared" si="15"/>
        <v>Exclude</v>
      </c>
    </row>
    <row r="472" spans="1:23" s="64" customFormat="1" x14ac:dyDescent="0.25">
      <c r="A472" s="63"/>
      <c r="U472" s="64" t="str">
        <f t="shared" si="14"/>
        <v>Exclude</v>
      </c>
      <c r="W472" s="65" t="str">
        <f t="shared" si="15"/>
        <v>Exclude</v>
      </c>
    </row>
    <row r="473" spans="1:23" s="64" customFormat="1" x14ac:dyDescent="0.25">
      <c r="A473" s="63"/>
      <c r="U473" s="64" t="str">
        <f t="shared" si="14"/>
        <v>Exclude</v>
      </c>
      <c r="W473" s="65" t="str">
        <f t="shared" si="15"/>
        <v>Exclude</v>
      </c>
    </row>
    <row r="474" spans="1:23" s="64" customFormat="1" x14ac:dyDescent="0.25">
      <c r="A474" s="63"/>
      <c r="U474" s="64" t="str">
        <f t="shared" si="14"/>
        <v>Exclude</v>
      </c>
      <c r="W474" s="65" t="str">
        <f t="shared" si="15"/>
        <v>Exclude</v>
      </c>
    </row>
    <row r="475" spans="1:23" s="64" customFormat="1" x14ac:dyDescent="0.25">
      <c r="A475" s="63"/>
      <c r="U475" s="64" t="str">
        <f t="shared" si="14"/>
        <v>Exclude</v>
      </c>
      <c r="W475" s="65" t="str">
        <f t="shared" si="15"/>
        <v>Exclude</v>
      </c>
    </row>
    <row r="476" spans="1:23" s="64" customFormat="1" x14ac:dyDescent="0.25">
      <c r="A476" s="63"/>
      <c r="U476" s="64" t="str">
        <f t="shared" si="14"/>
        <v>Exclude</v>
      </c>
      <c r="W476" s="65" t="str">
        <f t="shared" si="15"/>
        <v>Exclude</v>
      </c>
    </row>
    <row r="477" spans="1:23" s="64" customFormat="1" x14ac:dyDescent="0.25">
      <c r="A477" s="63"/>
      <c r="U477" s="64" t="str">
        <f t="shared" si="14"/>
        <v>Exclude</v>
      </c>
      <c r="W477" s="65" t="str">
        <f t="shared" si="15"/>
        <v>Exclude</v>
      </c>
    </row>
    <row r="478" spans="1:23" s="64" customFormat="1" x14ac:dyDescent="0.25">
      <c r="A478" s="63"/>
      <c r="U478" s="64" t="str">
        <f t="shared" si="14"/>
        <v>Exclude</v>
      </c>
      <c r="W478" s="65" t="str">
        <f t="shared" si="15"/>
        <v>Exclude</v>
      </c>
    </row>
    <row r="479" spans="1:23" s="64" customFormat="1" x14ac:dyDescent="0.25">
      <c r="A479" s="63"/>
      <c r="U479" s="64" t="str">
        <f t="shared" si="14"/>
        <v>Exclude</v>
      </c>
      <c r="W479" s="65" t="str">
        <f t="shared" si="15"/>
        <v>Exclude</v>
      </c>
    </row>
    <row r="480" spans="1:23" s="64" customFormat="1" x14ac:dyDescent="0.25">
      <c r="A480" s="63"/>
      <c r="U480" s="64" t="str">
        <f t="shared" si="14"/>
        <v>Exclude</v>
      </c>
      <c r="W480" s="65" t="str">
        <f t="shared" si="15"/>
        <v>Exclude</v>
      </c>
    </row>
    <row r="481" spans="1:23" s="64" customFormat="1" x14ac:dyDescent="0.25">
      <c r="A481" s="63"/>
      <c r="U481" s="64" t="str">
        <f t="shared" si="14"/>
        <v>Exclude</v>
      </c>
      <c r="W481" s="65" t="str">
        <f t="shared" si="15"/>
        <v>Exclude</v>
      </c>
    </row>
    <row r="482" spans="1:23" s="64" customFormat="1" x14ac:dyDescent="0.25">
      <c r="A482" s="63"/>
      <c r="U482" s="64" t="str">
        <f t="shared" si="14"/>
        <v>Exclude</v>
      </c>
      <c r="W482" s="65" t="str">
        <f t="shared" si="15"/>
        <v>Exclude</v>
      </c>
    </row>
    <row r="483" spans="1:23" s="64" customFormat="1" x14ac:dyDescent="0.25">
      <c r="A483" s="63"/>
      <c r="U483" s="64" t="str">
        <f t="shared" si="14"/>
        <v>Exclude</v>
      </c>
      <c r="W483" s="65" t="str">
        <f t="shared" si="15"/>
        <v>Exclude</v>
      </c>
    </row>
    <row r="484" spans="1:23" s="64" customFormat="1" x14ac:dyDescent="0.25">
      <c r="A484" s="63"/>
      <c r="U484" s="64" t="str">
        <f t="shared" si="14"/>
        <v>Exclude</v>
      </c>
      <c r="W484" s="65" t="str">
        <f t="shared" si="15"/>
        <v>Exclude</v>
      </c>
    </row>
    <row r="485" spans="1:23" s="64" customFormat="1" x14ac:dyDescent="0.25">
      <c r="A485" s="63"/>
      <c r="U485" s="64" t="str">
        <f t="shared" si="14"/>
        <v>Exclude</v>
      </c>
      <c r="W485" s="65" t="str">
        <f t="shared" si="15"/>
        <v>Exclude</v>
      </c>
    </row>
    <row r="486" spans="1:23" s="64" customFormat="1" x14ac:dyDescent="0.25">
      <c r="A486" s="63"/>
      <c r="U486" s="64" t="str">
        <f t="shared" si="14"/>
        <v>Exclude</v>
      </c>
      <c r="W486" s="65" t="str">
        <f t="shared" si="15"/>
        <v>Exclude</v>
      </c>
    </row>
    <row r="487" spans="1:23" s="64" customFormat="1" x14ac:dyDescent="0.25">
      <c r="A487" s="63"/>
      <c r="U487" s="64" t="str">
        <f t="shared" si="14"/>
        <v>Exclude</v>
      </c>
      <c r="W487" s="65" t="str">
        <f t="shared" si="15"/>
        <v>Exclude</v>
      </c>
    </row>
    <row r="488" spans="1:23" s="64" customFormat="1" x14ac:dyDescent="0.25">
      <c r="A488" s="63"/>
      <c r="U488" s="64" t="str">
        <f t="shared" si="14"/>
        <v>Exclude</v>
      </c>
      <c r="W488" s="65" t="str">
        <f t="shared" si="15"/>
        <v>Exclude</v>
      </c>
    </row>
    <row r="489" spans="1:23" s="64" customFormat="1" x14ac:dyDescent="0.25">
      <c r="A489" s="63"/>
      <c r="U489" s="64" t="str">
        <f t="shared" si="14"/>
        <v>Exclude</v>
      </c>
      <c r="W489" s="65" t="str">
        <f t="shared" si="15"/>
        <v>Exclude</v>
      </c>
    </row>
    <row r="490" spans="1:23" s="64" customFormat="1" x14ac:dyDescent="0.25">
      <c r="A490" s="63"/>
      <c r="U490" s="64" t="str">
        <f t="shared" si="14"/>
        <v>Exclude</v>
      </c>
      <c r="W490" s="65" t="str">
        <f t="shared" si="15"/>
        <v>Exclude</v>
      </c>
    </row>
    <row r="491" spans="1:23" s="64" customFormat="1" x14ac:dyDescent="0.25">
      <c r="A491" s="63"/>
      <c r="U491" s="64" t="str">
        <f t="shared" si="14"/>
        <v>Exclude</v>
      </c>
      <c r="W491" s="65" t="str">
        <f t="shared" si="15"/>
        <v>Exclude</v>
      </c>
    </row>
    <row r="492" spans="1:23" s="64" customFormat="1" x14ac:dyDescent="0.25">
      <c r="A492" s="63"/>
      <c r="U492" s="64" t="str">
        <f t="shared" si="14"/>
        <v>Exclude</v>
      </c>
      <c r="W492" s="65" t="str">
        <f t="shared" si="15"/>
        <v>Exclude</v>
      </c>
    </row>
    <row r="493" spans="1:23" s="64" customFormat="1" x14ac:dyDescent="0.25">
      <c r="A493" s="63"/>
      <c r="U493" s="64" t="str">
        <f t="shared" ref="U493:U556" si="16">IF(R493="TruePositive",IF(R492&lt;&gt;"Anticipatory",(N493),"Pant"),"Exclude")</f>
        <v>Exclude</v>
      </c>
      <c r="W493" s="65" t="str">
        <f t="shared" si="15"/>
        <v>Exclude</v>
      </c>
    </row>
    <row r="494" spans="1:23" s="64" customFormat="1" x14ac:dyDescent="0.25">
      <c r="A494" s="63"/>
      <c r="U494" s="64" t="str">
        <f t="shared" si="16"/>
        <v>Exclude</v>
      </c>
      <c r="W494" s="65" t="str">
        <f t="shared" si="15"/>
        <v>Exclude</v>
      </c>
    </row>
    <row r="495" spans="1:23" s="64" customFormat="1" x14ac:dyDescent="0.25">
      <c r="A495" s="63"/>
      <c r="U495" s="64" t="str">
        <f t="shared" si="16"/>
        <v>Exclude</v>
      </c>
      <c r="W495" s="65" t="str">
        <f t="shared" si="15"/>
        <v>Exclude</v>
      </c>
    </row>
    <row r="496" spans="1:23" s="64" customFormat="1" x14ac:dyDescent="0.25">
      <c r="A496" s="63"/>
      <c r="U496" s="64" t="str">
        <f t="shared" si="16"/>
        <v>Exclude</v>
      </c>
      <c r="W496" s="65" t="str">
        <f t="shared" si="15"/>
        <v>Exclude</v>
      </c>
    </row>
    <row r="497" spans="1:23" s="64" customFormat="1" x14ac:dyDescent="0.25">
      <c r="A497" s="63"/>
      <c r="U497" s="64" t="str">
        <f t="shared" si="16"/>
        <v>Exclude</v>
      </c>
      <c r="W497" s="65" t="str">
        <f t="shared" si="15"/>
        <v>Exclude</v>
      </c>
    </row>
    <row r="498" spans="1:23" s="64" customFormat="1" x14ac:dyDescent="0.25">
      <c r="A498" s="63"/>
      <c r="U498" s="64" t="str">
        <f t="shared" si="16"/>
        <v>Exclude</v>
      </c>
      <c r="W498" s="65" t="str">
        <f t="shared" si="15"/>
        <v>Exclude</v>
      </c>
    </row>
    <row r="499" spans="1:23" s="64" customFormat="1" x14ac:dyDescent="0.25">
      <c r="A499" s="63"/>
      <c r="U499" s="64" t="str">
        <f t="shared" si="16"/>
        <v>Exclude</v>
      </c>
      <c r="W499" s="65" t="str">
        <f t="shared" si="15"/>
        <v>Exclude</v>
      </c>
    </row>
    <row r="500" spans="1:23" s="64" customFormat="1" x14ac:dyDescent="0.25">
      <c r="A500" s="63"/>
      <c r="U500" s="64" t="str">
        <f t="shared" si="16"/>
        <v>Exclude</v>
      </c>
      <c r="W500" s="65" t="str">
        <f t="shared" si="15"/>
        <v>Exclude</v>
      </c>
    </row>
    <row r="501" spans="1:23" s="64" customFormat="1" x14ac:dyDescent="0.25">
      <c r="A501" s="63"/>
      <c r="U501" s="64" t="str">
        <f t="shared" si="16"/>
        <v>Exclude</v>
      </c>
      <c r="W501" s="65" t="str">
        <f t="shared" si="15"/>
        <v>Exclude</v>
      </c>
    </row>
    <row r="502" spans="1:23" s="64" customFormat="1" x14ac:dyDescent="0.25">
      <c r="A502" s="63"/>
      <c r="U502" s="64" t="str">
        <f t="shared" si="16"/>
        <v>Exclude</v>
      </c>
      <c r="W502" s="65" t="str">
        <f t="shared" si="15"/>
        <v>Exclude</v>
      </c>
    </row>
    <row r="503" spans="1:23" s="64" customFormat="1" x14ac:dyDescent="0.25">
      <c r="A503" s="63"/>
      <c r="U503" s="64" t="str">
        <f t="shared" si="16"/>
        <v>Exclude</v>
      </c>
      <c r="W503" s="65" t="str">
        <f t="shared" si="15"/>
        <v>Exclude</v>
      </c>
    </row>
    <row r="504" spans="1:23" s="64" customFormat="1" x14ac:dyDescent="0.25">
      <c r="A504" s="63"/>
      <c r="U504" s="64" t="str">
        <f t="shared" si="16"/>
        <v>Exclude</v>
      </c>
      <c r="W504" s="65" t="str">
        <f t="shared" si="15"/>
        <v>Exclude</v>
      </c>
    </row>
    <row r="505" spans="1:23" s="64" customFormat="1" x14ac:dyDescent="0.25">
      <c r="A505" s="63"/>
      <c r="U505" s="64" t="str">
        <f t="shared" si="16"/>
        <v>Exclude</v>
      </c>
      <c r="W505" s="65" t="str">
        <f t="shared" si="15"/>
        <v>Exclude</v>
      </c>
    </row>
    <row r="506" spans="1:23" s="64" customFormat="1" x14ac:dyDescent="0.25">
      <c r="A506" s="63"/>
      <c r="U506" s="64" t="str">
        <f t="shared" si="16"/>
        <v>Exclude</v>
      </c>
      <c r="W506" s="65" t="str">
        <f t="shared" si="15"/>
        <v>Exclude</v>
      </c>
    </row>
    <row r="507" spans="1:23" s="64" customFormat="1" x14ac:dyDescent="0.25">
      <c r="A507" s="63"/>
      <c r="U507" s="64" t="str">
        <f t="shared" si="16"/>
        <v>Exclude</v>
      </c>
      <c r="W507" s="65" t="str">
        <f t="shared" si="15"/>
        <v>Exclude</v>
      </c>
    </row>
    <row r="508" spans="1:23" s="64" customFormat="1" x14ac:dyDescent="0.25">
      <c r="A508" s="63"/>
      <c r="U508" s="64" t="str">
        <f t="shared" si="16"/>
        <v>Exclude</v>
      </c>
      <c r="W508" s="65" t="str">
        <f t="shared" si="15"/>
        <v>Exclude</v>
      </c>
    </row>
    <row r="509" spans="1:23" s="64" customFormat="1" x14ac:dyDescent="0.25">
      <c r="A509" s="63"/>
      <c r="U509" s="64" t="str">
        <f t="shared" si="16"/>
        <v>Exclude</v>
      </c>
      <c r="W509" s="65" t="str">
        <f t="shared" si="15"/>
        <v>Exclude</v>
      </c>
    </row>
    <row r="510" spans="1:23" s="64" customFormat="1" x14ac:dyDescent="0.25">
      <c r="A510" s="63"/>
      <c r="U510" s="64" t="str">
        <f t="shared" si="16"/>
        <v>Exclude</v>
      </c>
      <c r="W510" s="65" t="str">
        <f t="shared" si="15"/>
        <v>Exclude</v>
      </c>
    </row>
    <row r="511" spans="1:23" s="64" customFormat="1" x14ac:dyDescent="0.25">
      <c r="A511" s="63"/>
      <c r="U511" s="64" t="str">
        <f t="shared" si="16"/>
        <v>Exclude</v>
      </c>
      <c r="W511" s="65" t="str">
        <f t="shared" si="15"/>
        <v>Exclude</v>
      </c>
    </row>
    <row r="512" spans="1:23" s="64" customFormat="1" x14ac:dyDescent="0.25">
      <c r="A512" s="63"/>
      <c r="U512" s="64" t="str">
        <f t="shared" si="16"/>
        <v>Exclude</v>
      </c>
      <c r="W512" s="65" t="str">
        <f t="shared" si="15"/>
        <v>Exclude</v>
      </c>
    </row>
    <row r="513" spans="1:23" s="64" customFormat="1" x14ac:dyDescent="0.25">
      <c r="A513" s="63"/>
      <c r="U513" s="64" t="str">
        <f t="shared" si="16"/>
        <v>Exclude</v>
      </c>
      <c r="W513" s="65" t="str">
        <f t="shared" si="15"/>
        <v>Exclude</v>
      </c>
    </row>
    <row r="514" spans="1:23" s="64" customFormat="1" x14ac:dyDescent="0.25">
      <c r="A514" s="63"/>
      <c r="U514" s="64" t="str">
        <f t="shared" si="16"/>
        <v>Exclude</v>
      </c>
      <c r="W514" s="65" t="str">
        <f t="shared" si="15"/>
        <v>Exclude</v>
      </c>
    </row>
    <row r="515" spans="1:23" s="64" customFormat="1" x14ac:dyDescent="0.25">
      <c r="A515" s="63"/>
      <c r="U515" s="64" t="str">
        <f t="shared" si="16"/>
        <v>Exclude</v>
      </c>
      <c r="W515" s="65" t="str">
        <f t="shared" si="15"/>
        <v>Exclude</v>
      </c>
    </row>
    <row r="516" spans="1:23" s="64" customFormat="1" x14ac:dyDescent="0.25">
      <c r="A516" s="63"/>
      <c r="U516" s="64" t="str">
        <f t="shared" si="16"/>
        <v>Exclude</v>
      </c>
      <c r="W516" s="65" t="str">
        <f t="shared" si="15"/>
        <v>Exclude</v>
      </c>
    </row>
    <row r="517" spans="1:23" s="64" customFormat="1" x14ac:dyDescent="0.25">
      <c r="A517" s="63"/>
      <c r="U517" s="64" t="str">
        <f t="shared" si="16"/>
        <v>Exclude</v>
      </c>
      <c r="W517" s="65" t="str">
        <f t="shared" si="15"/>
        <v>Exclude</v>
      </c>
    </row>
    <row r="518" spans="1:23" s="64" customFormat="1" x14ac:dyDescent="0.25">
      <c r="A518" s="63"/>
      <c r="U518" s="64" t="str">
        <f t="shared" si="16"/>
        <v>Exclude</v>
      </c>
      <c r="W518" s="65" t="str">
        <f t="shared" si="15"/>
        <v>Exclude</v>
      </c>
    </row>
    <row r="519" spans="1:23" s="64" customFormat="1" x14ac:dyDescent="0.25">
      <c r="A519" s="63"/>
      <c r="U519" s="64" t="str">
        <f t="shared" si="16"/>
        <v>Exclude</v>
      </c>
      <c r="W519" s="65" t="str">
        <f t="shared" si="15"/>
        <v>Exclude</v>
      </c>
    </row>
    <row r="520" spans="1:23" s="64" customFormat="1" x14ac:dyDescent="0.25">
      <c r="A520" s="63"/>
      <c r="U520" s="64" t="str">
        <f t="shared" si="16"/>
        <v>Exclude</v>
      </c>
      <c r="W520" s="65" t="str">
        <f t="shared" si="15"/>
        <v>Exclude</v>
      </c>
    </row>
    <row r="521" spans="1:23" s="64" customFormat="1" x14ac:dyDescent="0.25">
      <c r="A521" s="63"/>
      <c r="U521" s="64" t="str">
        <f t="shared" si="16"/>
        <v>Exclude</v>
      </c>
      <c r="W521" s="65" t="str">
        <f t="shared" si="15"/>
        <v>Exclude</v>
      </c>
    </row>
    <row r="522" spans="1:23" s="64" customFormat="1" x14ac:dyDescent="0.25">
      <c r="A522" s="63"/>
      <c r="U522" s="64" t="str">
        <f t="shared" si="16"/>
        <v>Exclude</v>
      </c>
      <c r="W522" s="65" t="str">
        <f t="shared" si="15"/>
        <v>Exclude</v>
      </c>
    </row>
    <row r="523" spans="1:23" s="64" customFormat="1" x14ac:dyDescent="0.25">
      <c r="A523" s="63"/>
      <c r="U523" s="64" t="str">
        <f t="shared" si="16"/>
        <v>Exclude</v>
      </c>
      <c r="W523" s="65" t="str">
        <f t="shared" si="15"/>
        <v>Exclude</v>
      </c>
    </row>
    <row r="524" spans="1:23" s="64" customFormat="1" x14ac:dyDescent="0.25">
      <c r="A524" s="63"/>
      <c r="U524" s="64" t="str">
        <f t="shared" si="16"/>
        <v>Exclude</v>
      </c>
      <c r="W524" s="65" t="str">
        <f t="shared" si="15"/>
        <v>Exclude</v>
      </c>
    </row>
    <row r="525" spans="1:23" s="64" customFormat="1" x14ac:dyDescent="0.25">
      <c r="A525" s="63"/>
      <c r="U525" s="64" t="str">
        <f t="shared" si="16"/>
        <v>Exclude</v>
      </c>
      <c r="W525" s="65" t="str">
        <f t="shared" si="15"/>
        <v>Exclude</v>
      </c>
    </row>
    <row r="526" spans="1:23" s="64" customFormat="1" x14ac:dyDescent="0.25">
      <c r="A526" s="63"/>
      <c r="U526" s="64" t="str">
        <f t="shared" si="16"/>
        <v>Exclude</v>
      </c>
      <c r="W526" s="65" t="str">
        <f t="shared" si="15"/>
        <v>Exclude</v>
      </c>
    </row>
    <row r="527" spans="1:23" s="64" customFormat="1" x14ac:dyDescent="0.25">
      <c r="A527" s="63"/>
      <c r="U527" s="64" t="str">
        <f t="shared" si="16"/>
        <v>Exclude</v>
      </c>
      <c r="W527" s="65" t="str">
        <f t="shared" si="15"/>
        <v>Exclude</v>
      </c>
    </row>
    <row r="528" spans="1:23" s="64" customFormat="1" x14ac:dyDescent="0.25">
      <c r="A528" s="63"/>
      <c r="U528" s="64" t="str">
        <f t="shared" si="16"/>
        <v>Exclude</v>
      </c>
      <c r="W528" s="65" t="str">
        <f t="shared" si="15"/>
        <v>Exclude</v>
      </c>
    </row>
    <row r="529" spans="1:23" s="64" customFormat="1" x14ac:dyDescent="0.25">
      <c r="A529" s="63"/>
      <c r="U529" s="64" t="str">
        <f t="shared" si="16"/>
        <v>Exclude</v>
      </c>
      <c r="W529" s="65" t="str">
        <f>IF(R529="TruePositive",IF(R528&lt;&gt;"Anticipatory",LOG10(N529),"Exclude"),"Exclude")</f>
        <v>Exclude</v>
      </c>
    </row>
    <row r="530" spans="1:23" s="64" customFormat="1" x14ac:dyDescent="0.25">
      <c r="A530" s="63"/>
      <c r="U530" s="64" t="str">
        <f t="shared" si="16"/>
        <v>Exclude</v>
      </c>
      <c r="W530" s="65" t="str">
        <f t="shared" ref="W530:W593" si="17">IF(R530="TruePositive",IF(R529&lt;&gt;"Anticipatory",LOG10(N530),"Exclude"),"Exclude")</f>
        <v>Exclude</v>
      </c>
    </row>
    <row r="531" spans="1:23" s="64" customFormat="1" x14ac:dyDescent="0.25">
      <c r="A531" s="63"/>
      <c r="U531" s="64" t="str">
        <f t="shared" si="16"/>
        <v>Exclude</v>
      </c>
      <c r="W531" s="65" t="str">
        <f t="shared" si="17"/>
        <v>Exclude</v>
      </c>
    </row>
    <row r="532" spans="1:23" s="64" customFormat="1" x14ac:dyDescent="0.25">
      <c r="A532" s="63"/>
      <c r="U532" s="64" t="str">
        <f t="shared" si="16"/>
        <v>Exclude</v>
      </c>
      <c r="W532" s="65" t="str">
        <f t="shared" si="17"/>
        <v>Exclude</v>
      </c>
    </row>
    <row r="533" spans="1:23" s="64" customFormat="1" x14ac:dyDescent="0.25">
      <c r="A533" s="63"/>
      <c r="U533" s="64" t="str">
        <f t="shared" si="16"/>
        <v>Exclude</v>
      </c>
      <c r="W533" s="65" t="str">
        <f t="shared" si="17"/>
        <v>Exclude</v>
      </c>
    </row>
    <row r="534" spans="1:23" s="64" customFormat="1" x14ac:dyDescent="0.25">
      <c r="A534" s="63"/>
      <c r="U534" s="64" t="str">
        <f t="shared" si="16"/>
        <v>Exclude</v>
      </c>
      <c r="W534" s="65" t="str">
        <f t="shared" si="17"/>
        <v>Exclude</v>
      </c>
    </row>
    <row r="535" spans="1:23" s="64" customFormat="1" x14ac:dyDescent="0.25">
      <c r="A535" s="63"/>
      <c r="U535" s="64" t="str">
        <f t="shared" si="16"/>
        <v>Exclude</v>
      </c>
      <c r="W535" s="65" t="str">
        <f t="shared" si="17"/>
        <v>Exclude</v>
      </c>
    </row>
    <row r="536" spans="1:23" s="64" customFormat="1" x14ac:dyDescent="0.25">
      <c r="A536" s="63"/>
      <c r="U536" s="64" t="str">
        <f t="shared" si="16"/>
        <v>Exclude</v>
      </c>
      <c r="W536" s="65" t="str">
        <f t="shared" si="17"/>
        <v>Exclude</v>
      </c>
    </row>
    <row r="537" spans="1:23" s="64" customFormat="1" x14ac:dyDescent="0.25">
      <c r="A537" s="63"/>
      <c r="U537" s="64" t="str">
        <f t="shared" si="16"/>
        <v>Exclude</v>
      </c>
      <c r="W537" s="65" t="str">
        <f t="shared" si="17"/>
        <v>Exclude</v>
      </c>
    </row>
    <row r="538" spans="1:23" s="64" customFormat="1" x14ac:dyDescent="0.25">
      <c r="A538" s="63"/>
      <c r="U538" s="64" t="str">
        <f t="shared" si="16"/>
        <v>Exclude</v>
      </c>
      <c r="W538" s="65" t="str">
        <f t="shared" si="17"/>
        <v>Exclude</v>
      </c>
    </row>
    <row r="539" spans="1:23" s="64" customFormat="1" x14ac:dyDescent="0.25">
      <c r="A539" s="63"/>
      <c r="U539" s="64" t="str">
        <f t="shared" si="16"/>
        <v>Exclude</v>
      </c>
      <c r="W539" s="65" t="str">
        <f t="shared" si="17"/>
        <v>Exclude</v>
      </c>
    </row>
    <row r="540" spans="1:23" s="64" customFormat="1" x14ac:dyDescent="0.25">
      <c r="A540" s="63"/>
      <c r="U540" s="64" t="str">
        <f t="shared" si="16"/>
        <v>Exclude</v>
      </c>
      <c r="W540" s="65" t="str">
        <f t="shared" si="17"/>
        <v>Exclude</v>
      </c>
    </row>
    <row r="541" spans="1:23" s="64" customFormat="1" x14ac:dyDescent="0.25">
      <c r="A541" s="63"/>
      <c r="U541" s="64" t="str">
        <f t="shared" si="16"/>
        <v>Exclude</v>
      </c>
      <c r="W541" s="65" t="str">
        <f t="shared" si="17"/>
        <v>Exclude</v>
      </c>
    </row>
    <row r="542" spans="1:23" s="64" customFormat="1" x14ac:dyDescent="0.25">
      <c r="A542" s="63"/>
      <c r="U542" s="64" t="str">
        <f t="shared" si="16"/>
        <v>Exclude</v>
      </c>
      <c r="W542" s="65" t="str">
        <f t="shared" si="17"/>
        <v>Exclude</v>
      </c>
    </row>
    <row r="543" spans="1:23" s="64" customFormat="1" x14ac:dyDescent="0.25">
      <c r="A543" s="63"/>
      <c r="U543" s="64" t="str">
        <f t="shared" si="16"/>
        <v>Exclude</v>
      </c>
      <c r="W543" s="65" t="str">
        <f t="shared" si="17"/>
        <v>Exclude</v>
      </c>
    </row>
    <row r="544" spans="1:23" s="64" customFormat="1" x14ac:dyDescent="0.25">
      <c r="A544" s="63"/>
      <c r="U544" s="64" t="str">
        <f t="shared" si="16"/>
        <v>Exclude</v>
      </c>
      <c r="W544" s="65" t="str">
        <f t="shared" si="17"/>
        <v>Exclude</v>
      </c>
    </row>
    <row r="545" spans="1:23" s="64" customFormat="1" x14ac:dyDescent="0.25">
      <c r="A545" s="63"/>
      <c r="U545" s="64" t="str">
        <f t="shared" si="16"/>
        <v>Exclude</v>
      </c>
      <c r="W545" s="65" t="str">
        <f t="shared" si="17"/>
        <v>Exclude</v>
      </c>
    </row>
    <row r="546" spans="1:23" s="64" customFormat="1" x14ac:dyDescent="0.25">
      <c r="A546" s="63"/>
      <c r="U546" s="64" t="str">
        <f t="shared" si="16"/>
        <v>Exclude</v>
      </c>
      <c r="W546" s="65" t="str">
        <f t="shared" si="17"/>
        <v>Exclude</v>
      </c>
    </row>
    <row r="547" spans="1:23" s="64" customFormat="1" x14ac:dyDescent="0.25">
      <c r="A547" s="63"/>
      <c r="U547" s="64" t="str">
        <f t="shared" si="16"/>
        <v>Exclude</v>
      </c>
      <c r="W547" s="65" t="str">
        <f t="shared" si="17"/>
        <v>Exclude</v>
      </c>
    </row>
    <row r="548" spans="1:23" s="64" customFormat="1" x14ac:dyDescent="0.25">
      <c r="A548" s="63"/>
      <c r="U548" s="64" t="str">
        <f t="shared" si="16"/>
        <v>Exclude</v>
      </c>
      <c r="W548" s="65" t="str">
        <f t="shared" si="17"/>
        <v>Exclude</v>
      </c>
    </row>
    <row r="549" spans="1:23" s="64" customFormat="1" x14ac:dyDescent="0.25">
      <c r="A549" s="63"/>
      <c r="U549" s="64" t="str">
        <f t="shared" si="16"/>
        <v>Exclude</v>
      </c>
      <c r="W549" s="65" t="str">
        <f t="shared" si="17"/>
        <v>Exclude</v>
      </c>
    </row>
    <row r="550" spans="1:23" s="64" customFormat="1" x14ac:dyDescent="0.25">
      <c r="A550" s="63"/>
      <c r="U550" s="64" t="str">
        <f t="shared" si="16"/>
        <v>Exclude</v>
      </c>
      <c r="W550" s="65" t="str">
        <f t="shared" si="17"/>
        <v>Exclude</v>
      </c>
    </row>
    <row r="551" spans="1:23" s="64" customFormat="1" x14ac:dyDescent="0.25">
      <c r="A551" s="63"/>
      <c r="U551" s="64" t="str">
        <f t="shared" si="16"/>
        <v>Exclude</v>
      </c>
      <c r="W551" s="65" t="str">
        <f t="shared" si="17"/>
        <v>Exclude</v>
      </c>
    </row>
    <row r="552" spans="1:23" s="64" customFormat="1" x14ac:dyDescent="0.25">
      <c r="A552" s="63"/>
      <c r="U552" s="64" t="str">
        <f t="shared" si="16"/>
        <v>Exclude</v>
      </c>
      <c r="W552" s="65" t="str">
        <f t="shared" si="17"/>
        <v>Exclude</v>
      </c>
    </row>
    <row r="553" spans="1:23" s="64" customFormat="1" x14ac:dyDescent="0.25">
      <c r="A553" s="63"/>
      <c r="U553" s="64" t="str">
        <f t="shared" si="16"/>
        <v>Exclude</v>
      </c>
      <c r="W553" s="65" t="str">
        <f t="shared" si="17"/>
        <v>Exclude</v>
      </c>
    </row>
    <row r="554" spans="1:23" s="64" customFormat="1" x14ac:dyDescent="0.25">
      <c r="A554" s="63"/>
      <c r="U554" s="64" t="str">
        <f t="shared" si="16"/>
        <v>Exclude</v>
      </c>
      <c r="W554" s="65" t="str">
        <f t="shared" si="17"/>
        <v>Exclude</v>
      </c>
    </row>
    <row r="555" spans="1:23" s="64" customFormat="1" x14ac:dyDescent="0.25">
      <c r="A555" s="63"/>
      <c r="U555" s="64" t="str">
        <f t="shared" si="16"/>
        <v>Exclude</v>
      </c>
      <c r="W555" s="65" t="str">
        <f t="shared" si="17"/>
        <v>Exclude</v>
      </c>
    </row>
    <row r="556" spans="1:23" s="64" customFormat="1" x14ac:dyDescent="0.25">
      <c r="A556" s="63"/>
      <c r="U556" s="64" t="str">
        <f t="shared" si="16"/>
        <v>Exclude</v>
      </c>
      <c r="W556" s="65" t="str">
        <f t="shared" si="17"/>
        <v>Exclude</v>
      </c>
    </row>
    <row r="557" spans="1:23" s="64" customFormat="1" x14ac:dyDescent="0.25">
      <c r="A557" s="63"/>
      <c r="U557" s="64" t="str">
        <f t="shared" ref="U557:U620" si="18">IF(R557="TruePositive",IF(R556&lt;&gt;"Anticipatory",(N557),"Pant"),"Exclude")</f>
        <v>Exclude</v>
      </c>
      <c r="W557" s="65" t="str">
        <f t="shared" si="17"/>
        <v>Exclude</v>
      </c>
    </row>
    <row r="558" spans="1:23" s="64" customFormat="1" x14ac:dyDescent="0.25">
      <c r="A558" s="63"/>
      <c r="U558" s="64" t="str">
        <f t="shared" si="18"/>
        <v>Exclude</v>
      </c>
      <c r="W558" s="65" t="str">
        <f t="shared" si="17"/>
        <v>Exclude</v>
      </c>
    </row>
    <row r="559" spans="1:23" s="64" customFormat="1" x14ac:dyDescent="0.25">
      <c r="A559" s="63"/>
      <c r="U559" s="64" t="str">
        <f t="shared" si="18"/>
        <v>Exclude</v>
      </c>
      <c r="W559" s="65" t="str">
        <f t="shared" si="17"/>
        <v>Exclude</v>
      </c>
    </row>
    <row r="560" spans="1:23" s="64" customFormat="1" x14ac:dyDescent="0.25">
      <c r="A560" s="63"/>
      <c r="U560" s="64" t="str">
        <f t="shared" si="18"/>
        <v>Exclude</v>
      </c>
      <c r="W560" s="65" t="str">
        <f t="shared" si="17"/>
        <v>Exclude</v>
      </c>
    </row>
    <row r="561" spans="1:23" s="64" customFormat="1" x14ac:dyDescent="0.25">
      <c r="A561" s="63"/>
      <c r="U561" s="64" t="str">
        <f t="shared" si="18"/>
        <v>Exclude</v>
      </c>
      <c r="W561" s="65" t="str">
        <f t="shared" si="17"/>
        <v>Exclude</v>
      </c>
    </row>
    <row r="562" spans="1:23" s="64" customFormat="1" x14ac:dyDescent="0.25">
      <c r="A562" s="63"/>
      <c r="U562" s="64" t="str">
        <f t="shared" si="18"/>
        <v>Exclude</v>
      </c>
      <c r="W562" s="65" t="str">
        <f t="shared" si="17"/>
        <v>Exclude</v>
      </c>
    </row>
    <row r="563" spans="1:23" s="64" customFormat="1" x14ac:dyDescent="0.25">
      <c r="A563" s="63"/>
      <c r="U563" s="64" t="str">
        <f t="shared" si="18"/>
        <v>Exclude</v>
      </c>
      <c r="W563" s="65" t="str">
        <f t="shared" si="17"/>
        <v>Exclude</v>
      </c>
    </row>
    <row r="564" spans="1:23" s="64" customFormat="1" x14ac:dyDescent="0.25">
      <c r="A564" s="63"/>
      <c r="U564" s="64" t="str">
        <f t="shared" si="18"/>
        <v>Exclude</v>
      </c>
      <c r="W564" s="65" t="str">
        <f t="shared" si="17"/>
        <v>Exclude</v>
      </c>
    </row>
    <row r="565" spans="1:23" s="64" customFormat="1" x14ac:dyDescent="0.25">
      <c r="A565" s="63"/>
      <c r="U565" s="64" t="str">
        <f t="shared" si="18"/>
        <v>Exclude</v>
      </c>
      <c r="W565" s="65" t="str">
        <f t="shared" si="17"/>
        <v>Exclude</v>
      </c>
    </row>
    <row r="566" spans="1:23" s="64" customFormat="1" x14ac:dyDescent="0.25">
      <c r="A566" s="63"/>
      <c r="U566" s="64" t="str">
        <f t="shared" si="18"/>
        <v>Exclude</v>
      </c>
      <c r="W566" s="65" t="str">
        <f t="shared" si="17"/>
        <v>Exclude</v>
      </c>
    </row>
    <row r="567" spans="1:23" s="64" customFormat="1" x14ac:dyDescent="0.25">
      <c r="A567" s="63"/>
      <c r="U567" s="64" t="str">
        <f t="shared" si="18"/>
        <v>Exclude</v>
      </c>
      <c r="W567" s="65" t="str">
        <f t="shared" si="17"/>
        <v>Exclude</v>
      </c>
    </row>
    <row r="568" spans="1:23" s="64" customFormat="1" x14ac:dyDescent="0.25">
      <c r="A568" s="63"/>
      <c r="U568" s="64" t="str">
        <f t="shared" si="18"/>
        <v>Exclude</v>
      </c>
      <c r="W568" s="65" t="str">
        <f t="shared" si="17"/>
        <v>Exclude</v>
      </c>
    </row>
    <row r="569" spans="1:23" s="64" customFormat="1" x14ac:dyDescent="0.25">
      <c r="A569" s="63"/>
      <c r="U569" s="64" t="str">
        <f t="shared" si="18"/>
        <v>Exclude</v>
      </c>
      <c r="W569" s="65" t="str">
        <f t="shared" si="17"/>
        <v>Exclude</v>
      </c>
    </row>
    <row r="570" spans="1:23" s="64" customFormat="1" x14ac:dyDescent="0.25">
      <c r="A570" s="63"/>
      <c r="U570" s="64" t="str">
        <f t="shared" si="18"/>
        <v>Exclude</v>
      </c>
      <c r="W570" s="65" t="str">
        <f t="shared" si="17"/>
        <v>Exclude</v>
      </c>
    </row>
    <row r="571" spans="1:23" s="64" customFormat="1" x14ac:dyDescent="0.25">
      <c r="A571" s="63"/>
      <c r="U571" s="64" t="str">
        <f t="shared" si="18"/>
        <v>Exclude</v>
      </c>
      <c r="W571" s="65" t="str">
        <f t="shared" si="17"/>
        <v>Exclude</v>
      </c>
    </row>
    <row r="572" spans="1:23" s="64" customFormat="1" x14ac:dyDescent="0.25">
      <c r="A572" s="63"/>
      <c r="U572" s="64" t="str">
        <f t="shared" si="18"/>
        <v>Exclude</v>
      </c>
      <c r="W572" s="65" t="str">
        <f t="shared" si="17"/>
        <v>Exclude</v>
      </c>
    </row>
    <row r="573" spans="1:23" s="64" customFormat="1" x14ac:dyDescent="0.25">
      <c r="A573" s="63"/>
      <c r="U573" s="64" t="str">
        <f t="shared" si="18"/>
        <v>Exclude</v>
      </c>
      <c r="W573" s="65" t="str">
        <f t="shared" si="17"/>
        <v>Exclude</v>
      </c>
    </row>
    <row r="574" spans="1:23" s="64" customFormat="1" x14ac:dyDescent="0.25">
      <c r="A574" s="63"/>
      <c r="U574" s="64" t="str">
        <f t="shared" si="18"/>
        <v>Exclude</v>
      </c>
      <c r="W574" s="65" t="str">
        <f t="shared" si="17"/>
        <v>Exclude</v>
      </c>
    </row>
    <row r="575" spans="1:23" s="64" customFormat="1" x14ac:dyDescent="0.25">
      <c r="A575" s="63"/>
      <c r="U575" s="64" t="str">
        <f t="shared" si="18"/>
        <v>Exclude</v>
      </c>
      <c r="W575" s="65" t="str">
        <f t="shared" si="17"/>
        <v>Exclude</v>
      </c>
    </row>
    <row r="576" spans="1:23" s="64" customFormat="1" x14ac:dyDescent="0.25">
      <c r="A576" s="63"/>
      <c r="U576" s="64" t="str">
        <f t="shared" si="18"/>
        <v>Exclude</v>
      </c>
      <c r="W576" s="65" t="str">
        <f t="shared" si="17"/>
        <v>Exclude</v>
      </c>
    </row>
    <row r="577" spans="1:23" s="64" customFormat="1" x14ac:dyDescent="0.25">
      <c r="A577" s="63"/>
      <c r="U577" s="64" t="str">
        <f t="shared" si="18"/>
        <v>Exclude</v>
      </c>
      <c r="W577" s="65" t="str">
        <f t="shared" si="17"/>
        <v>Exclude</v>
      </c>
    </row>
    <row r="578" spans="1:23" s="64" customFormat="1" x14ac:dyDescent="0.25">
      <c r="A578" s="63"/>
      <c r="U578" s="64" t="str">
        <f t="shared" si="18"/>
        <v>Exclude</v>
      </c>
      <c r="W578" s="65" t="str">
        <f t="shared" si="17"/>
        <v>Exclude</v>
      </c>
    </row>
    <row r="579" spans="1:23" s="64" customFormat="1" x14ac:dyDescent="0.25">
      <c r="A579" s="63"/>
      <c r="U579" s="64" t="str">
        <f t="shared" si="18"/>
        <v>Exclude</v>
      </c>
      <c r="W579" s="65" t="str">
        <f t="shared" si="17"/>
        <v>Exclude</v>
      </c>
    </row>
    <row r="580" spans="1:23" s="64" customFormat="1" x14ac:dyDescent="0.25">
      <c r="A580" s="63"/>
      <c r="U580" s="64" t="str">
        <f t="shared" si="18"/>
        <v>Exclude</v>
      </c>
      <c r="W580" s="65" t="str">
        <f t="shared" si="17"/>
        <v>Exclude</v>
      </c>
    </row>
    <row r="581" spans="1:23" s="64" customFormat="1" x14ac:dyDescent="0.25">
      <c r="A581" s="63"/>
      <c r="U581" s="64" t="str">
        <f t="shared" si="18"/>
        <v>Exclude</v>
      </c>
      <c r="W581" s="65" t="str">
        <f t="shared" si="17"/>
        <v>Exclude</v>
      </c>
    </row>
    <row r="582" spans="1:23" s="64" customFormat="1" x14ac:dyDescent="0.25">
      <c r="A582" s="63"/>
      <c r="U582" s="64" t="str">
        <f t="shared" si="18"/>
        <v>Exclude</v>
      </c>
      <c r="W582" s="65" t="str">
        <f t="shared" si="17"/>
        <v>Exclude</v>
      </c>
    </row>
    <row r="583" spans="1:23" s="64" customFormat="1" x14ac:dyDescent="0.25">
      <c r="A583" s="63"/>
      <c r="U583" s="64" t="str">
        <f t="shared" si="18"/>
        <v>Exclude</v>
      </c>
      <c r="W583" s="65" t="str">
        <f t="shared" si="17"/>
        <v>Exclude</v>
      </c>
    </row>
    <row r="584" spans="1:23" s="64" customFormat="1" x14ac:dyDescent="0.25">
      <c r="A584" s="63"/>
      <c r="U584" s="64" t="str">
        <f t="shared" si="18"/>
        <v>Exclude</v>
      </c>
      <c r="W584" s="65" t="str">
        <f t="shared" si="17"/>
        <v>Exclude</v>
      </c>
    </row>
    <row r="585" spans="1:23" s="64" customFormat="1" x14ac:dyDescent="0.25">
      <c r="A585" s="63"/>
      <c r="U585" s="64" t="str">
        <f t="shared" si="18"/>
        <v>Exclude</v>
      </c>
      <c r="W585" s="65" t="str">
        <f t="shared" si="17"/>
        <v>Exclude</v>
      </c>
    </row>
    <row r="586" spans="1:23" s="64" customFormat="1" x14ac:dyDescent="0.25">
      <c r="A586" s="63"/>
      <c r="U586" s="64" t="str">
        <f t="shared" si="18"/>
        <v>Exclude</v>
      </c>
      <c r="W586" s="65" t="str">
        <f t="shared" si="17"/>
        <v>Exclude</v>
      </c>
    </row>
    <row r="587" spans="1:23" s="64" customFormat="1" x14ac:dyDescent="0.25">
      <c r="A587" s="63"/>
      <c r="U587" s="64" t="str">
        <f t="shared" si="18"/>
        <v>Exclude</v>
      </c>
      <c r="W587" s="65" t="str">
        <f t="shared" si="17"/>
        <v>Exclude</v>
      </c>
    </row>
    <row r="588" spans="1:23" s="64" customFormat="1" x14ac:dyDescent="0.25">
      <c r="A588" s="63"/>
      <c r="U588" s="64" t="str">
        <f t="shared" si="18"/>
        <v>Exclude</v>
      </c>
      <c r="W588" s="65" t="str">
        <f t="shared" si="17"/>
        <v>Exclude</v>
      </c>
    </row>
    <row r="589" spans="1:23" s="64" customFormat="1" x14ac:dyDescent="0.25">
      <c r="A589" s="63"/>
      <c r="U589" s="64" t="str">
        <f t="shared" si="18"/>
        <v>Exclude</v>
      </c>
      <c r="W589" s="65" t="str">
        <f t="shared" si="17"/>
        <v>Exclude</v>
      </c>
    </row>
    <row r="590" spans="1:23" s="64" customFormat="1" x14ac:dyDescent="0.25">
      <c r="A590" s="63"/>
      <c r="U590" s="64" t="str">
        <f t="shared" si="18"/>
        <v>Exclude</v>
      </c>
      <c r="W590" s="65" t="str">
        <f t="shared" si="17"/>
        <v>Exclude</v>
      </c>
    </row>
    <row r="591" spans="1:23" s="64" customFormat="1" x14ac:dyDescent="0.25">
      <c r="A591" s="63"/>
      <c r="U591" s="64" t="str">
        <f t="shared" si="18"/>
        <v>Exclude</v>
      </c>
      <c r="W591" s="65" t="str">
        <f t="shared" si="17"/>
        <v>Exclude</v>
      </c>
    </row>
    <row r="592" spans="1:23" s="64" customFormat="1" x14ac:dyDescent="0.25">
      <c r="A592" s="63"/>
      <c r="U592" s="64" t="str">
        <f t="shared" si="18"/>
        <v>Exclude</v>
      </c>
      <c r="W592" s="65" t="str">
        <f t="shared" si="17"/>
        <v>Exclude</v>
      </c>
    </row>
    <row r="593" spans="1:23" s="64" customFormat="1" x14ac:dyDescent="0.25">
      <c r="A593" s="63"/>
      <c r="U593" s="64" t="str">
        <f t="shared" si="18"/>
        <v>Exclude</v>
      </c>
      <c r="W593" s="65" t="str">
        <f t="shared" si="17"/>
        <v>Exclude</v>
      </c>
    </row>
    <row r="594" spans="1:23" s="64" customFormat="1" x14ac:dyDescent="0.25">
      <c r="A594" s="63"/>
      <c r="U594" s="64" t="str">
        <f t="shared" si="18"/>
        <v>Exclude</v>
      </c>
      <c r="W594" s="65" t="str">
        <f t="shared" ref="W594:W603" si="19">IF(R594="TruePositive",IF(R593&lt;&gt;"Anticipatory",LOG10(N594),"Exclude"),"Exclude")</f>
        <v>Exclude</v>
      </c>
    </row>
    <row r="595" spans="1:23" s="64" customFormat="1" x14ac:dyDescent="0.25">
      <c r="A595" s="63"/>
      <c r="U595" s="64" t="str">
        <f t="shared" si="18"/>
        <v>Exclude</v>
      </c>
      <c r="W595" s="65" t="str">
        <f t="shared" si="19"/>
        <v>Exclude</v>
      </c>
    </row>
    <row r="596" spans="1:23" s="64" customFormat="1" x14ac:dyDescent="0.25">
      <c r="A596" s="63"/>
      <c r="U596" s="64" t="str">
        <f t="shared" si="18"/>
        <v>Exclude</v>
      </c>
      <c r="W596" s="65" t="str">
        <f t="shared" si="19"/>
        <v>Exclude</v>
      </c>
    </row>
    <row r="597" spans="1:23" s="64" customFormat="1" x14ac:dyDescent="0.25">
      <c r="A597" s="63"/>
      <c r="U597" s="64" t="str">
        <f t="shared" si="18"/>
        <v>Exclude</v>
      </c>
      <c r="W597" s="65" t="str">
        <f t="shared" si="19"/>
        <v>Exclude</v>
      </c>
    </row>
    <row r="598" spans="1:23" s="64" customFormat="1" x14ac:dyDescent="0.25">
      <c r="A598" s="63"/>
      <c r="U598" s="64" t="str">
        <f t="shared" si="18"/>
        <v>Exclude</v>
      </c>
      <c r="W598" s="65" t="str">
        <f t="shared" si="19"/>
        <v>Exclude</v>
      </c>
    </row>
    <row r="599" spans="1:23" s="64" customFormat="1" x14ac:dyDescent="0.25">
      <c r="A599" s="63"/>
      <c r="U599" s="64" t="str">
        <f t="shared" si="18"/>
        <v>Exclude</v>
      </c>
      <c r="W599" s="65" t="str">
        <f t="shared" si="19"/>
        <v>Exclude</v>
      </c>
    </row>
    <row r="600" spans="1:23" s="64" customFormat="1" x14ac:dyDescent="0.25">
      <c r="A600" s="63"/>
      <c r="U600" s="64" t="str">
        <f t="shared" si="18"/>
        <v>Exclude</v>
      </c>
      <c r="W600" s="65" t="str">
        <f t="shared" si="19"/>
        <v>Exclude</v>
      </c>
    </row>
    <row r="601" spans="1:23" s="64" customFormat="1" x14ac:dyDescent="0.25">
      <c r="A601" s="63"/>
      <c r="U601" s="64" t="str">
        <f t="shared" si="18"/>
        <v>Exclude</v>
      </c>
      <c r="W601" s="65" t="str">
        <f t="shared" si="19"/>
        <v>Exclude</v>
      </c>
    </row>
    <row r="602" spans="1:23" s="64" customFormat="1" x14ac:dyDescent="0.25">
      <c r="A602" s="63"/>
      <c r="U602" s="64" t="str">
        <f t="shared" si="18"/>
        <v>Exclude</v>
      </c>
      <c r="W602" s="65" t="str">
        <f t="shared" si="19"/>
        <v>Exclude</v>
      </c>
    </row>
    <row r="603" spans="1:23" s="64" customFormat="1" x14ac:dyDescent="0.25">
      <c r="A603" s="63"/>
      <c r="U603" s="64" t="str">
        <f t="shared" si="18"/>
        <v>Exclude</v>
      </c>
      <c r="W603" s="65" t="str">
        <f t="shared" si="19"/>
        <v>Exclude</v>
      </c>
    </row>
    <row r="604" spans="1:23" s="64" customFormat="1" x14ac:dyDescent="0.25">
      <c r="A604" s="63"/>
      <c r="U604" s="64" t="str">
        <f t="shared" si="18"/>
        <v>Exclude</v>
      </c>
      <c r="W604" s="65"/>
    </row>
    <row r="605" spans="1:23" s="64" customFormat="1" x14ac:dyDescent="0.25">
      <c r="A605" s="63"/>
      <c r="U605" s="64" t="str">
        <f t="shared" si="18"/>
        <v>Exclude</v>
      </c>
      <c r="W605" s="65"/>
    </row>
    <row r="606" spans="1:23" s="64" customFormat="1" x14ac:dyDescent="0.25">
      <c r="A606" s="63"/>
      <c r="U606" s="64" t="str">
        <f t="shared" si="18"/>
        <v>Exclude</v>
      </c>
      <c r="W606" s="65"/>
    </row>
    <row r="607" spans="1:23" s="64" customFormat="1" x14ac:dyDescent="0.25">
      <c r="A607" s="63"/>
      <c r="U607" s="64" t="str">
        <f t="shared" si="18"/>
        <v>Exclude</v>
      </c>
      <c r="W607" s="65"/>
    </row>
    <row r="608" spans="1:23" s="64" customFormat="1" x14ac:dyDescent="0.25">
      <c r="A608" s="63"/>
      <c r="U608" s="64" t="str">
        <f t="shared" si="18"/>
        <v>Exclude</v>
      </c>
      <c r="W608" s="65"/>
    </row>
    <row r="609" spans="1:23" s="64" customFormat="1" x14ac:dyDescent="0.25">
      <c r="A609" s="63"/>
      <c r="U609" s="64" t="str">
        <f t="shared" si="18"/>
        <v>Exclude</v>
      </c>
      <c r="W609" s="65"/>
    </row>
    <row r="610" spans="1:23" s="64" customFormat="1" x14ac:dyDescent="0.25">
      <c r="A610" s="63"/>
      <c r="U610" s="64" t="str">
        <f t="shared" si="18"/>
        <v>Exclude</v>
      </c>
      <c r="W610" s="65"/>
    </row>
    <row r="611" spans="1:23" s="64" customFormat="1" x14ac:dyDescent="0.25">
      <c r="A611" s="63"/>
      <c r="U611" s="64" t="str">
        <f t="shared" si="18"/>
        <v>Exclude</v>
      </c>
      <c r="W611" s="65"/>
    </row>
    <row r="612" spans="1:23" s="64" customFormat="1" x14ac:dyDescent="0.25">
      <c r="A612" s="63"/>
      <c r="U612" s="64" t="str">
        <f t="shared" si="18"/>
        <v>Exclude</v>
      </c>
      <c r="W612" s="65"/>
    </row>
    <row r="613" spans="1:23" s="64" customFormat="1" x14ac:dyDescent="0.25">
      <c r="A613" s="63"/>
      <c r="U613" s="64" t="str">
        <f t="shared" si="18"/>
        <v>Exclude</v>
      </c>
      <c r="W613" s="65"/>
    </row>
    <row r="614" spans="1:23" s="64" customFormat="1" x14ac:dyDescent="0.25">
      <c r="A614" s="63"/>
      <c r="U614" s="64" t="str">
        <f t="shared" si="18"/>
        <v>Exclude</v>
      </c>
      <c r="W614" s="65"/>
    </row>
    <row r="615" spans="1:23" s="64" customFormat="1" x14ac:dyDescent="0.25">
      <c r="A615" s="63"/>
      <c r="U615" s="64" t="str">
        <f t="shared" si="18"/>
        <v>Exclude</v>
      </c>
      <c r="W615" s="65"/>
    </row>
    <row r="616" spans="1:23" s="64" customFormat="1" x14ac:dyDescent="0.25">
      <c r="A616" s="63"/>
      <c r="U616" s="64" t="str">
        <f t="shared" si="18"/>
        <v>Exclude</v>
      </c>
      <c r="W616" s="65"/>
    </row>
    <row r="617" spans="1:23" s="64" customFormat="1" x14ac:dyDescent="0.25">
      <c r="A617" s="63"/>
      <c r="U617" s="64" t="str">
        <f t="shared" si="18"/>
        <v>Exclude</v>
      </c>
      <c r="W617" s="65"/>
    </row>
    <row r="618" spans="1:23" s="64" customFormat="1" x14ac:dyDescent="0.25">
      <c r="A618" s="63"/>
      <c r="U618" s="64" t="str">
        <f t="shared" si="18"/>
        <v>Exclude</v>
      </c>
      <c r="W618" s="65"/>
    </row>
    <row r="619" spans="1:23" s="64" customFormat="1" x14ac:dyDescent="0.25">
      <c r="A619" s="63"/>
      <c r="U619" s="64" t="str">
        <f t="shared" si="18"/>
        <v>Exclude</v>
      </c>
      <c r="W619" s="65"/>
    </row>
    <row r="620" spans="1:23" s="64" customFormat="1" x14ac:dyDescent="0.25">
      <c r="A620" s="63"/>
      <c r="U620" s="64" t="str">
        <f t="shared" si="18"/>
        <v>Exclude</v>
      </c>
      <c r="W620" s="65"/>
    </row>
    <row r="621" spans="1:23" s="64" customFormat="1" x14ac:dyDescent="0.25">
      <c r="A621" s="63"/>
      <c r="U621" s="64" t="str">
        <f t="shared" ref="U621:U636" si="20">IF(R621="TruePositive",IF(R620&lt;&gt;"Anticipatory",(N621),"Pant"),"Exclude")</f>
        <v>Exclude</v>
      </c>
      <c r="W621" s="65"/>
    </row>
    <row r="622" spans="1:23" s="64" customFormat="1" x14ac:dyDescent="0.25">
      <c r="A622" s="63"/>
      <c r="U622" s="64" t="str">
        <f t="shared" si="20"/>
        <v>Exclude</v>
      </c>
      <c r="W622" s="65"/>
    </row>
    <row r="623" spans="1:23" s="64" customFormat="1" x14ac:dyDescent="0.25">
      <c r="A623" s="63"/>
      <c r="U623" s="64" t="str">
        <f t="shared" si="20"/>
        <v>Exclude</v>
      </c>
      <c r="W623" s="65"/>
    </row>
    <row r="624" spans="1:23" s="64" customFormat="1" x14ac:dyDescent="0.25">
      <c r="A624" s="63"/>
      <c r="U624" s="64" t="str">
        <f t="shared" si="20"/>
        <v>Exclude</v>
      </c>
      <c r="W624" s="65"/>
    </row>
    <row r="625" spans="1:23" s="64" customFormat="1" x14ac:dyDescent="0.25">
      <c r="A625" s="63"/>
      <c r="U625" s="64" t="str">
        <f t="shared" si="20"/>
        <v>Exclude</v>
      </c>
      <c r="W625" s="65"/>
    </row>
    <row r="626" spans="1:23" s="64" customFormat="1" x14ac:dyDescent="0.25">
      <c r="A626" s="63"/>
      <c r="U626" s="64" t="str">
        <f t="shared" si="20"/>
        <v>Exclude</v>
      </c>
      <c r="W626" s="65"/>
    </row>
    <row r="627" spans="1:23" s="64" customFormat="1" x14ac:dyDescent="0.25">
      <c r="A627" s="63"/>
      <c r="U627" s="64" t="str">
        <f t="shared" si="20"/>
        <v>Exclude</v>
      </c>
      <c r="W627" s="65"/>
    </row>
    <row r="628" spans="1:23" s="64" customFormat="1" x14ac:dyDescent="0.25">
      <c r="A628" s="63"/>
      <c r="U628" s="64" t="str">
        <f t="shared" si="20"/>
        <v>Exclude</v>
      </c>
      <c r="W628" s="65"/>
    </row>
    <row r="629" spans="1:23" s="64" customFormat="1" x14ac:dyDescent="0.25">
      <c r="A629" s="63"/>
      <c r="U629" s="64" t="str">
        <f t="shared" si="20"/>
        <v>Exclude</v>
      </c>
    </row>
    <row r="630" spans="1:23" s="64" customFormat="1" x14ac:dyDescent="0.25">
      <c r="A630" s="63"/>
      <c r="U630" s="64" t="str">
        <f t="shared" si="20"/>
        <v>Exclude</v>
      </c>
    </row>
    <row r="631" spans="1:23" s="64" customFormat="1" x14ac:dyDescent="0.25">
      <c r="A631" s="63"/>
      <c r="U631" s="64" t="str">
        <f t="shared" si="20"/>
        <v>Exclude</v>
      </c>
    </row>
    <row r="632" spans="1:23" s="64" customFormat="1" x14ac:dyDescent="0.25">
      <c r="A632" s="63"/>
      <c r="U632" s="64" t="str">
        <f t="shared" si="20"/>
        <v>Exclude</v>
      </c>
    </row>
    <row r="633" spans="1:23" s="64" customFormat="1" x14ac:dyDescent="0.25">
      <c r="A633" s="63"/>
      <c r="U633" s="64" t="str">
        <f t="shared" si="20"/>
        <v>Exclude</v>
      </c>
    </row>
    <row r="634" spans="1:23" s="64" customFormat="1" x14ac:dyDescent="0.25">
      <c r="A634" s="63"/>
      <c r="U634" s="64" t="str">
        <f t="shared" si="20"/>
        <v>Exclude</v>
      </c>
    </row>
    <row r="635" spans="1:23" s="64" customFormat="1" x14ac:dyDescent="0.25">
      <c r="A635" s="63"/>
      <c r="U635" s="64" t="str">
        <f t="shared" si="20"/>
        <v>Exclude</v>
      </c>
    </row>
    <row r="636" spans="1:23" s="64" customFormat="1" x14ac:dyDescent="0.25">
      <c r="A636" s="63"/>
      <c r="U636" s="64" t="str">
        <f t="shared" si="20"/>
        <v>Exclude</v>
      </c>
    </row>
    <row r="637" spans="1:23" s="64" customFormat="1" x14ac:dyDescent="0.25">
      <c r="A637" s="63"/>
    </row>
    <row r="638" spans="1:23" s="64" customFormat="1" x14ac:dyDescent="0.25">
      <c r="A638" s="63"/>
    </row>
    <row r="639" spans="1:23" s="64" customFormat="1" x14ac:dyDescent="0.25">
      <c r="A639" s="63"/>
    </row>
    <row r="640" spans="1:23" s="64" customFormat="1" x14ac:dyDescent="0.25">
      <c r="A640" s="63"/>
    </row>
    <row r="641" spans="1:1" s="64" customFormat="1" x14ac:dyDescent="0.25">
      <c r="A641" s="63"/>
    </row>
    <row r="642" spans="1:1" s="64" customFormat="1" x14ac:dyDescent="0.25">
      <c r="A642" s="63"/>
    </row>
    <row r="643" spans="1:1" s="64" customFormat="1" x14ac:dyDescent="0.25">
      <c r="A643" s="63"/>
    </row>
    <row r="644" spans="1:1" s="64" customFormat="1" x14ac:dyDescent="0.25">
      <c r="A644" s="63"/>
    </row>
    <row r="645" spans="1:1" s="64" customFormat="1" x14ac:dyDescent="0.25">
      <c r="A645" s="63"/>
    </row>
    <row r="646" spans="1:1" s="64" customFormat="1" x14ac:dyDescent="0.25">
      <c r="A646" s="63"/>
    </row>
    <row r="647" spans="1:1" s="64" customFormat="1" x14ac:dyDescent="0.25">
      <c r="A647" s="63"/>
    </row>
    <row r="648" spans="1:1" s="64" customFormat="1" x14ac:dyDescent="0.25">
      <c r="A648" s="63"/>
    </row>
    <row r="649" spans="1:1" s="64" customFormat="1" x14ac:dyDescent="0.25">
      <c r="A649" s="63"/>
    </row>
    <row r="650" spans="1:1" s="64" customFormat="1" x14ac:dyDescent="0.25">
      <c r="A650" s="63"/>
    </row>
    <row r="651" spans="1:1" s="64" customFormat="1" x14ac:dyDescent="0.25">
      <c r="A651" s="63"/>
    </row>
    <row r="652" spans="1:1" s="64" customFormat="1" x14ac:dyDescent="0.25">
      <c r="A652" s="63"/>
    </row>
    <row r="653" spans="1:1" s="64" customFormat="1" x14ac:dyDescent="0.25">
      <c r="A653" s="63"/>
    </row>
    <row r="654" spans="1:1" s="64" customFormat="1" x14ac:dyDescent="0.25">
      <c r="A654" s="63"/>
    </row>
  </sheetData>
  <conditionalFormatting sqref="X21:XFD646 A21:V646">
    <cfRule type="expression" dxfId="43" priority="28">
      <formula>MOD(ROW(),2)=0</formula>
    </cfRule>
  </conditionalFormatting>
  <conditionalFormatting sqref="W21:W646">
    <cfRule type="expression" dxfId="42" priority="27">
      <formula>MOD(ROW(),2)=0</formula>
    </cfRule>
  </conditionalFormatting>
  <conditionalFormatting sqref="W1:W4 W6:W10 W20:W1048576">
    <cfRule type="containsText" dxfId="41" priority="26" operator="containsText" text="Exclude">
      <formula>NOT(ISERROR(SEARCH("Exclude",W1)))</formula>
    </cfRule>
  </conditionalFormatting>
  <conditionalFormatting sqref="A14:C18 H19">
    <cfRule type="containsErrors" dxfId="40" priority="25">
      <formula>ISERROR(A14)</formula>
    </cfRule>
  </conditionalFormatting>
  <conditionalFormatting sqref="U1:U2 U12 U14:U1048576">
    <cfRule type="containsText" dxfId="39" priority="23" operator="containsText" text="Pant">
      <formula>NOT(ISERROR(SEARCH("Pant",U1)))</formula>
    </cfRule>
    <cfRule type="containsText" dxfId="38" priority="24" operator="containsText" text="Exclude">
      <formula>NOT(ISERROR(SEARCH("Exclude",U1)))</formula>
    </cfRule>
  </conditionalFormatting>
  <conditionalFormatting sqref="A11:C11">
    <cfRule type="containsErrors" dxfId="37" priority="22">
      <formula>ISERROR(A11)</formula>
    </cfRule>
  </conditionalFormatting>
  <conditionalFormatting sqref="Q11 Q9">
    <cfRule type="containsText" dxfId="36" priority="20" operator="containsText" text="Pant">
      <formula>NOT(ISERROR(SEARCH("Pant",Q9)))</formula>
    </cfRule>
    <cfRule type="containsText" dxfId="35" priority="21" operator="containsText" text="Exclude">
      <formula>NOT(ISERROR(SEARCH("Exclude",Q9)))</formula>
    </cfRule>
  </conditionalFormatting>
  <conditionalFormatting sqref="A8:C8">
    <cfRule type="containsErrors" dxfId="34" priority="19">
      <formula>ISERROR(A8)</formula>
    </cfRule>
  </conditionalFormatting>
  <conditionalFormatting sqref="Q8 Q6">
    <cfRule type="containsText" dxfId="33" priority="17" operator="containsText" text="Pant">
      <formula>NOT(ISERROR(SEARCH("Pant",Q6)))</formula>
    </cfRule>
    <cfRule type="containsText" dxfId="32" priority="18" operator="containsText" text="Exclude">
      <formula>NOT(ISERROR(SEARCH("Exclude",Q6)))</formula>
    </cfRule>
  </conditionalFormatting>
  <conditionalFormatting sqref="A5:C5">
    <cfRule type="containsErrors" dxfId="31" priority="16">
      <formula>ISERROR(A5)</formula>
    </cfRule>
  </conditionalFormatting>
  <conditionalFormatting sqref="Q5 U3">
    <cfRule type="containsText" dxfId="30" priority="14" operator="containsText" text="Pant">
      <formula>NOT(ISERROR(SEARCH("Pant",Q3)))</formula>
    </cfRule>
    <cfRule type="containsText" dxfId="29" priority="15" operator="containsText" text="Exclude">
      <formula>NOT(ISERROR(SEARCH("Exclude",Q3)))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TextToColumns">
                <anchor moveWithCells="1" sizeWithCells="1">
                  <from>
                    <xdr:col>7</xdr:col>
                    <xdr:colOff>857250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4D6EB-6782-4230-A57D-28806A7F75E7}">
  <sheetPr codeName="Sheet19"/>
  <dimension ref="A1:V666"/>
  <sheetViews>
    <sheetView topLeftCell="A7" zoomScale="90" zoomScaleNormal="90" workbookViewId="0">
      <selection activeCell="H26" sqref="H26"/>
    </sheetView>
  </sheetViews>
  <sheetFormatPr defaultColWidth="9.140625" defaultRowHeight="15" x14ac:dyDescent="0.25"/>
  <cols>
    <col min="1" max="1" width="19.85546875" style="65" customWidth="1"/>
    <col min="2" max="2" width="15.85546875" style="65" customWidth="1"/>
    <col min="3" max="3" width="16.7109375" style="65" customWidth="1"/>
    <col min="4" max="4" width="16.85546875" style="65" bestFit="1" customWidth="1"/>
    <col min="5" max="5" width="17" style="65" bestFit="1" customWidth="1"/>
    <col min="6" max="6" width="15.7109375" style="65" customWidth="1"/>
    <col min="7" max="7" width="15.28515625" style="65" customWidth="1"/>
    <col min="8" max="8" width="25.28515625" style="65" customWidth="1"/>
    <col min="9" max="9" width="19.140625" style="65" customWidth="1"/>
    <col min="10" max="10" width="27.5703125" style="65" customWidth="1"/>
    <col min="11" max="11" width="19.85546875" style="65" customWidth="1"/>
    <col min="12" max="12" width="12.7109375" style="65" bestFit="1" customWidth="1"/>
    <col min="13" max="13" width="14.28515625" style="65" customWidth="1"/>
    <col min="14" max="14" width="15.42578125" style="65" bestFit="1" customWidth="1"/>
    <col min="15" max="15" width="17" style="65" bestFit="1" customWidth="1"/>
    <col min="16" max="16" width="18.140625" style="65" customWidth="1"/>
    <col min="17" max="17" width="15.7109375" style="65" customWidth="1"/>
    <col min="18" max="19" width="12" style="65" customWidth="1"/>
    <col min="20" max="20" width="17.85546875" style="65" customWidth="1"/>
    <col min="21" max="21" width="9.140625" style="65"/>
    <col min="22" max="22" width="9.85546875" style="65" customWidth="1"/>
    <col min="23" max="16384" width="9.140625" style="65"/>
  </cols>
  <sheetData>
    <row r="1" spans="1:17" s="28" customFormat="1" ht="22.5" x14ac:dyDescent="0.3">
      <c r="C1" s="1" t="s">
        <v>164</v>
      </c>
      <c r="H1" s="30"/>
      <c r="I1" s="30"/>
      <c r="J1" s="30"/>
      <c r="K1" s="30"/>
      <c r="L1" s="33"/>
      <c r="M1" s="33"/>
      <c r="N1" s="33"/>
      <c r="O1" s="33"/>
      <c r="P1" s="33"/>
      <c r="Q1" s="33"/>
    </row>
    <row r="2" spans="1:17" s="28" customFormat="1" x14ac:dyDescent="0.25">
      <c r="D2" s="29"/>
      <c r="H2" s="30"/>
      <c r="I2" s="30"/>
      <c r="J2" s="30"/>
      <c r="K2" s="30"/>
      <c r="L2" s="33"/>
      <c r="M2" s="33"/>
      <c r="N2" s="33"/>
      <c r="O2" s="33"/>
      <c r="P2" s="33"/>
      <c r="Q2" s="33"/>
    </row>
    <row r="3" spans="1:17" s="28" customFormat="1" ht="18.75" x14ac:dyDescent="0.3">
      <c r="A3" s="69" t="s">
        <v>158</v>
      </c>
    </row>
    <row r="4" spans="1:17" s="33" customFormat="1" x14ac:dyDescent="0.25">
      <c r="A4" s="40" t="s">
        <v>0</v>
      </c>
      <c r="B4" s="40" t="s">
        <v>1</v>
      </c>
      <c r="C4" s="40" t="s">
        <v>2</v>
      </c>
      <c r="D4" s="40" t="s">
        <v>3</v>
      </c>
      <c r="E4" s="40" t="s">
        <v>4</v>
      </c>
      <c r="F4" s="40" t="s">
        <v>5</v>
      </c>
      <c r="G4" s="40" t="s">
        <v>84</v>
      </c>
      <c r="H4" s="68" t="s">
        <v>154</v>
      </c>
      <c r="I4" s="40" t="s">
        <v>63</v>
      </c>
      <c r="J4" s="40" t="s">
        <v>64</v>
      </c>
      <c r="K4" s="40" t="s">
        <v>58</v>
      </c>
      <c r="L4" s="40" t="s">
        <v>54</v>
      </c>
      <c r="M4" s="40" t="s">
        <v>55</v>
      </c>
      <c r="N4" s="40" t="s">
        <v>49</v>
      </c>
      <c r="O4" s="68" t="s">
        <v>50</v>
      </c>
      <c r="P4" s="68" t="s">
        <v>51</v>
      </c>
      <c r="Q4" s="40"/>
    </row>
    <row r="5" spans="1:17" s="33" customFormat="1" x14ac:dyDescent="0.25">
      <c r="A5" s="107" t="e">
        <f>AVERAGEIFS(V33:V1000,B33:B1000,1,D33:D1000,2)</f>
        <v>#DIV/0!</v>
      </c>
      <c r="B5" s="107" t="e">
        <f t="array" ref="B5">STDEV(IF(B33:B1000=1,IF(D33:D1000=2,V33:V1000)))</f>
        <v>#DIV/0!</v>
      </c>
      <c r="C5" s="107" t="e">
        <f>ASIN(SQRT(D5/F5))</f>
        <v>#DIV/0!</v>
      </c>
      <c r="D5" s="33">
        <f>COUNTIFS(B33:B1000,1,D33:D1000,2,R33:R1000,"TruePositive")</f>
        <v>0</v>
      </c>
      <c r="E5" s="33">
        <f>COUNTIFS(B33:B1000,1,D33:D1000,2,R33:R1000,"Outer")</f>
        <v>0</v>
      </c>
      <c r="F5" s="33">
        <f>SUM(D5+E5)</f>
        <v>0</v>
      </c>
      <c r="G5" s="33">
        <f>SUM(16671-1668-2000-3000)</f>
        <v>10003</v>
      </c>
      <c r="H5" s="101">
        <f>(G5/10000)*100</f>
        <v>100.03</v>
      </c>
      <c r="I5" s="33" t="str">
        <f>IF(H5&gt;=100,"Yes","No")</f>
        <v>Yes</v>
      </c>
      <c r="J5" s="33" t="str">
        <f>IF(I5="Yes",IF(D5&gt;0,"Yes","No"),"NULL")</f>
        <v>No</v>
      </c>
      <c r="K5" s="33">
        <f>COUNTIFS(B33:B1000,1,D33:D1000,2,R33:R1000,"Outer")</f>
        <v>0</v>
      </c>
      <c r="L5" s="33">
        <f>COUNTIFS(B33:B1000,1,D33:D1000,2,R33:R1000,"Anticipatory")</f>
        <v>0</v>
      </c>
      <c r="M5" s="33">
        <f>COUNTIFS(B33:B1000,1,D33:D1000,2,R33:R1000,"Post")</f>
        <v>0</v>
      </c>
      <c r="N5" s="107" t="e">
        <f>AVERAGEIFS(T33:T1000,B33:B1000,1,D33:D1000,2)</f>
        <v>#DIV/0!</v>
      </c>
      <c r="O5" s="107" t="e">
        <f t="array" ref="O5">STDEV(IF(B33:B1000=1,IF(D33:D1000=2,T33:T1000)))</f>
        <v>#DIV/0!</v>
      </c>
      <c r="P5" s="107" t="e">
        <f>D5/F5</f>
        <v>#DIV/0!</v>
      </c>
    </row>
    <row r="6" spans="1:17" s="33" customFormat="1" ht="18.75" x14ac:dyDescent="0.3">
      <c r="A6" s="106" t="s">
        <v>159</v>
      </c>
      <c r="B6" s="107"/>
      <c r="C6" s="107"/>
      <c r="O6" s="107"/>
    </row>
    <row r="7" spans="1:17" s="33" customFormat="1" x14ac:dyDescent="0.25">
      <c r="A7" s="105" t="s">
        <v>0</v>
      </c>
      <c r="B7" s="105" t="s">
        <v>1</v>
      </c>
      <c r="C7" s="105" t="s">
        <v>2</v>
      </c>
      <c r="D7" s="40" t="s">
        <v>3</v>
      </c>
      <c r="E7" s="40" t="s">
        <v>4</v>
      </c>
      <c r="F7" s="40" t="s">
        <v>5</v>
      </c>
      <c r="G7" s="40" t="s">
        <v>84</v>
      </c>
      <c r="H7" s="68" t="s">
        <v>154</v>
      </c>
      <c r="I7" s="40" t="s">
        <v>63</v>
      </c>
      <c r="J7" s="40" t="s">
        <v>64</v>
      </c>
      <c r="K7" s="40" t="s">
        <v>58</v>
      </c>
      <c r="L7" s="40" t="s">
        <v>54</v>
      </c>
      <c r="M7" s="40" t="s">
        <v>55</v>
      </c>
      <c r="N7" s="40" t="s">
        <v>49</v>
      </c>
      <c r="O7" s="105" t="s">
        <v>50</v>
      </c>
      <c r="P7" s="40" t="s">
        <v>51</v>
      </c>
    </row>
    <row r="8" spans="1:17" s="33" customFormat="1" x14ac:dyDescent="0.25">
      <c r="A8" s="107" t="e">
        <f>AVERAGEIFS(V33:V1000,B33:B1000,2,D33:D1000,2)</f>
        <v>#DIV/0!</v>
      </c>
      <c r="B8" s="107" t="e">
        <f t="array" ref="B8">STDEV(IF(B33:B1000=2,IF(D33:D1000=2,V33:V1000)))</f>
        <v>#DIV/0!</v>
      </c>
      <c r="C8" s="107" t="e">
        <f>ASIN(SQRT(D8/F8))</f>
        <v>#DIV/0!</v>
      </c>
      <c r="D8" s="33">
        <f>COUNTIFS(B33:B1000,2,D33:D1000,2,R33:R1000,"TruePositive")</f>
        <v>0</v>
      </c>
      <c r="E8" s="33">
        <f>COUNTIFS(B33:B1000,2,D33:D1000,2,R33:R1000,"Outer")</f>
        <v>0</v>
      </c>
      <c r="F8" s="33">
        <f>SUM(D8+E8)</f>
        <v>0</v>
      </c>
      <c r="G8" s="33">
        <f>SUM(17335-2332-2000-3000)</f>
        <v>10003</v>
      </c>
      <c r="H8" s="101">
        <f>(G8/10000)*100</f>
        <v>100.03</v>
      </c>
      <c r="I8" s="33" t="str">
        <f>IF(H8&gt;=100,"Yes","No")</f>
        <v>Yes</v>
      </c>
      <c r="J8" s="33" t="str">
        <f>IF(I8="Yes",IF(D8&gt;0,"Yes","No"),"NULL")</f>
        <v>No</v>
      </c>
      <c r="K8" s="33">
        <f>COUNTIFS(B33:B1000,2,D33:D1000,2,R33:R1000,"Outer")</f>
        <v>0</v>
      </c>
      <c r="L8" s="33">
        <f>COUNTIFS(B33:B1000,2,D33:D1000,2,R33:R1000,"Anticipatory")</f>
        <v>0</v>
      </c>
      <c r="M8" s="33">
        <f>COUNTIFS(B33:B1000,2,D33:D1000,2,R33:R1000,"Post")</f>
        <v>0</v>
      </c>
      <c r="N8" s="107" t="e">
        <f>AVERAGEIFS(T33:T1000,B33:B1000,2,D33:D1000,2)</f>
        <v>#DIV/0!</v>
      </c>
      <c r="O8" s="107" t="e">
        <f t="array" ref="O8">STDEV(IF(B33:B1000=2,IF(D33:D1000=2,T33:T1000)))</f>
        <v>#DIV/0!</v>
      </c>
      <c r="P8" s="107" t="e">
        <f>D8/F8</f>
        <v>#DIV/0!</v>
      </c>
    </row>
    <row r="9" spans="1:17" s="33" customFormat="1" ht="18.75" x14ac:dyDescent="0.3">
      <c r="A9" s="106" t="s">
        <v>160</v>
      </c>
      <c r="B9" s="107"/>
      <c r="C9" s="107"/>
      <c r="O9" s="107"/>
    </row>
    <row r="10" spans="1:17" s="33" customFormat="1" x14ac:dyDescent="0.25">
      <c r="A10" s="105" t="s">
        <v>0</v>
      </c>
      <c r="B10" s="105" t="s">
        <v>1</v>
      </c>
      <c r="C10" s="105" t="s">
        <v>2</v>
      </c>
      <c r="D10" s="40" t="s">
        <v>3</v>
      </c>
      <c r="E10" s="40" t="s">
        <v>4</v>
      </c>
      <c r="F10" s="40" t="s">
        <v>5</v>
      </c>
      <c r="G10" s="40" t="s">
        <v>84</v>
      </c>
      <c r="H10" s="68" t="s">
        <v>154</v>
      </c>
      <c r="I10" s="40" t="s">
        <v>63</v>
      </c>
      <c r="J10" s="40" t="s">
        <v>64</v>
      </c>
      <c r="K10" s="40" t="s">
        <v>58</v>
      </c>
      <c r="L10" s="40" t="s">
        <v>54</v>
      </c>
      <c r="M10" s="40" t="s">
        <v>55</v>
      </c>
      <c r="N10" s="40" t="s">
        <v>49</v>
      </c>
      <c r="O10" s="105" t="s">
        <v>50</v>
      </c>
      <c r="P10" s="40" t="s">
        <v>51</v>
      </c>
    </row>
    <row r="11" spans="1:17" s="33" customFormat="1" x14ac:dyDescent="0.25">
      <c r="A11" s="107" t="e">
        <f>AVERAGEIFS(V33:V1000,B33:B1000,3,D33:D1000,2)</f>
        <v>#DIV/0!</v>
      </c>
      <c r="B11" s="107" t="e">
        <f t="array" ref="B11">STDEV(IF(B33:B1000=3,IF(D33:D1000=2,V33:V1000)))</f>
        <v>#DIV/0!</v>
      </c>
      <c r="C11" s="107" t="e">
        <f>ASIN(SQRT(D11/F11))</f>
        <v>#DIV/0!</v>
      </c>
      <c r="D11" s="33">
        <f>COUNTIFS(B33:B1000,3,D33:D1000,2,R33:R1000,"TruePositive")</f>
        <v>0</v>
      </c>
      <c r="E11" s="33">
        <f>COUNTIFS(B33:B1000,3,D33:D1000,2,R33:R1000,"Outer")</f>
        <v>0</v>
      </c>
      <c r="F11" s="33">
        <f>SUM(D11+E11)</f>
        <v>0</v>
      </c>
      <c r="G11" s="33">
        <f>SUM(16032-1030-2000-3000)</f>
        <v>10002</v>
      </c>
      <c r="H11" s="101">
        <f>(G11/10000)*100</f>
        <v>100.02</v>
      </c>
      <c r="I11" s="33" t="str">
        <f>IF(H11&gt;=100,"Yes","No")</f>
        <v>Yes</v>
      </c>
      <c r="J11" s="33" t="str">
        <f>IF(I11="Yes",IF(D11&gt;0,"Yes","No"),"NULL")</f>
        <v>No</v>
      </c>
      <c r="K11" s="33">
        <f>COUNTIFS(B33:B1000,3,D33:D1000,2,R33:R1000,"Outer")</f>
        <v>0</v>
      </c>
      <c r="L11" s="33">
        <f>COUNTIFS(B33:B1000,3,D33:D1000,2,R33:R1000,"Anticipatory")</f>
        <v>0</v>
      </c>
      <c r="M11" s="33">
        <f>COUNTIFS(B33:B1000,3,D33:D1000,2,R33:R1000,"Post")</f>
        <v>0</v>
      </c>
      <c r="N11" s="107" t="e">
        <f>AVERAGEIFS(T33:T1000,B33:B1000,3,D33:D1000,2)</f>
        <v>#DIV/0!</v>
      </c>
      <c r="O11" s="107" t="e">
        <f t="array" ref="O11">STDEV(IF(B33:B1000=3,IF(D33:D1000=2,T33:T1000)))</f>
        <v>#DIV/0!</v>
      </c>
      <c r="P11" s="107" t="e">
        <f>D11/F11</f>
        <v>#DIV/0!</v>
      </c>
    </row>
    <row r="12" spans="1:17" s="33" customFormat="1" ht="15.75" customHeight="1" x14ac:dyDescent="0.3">
      <c r="A12" s="106" t="s">
        <v>161</v>
      </c>
      <c r="B12" s="107"/>
      <c r="C12" s="107"/>
    </row>
    <row r="13" spans="1:17" s="33" customFormat="1" ht="15.75" customHeight="1" x14ac:dyDescent="0.25">
      <c r="A13" s="105" t="s">
        <v>0</v>
      </c>
      <c r="B13" s="105" t="s">
        <v>1</v>
      </c>
      <c r="C13" s="105" t="s">
        <v>2</v>
      </c>
      <c r="D13" s="40" t="s">
        <v>3</v>
      </c>
      <c r="E13" s="40" t="s">
        <v>4</v>
      </c>
      <c r="F13" s="40" t="s">
        <v>5</v>
      </c>
      <c r="G13" s="40" t="s">
        <v>84</v>
      </c>
      <c r="H13" s="68"/>
      <c r="I13" s="40" t="s">
        <v>63</v>
      </c>
      <c r="J13" s="40" t="s">
        <v>64</v>
      </c>
      <c r="K13" s="40" t="s">
        <v>58</v>
      </c>
      <c r="L13" s="40" t="s">
        <v>54</v>
      </c>
      <c r="M13" s="40" t="s">
        <v>55</v>
      </c>
      <c r="N13" s="40" t="s">
        <v>49</v>
      </c>
      <c r="O13" s="40" t="s">
        <v>50</v>
      </c>
      <c r="P13" s="40" t="s">
        <v>51</v>
      </c>
    </row>
    <row r="14" spans="1:17" s="33" customFormat="1" x14ac:dyDescent="0.25">
      <c r="A14" s="107" t="e">
        <f>AVERAGEIF(D33:D1000,2,V33:V1000)</f>
        <v>#DIV/0!</v>
      </c>
      <c r="B14" s="107" t="e">
        <f t="array" ref="B14">STDEV(IF(D33:D1000=2,V33:V1000))</f>
        <v>#DIV/0!</v>
      </c>
      <c r="C14" s="107" t="e">
        <f>ASIN(SQRT(D14/F14))</f>
        <v>#DIV/0!</v>
      </c>
      <c r="D14" s="33">
        <f>SUM(D5+D8+D11)</f>
        <v>0</v>
      </c>
      <c r="E14" s="33">
        <f>SUM(E5+E8+E11)</f>
        <v>0</v>
      </c>
      <c r="F14" s="33">
        <f>SUM(D14+E14)</f>
        <v>0</v>
      </c>
      <c r="G14" s="33">
        <f>SUM(G5+G8+G11)</f>
        <v>30008</v>
      </c>
      <c r="H14" s="101"/>
      <c r="I14" s="33" t="str">
        <f>IF(I5="Yes",IF(I8="Yes",IF(I11="Yes","Yes","No"),"No"),"No")</f>
        <v>Yes</v>
      </c>
      <c r="J14" s="33" t="str">
        <f>IF(I14="Yes",IF(J5="Yes",IF(J8="Yes",IF(J11="Yes","Yes","No"),"No"),"No"),"NULL")</f>
        <v>No</v>
      </c>
      <c r="K14" s="33">
        <f>SUM(K5+K8+K11)</f>
        <v>0</v>
      </c>
      <c r="L14" s="33">
        <f>SUM(L5+L8+L11)</f>
        <v>0</v>
      </c>
      <c r="M14" s="33">
        <f>SUM(M5+M8+M11)</f>
        <v>0</v>
      </c>
      <c r="N14" s="107" t="e">
        <f>AVERAGEIF(D33:D1000,2,T33:T1000)</f>
        <v>#DIV/0!</v>
      </c>
      <c r="O14" s="107" t="e">
        <f t="array" ref="O14">STDEV(IF(D33:D1000=2,T33:T1000))</f>
        <v>#DIV/0!</v>
      </c>
      <c r="P14" s="107" t="e">
        <f>D14/F14</f>
        <v>#DIV/0!</v>
      </c>
    </row>
    <row r="15" spans="1:17" s="33" customFormat="1" x14ac:dyDescent="0.25">
      <c r="A15" s="107"/>
      <c r="B15" s="107"/>
      <c r="C15" s="107"/>
      <c r="H15" s="101"/>
      <c r="N15" s="107"/>
      <c r="O15" s="107"/>
      <c r="P15" s="107"/>
    </row>
    <row r="16" spans="1:17" s="28" customFormat="1" ht="18.75" x14ac:dyDescent="0.3">
      <c r="A16" s="69" t="s">
        <v>165</v>
      </c>
    </row>
    <row r="17" spans="1:22" s="33" customFormat="1" x14ac:dyDescent="0.25">
      <c r="A17" s="40" t="s">
        <v>0</v>
      </c>
      <c r="B17" s="40" t="s">
        <v>1</v>
      </c>
      <c r="C17" s="40" t="s">
        <v>2</v>
      </c>
      <c r="D17" s="40" t="s">
        <v>3</v>
      </c>
      <c r="E17" s="40" t="s">
        <v>4</v>
      </c>
      <c r="F17" s="40" t="s">
        <v>5</v>
      </c>
      <c r="G17" s="40" t="s">
        <v>84</v>
      </c>
      <c r="H17" s="68" t="s">
        <v>154</v>
      </c>
      <c r="I17" s="40" t="s">
        <v>63</v>
      </c>
      <c r="J17" s="40" t="s">
        <v>64</v>
      </c>
      <c r="K17" s="40" t="s">
        <v>58</v>
      </c>
      <c r="L17" s="40" t="s">
        <v>54</v>
      </c>
      <c r="M17" s="40" t="s">
        <v>55</v>
      </c>
      <c r="N17" s="40" t="s">
        <v>49</v>
      </c>
      <c r="O17" s="40" t="s">
        <v>50</v>
      </c>
      <c r="P17" s="40" t="s">
        <v>51</v>
      </c>
      <c r="Q17" s="40"/>
    </row>
    <row r="18" spans="1:22" s="33" customFormat="1" x14ac:dyDescent="0.25">
      <c r="A18" s="107" t="e">
        <f>AVERAGEIFS(V33:V1000,B33:B1000,1,D33:D1000,1)</f>
        <v>#DIV/0!</v>
      </c>
      <c r="B18" s="107" t="e">
        <f t="array" ref="B18">STDEV(IF(B33:B1000=1,IF(D33:D1000=1,V33:V1000)))</f>
        <v>#DIV/0!</v>
      </c>
      <c r="C18" s="107" t="e">
        <f>ASIN(SQRT(D18/F18))</f>
        <v>#DIV/0!</v>
      </c>
      <c r="D18" s="33">
        <f>COUNTIFS(B33:B1000,1,D33:D1000,1,R33:R1000,"TruePositive")</f>
        <v>0</v>
      </c>
      <c r="E18" s="33">
        <f>COUNTIFS(B33:B1000,1,D33:D1000,1,R33:R1000,"Outer")</f>
        <v>0</v>
      </c>
      <c r="F18" s="33">
        <f>SUM(D18+E18)</f>
        <v>0</v>
      </c>
      <c r="G18" s="33">
        <f>SUM(20739-5735-2000-3000)</f>
        <v>10004</v>
      </c>
      <c r="H18" s="101">
        <f>(G18/10000)*100</f>
        <v>100.03999999999999</v>
      </c>
      <c r="I18" s="33" t="str">
        <f>IF(H18&gt;=100,"Yes","No")</f>
        <v>Yes</v>
      </c>
      <c r="J18" s="33" t="str">
        <f>IF(I18="Yes",IF(D18&gt;0,"Yes","No"),"NULL")</f>
        <v>No</v>
      </c>
      <c r="K18" s="33">
        <f>COUNTIFS(B33:B1000,1,D33:D1000,1,R33:R1000,"Outer")</f>
        <v>0</v>
      </c>
      <c r="L18" s="33">
        <f>COUNTIFS(B33:B1000,1,D33:D1000,1,R33:R1000,"Anticipatory")</f>
        <v>0</v>
      </c>
      <c r="M18" s="33">
        <f>COUNTIFS(B33:B1000,1,D33:D1000,1,R33:R1000,"Post")</f>
        <v>0</v>
      </c>
      <c r="N18" s="107" t="e">
        <f>AVERAGEIFS(T33:T1000,B33:B1000,1,D33:D1000,1)</f>
        <v>#DIV/0!</v>
      </c>
      <c r="O18" s="107" t="e">
        <f t="array" ref="O18">STDEV(IF(B33:B1000=1,IF(D33:D1000=1,T33:T1000)))</f>
        <v>#DIV/0!</v>
      </c>
      <c r="P18" s="107" t="e">
        <f>D18/F18</f>
        <v>#DIV/0!</v>
      </c>
    </row>
    <row r="19" spans="1:22" s="33" customFormat="1" ht="18.75" x14ac:dyDescent="0.3">
      <c r="A19" s="106" t="s">
        <v>166</v>
      </c>
      <c r="B19" s="107"/>
      <c r="C19" s="107"/>
      <c r="O19" s="107"/>
    </row>
    <row r="20" spans="1:22" s="33" customFormat="1" x14ac:dyDescent="0.25">
      <c r="A20" s="105" t="s">
        <v>0</v>
      </c>
      <c r="B20" s="105" t="s">
        <v>1</v>
      </c>
      <c r="C20" s="105" t="s">
        <v>2</v>
      </c>
      <c r="D20" s="40" t="s">
        <v>3</v>
      </c>
      <c r="E20" s="40" t="s">
        <v>4</v>
      </c>
      <c r="F20" s="40" t="s">
        <v>5</v>
      </c>
      <c r="G20" s="40" t="s">
        <v>84</v>
      </c>
      <c r="H20" s="68" t="s">
        <v>154</v>
      </c>
      <c r="I20" s="40" t="s">
        <v>63</v>
      </c>
      <c r="J20" s="40" t="s">
        <v>64</v>
      </c>
      <c r="K20" s="40" t="s">
        <v>58</v>
      </c>
      <c r="L20" s="40" t="s">
        <v>54</v>
      </c>
      <c r="M20" s="40" t="s">
        <v>55</v>
      </c>
      <c r="N20" s="40" t="s">
        <v>49</v>
      </c>
      <c r="O20" s="105" t="s">
        <v>50</v>
      </c>
      <c r="P20" s="40" t="s">
        <v>51</v>
      </c>
    </row>
    <row r="21" spans="1:22" s="33" customFormat="1" x14ac:dyDescent="0.25">
      <c r="A21" s="107" t="e">
        <f>AVERAGEIFS(V33:V1000,B33:B1000,2,D33:D1000,1)</f>
        <v>#DIV/0!</v>
      </c>
      <c r="B21" s="107" t="e">
        <f t="array" ref="B21">STDEV(IF(B33:B1000=2,IF(D33:D1000=1,V33:V1000)))</f>
        <v>#DIV/0!</v>
      </c>
      <c r="C21" s="107" t="e">
        <f>ASIN(SQRT(D21/F21))</f>
        <v>#DIV/0!</v>
      </c>
      <c r="D21" s="33">
        <f>COUNTIFS(B33:B1000,2,D33:D1000,1,R33:R1000,"TruePositive")</f>
        <v>0</v>
      </c>
      <c r="E21" s="33">
        <f>COUNTIFS(B33:B1000,2,D33:D1000,1,R33:R1000,"Outer")</f>
        <v>0</v>
      </c>
      <c r="F21" s="33">
        <f>SUM(D21+E21)</f>
        <v>0</v>
      </c>
      <c r="G21" s="33">
        <f>SUM(17205-2201-2000-3000)</f>
        <v>10004</v>
      </c>
      <c r="H21" s="101">
        <f>(G21/10000)*100</f>
        <v>100.03999999999999</v>
      </c>
      <c r="I21" s="33" t="str">
        <f>IF(H21&gt;=100,"Yes","No")</f>
        <v>Yes</v>
      </c>
      <c r="J21" s="33" t="str">
        <f>IF(I21="Yes",IF(D21&gt;0,"Yes","No"),"NULL")</f>
        <v>No</v>
      </c>
      <c r="K21" s="33">
        <f>COUNTIFS(B33:B1000,2,D33:D1000,1,R33:R1000,"Outer")</f>
        <v>0</v>
      </c>
      <c r="L21" s="33">
        <f>COUNTIFS(B33:B1000,2,D33:D1000,1,R33:R1000,"Anticipatory")</f>
        <v>0</v>
      </c>
      <c r="M21" s="33">
        <f>COUNTIFS(B33:B1000,2,D33:D1000,1,R33:R1000,"Post")</f>
        <v>0</v>
      </c>
      <c r="N21" s="107" t="e">
        <f>AVERAGEIFS(T33:T1000,B33:B1000,2,D33:D1000,1)</f>
        <v>#DIV/0!</v>
      </c>
      <c r="O21" s="107" t="e">
        <f t="array" ref="O21">STDEV(IF(B33:B1000=2,IF(D33:D1000=1,T33:T1000)))</f>
        <v>#DIV/0!</v>
      </c>
      <c r="P21" s="107" t="e">
        <f>D21/F21</f>
        <v>#DIV/0!</v>
      </c>
    </row>
    <row r="22" spans="1:22" s="33" customFormat="1" ht="18.75" x14ac:dyDescent="0.3">
      <c r="A22" s="106" t="s">
        <v>167</v>
      </c>
      <c r="B22" s="107"/>
      <c r="C22" s="107"/>
      <c r="O22" s="107"/>
    </row>
    <row r="23" spans="1:22" s="33" customFormat="1" x14ac:dyDescent="0.25">
      <c r="A23" s="105" t="s">
        <v>0</v>
      </c>
      <c r="B23" s="105" t="s">
        <v>1</v>
      </c>
      <c r="C23" s="105" t="s">
        <v>2</v>
      </c>
      <c r="D23" s="40" t="s">
        <v>3</v>
      </c>
      <c r="E23" s="40" t="s">
        <v>4</v>
      </c>
      <c r="F23" s="40" t="s">
        <v>5</v>
      </c>
      <c r="G23" s="40" t="s">
        <v>84</v>
      </c>
      <c r="H23" s="68" t="s">
        <v>154</v>
      </c>
      <c r="I23" s="40" t="s">
        <v>63</v>
      </c>
      <c r="J23" s="40" t="s">
        <v>64</v>
      </c>
      <c r="K23" s="40" t="s">
        <v>58</v>
      </c>
      <c r="L23" s="40" t="s">
        <v>54</v>
      </c>
      <c r="M23" s="40" t="s">
        <v>55</v>
      </c>
      <c r="N23" s="40" t="s">
        <v>49</v>
      </c>
      <c r="O23" s="105" t="s">
        <v>50</v>
      </c>
      <c r="P23" s="40" t="s">
        <v>51</v>
      </c>
    </row>
    <row r="24" spans="1:22" s="33" customFormat="1" x14ac:dyDescent="0.25">
      <c r="A24" s="107" t="e">
        <f>AVERAGEIFS(V33:V1000,B33:B1000,3,D33:D1000,1)</f>
        <v>#DIV/0!</v>
      </c>
      <c r="B24" s="107" t="e">
        <f t="array" ref="B24">STDEV(IF(B33:B1000=3,IF(D33:D1000=1,V33:V1000)))</f>
        <v>#DIV/0!</v>
      </c>
      <c r="C24" s="107" t="e">
        <f>ASIN(SQRT(D24/F24))</f>
        <v>#DIV/0!</v>
      </c>
      <c r="D24" s="33">
        <f>COUNTIFS(B33:B1000,3,D33:D1000,1,R33:R1000,"TruePositive")</f>
        <v>0</v>
      </c>
      <c r="E24" s="33">
        <f>COUNTIFS(B33:B1000,3,D33:D1000,1,R33:R1000,"Outer")</f>
        <v>0</v>
      </c>
      <c r="F24" s="33">
        <f>SUM(D24+E24)</f>
        <v>0</v>
      </c>
      <c r="G24" s="33">
        <f>SUM(16047-1042-2000-3000)</f>
        <v>10005</v>
      </c>
      <c r="H24" s="101">
        <f>(G24/10000)*100</f>
        <v>100.05</v>
      </c>
      <c r="I24" s="33" t="str">
        <f>IF(H24&gt;=100,"Yes","No")</f>
        <v>Yes</v>
      </c>
      <c r="J24" s="33" t="str">
        <f>IF(I24="Yes",IF(D24&gt;0,"Yes","No"),"NULL")</f>
        <v>No</v>
      </c>
      <c r="K24" s="33">
        <f>COUNTIFS(B33:B1000,3,D33:D1000,1,R33:R1000,"Outer")</f>
        <v>0</v>
      </c>
      <c r="L24" s="33">
        <f>COUNTIFS(B33:B1000,3,D33:D1000,1,R33:R1000,"Anticipatory")</f>
        <v>0</v>
      </c>
      <c r="M24" s="33">
        <f>COUNTIFS(B33:B1000,3,D33:D1000,1,R33:R1000,"Post")</f>
        <v>0</v>
      </c>
      <c r="N24" s="107" t="e">
        <f>AVERAGEIFS(T33:T1000,B33:B1000,3,D33:D1000,1)</f>
        <v>#DIV/0!</v>
      </c>
      <c r="O24" s="107" t="e">
        <f t="array" ref="O24">STDEV(IF(B33:B1000=3,IF(D33:D1000=1,T33:T1000)))</f>
        <v>#DIV/0!</v>
      </c>
      <c r="P24" s="107" t="e">
        <f>D24/F24</f>
        <v>#DIV/0!</v>
      </c>
    </row>
    <row r="25" spans="1:22" s="33" customFormat="1" ht="15.75" customHeight="1" x14ac:dyDescent="0.3">
      <c r="A25" s="106" t="s">
        <v>168</v>
      </c>
      <c r="B25" s="107"/>
      <c r="C25" s="107"/>
    </row>
    <row r="26" spans="1:22" s="33" customFormat="1" ht="15.75" customHeight="1" x14ac:dyDescent="0.25">
      <c r="A26" s="105" t="s">
        <v>0</v>
      </c>
      <c r="B26" s="105" t="s">
        <v>1</v>
      </c>
      <c r="C26" s="105" t="s">
        <v>2</v>
      </c>
      <c r="D26" s="40" t="s">
        <v>3</v>
      </c>
      <c r="E26" s="40" t="s">
        <v>4</v>
      </c>
      <c r="F26" s="40" t="s">
        <v>5</v>
      </c>
      <c r="G26" s="40" t="s">
        <v>84</v>
      </c>
      <c r="H26" s="68"/>
      <c r="I26" s="40" t="s">
        <v>63</v>
      </c>
      <c r="J26" s="40" t="s">
        <v>64</v>
      </c>
      <c r="K26" s="40" t="s">
        <v>58</v>
      </c>
      <c r="L26" s="40" t="s">
        <v>54</v>
      </c>
      <c r="M26" s="40" t="s">
        <v>55</v>
      </c>
      <c r="N26" s="40" t="s">
        <v>49</v>
      </c>
      <c r="O26" s="40" t="s">
        <v>50</v>
      </c>
      <c r="P26" s="40" t="s">
        <v>51</v>
      </c>
    </row>
    <row r="27" spans="1:22" s="33" customFormat="1" x14ac:dyDescent="0.25">
      <c r="A27" s="107" t="e">
        <f>AVERAGEIF(D33:D1000,1,V33:V1000)</f>
        <v>#DIV/0!</v>
      </c>
      <c r="B27" s="107" t="e">
        <f t="array" ref="B27">STDEV(IF(D33:D1000=1,V33:V1000))</f>
        <v>#DIV/0!</v>
      </c>
      <c r="C27" s="107" t="e">
        <f>ASIN(SQRT(D27/F27))</f>
        <v>#DIV/0!</v>
      </c>
      <c r="D27" s="33">
        <f>SUM(D18+D21+D24)</f>
        <v>0</v>
      </c>
      <c r="E27" s="33">
        <f>SUM(E18+E21+E24)</f>
        <v>0</v>
      </c>
      <c r="F27" s="33">
        <f>SUM(D27+E27)</f>
        <v>0</v>
      </c>
      <c r="G27" s="33">
        <f>SUM(G18+G21+G24)</f>
        <v>30013</v>
      </c>
      <c r="H27" s="101"/>
      <c r="I27" s="33" t="str">
        <f>IF(I18="Yes",IF(I21="Yes",IF(I24="Yes","Yes","No"),"No"),"No")</f>
        <v>Yes</v>
      </c>
      <c r="J27" s="33" t="str">
        <f>IF(I27="Yes",IF(J18="Yes",IF(J21="Yes",IF(J24="Yes","Yes","No"),"No"),"No"),"NULL")</f>
        <v>No</v>
      </c>
      <c r="K27" s="33">
        <f>SUM(K18+K21+K24)</f>
        <v>0</v>
      </c>
      <c r="L27" s="33">
        <f>SUM(L18+L21+L24)</f>
        <v>0</v>
      </c>
      <c r="M27" s="33">
        <f>SUM(M18+M21+M24)</f>
        <v>0</v>
      </c>
      <c r="N27" s="107" t="e">
        <f>AVERAGEIF(D33:D1000,1,T33:T1000)</f>
        <v>#DIV/0!</v>
      </c>
      <c r="O27" s="107" t="e">
        <f t="array" ref="O27">STDEV(IF(D33:D1000=1,T33:T1000))</f>
        <v>#DIV/0!</v>
      </c>
      <c r="P27" s="107" t="e">
        <f>D27/F27</f>
        <v>#DIV/0!</v>
      </c>
    </row>
    <row r="28" spans="1:22" s="33" customFormat="1" x14ac:dyDescent="0.25">
      <c r="A28" s="107"/>
      <c r="B28" s="107"/>
      <c r="C28" s="107"/>
      <c r="H28" s="101"/>
      <c r="L28" s="101"/>
      <c r="P28" s="107"/>
      <c r="Q28" s="107"/>
      <c r="R28" s="107"/>
    </row>
    <row r="29" spans="1:22" s="33" customFormat="1" ht="15.75" customHeight="1" x14ac:dyDescent="0.3">
      <c r="A29" s="106" t="s">
        <v>169</v>
      </c>
      <c r="B29" s="107"/>
      <c r="C29" s="107"/>
    </row>
    <row r="30" spans="1:22" s="33" customFormat="1" ht="15.75" customHeight="1" x14ac:dyDescent="0.25">
      <c r="A30" s="105" t="s">
        <v>0</v>
      </c>
      <c r="B30" s="105" t="s">
        <v>1</v>
      </c>
      <c r="C30" s="105" t="s">
        <v>2</v>
      </c>
      <c r="D30" s="40" t="s">
        <v>3</v>
      </c>
      <c r="E30" s="40" t="s">
        <v>4</v>
      </c>
      <c r="F30" s="40" t="s">
        <v>5</v>
      </c>
      <c r="G30" s="40" t="s">
        <v>84</v>
      </c>
      <c r="H30" s="68"/>
      <c r="I30" s="40" t="s">
        <v>63</v>
      </c>
      <c r="J30" s="40" t="s">
        <v>64</v>
      </c>
      <c r="K30" s="40" t="s">
        <v>58</v>
      </c>
      <c r="L30" s="40" t="s">
        <v>54</v>
      </c>
      <c r="M30" s="40" t="s">
        <v>55</v>
      </c>
      <c r="N30" s="40" t="s">
        <v>49</v>
      </c>
      <c r="O30" s="40" t="s">
        <v>50</v>
      </c>
      <c r="P30" s="40" t="s">
        <v>51</v>
      </c>
    </row>
    <row r="31" spans="1:22" s="33" customFormat="1" x14ac:dyDescent="0.25">
      <c r="A31" s="107" t="e">
        <f>AVERAGE(V33:V1000)</f>
        <v>#DIV/0!</v>
      </c>
      <c r="B31" s="107" t="e">
        <f>STDEV(V33:V1000)</f>
        <v>#DIV/0!</v>
      </c>
      <c r="C31" s="107" t="e">
        <f>ASIN(SQRT(D31/F31))</f>
        <v>#DIV/0!</v>
      </c>
      <c r="D31" s="33">
        <f>SUM(D14+D27)</f>
        <v>0</v>
      </c>
      <c r="E31" s="33">
        <f>SUM(E14+E27)</f>
        <v>0</v>
      </c>
      <c r="F31" s="33">
        <f>SUM(D31+E31)</f>
        <v>0</v>
      </c>
      <c r="G31" s="33">
        <f>SUM(G14+G27)</f>
        <v>60021</v>
      </c>
      <c r="H31" s="101"/>
      <c r="I31" s="33" t="str">
        <f>IF(I14="Yes",IF(I27="Yes","Yes","No"),"No")</f>
        <v>Yes</v>
      </c>
      <c r="J31" s="33" t="str">
        <f>IF(I31="Yes",IF(J14="Yes",IF(J27="Yes","Yes","No"),"No"),"NULL")</f>
        <v>No</v>
      </c>
      <c r="K31" s="33">
        <f>SUM(K14+K27)</f>
        <v>0</v>
      </c>
      <c r="L31" s="33">
        <f>SUM(L14+L27)</f>
        <v>0</v>
      </c>
      <c r="M31" s="33">
        <f>SUM(M14+M27)</f>
        <v>0</v>
      </c>
      <c r="N31" s="107" t="e">
        <f>AVERAGE(T33:T1000)</f>
        <v>#DIV/0!</v>
      </c>
      <c r="O31" s="107" t="e">
        <f>STDEV(T33:T1000)</f>
        <v>#DIV/0!</v>
      </c>
      <c r="P31" s="107" t="e">
        <f>D31/F31</f>
        <v>#DIV/0!</v>
      </c>
    </row>
    <row r="32" spans="1:22" s="28" customFormat="1" x14ac:dyDescent="0.25">
      <c r="T32" s="29" t="s">
        <v>163</v>
      </c>
      <c r="V32" s="29" t="s">
        <v>162</v>
      </c>
    </row>
    <row r="33" spans="1:22" s="67" customFormat="1" x14ac:dyDescent="0.25">
      <c r="A33" s="66"/>
      <c r="T33" s="64" t="str">
        <f>IF(R33="TruePositive",N33,"Exclude")</f>
        <v>Exclude</v>
      </c>
      <c r="V33" s="65" t="str">
        <f>IF(R33="TruePositive",LOG10(N33),"Exclude")</f>
        <v>Exclude</v>
      </c>
    </row>
    <row r="34" spans="1:22" s="64" customFormat="1" x14ac:dyDescent="0.25">
      <c r="A34" s="63"/>
      <c r="T34" s="64" t="str">
        <f t="shared" ref="T34:T97" si="0">IF(R34="TruePositive",N34,"Exclude")</f>
        <v>Exclude</v>
      </c>
      <c r="V34" s="65" t="str">
        <f t="shared" ref="V34:V97" si="1">IF(R34="TruePositive",LOG10(N34),"Exclude")</f>
        <v>Exclude</v>
      </c>
    </row>
    <row r="35" spans="1:22" s="64" customFormat="1" x14ac:dyDescent="0.25">
      <c r="A35" s="63"/>
      <c r="T35" s="64" t="str">
        <f t="shared" si="0"/>
        <v>Exclude</v>
      </c>
      <c r="V35" s="65" t="str">
        <f t="shared" si="1"/>
        <v>Exclude</v>
      </c>
    </row>
    <row r="36" spans="1:22" s="64" customFormat="1" x14ac:dyDescent="0.25">
      <c r="A36" s="63"/>
      <c r="T36" s="64" t="str">
        <f t="shared" si="0"/>
        <v>Exclude</v>
      </c>
      <c r="V36" s="65" t="str">
        <f t="shared" si="1"/>
        <v>Exclude</v>
      </c>
    </row>
    <row r="37" spans="1:22" s="64" customFormat="1" x14ac:dyDescent="0.25">
      <c r="A37" s="63"/>
      <c r="T37" s="64" t="str">
        <f t="shared" si="0"/>
        <v>Exclude</v>
      </c>
      <c r="V37" s="65" t="str">
        <f t="shared" si="1"/>
        <v>Exclude</v>
      </c>
    </row>
    <row r="38" spans="1:22" s="64" customFormat="1" x14ac:dyDescent="0.25">
      <c r="A38" s="63"/>
      <c r="T38" s="64" t="str">
        <f t="shared" si="0"/>
        <v>Exclude</v>
      </c>
      <c r="V38" s="65" t="str">
        <f t="shared" si="1"/>
        <v>Exclude</v>
      </c>
    </row>
    <row r="39" spans="1:22" s="64" customFormat="1" x14ac:dyDescent="0.25">
      <c r="A39" s="63"/>
      <c r="T39" s="64" t="str">
        <f t="shared" si="0"/>
        <v>Exclude</v>
      </c>
      <c r="V39" s="65" t="str">
        <f t="shared" si="1"/>
        <v>Exclude</v>
      </c>
    </row>
    <row r="40" spans="1:22" s="64" customFormat="1" x14ac:dyDescent="0.25">
      <c r="A40" s="63"/>
      <c r="T40" s="64" t="str">
        <f t="shared" si="0"/>
        <v>Exclude</v>
      </c>
      <c r="V40" s="65" t="str">
        <f t="shared" si="1"/>
        <v>Exclude</v>
      </c>
    </row>
    <row r="41" spans="1:22" s="64" customFormat="1" x14ac:dyDescent="0.25">
      <c r="A41" s="63"/>
      <c r="T41" s="64" t="str">
        <f t="shared" si="0"/>
        <v>Exclude</v>
      </c>
      <c r="V41" s="65" t="str">
        <f t="shared" si="1"/>
        <v>Exclude</v>
      </c>
    </row>
    <row r="42" spans="1:22" s="64" customFormat="1" x14ac:dyDescent="0.25">
      <c r="A42" s="63"/>
      <c r="T42" s="64" t="str">
        <f t="shared" si="0"/>
        <v>Exclude</v>
      </c>
      <c r="V42" s="65" t="str">
        <f t="shared" si="1"/>
        <v>Exclude</v>
      </c>
    </row>
    <row r="43" spans="1:22" s="64" customFormat="1" x14ac:dyDescent="0.25">
      <c r="A43" s="63"/>
      <c r="T43" s="64" t="str">
        <f t="shared" si="0"/>
        <v>Exclude</v>
      </c>
      <c r="V43" s="65" t="str">
        <f t="shared" si="1"/>
        <v>Exclude</v>
      </c>
    </row>
    <row r="44" spans="1:22" s="64" customFormat="1" x14ac:dyDescent="0.25">
      <c r="A44" s="63"/>
      <c r="T44" s="64" t="str">
        <f t="shared" si="0"/>
        <v>Exclude</v>
      </c>
      <c r="V44" s="65" t="str">
        <f t="shared" si="1"/>
        <v>Exclude</v>
      </c>
    </row>
    <row r="45" spans="1:22" s="64" customFormat="1" x14ac:dyDescent="0.25">
      <c r="A45" s="63"/>
      <c r="T45" s="64" t="str">
        <f t="shared" si="0"/>
        <v>Exclude</v>
      </c>
      <c r="V45" s="65" t="str">
        <f t="shared" si="1"/>
        <v>Exclude</v>
      </c>
    </row>
    <row r="46" spans="1:22" s="64" customFormat="1" x14ac:dyDescent="0.25">
      <c r="A46" s="63"/>
      <c r="T46" s="64" t="str">
        <f t="shared" si="0"/>
        <v>Exclude</v>
      </c>
      <c r="V46" s="65" t="str">
        <f t="shared" si="1"/>
        <v>Exclude</v>
      </c>
    </row>
    <row r="47" spans="1:22" s="64" customFormat="1" x14ac:dyDescent="0.25">
      <c r="A47" s="63"/>
      <c r="T47" s="64" t="str">
        <f t="shared" si="0"/>
        <v>Exclude</v>
      </c>
      <c r="V47" s="65" t="str">
        <f t="shared" si="1"/>
        <v>Exclude</v>
      </c>
    </row>
    <row r="48" spans="1:22" s="64" customFormat="1" x14ac:dyDescent="0.25">
      <c r="A48" s="63"/>
      <c r="T48" s="64" t="str">
        <f t="shared" si="0"/>
        <v>Exclude</v>
      </c>
      <c r="V48" s="65" t="str">
        <f t="shared" si="1"/>
        <v>Exclude</v>
      </c>
    </row>
    <row r="49" spans="1:22" s="64" customFormat="1" x14ac:dyDescent="0.25">
      <c r="A49" s="63"/>
      <c r="T49" s="64" t="str">
        <f t="shared" si="0"/>
        <v>Exclude</v>
      </c>
      <c r="V49" s="65" t="str">
        <f t="shared" si="1"/>
        <v>Exclude</v>
      </c>
    </row>
    <row r="50" spans="1:22" s="64" customFormat="1" x14ac:dyDescent="0.25">
      <c r="A50" s="63"/>
      <c r="T50" s="64" t="str">
        <f t="shared" si="0"/>
        <v>Exclude</v>
      </c>
      <c r="V50" s="65" t="str">
        <f t="shared" si="1"/>
        <v>Exclude</v>
      </c>
    </row>
    <row r="51" spans="1:22" s="64" customFormat="1" x14ac:dyDescent="0.25">
      <c r="A51" s="63"/>
      <c r="T51" s="64" t="str">
        <f t="shared" si="0"/>
        <v>Exclude</v>
      </c>
      <c r="V51" s="65" t="str">
        <f t="shared" si="1"/>
        <v>Exclude</v>
      </c>
    </row>
    <row r="52" spans="1:22" s="64" customFormat="1" x14ac:dyDescent="0.25">
      <c r="A52" s="63"/>
      <c r="T52" s="64" t="str">
        <f t="shared" si="0"/>
        <v>Exclude</v>
      </c>
      <c r="V52" s="65" t="str">
        <f t="shared" si="1"/>
        <v>Exclude</v>
      </c>
    </row>
    <row r="53" spans="1:22" s="64" customFormat="1" x14ac:dyDescent="0.25">
      <c r="A53" s="63"/>
      <c r="T53" s="64" t="str">
        <f t="shared" si="0"/>
        <v>Exclude</v>
      </c>
      <c r="V53" s="65" t="str">
        <f t="shared" si="1"/>
        <v>Exclude</v>
      </c>
    </row>
    <row r="54" spans="1:22" s="64" customFormat="1" x14ac:dyDescent="0.25">
      <c r="A54" s="63"/>
      <c r="T54" s="64" t="str">
        <f t="shared" si="0"/>
        <v>Exclude</v>
      </c>
      <c r="V54" s="65" t="str">
        <f t="shared" si="1"/>
        <v>Exclude</v>
      </c>
    </row>
    <row r="55" spans="1:22" s="64" customFormat="1" x14ac:dyDescent="0.25">
      <c r="A55" s="63"/>
      <c r="T55" s="64" t="str">
        <f t="shared" si="0"/>
        <v>Exclude</v>
      </c>
      <c r="V55" s="65" t="str">
        <f t="shared" si="1"/>
        <v>Exclude</v>
      </c>
    </row>
    <row r="56" spans="1:22" s="64" customFormat="1" x14ac:dyDescent="0.25">
      <c r="A56" s="63"/>
      <c r="T56" s="64" t="str">
        <f t="shared" si="0"/>
        <v>Exclude</v>
      </c>
      <c r="V56" s="65" t="str">
        <f t="shared" si="1"/>
        <v>Exclude</v>
      </c>
    </row>
    <row r="57" spans="1:22" s="64" customFormat="1" x14ac:dyDescent="0.25">
      <c r="A57" s="63"/>
      <c r="T57" s="64" t="str">
        <f t="shared" si="0"/>
        <v>Exclude</v>
      </c>
      <c r="V57" s="65" t="str">
        <f t="shared" si="1"/>
        <v>Exclude</v>
      </c>
    </row>
    <row r="58" spans="1:22" s="64" customFormat="1" x14ac:dyDescent="0.25">
      <c r="A58" s="63"/>
      <c r="T58" s="64" t="str">
        <f t="shared" si="0"/>
        <v>Exclude</v>
      </c>
      <c r="V58" s="65" t="str">
        <f t="shared" si="1"/>
        <v>Exclude</v>
      </c>
    </row>
    <row r="59" spans="1:22" s="64" customFormat="1" x14ac:dyDescent="0.25">
      <c r="A59" s="63"/>
      <c r="T59" s="64" t="str">
        <f t="shared" si="0"/>
        <v>Exclude</v>
      </c>
      <c r="V59" s="65" t="str">
        <f t="shared" si="1"/>
        <v>Exclude</v>
      </c>
    </row>
    <row r="60" spans="1:22" s="64" customFormat="1" x14ac:dyDescent="0.25">
      <c r="A60" s="63"/>
      <c r="T60" s="64" t="str">
        <f t="shared" si="0"/>
        <v>Exclude</v>
      </c>
      <c r="V60" s="65" t="str">
        <f t="shared" si="1"/>
        <v>Exclude</v>
      </c>
    </row>
    <row r="61" spans="1:22" s="64" customFormat="1" x14ac:dyDescent="0.25">
      <c r="A61" s="63"/>
      <c r="T61" s="64" t="str">
        <f t="shared" si="0"/>
        <v>Exclude</v>
      </c>
      <c r="V61" s="65" t="str">
        <f t="shared" si="1"/>
        <v>Exclude</v>
      </c>
    </row>
    <row r="62" spans="1:22" s="64" customFormat="1" x14ac:dyDescent="0.25">
      <c r="A62" s="63"/>
      <c r="T62" s="64" t="str">
        <f t="shared" si="0"/>
        <v>Exclude</v>
      </c>
      <c r="V62" s="65" t="str">
        <f t="shared" si="1"/>
        <v>Exclude</v>
      </c>
    </row>
    <row r="63" spans="1:22" s="64" customFormat="1" x14ac:dyDescent="0.25">
      <c r="A63" s="63"/>
      <c r="T63" s="64" t="str">
        <f t="shared" si="0"/>
        <v>Exclude</v>
      </c>
      <c r="V63" s="65" t="str">
        <f t="shared" si="1"/>
        <v>Exclude</v>
      </c>
    </row>
    <row r="64" spans="1:22" s="64" customFormat="1" x14ac:dyDescent="0.25">
      <c r="A64" s="63"/>
      <c r="T64" s="64" t="str">
        <f t="shared" si="0"/>
        <v>Exclude</v>
      </c>
      <c r="V64" s="65" t="str">
        <f t="shared" si="1"/>
        <v>Exclude</v>
      </c>
    </row>
    <row r="65" spans="1:22" s="64" customFormat="1" x14ac:dyDescent="0.25">
      <c r="A65" s="63"/>
      <c r="T65" s="64" t="str">
        <f t="shared" si="0"/>
        <v>Exclude</v>
      </c>
      <c r="V65" s="65" t="str">
        <f t="shared" si="1"/>
        <v>Exclude</v>
      </c>
    </row>
    <row r="66" spans="1:22" s="64" customFormat="1" x14ac:dyDescent="0.25">
      <c r="A66" s="63"/>
      <c r="T66" s="64" t="str">
        <f t="shared" si="0"/>
        <v>Exclude</v>
      </c>
      <c r="V66" s="65" t="str">
        <f t="shared" si="1"/>
        <v>Exclude</v>
      </c>
    </row>
    <row r="67" spans="1:22" s="64" customFormat="1" x14ac:dyDescent="0.25">
      <c r="A67" s="63"/>
      <c r="T67" s="64" t="str">
        <f t="shared" si="0"/>
        <v>Exclude</v>
      </c>
      <c r="V67" s="65" t="str">
        <f t="shared" si="1"/>
        <v>Exclude</v>
      </c>
    </row>
    <row r="68" spans="1:22" s="64" customFormat="1" x14ac:dyDescent="0.25">
      <c r="A68" s="63"/>
      <c r="T68" s="64" t="str">
        <f t="shared" si="0"/>
        <v>Exclude</v>
      </c>
      <c r="V68" s="65" t="str">
        <f t="shared" si="1"/>
        <v>Exclude</v>
      </c>
    </row>
    <row r="69" spans="1:22" s="64" customFormat="1" x14ac:dyDescent="0.25">
      <c r="A69" s="63"/>
      <c r="T69" s="64" t="str">
        <f t="shared" si="0"/>
        <v>Exclude</v>
      </c>
      <c r="V69" s="65" t="str">
        <f t="shared" si="1"/>
        <v>Exclude</v>
      </c>
    </row>
    <row r="70" spans="1:22" s="64" customFormat="1" x14ac:dyDescent="0.25">
      <c r="A70" s="63"/>
      <c r="T70" s="64" t="str">
        <f t="shared" si="0"/>
        <v>Exclude</v>
      </c>
      <c r="V70" s="65" t="str">
        <f t="shared" si="1"/>
        <v>Exclude</v>
      </c>
    </row>
    <row r="71" spans="1:22" s="64" customFormat="1" x14ac:dyDescent="0.25">
      <c r="A71" s="63"/>
      <c r="T71" s="64" t="str">
        <f t="shared" si="0"/>
        <v>Exclude</v>
      </c>
      <c r="V71" s="65" t="str">
        <f t="shared" si="1"/>
        <v>Exclude</v>
      </c>
    </row>
    <row r="72" spans="1:22" s="64" customFormat="1" x14ac:dyDescent="0.25">
      <c r="A72" s="63"/>
      <c r="T72" s="64" t="str">
        <f t="shared" si="0"/>
        <v>Exclude</v>
      </c>
      <c r="V72" s="65" t="str">
        <f t="shared" si="1"/>
        <v>Exclude</v>
      </c>
    </row>
    <row r="73" spans="1:22" s="64" customFormat="1" x14ac:dyDescent="0.25">
      <c r="A73" s="63"/>
      <c r="T73" s="64" t="str">
        <f t="shared" si="0"/>
        <v>Exclude</v>
      </c>
      <c r="V73" s="65" t="str">
        <f t="shared" si="1"/>
        <v>Exclude</v>
      </c>
    </row>
    <row r="74" spans="1:22" s="64" customFormat="1" x14ac:dyDescent="0.25">
      <c r="A74" s="63"/>
      <c r="T74" s="64" t="str">
        <f t="shared" si="0"/>
        <v>Exclude</v>
      </c>
      <c r="V74" s="65" t="str">
        <f t="shared" si="1"/>
        <v>Exclude</v>
      </c>
    </row>
    <row r="75" spans="1:22" s="64" customFormat="1" x14ac:dyDescent="0.25">
      <c r="A75" s="63"/>
      <c r="T75" s="64" t="str">
        <f t="shared" si="0"/>
        <v>Exclude</v>
      </c>
      <c r="V75" s="65" t="str">
        <f t="shared" si="1"/>
        <v>Exclude</v>
      </c>
    </row>
    <row r="76" spans="1:22" s="64" customFormat="1" x14ac:dyDescent="0.25">
      <c r="A76" s="63"/>
      <c r="T76" s="64" t="str">
        <f t="shared" si="0"/>
        <v>Exclude</v>
      </c>
      <c r="V76" s="65" t="str">
        <f t="shared" si="1"/>
        <v>Exclude</v>
      </c>
    </row>
    <row r="77" spans="1:22" s="64" customFormat="1" x14ac:dyDescent="0.25">
      <c r="A77" s="63"/>
      <c r="T77" s="64" t="str">
        <f t="shared" si="0"/>
        <v>Exclude</v>
      </c>
      <c r="V77" s="65" t="str">
        <f t="shared" si="1"/>
        <v>Exclude</v>
      </c>
    </row>
    <row r="78" spans="1:22" s="64" customFormat="1" x14ac:dyDescent="0.25">
      <c r="A78" s="63"/>
      <c r="T78" s="64" t="str">
        <f t="shared" si="0"/>
        <v>Exclude</v>
      </c>
      <c r="V78" s="65" t="str">
        <f t="shared" si="1"/>
        <v>Exclude</v>
      </c>
    </row>
    <row r="79" spans="1:22" s="64" customFormat="1" x14ac:dyDescent="0.25">
      <c r="A79" s="63"/>
      <c r="T79" s="64" t="str">
        <f t="shared" si="0"/>
        <v>Exclude</v>
      </c>
      <c r="V79" s="65" t="str">
        <f t="shared" si="1"/>
        <v>Exclude</v>
      </c>
    </row>
    <row r="80" spans="1:22" s="64" customFormat="1" x14ac:dyDescent="0.25">
      <c r="A80" s="63"/>
      <c r="T80" s="64" t="str">
        <f t="shared" si="0"/>
        <v>Exclude</v>
      </c>
      <c r="V80" s="65" t="str">
        <f t="shared" si="1"/>
        <v>Exclude</v>
      </c>
    </row>
    <row r="81" spans="1:22" s="64" customFormat="1" x14ac:dyDescent="0.25">
      <c r="A81" s="63"/>
      <c r="T81" s="64" t="str">
        <f t="shared" si="0"/>
        <v>Exclude</v>
      </c>
      <c r="V81" s="65" t="str">
        <f t="shared" si="1"/>
        <v>Exclude</v>
      </c>
    </row>
    <row r="82" spans="1:22" s="64" customFormat="1" x14ac:dyDescent="0.25">
      <c r="A82" s="63"/>
      <c r="T82" s="64" t="str">
        <f t="shared" si="0"/>
        <v>Exclude</v>
      </c>
      <c r="V82" s="65" t="str">
        <f t="shared" si="1"/>
        <v>Exclude</v>
      </c>
    </row>
    <row r="83" spans="1:22" s="64" customFormat="1" x14ac:dyDescent="0.25">
      <c r="A83" s="63"/>
      <c r="T83" s="64" t="str">
        <f t="shared" si="0"/>
        <v>Exclude</v>
      </c>
      <c r="V83" s="65" t="str">
        <f t="shared" si="1"/>
        <v>Exclude</v>
      </c>
    </row>
    <row r="84" spans="1:22" s="64" customFormat="1" x14ac:dyDescent="0.25">
      <c r="A84" s="63"/>
      <c r="T84" s="64" t="str">
        <f t="shared" si="0"/>
        <v>Exclude</v>
      </c>
      <c r="V84" s="65" t="str">
        <f t="shared" si="1"/>
        <v>Exclude</v>
      </c>
    </row>
    <row r="85" spans="1:22" s="64" customFormat="1" x14ac:dyDescent="0.25">
      <c r="A85" s="63"/>
      <c r="T85" s="64" t="str">
        <f t="shared" si="0"/>
        <v>Exclude</v>
      </c>
      <c r="V85" s="65" t="str">
        <f t="shared" si="1"/>
        <v>Exclude</v>
      </c>
    </row>
    <row r="86" spans="1:22" s="64" customFormat="1" x14ac:dyDescent="0.25">
      <c r="A86" s="63"/>
      <c r="T86" s="64" t="str">
        <f t="shared" si="0"/>
        <v>Exclude</v>
      </c>
      <c r="V86" s="65" t="str">
        <f t="shared" si="1"/>
        <v>Exclude</v>
      </c>
    </row>
    <row r="87" spans="1:22" s="64" customFormat="1" x14ac:dyDescent="0.25">
      <c r="A87" s="63"/>
      <c r="T87" s="64" t="str">
        <f t="shared" si="0"/>
        <v>Exclude</v>
      </c>
      <c r="V87" s="65" t="str">
        <f t="shared" si="1"/>
        <v>Exclude</v>
      </c>
    </row>
    <row r="88" spans="1:22" s="64" customFormat="1" x14ac:dyDescent="0.25">
      <c r="A88" s="63"/>
      <c r="T88" s="64" t="str">
        <f t="shared" si="0"/>
        <v>Exclude</v>
      </c>
      <c r="V88" s="65" t="str">
        <f t="shared" si="1"/>
        <v>Exclude</v>
      </c>
    </row>
    <row r="89" spans="1:22" s="64" customFormat="1" x14ac:dyDescent="0.25">
      <c r="A89" s="63"/>
      <c r="T89" s="64" t="str">
        <f t="shared" si="0"/>
        <v>Exclude</v>
      </c>
      <c r="V89" s="65" t="str">
        <f t="shared" si="1"/>
        <v>Exclude</v>
      </c>
    </row>
    <row r="90" spans="1:22" s="64" customFormat="1" x14ac:dyDescent="0.25">
      <c r="A90" s="63"/>
      <c r="T90" s="64" t="str">
        <f t="shared" si="0"/>
        <v>Exclude</v>
      </c>
      <c r="V90" s="65" t="str">
        <f t="shared" si="1"/>
        <v>Exclude</v>
      </c>
    </row>
    <row r="91" spans="1:22" s="64" customFormat="1" x14ac:dyDescent="0.25">
      <c r="A91" s="63"/>
      <c r="T91" s="64" t="str">
        <f t="shared" si="0"/>
        <v>Exclude</v>
      </c>
      <c r="V91" s="65" t="str">
        <f t="shared" si="1"/>
        <v>Exclude</v>
      </c>
    </row>
    <row r="92" spans="1:22" s="64" customFormat="1" x14ac:dyDescent="0.25">
      <c r="A92" s="63"/>
      <c r="T92" s="64" t="str">
        <f t="shared" si="0"/>
        <v>Exclude</v>
      </c>
      <c r="V92" s="65" t="str">
        <f t="shared" si="1"/>
        <v>Exclude</v>
      </c>
    </row>
    <row r="93" spans="1:22" s="64" customFormat="1" x14ac:dyDescent="0.25">
      <c r="A93" s="63"/>
      <c r="T93" s="64" t="str">
        <f t="shared" si="0"/>
        <v>Exclude</v>
      </c>
      <c r="V93" s="65" t="str">
        <f t="shared" si="1"/>
        <v>Exclude</v>
      </c>
    </row>
    <row r="94" spans="1:22" s="64" customFormat="1" x14ac:dyDescent="0.25">
      <c r="A94" s="63"/>
      <c r="T94" s="64" t="str">
        <f t="shared" si="0"/>
        <v>Exclude</v>
      </c>
      <c r="V94" s="65" t="str">
        <f t="shared" si="1"/>
        <v>Exclude</v>
      </c>
    </row>
    <row r="95" spans="1:22" s="64" customFormat="1" x14ac:dyDescent="0.25">
      <c r="A95" s="63"/>
      <c r="T95" s="64" t="str">
        <f t="shared" si="0"/>
        <v>Exclude</v>
      </c>
      <c r="V95" s="65" t="str">
        <f t="shared" si="1"/>
        <v>Exclude</v>
      </c>
    </row>
    <row r="96" spans="1:22" s="64" customFormat="1" x14ac:dyDescent="0.25">
      <c r="A96" s="63"/>
      <c r="T96" s="64" t="str">
        <f t="shared" si="0"/>
        <v>Exclude</v>
      </c>
      <c r="V96" s="65" t="str">
        <f t="shared" si="1"/>
        <v>Exclude</v>
      </c>
    </row>
    <row r="97" spans="1:22" s="64" customFormat="1" x14ac:dyDescent="0.25">
      <c r="A97" s="63"/>
      <c r="T97" s="64" t="str">
        <f t="shared" si="0"/>
        <v>Exclude</v>
      </c>
      <c r="V97" s="65" t="str">
        <f t="shared" si="1"/>
        <v>Exclude</v>
      </c>
    </row>
    <row r="98" spans="1:22" s="64" customFormat="1" x14ac:dyDescent="0.25">
      <c r="A98" s="63"/>
      <c r="T98" s="64" t="str">
        <f t="shared" ref="T98:T161" si="2">IF(R98="TruePositive",N98,"Exclude")</f>
        <v>Exclude</v>
      </c>
      <c r="V98" s="65" t="str">
        <f t="shared" ref="V98:V161" si="3">IF(R98="TruePositive",LOG10(N98),"Exclude")</f>
        <v>Exclude</v>
      </c>
    </row>
    <row r="99" spans="1:22" s="64" customFormat="1" x14ac:dyDescent="0.25">
      <c r="A99" s="63"/>
      <c r="T99" s="64" t="str">
        <f t="shared" si="2"/>
        <v>Exclude</v>
      </c>
      <c r="V99" s="65" t="str">
        <f t="shared" si="3"/>
        <v>Exclude</v>
      </c>
    </row>
    <row r="100" spans="1:22" s="64" customFormat="1" x14ac:dyDescent="0.25">
      <c r="A100" s="63"/>
      <c r="T100" s="64" t="str">
        <f t="shared" si="2"/>
        <v>Exclude</v>
      </c>
      <c r="V100" s="65" t="str">
        <f t="shared" si="3"/>
        <v>Exclude</v>
      </c>
    </row>
    <row r="101" spans="1:22" s="64" customFormat="1" x14ac:dyDescent="0.25">
      <c r="A101" s="63"/>
      <c r="T101" s="64" t="str">
        <f t="shared" si="2"/>
        <v>Exclude</v>
      </c>
      <c r="V101" s="65" t="str">
        <f t="shared" si="3"/>
        <v>Exclude</v>
      </c>
    </row>
    <row r="102" spans="1:22" s="64" customFormat="1" x14ac:dyDescent="0.25">
      <c r="A102" s="63"/>
      <c r="T102" s="64" t="str">
        <f t="shared" si="2"/>
        <v>Exclude</v>
      </c>
      <c r="V102" s="65" t="str">
        <f t="shared" si="3"/>
        <v>Exclude</v>
      </c>
    </row>
    <row r="103" spans="1:22" s="64" customFormat="1" x14ac:dyDescent="0.25">
      <c r="A103" s="63"/>
      <c r="T103" s="64" t="str">
        <f t="shared" si="2"/>
        <v>Exclude</v>
      </c>
      <c r="V103" s="65" t="str">
        <f t="shared" si="3"/>
        <v>Exclude</v>
      </c>
    </row>
    <row r="104" spans="1:22" s="64" customFormat="1" x14ac:dyDescent="0.25">
      <c r="A104" s="63"/>
      <c r="T104" s="64" t="str">
        <f t="shared" si="2"/>
        <v>Exclude</v>
      </c>
      <c r="V104" s="65" t="str">
        <f t="shared" si="3"/>
        <v>Exclude</v>
      </c>
    </row>
    <row r="105" spans="1:22" s="64" customFormat="1" x14ac:dyDescent="0.25">
      <c r="A105" s="63"/>
      <c r="T105" s="64" t="str">
        <f t="shared" si="2"/>
        <v>Exclude</v>
      </c>
      <c r="V105" s="65" t="str">
        <f t="shared" si="3"/>
        <v>Exclude</v>
      </c>
    </row>
    <row r="106" spans="1:22" s="64" customFormat="1" x14ac:dyDescent="0.25">
      <c r="A106" s="63"/>
      <c r="T106" s="64" t="str">
        <f t="shared" si="2"/>
        <v>Exclude</v>
      </c>
      <c r="V106" s="65" t="str">
        <f t="shared" si="3"/>
        <v>Exclude</v>
      </c>
    </row>
    <row r="107" spans="1:22" s="64" customFormat="1" x14ac:dyDescent="0.25">
      <c r="A107" s="63"/>
      <c r="T107" s="64" t="str">
        <f t="shared" si="2"/>
        <v>Exclude</v>
      </c>
      <c r="V107" s="65" t="str">
        <f t="shared" si="3"/>
        <v>Exclude</v>
      </c>
    </row>
    <row r="108" spans="1:22" s="64" customFormat="1" x14ac:dyDescent="0.25">
      <c r="A108" s="63"/>
      <c r="T108" s="64" t="str">
        <f t="shared" si="2"/>
        <v>Exclude</v>
      </c>
      <c r="V108" s="65" t="str">
        <f t="shared" si="3"/>
        <v>Exclude</v>
      </c>
    </row>
    <row r="109" spans="1:22" s="64" customFormat="1" x14ac:dyDescent="0.25">
      <c r="A109" s="63"/>
      <c r="T109" s="64" t="str">
        <f t="shared" si="2"/>
        <v>Exclude</v>
      </c>
      <c r="V109" s="65" t="str">
        <f t="shared" si="3"/>
        <v>Exclude</v>
      </c>
    </row>
    <row r="110" spans="1:22" s="64" customFormat="1" x14ac:dyDescent="0.25">
      <c r="A110" s="63"/>
      <c r="T110" s="64" t="str">
        <f t="shared" si="2"/>
        <v>Exclude</v>
      </c>
      <c r="V110" s="65" t="str">
        <f t="shared" si="3"/>
        <v>Exclude</v>
      </c>
    </row>
    <row r="111" spans="1:22" s="64" customFormat="1" x14ac:dyDescent="0.25">
      <c r="A111" s="63"/>
      <c r="T111" s="64" t="str">
        <f t="shared" si="2"/>
        <v>Exclude</v>
      </c>
      <c r="V111" s="65" t="str">
        <f t="shared" si="3"/>
        <v>Exclude</v>
      </c>
    </row>
    <row r="112" spans="1:22" s="64" customFormat="1" x14ac:dyDescent="0.25">
      <c r="A112" s="63"/>
      <c r="T112" s="64" t="str">
        <f t="shared" si="2"/>
        <v>Exclude</v>
      </c>
      <c r="V112" s="65" t="str">
        <f t="shared" si="3"/>
        <v>Exclude</v>
      </c>
    </row>
    <row r="113" spans="1:22" s="64" customFormat="1" x14ac:dyDescent="0.25">
      <c r="A113" s="63"/>
      <c r="T113" s="64" t="str">
        <f t="shared" si="2"/>
        <v>Exclude</v>
      </c>
      <c r="V113" s="65" t="str">
        <f t="shared" si="3"/>
        <v>Exclude</v>
      </c>
    </row>
    <row r="114" spans="1:22" s="64" customFormat="1" x14ac:dyDescent="0.25">
      <c r="A114" s="63"/>
      <c r="T114" s="64" t="str">
        <f t="shared" si="2"/>
        <v>Exclude</v>
      </c>
      <c r="V114" s="65" t="str">
        <f t="shared" si="3"/>
        <v>Exclude</v>
      </c>
    </row>
    <row r="115" spans="1:22" s="64" customFormat="1" x14ac:dyDescent="0.25">
      <c r="A115" s="63"/>
      <c r="T115" s="64" t="str">
        <f t="shared" si="2"/>
        <v>Exclude</v>
      </c>
      <c r="V115" s="65" t="str">
        <f t="shared" si="3"/>
        <v>Exclude</v>
      </c>
    </row>
    <row r="116" spans="1:22" s="64" customFormat="1" x14ac:dyDescent="0.25">
      <c r="A116" s="63"/>
      <c r="T116" s="64" t="str">
        <f t="shared" si="2"/>
        <v>Exclude</v>
      </c>
      <c r="V116" s="65" t="str">
        <f t="shared" si="3"/>
        <v>Exclude</v>
      </c>
    </row>
    <row r="117" spans="1:22" s="64" customFormat="1" x14ac:dyDescent="0.25">
      <c r="A117" s="63"/>
      <c r="T117" s="64" t="str">
        <f t="shared" si="2"/>
        <v>Exclude</v>
      </c>
      <c r="V117" s="65" t="str">
        <f t="shared" si="3"/>
        <v>Exclude</v>
      </c>
    </row>
    <row r="118" spans="1:22" s="64" customFormat="1" x14ac:dyDescent="0.25">
      <c r="A118" s="63"/>
      <c r="T118" s="64" t="str">
        <f t="shared" si="2"/>
        <v>Exclude</v>
      </c>
      <c r="V118" s="65" t="str">
        <f t="shared" si="3"/>
        <v>Exclude</v>
      </c>
    </row>
    <row r="119" spans="1:22" s="64" customFormat="1" x14ac:dyDescent="0.25">
      <c r="A119" s="63"/>
      <c r="T119" s="64" t="str">
        <f t="shared" si="2"/>
        <v>Exclude</v>
      </c>
      <c r="V119" s="65" t="str">
        <f t="shared" si="3"/>
        <v>Exclude</v>
      </c>
    </row>
    <row r="120" spans="1:22" s="64" customFormat="1" x14ac:dyDescent="0.25">
      <c r="A120" s="63"/>
      <c r="T120" s="64" t="str">
        <f t="shared" si="2"/>
        <v>Exclude</v>
      </c>
      <c r="V120" s="65" t="str">
        <f t="shared" si="3"/>
        <v>Exclude</v>
      </c>
    </row>
    <row r="121" spans="1:22" s="64" customFormat="1" x14ac:dyDescent="0.25">
      <c r="A121" s="63"/>
      <c r="T121" s="64" t="str">
        <f t="shared" si="2"/>
        <v>Exclude</v>
      </c>
      <c r="V121" s="65" t="str">
        <f t="shared" si="3"/>
        <v>Exclude</v>
      </c>
    </row>
    <row r="122" spans="1:22" s="64" customFormat="1" x14ac:dyDescent="0.25">
      <c r="A122" s="63"/>
      <c r="T122" s="64" t="str">
        <f t="shared" si="2"/>
        <v>Exclude</v>
      </c>
      <c r="V122" s="65" t="str">
        <f t="shared" si="3"/>
        <v>Exclude</v>
      </c>
    </row>
    <row r="123" spans="1:22" s="64" customFormat="1" x14ac:dyDescent="0.25">
      <c r="A123" s="63"/>
      <c r="T123" s="64" t="str">
        <f t="shared" si="2"/>
        <v>Exclude</v>
      </c>
      <c r="V123" s="65" t="str">
        <f t="shared" si="3"/>
        <v>Exclude</v>
      </c>
    </row>
    <row r="124" spans="1:22" s="64" customFormat="1" x14ac:dyDescent="0.25">
      <c r="A124" s="63"/>
      <c r="T124" s="64" t="str">
        <f t="shared" si="2"/>
        <v>Exclude</v>
      </c>
      <c r="V124" s="65" t="str">
        <f t="shared" si="3"/>
        <v>Exclude</v>
      </c>
    </row>
    <row r="125" spans="1:22" s="64" customFormat="1" x14ac:dyDescent="0.25">
      <c r="A125" s="63"/>
      <c r="T125" s="64" t="str">
        <f t="shared" si="2"/>
        <v>Exclude</v>
      </c>
      <c r="V125" s="65" t="str">
        <f t="shared" si="3"/>
        <v>Exclude</v>
      </c>
    </row>
    <row r="126" spans="1:22" s="64" customFormat="1" x14ac:dyDescent="0.25">
      <c r="A126" s="63"/>
      <c r="T126" s="64" t="str">
        <f t="shared" si="2"/>
        <v>Exclude</v>
      </c>
      <c r="V126" s="65" t="str">
        <f t="shared" si="3"/>
        <v>Exclude</v>
      </c>
    </row>
    <row r="127" spans="1:22" s="64" customFormat="1" x14ac:dyDescent="0.25">
      <c r="A127" s="63"/>
      <c r="T127" s="64" t="str">
        <f t="shared" si="2"/>
        <v>Exclude</v>
      </c>
      <c r="V127" s="65" t="str">
        <f t="shared" si="3"/>
        <v>Exclude</v>
      </c>
    </row>
    <row r="128" spans="1:22" s="64" customFormat="1" x14ac:dyDescent="0.25">
      <c r="A128" s="63"/>
      <c r="T128" s="64" t="str">
        <f t="shared" si="2"/>
        <v>Exclude</v>
      </c>
      <c r="V128" s="65" t="str">
        <f t="shared" si="3"/>
        <v>Exclude</v>
      </c>
    </row>
    <row r="129" spans="1:22" s="64" customFormat="1" x14ac:dyDescent="0.25">
      <c r="A129" s="63"/>
      <c r="T129" s="64" t="str">
        <f t="shared" si="2"/>
        <v>Exclude</v>
      </c>
      <c r="V129" s="65" t="str">
        <f t="shared" si="3"/>
        <v>Exclude</v>
      </c>
    </row>
    <row r="130" spans="1:22" s="64" customFormat="1" x14ac:dyDescent="0.25">
      <c r="A130" s="63"/>
      <c r="T130" s="64" t="str">
        <f t="shared" si="2"/>
        <v>Exclude</v>
      </c>
      <c r="V130" s="65" t="str">
        <f t="shared" si="3"/>
        <v>Exclude</v>
      </c>
    </row>
    <row r="131" spans="1:22" s="64" customFormat="1" x14ac:dyDescent="0.25">
      <c r="A131" s="63"/>
      <c r="T131" s="64" t="str">
        <f t="shared" si="2"/>
        <v>Exclude</v>
      </c>
      <c r="V131" s="65" t="str">
        <f t="shared" si="3"/>
        <v>Exclude</v>
      </c>
    </row>
    <row r="132" spans="1:22" s="64" customFormat="1" x14ac:dyDescent="0.25">
      <c r="A132" s="63"/>
      <c r="T132" s="64" t="str">
        <f t="shared" si="2"/>
        <v>Exclude</v>
      </c>
      <c r="V132" s="65" t="str">
        <f t="shared" si="3"/>
        <v>Exclude</v>
      </c>
    </row>
    <row r="133" spans="1:22" s="64" customFormat="1" x14ac:dyDescent="0.25">
      <c r="A133" s="63"/>
      <c r="T133" s="64" t="str">
        <f t="shared" si="2"/>
        <v>Exclude</v>
      </c>
      <c r="V133" s="65" t="str">
        <f t="shared" si="3"/>
        <v>Exclude</v>
      </c>
    </row>
    <row r="134" spans="1:22" s="64" customFormat="1" x14ac:dyDescent="0.25">
      <c r="A134" s="63"/>
      <c r="T134" s="64" t="str">
        <f t="shared" si="2"/>
        <v>Exclude</v>
      </c>
      <c r="V134" s="65" t="str">
        <f t="shared" si="3"/>
        <v>Exclude</v>
      </c>
    </row>
    <row r="135" spans="1:22" s="64" customFormat="1" x14ac:dyDescent="0.25">
      <c r="A135" s="63"/>
      <c r="T135" s="64" t="str">
        <f t="shared" si="2"/>
        <v>Exclude</v>
      </c>
      <c r="V135" s="65" t="str">
        <f t="shared" si="3"/>
        <v>Exclude</v>
      </c>
    </row>
    <row r="136" spans="1:22" s="64" customFormat="1" x14ac:dyDescent="0.25">
      <c r="A136" s="63"/>
      <c r="T136" s="64" t="str">
        <f t="shared" si="2"/>
        <v>Exclude</v>
      </c>
      <c r="V136" s="65" t="str">
        <f t="shared" si="3"/>
        <v>Exclude</v>
      </c>
    </row>
    <row r="137" spans="1:22" s="64" customFormat="1" x14ac:dyDescent="0.25">
      <c r="A137" s="63"/>
      <c r="T137" s="64" t="str">
        <f t="shared" si="2"/>
        <v>Exclude</v>
      </c>
      <c r="V137" s="65" t="str">
        <f t="shared" si="3"/>
        <v>Exclude</v>
      </c>
    </row>
    <row r="138" spans="1:22" s="64" customFormat="1" x14ac:dyDescent="0.25">
      <c r="A138" s="63"/>
      <c r="T138" s="64" t="str">
        <f t="shared" si="2"/>
        <v>Exclude</v>
      </c>
      <c r="V138" s="65" t="str">
        <f t="shared" si="3"/>
        <v>Exclude</v>
      </c>
    </row>
    <row r="139" spans="1:22" s="64" customFormat="1" x14ac:dyDescent="0.25">
      <c r="A139" s="63"/>
      <c r="T139" s="64" t="str">
        <f t="shared" si="2"/>
        <v>Exclude</v>
      </c>
      <c r="V139" s="65" t="str">
        <f t="shared" si="3"/>
        <v>Exclude</v>
      </c>
    </row>
    <row r="140" spans="1:22" s="64" customFormat="1" x14ac:dyDescent="0.25">
      <c r="A140" s="63"/>
      <c r="T140" s="64" t="str">
        <f t="shared" si="2"/>
        <v>Exclude</v>
      </c>
      <c r="V140" s="65" t="str">
        <f t="shared" si="3"/>
        <v>Exclude</v>
      </c>
    </row>
    <row r="141" spans="1:22" s="64" customFormat="1" x14ac:dyDescent="0.25">
      <c r="A141" s="63"/>
      <c r="T141" s="64" t="str">
        <f t="shared" si="2"/>
        <v>Exclude</v>
      </c>
      <c r="V141" s="65" t="str">
        <f t="shared" si="3"/>
        <v>Exclude</v>
      </c>
    </row>
    <row r="142" spans="1:22" s="64" customFormat="1" x14ac:dyDescent="0.25">
      <c r="A142" s="63"/>
      <c r="T142" s="64" t="str">
        <f t="shared" si="2"/>
        <v>Exclude</v>
      </c>
      <c r="V142" s="65" t="str">
        <f t="shared" si="3"/>
        <v>Exclude</v>
      </c>
    </row>
    <row r="143" spans="1:22" s="64" customFormat="1" x14ac:dyDescent="0.25">
      <c r="A143" s="63"/>
      <c r="T143" s="64" t="str">
        <f t="shared" si="2"/>
        <v>Exclude</v>
      </c>
      <c r="V143" s="65" t="str">
        <f t="shared" si="3"/>
        <v>Exclude</v>
      </c>
    </row>
    <row r="144" spans="1:22" s="64" customFormat="1" x14ac:dyDescent="0.25">
      <c r="A144" s="63"/>
      <c r="T144" s="64" t="str">
        <f t="shared" si="2"/>
        <v>Exclude</v>
      </c>
      <c r="V144" s="65" t="str">
        <f t="shared" si="3"/>
        <v>Exclude</v>
      </c>
    </row>
    <row r="145" spans="1:22" s="64" customFormat="1" x14ac:dyDescent="0.25">
      <c r="A145" s="63"/>
      <c r="T145" s="64" t="str">
        <f t="shared" si="2"/>
        <v>Exclude</v>
      </c>
      <c r="V145" s="65" t="str">
        <f t="shared" si="3"/>
        <v>Exclude</v>
      </c>
    </row>
    <row r="146" spans="1:22" s="64" customFormat="1" x14ac:dyDescent="0.25">
      <c r="A146" s="63"/>
      <c r="T146" s="64" t="str">
        <f t="shared" si="2"/>
        <v>Exclude</v>
      </c>
      <c r="V146" s="65" t="str">
        <f t="shared" si="3"/>
        <v>Exclude</v>
      </c>
    </row>
    <row r="147" spans="1:22" s="64" customFormat="1" x14ac:dyDescent="0.25">
      <c r="A147" s="63"/>
      <c r="T147" s="64" t="str">
        <f t="shared" si="2"/>
        <v>Exclude</v>
      </c>
      <c r="V147" s="65" t="str">
        <f t="shared" si="3"/>
        <v>Exclude</v>
      </c>
    </row>
    <row r="148" spans="1:22" s="64" customFormat="1" x14ac:dyDescent="0.25">
      <c r="A148" s="63"/>
      <c r="T148" s="64" t="str">
        <f t="shared" si="2"/>
        <v>Exclude</v>
      </c>
      <c r="V148" s="65" t="str">
        <f t="shared" si="3"/>
        <v>Exclude</v>
      </c>
    </row>
    <row r="149" spans="1:22" s="64" customFormat="1" x14ac:dyDescent="0.25">
      <c r="A149" s="63"/>
      <c r="T149" s="64" t="str">
        <f t="shared" si="2"/>
        <v>Exclude</v>
      </c>
      <c r="V149" s="65" t="str">
        <f t="shared" si="3"/>
        <v>Exclude</v>
      </c>
    </row>
    <row r="150" spans="1:22" s="64" customFormat="1" x14ac:dyDescent="0.25">
      <c r="A150" s="63"/>
      <c r="T150" s="64" t="str">
        <f t="shared" si="2"/>
        <v>Exclude</v>
      </c>
      <c r="V150" s="65" t="str">
        <f t="shared" si="3"/>
        <v>Exclude</v>
      </c>
    </row>
    <row r="151" spans="1:22" s="64" customFormat="1" x14ac:dyDescent="0.25">
      <c r="A151" s="63"/>
      <c r="T151" s="64" t="str">
        <f t="shared" si="2"/>
        <v>Exclude</v>
      </c>
      <c r="V151" s="65" t="str">
        <f t="shared" si="3"/>
        <v>Exclude</v>
      </c>
    </row>
    <row r="152" spans="1:22" s="64" customFormat="1" x14ac:dyDescent="0.25">
      <c r="A152" s="63"/>
      <c r="T152" s="64" t="str">
        <f t="shared" si="2"/>
        <v>Exclude</v>
      </c>
      <c r="V152" s="65" t="str">
        <f t="shared" si="3"/>
        <v>Exclude</v>
      </c>
    </row>
    <row r="153" spans="1:22" s="64" customFormat="1" x14ac:dyDescent="0.25">
      <c r="A153" s="63"/>
      <c r="T153" s="64" t="str">
        <f t="shared" si="2"/>
        <v>Exclude</v>
      </c>
      <c r="V153" s="65" t="str">
        <f t="shared" si="3"/>
        <v>Exclude</v>
      </c>
    </row>
    <row r="154" spans="1:22" s="64" customFormat="1" x14ac:dyDescent="0.25">
      <c r="A154" s="63"/>
      <c r="T154" s="64" t="str">
        <f t="shared" si="2"/>
        <v>Exclude</v>
      </c>
      <c r="V154" s="65" t="str">
        <f t="shared" si="3"/>
        <v>Exclude</v>
      </c>
    </row>
    <row r="155" spans="1:22" s="64" customFormat="1" x14ac:dyDescent="0.25">
      <c r="A155" s="63"/>
      <c r="T155" s="64" t="str">
        <f t="shared" si="2"/>
        <v>Exclude</v>
      </c>
      <c r="V155" s="65" t="str">
        <f t="shared" si="3"/>
        <v>Exclude</v>
      </c>
    </row>
    <row r="156" spans="1:22" s="64" customFormat="1" x14ac:dyDescent="0.25">
      <c r="A156" s="63"/>
      <c r="T156" s="64" t="str">
        <f t="shared" si="2"/>
        <v>Exclude</v>
      </c>
      <c r="V156" s="65" t="str">
        <f t="shared" si="3"/>
        <v>Exclude</v>
      </c>
    </row>
    <row r="157" spans="1:22" s="64" customFormat="1" x14ac:dyDescent="0.25">
      <c r="A157" s="63"/>
      <c r="T157" s="64" t="str">
        <f t="shared" si="2"/>
        <v>Exclude</v>
      </c>
      <c r="V157" s="65" t="str">
        <f t="shared" si="3"/>
        <v>Exclude</v>
      </c>
    </row>
    <row r="158" spans="1:22" s="64" customFormat="1" x14ac:dyDescent="0.25">
      <c r="A158" s="63"/>
      <c r="T158" s="64" t="str">
        <f t="shared" si="2"/>
        <v>Exclude</v>
      </c>
      <c r="V158" s="65" t="str">
        <f t="shared" si="3"/>
        <v>Exclude</v>
      </c>
    </row>
    <row r="159" spans="1:22" s="64" customFormat="1" x14ac:dyDescent="0.25">
      <c r="A159" s="63"/>
      <c r="T159" s="64" t="str">
        <f t="shared" si="2"/>
        <v>Exclude</v>
      </c>
      <c r="V159" s="65" t="str">
        <f t="shared" si="3"/>
        <v>Exclude</v>
      </c>
    </row>
    <row r="160" spans="1:22" s="64" customFormat="1" x14ac:dyDescent="0.25">
      <c r="A160" s="63"/>
      <c r="T160" s="64" t="str">
        <f t="shared" si="2"/>
        <v>Exclude</v>
      </c>
      <c r="V160" s="65" t="str">
        <f t="shared" si="3"/>
        <v>Exclude</v>
      </c>
    </row>
    <row r="161" spans="1:22" s="64" customFormat="1" x14ac:dyDescent="0.25">
      <c r="A161" s="63"/>
      <c r="T161" s="64" t="str">
        <f t="shared" si="2"/>
        <v>Exclude</v>
      </c>
      <c r="V161" s="65" t="str">
        <f t="shared" si="3"/>
        <v>Exclude</v>
      </c>
    </row>
    <row r="162" spans="1:22" s="64" customFormat="1" x14ac:dyDescent="0.25">
      <c r="A162" s="63"/>
      <c r="T162" s="64" t="str">
        <f t="shared" ref="T162:T225" si="4">IF(R162="TruePositive",N162,"Exclude")</f>
        <v>Exclude</v>
      </c>
      <c r="V162" s="65" t="str">
        <f t="shared" ref="V162:V225" si="5">IF(R162="TruePositive",LOG10(N162),"Exclude")</f>
        <v>Exclude</v>
      </c>
    </row>
    <row r="163" spans="1:22" s="64" customFormat="1" x14ac:dyDescent="0.25">
      <c r="A163" s="63"/>
      <c r="T163" s="64" t="str">
        <f t="shared" si="4"/>
        <v>Exclude</v>
      </c>
      <c r="V163" s="65" t="str">
        <f t="shared" si="5"/>
        <v>Exclude</v>
      </c>
    </row>
    <row r="164" spans="1:22" s="64" customFormat="1" x14ac:dyDescent="0.25">
      <c r="A164" s="63"/>
      <c r="T164" s="64" t="str">
        <f t="shared" si="4"/>
        <v>Exclude</v>
      </c>
      <c r="V164" s="65" t="str">
        <f t="shared" si="5"/>
        <v>Exclude</v>
      </c>
    </row>
    <row r="165" spans="1:22" s="64" customFormat="1" x14ac:dyDescent="0.25">
      <c r="A165" s="63"/>
      <c r="T165" s="64" t="str">
        <f t="shared" si="4"/>
        <v>Exclude</v>
      </c>
      <c r="V165" s="65" t="str">
        <f t="shared" si="5"/>
        <v>Exclude</v>
      </c>
    </row>
    <row r="166" spans="1:22" s="64" customFormat="1" x14ac:dyDescent="0.25">
      <c r="A166" s="63"/>
      <c r="T166" s="64" t="str">
        <f t="shared" si="4"/>
        <v>Exclude</v>
      </c>
      <c r="V166" s="65" t="str">
        <f t="shared" si="5"/>
        <v>Exclude</v>
      </c>
    </row>
    <row r="167" spans="1:22" s="64" customFormat="1" x14ac:dyDescent="0.25">
      <c r="A167" s="63"/>
      <c r="T167" s="64" t="str">
        <f t="shared" si="4"/>
        <v>Exclude</v>
      </c>
      <c r="V167" s="65" t="str">
        <f t="shared" si="5"/>
        <v>Exclude</v>
      </c>
    </row>
    <row r="168" spans="1:22" s="64" customFormat="1" x14ac:dyDescent="0.25">
      <c r="A168" s="63"/>
      <c r="T168" s="64" t="str">
        <f t="shared" si="4"/>
        <v>Exclude</v>
      </c>
      <c r="V168" s="65" t="str">
        <f t="shared" si="5"/>
        <v>Exclude</v>
      </c>
    </row>
    <row r="169" spans="1:22" s="64" customFormat="1" x14ac:dyDescent="0.25">
      <c r="A169" s="63"/>
      <c r="T169" s="64" t="str">
        <f t="shared" si="4"/>
        <v>Exclude</v>
      </c>
      <c r="V169" s="65" t="str">
        <f t="shared" si="5"/>
        <v>Exclude</v>
      </c>
    </row>
    <row r="170" spans="1:22" s="64" customFormat="1" x14ac:dyDescent="0.25">
      <c r="A170" s="63"/>
      <c r="T170" s="64" t="str">
        <f t="shared" si="4"/>
        <v>Exclude</v>
      </c>
      <c r="V170" s="65" t="str">
        <f t="shared" si="5"/>
        <v>Exclude</v>
      </c>
    </row>
    <row r="171" spans="1:22" s="64" customFormat="1" x14ac:dyDescent="0.25">
      <c r="A171" s="63"/>
      <c r="T171" s="64" t="str">
        <f t="shared" si="4"/>
        <v>Exclude</v>
      </c>
      <c r="V171" s="65" t="str">
        <f t="shared" si="5"/>
        <v>Exclude</v>
      </c>
    </row>
    <row r="172" spans="1:22" s="64" customFormat="1" x14ac:dyDescent="0.25">
      <c r="A172" s="63"/>
      <c r="T172" s="64" t="str">
        <f t="shared" si="4"/>
        <v>Exclude</v>
      </c>
      <c r="V172" s="65" t="str">
        <f t="shared" si="5"/>
        <v>Exclude</v>
      </c>
    </row>
    <row r="173" spans="1:22" s="64" customFormat="1" x14ac:dyDescent="0.25">
      <c r="A173" s="63"/>
      <c r="T173" s="64" t="str">
        <f t="shared" si="4"/>
        <v>Exclude</v>
      </c>
      <c r="V173" s="65" t="str">
        <f t="shared" si="5"/>
        <v>Exclude</v>
      </c>
    </row>
    <row r="174" spans="1:22" s="64" customFormat="1" x14ac:dyDescent="0.25">
      <c r="A174" s="63"/>
      <c r="T174" s="64" t="str">
        <f t="shared" si="4"/>
        <v>Exclude</v>
      </c>
      <c r="V174" s="65" t="str">
        <f t="shared" si="5"/>
        <v>Exclude</v>
      </c>
    </row>
    <row r="175" spans="1:22" s="64" customFormat="1" x14ac:dyDescent="0.25">
      <c r="A175" s="63"/>
      <c r="T175" s="64" t="str">
        <f t="shared" si="4"/>
        <v>Exclude</v>
      </c>
      <c r="V175" s="65" t="str">
        <f t="shared" si="5"/>
        <v>Exclude</v>
      </c>
    </row>
    <row r="176" spans="1:22" s="64" customFormat="1" x14ac:dyDescent="0.25">
      <c r="A176" s="63"/>
      <c r="T176" s="64" t="str">
        <f t="shared" si="4"/>
        <v>Exclude</v>
      </c>
      <c r="V176" s="65" t="str">
        <f t="shared" si="5"/>
        <v>Exclude</v>
      </c>
    </row>
    <row r="177" spans="1:22" s="64" customFormat="1" x14ac:dyDescent="0.25">
      <c r="A177" s="63"/>
      <c r="T177" s="64" t="str">
        <f t="shared" si="4"/>
        <v>Exclude</v>
      </c>
      <c r="V177" s="65" t="str">
        <f t="shared" si="5"/>
        <v>Exclude</v>
      </c>
    </row>
    <row r="178" spans="1:22" s="64" customFormat="1" x14ac:dyDescent="0.25">
      <c r="A178" s="63"/>
      <c r="T178" s="64" t="str">
        <f t="shared" si="4"/>
        <v>Exclude</v>
      </c>
      <c r="V178" s="65" t="str">
        <f t="shared" si="5"/>
        <v>Exclude</v>
      </c>
    </row>
    <row r="179" spans="1:22" s="64" customFormat="1" x14ac:dyDescent="0.25">
      <c r="A179" s="63"/>
      <c r="T179" s="64" t="str">
        <f t="shared" si="4"/>
        <v>Exclude</v>
      </c>
      <c r="V179" s="65" t="str">
        <f t="shared" si="5"/>
        <v>Exclude</v>
      </c>
    </row>
    <row r="180" spans="1:22" s="64" customFormat="1" x14ac:dyDescent="0.25">
      <c r="A180" s="63"/>
      <c r="T180" s="64" t="str">
        <f t="shared" si="4"/>
        <v>Exclude</v>
      </c>
      <c r="V180" s="65" t="str">
        <f t="shared" si="5"/>
        <v>Exclude</v>
      </c>
    </row>
    <row r="181" spans="1:22" s="64" customFormat="1" x14ac:dyDescent="0.25">
      <c r="A181" s="63"/>
      <c r="T181" s="64" t="str">
        <f t="shared" si="4"/>
        <v>Exclude</v>
      </c>
      <c r="V181" s="65" t="str">
        <f t="shared" si="5"/>
        <v>Exclude</v>
      </c>
    </row>
    <row r="182" spans="1:22" s="64" customFormat="1" x14ac:dyDescent="0.25">
      <c r="A182" s="63"/>
      <c r="T182" s="64" t="str">
        <f t="shared" si="4"/>
        <v>Exclude</v>
      </c>
      <c r="V182" s="65" t="str">
        <f t="shared" si="5"/>
        <v>Exclude</v>
      </c>
    </row>
    <row r="183" spans="1:22" s="64" customFormat="1" x14ac:dyDescent="0.25">
      <c r="A183" s="63"/>
      <c r="T183" s="64" t="str">
        <f t="shared" si="4"/>
        <v>Exclude</v>
      </c>
      <c r="V183" s="65" t="str">
        <f t="shared" si="5"/>
        <v>Exclude</v>
      </c>
    </row>
    <row r="184" spans="1:22" s="64" customFormat="1" x14ac:dyDescent="0.25">
      <c r="A184" s="63"/>
      <c r="T184" s="64" t="str">
        <f t="shared" si="4"/>
        <v>Exclude</v>
      </c>
      <c r="V184" s="65" t="str">
        <f t="shared" si="5"/>
        <v>Exclude</v>
      </c>
    </row>
    <row r="185" spans="1:22" s="64" customFormat="1" x14ac:dyDescent="0.25">
      <c r="A185" s="63"/>
      <c r="T185" s="64" t="str">
        <f t="shared" si="4"/>
        <v>Exclude</v>
      </c>
      <c r="V185" s="65" t="str">
        <f t="shared" si="5"/>
        <v>Exclude</v>
      </c>
    </row>
    <row r="186" spans="1:22" s="64" customFormat="1" x14ac:dyDescent="0.25">
      <c r="A186" s="63"/>
      <c r="T186" s="64" t="str">
        <f t="shared" si="4"/>
        <v>Exclude</v>
      </c>
      <c r="V186" s="65" t="str">
        <f t="shared" si="5"/>
        <v>Exclude</v>
      </c>
    </row>
    <row r="187" spans="1:22" s="64" customFormat="1" x14ac:dyDescent="0.25">
      <c r="A187" s="63"/>
      <c r="T187" s="64" t="str">
        <f t="shared" si="4"/>
        <v>Exclude</v>
      </c>
      <c r="V187" s="65" t="str">
        <f t="shared" si="5"/>
        <v>Exclude</v>
      </c>
    </row>
    <row r="188" spans="1:22" s="64" customFormat="1" x14ac:dyDescent="0.25">
      <c r="A188" s="63"/>
      <c r="T188" s="64" t="str">
        <f t="shared" si="4"/>
        <v>Exclude</v>
      </c>
      <c r="V188" s="65" t="str">
        <f t="shared" si="5"/>
        <v>Exclude</v>
      </c>
    </row>
    <row r="189" spans="1:22" s="64" customFormat="1" x14ac:dyDescent="0.25">
      <c r="A189" s="63"/>
      <c r="T189" s="64" t="str">
        <f t="shared" si="4"/>
        <v>Exclude</v>
      </c>
      <c r="V189" s="65" t="str">
        <f t="shared" si="5"/>
        <v>Exclude</v>
      </c>
    </row>
    <row r="190" spans="1:22" s="64" customFormat="1" x14ac:dyDescent="0.25">
      <c r="A190" s="63"/>
      <c r="T190" s="64" t="str">
        <f t="shared" si="4"/>
        <v>Exclude</v>
      </c>
      <c r="V190" s="65" t="str">
        <f t="shared" si="5"/>
        <v>Exclude</v>
      </c>
    </row>
    <row r="191" spans="1:22" s="64" customFormat="1" x14ac:dyDescent="0.25">
      <c r="A191" s="63"/>
      <c r="T191" s="64" t="str">
        <f t="shared" si="4"/>
        <v>Exclude</v>
      </c>
      <c r="V191" s="65" t="str">
        <f t="shared" si="5"/>
        <v>Exclude</v>
      </c>
    </row>
    <row r="192" spans="1:22" s="64" customFormat="1" x14ac:dyDescent="0.25">
      <c r="A192" s="63"/>
      <c r="T192" s="64" t="str">
        <f t="shared" si="4"/>
        <v>Exclude</v>
      </c>
      <c r="V192" s="65" t="str">
        <f t="shared" si="5"/>
        <v>Exclude</v>
      </c>
    </row>
    <row r="193" spans="1:22" s="64" customFormat="1" x14ac:dyDescent="0.25">
      <c r="A193" s="63"/>
      <c r="T193" s="64" t="str">
        <f t="shared" si="4"/>
        <v>Exclude</v>
      </c>
      <c r="V193" s="65" t="str">
        <f t="shared" si="5"/>
        <v>Exclude</v>
      </c>
    </row>
    <row r="194" spans="1:22" s="64" customFormat="1" x14ac:dyDescent="0.25">
      <c r="A194" s="63"/>
      <c r="T194" s="64" t="str">
        <f t="shared" si="4"/>
        <v>Exclude</v>
      </c>
      <c r="V194" s="65" t="str">
        <f t="shared" si="5"/>
        <v>Exclude</v>
      </c>
    </row>
    <row r="195" spans="1:22" s="64" customFormat="1" x14ac:dyDescent="0.25">
      <c r="A195" s="63"/>
      <c r="T195" s="64" t="str">
        <f t="shared" si="4"/>
        <v>Exclude</v>
      </c>
      <c r="V195" s="65" t="str">
        <f t="shared" si="5"/>
        <v>Exclude</v>
      </c>
    </row>
    <row r="196" spans="1:22" s="64" customFormat="1" x14ac:dyDescent="0.25">
      <c r="A196" s="63"/>
      <c r="T196" s="64" t="str">
        <f t="shared" si="4"/>
        <v>Exclude</v>
      </c>
      <c r="V196" s="65" t="str">
        <f t="shared" si="5"/>
        <v>Exclude</v>
      </c>
    </row>
    <row r="197" spans="1:22" s="64" customFormat="1" x14ac:dyDescent="0.25">
      <c r="A197" s="63"/>
      <c r="T197" s="64" t="str">
        <f t="shared" si="4"/>
        <v>Exclude</v>
      </c>
      <c r="V197" s="65" t="str">
        <f t="shared" si="5"/>
        <v>Exclude</v>
      </c>
    </row>
    <row r="198" spans="1:22" s="64" customFormat="1" x14ac:dyDescent="0.25">
      <c r="A198" s="63"/>
      <c r="T198" s="64" t="str">
        <f t="shared" si="4"/>
        <v>Exclude</v>
      </c>
      <c r="V198" s="65" t="str">
        <f t="shared" si="5"/>
        <v>Exclude</v>
      </c>
    </row>
    <row r="199" spans="1:22" s="64" customFormat="1" x14ac:dyDescent="0.25">
      <c r="A199" s="63"/>
      <c r="T199" s="64" t="str">
        <f t="shared" si="4"/>
        <v>Exclude</v>
      </c>
      <c r="V199" s="65" t="str">
        <f t="shared" si="5"/>
        <v>Exclude</v>
      </c>
    </row>
    <row r="200" spans="1:22" s="64" customFormat="1" x14ac:dyDescent="0.25">
      <c r="A200" s="63"/>
      <c r="T200" s="64" t="str">
        <f t="shared" si="4"/>
        <v>Exclude</v>
      </c>
      <c r="V200" s="65" t="str">
        <f t="shared" si="5"/>
        <v>Exclude</v>
      </c>
    </row>
    <row r="201" spans="1:22" s="64" customFormat="1" x14ac:dyDescent="0.25">
      <c r="A201" s="63"/>
      <c r="T201" s="64" t="str">
        <f t="shared" si="4"/>
        <v>Exclude</v>
      </c>
      <c r="V201" s="65" t="str">
        <f t="shared" si="5"/>
        <v>Exclude</v>
      </c>
    </row>
    <row r="202" spans="1:22" s="64" customFormat="1" x14ac:dyDescent="0.25">
      <c r="A202" s="63"/>
      <c r="T202" s="64" t="str">
        <f t="shared" si="4"/>
        <v>Exclude</v>
      </c>
      <c r="V202" s="65" t="str">
        <f t="shared" si="5"/>
        <v>Exclude</v>
      </c>
    </row>
    <row r="203" spans="1:22" s="64" customFormat="1" x14ac:dyDescent="0.25">
      <c r="A203" s="63"/>
      <c r="T203" s="64" t="str">
        <f t="shared" si="4"/>
        <v>Exclude</v>
      </c>
      <c r="V203" s="65" t="str">
        <f t="shared" si="5"/>
        <v>Exclude</v>
      </c>
    </row>
    <row r="204" spans="1:22" s="64" customFormat="1" x14ac:dyDescent="0.25">
      <c r="A204" s="63"/>
      <c r="T204" s="64" t="str">
        <f t="shared" si="4"/>
        <v>Exclude</v>
      </c>
      <c r="V204" s="65" t="str">
        <f t="shared" si="5"/>
        <v>Exclude</v>
      </c>
    </row>
    <row r="205" spans="1:22" s="64" customFormat="1" x14ac:dyDescent="0.25">
      <c r="A205" s="63"/>
      <c r="T205" s="64" t="str">
        <f t="shared" si="4"/>
        <v>Exclude</v>
      </c>
      <c r="V205" s="65" t="str">
        <f t="shared" si="5"/>
        <v>Exclude</v>
      </c>
    </row>
    <row r="206" spans="1:22" s="64" customFormat="1" x14ac:dyDescent="0.25">
      <c r="A206" s="63"/>
      <c r="T206" s="64" t="str">
        <f t="shared" si="4"/>
        <v>Exclude</v>
      </c>
      <c r="V206" s="65" t="str">
        <f t="shared" si="5"/>
        <v>Exclude</v>
      </c>
    </row>
    <row r="207" spans="1:22" s="64" customFormat="1" x14ac:dyDescent="0.25">
      <c r="A207" s="63"/>
      <c r="T207" s="64" t="str">
        <f t="shared" si="4"/>
        <v>Exclude</v>
      </c>
      <c r="V207" s="65" t="str">
        <f t="shared" si="5"/>
        <v>Exclude</v>
      </c>
    </row>
    <row r="208" spans="1:22" s="64" customFormat="1" x14ac:dyDescent="0.25">
      <c r="A208" s="63"/>
      <c r="T208" s="64" t="str">
        <f t="shared" si="4"/>
        <v>Exclude</v>
      </c>
      <c r="V208" s="65" t="str">
        <f t="shared" si="5"/>
        <v>Exclude</v>
      </c>
    </row>
    <row r="209" spans="1:22" s="64" customFormat="1" x14ac:dyDescent="0.25">
      <c r="A209" s="63"/>
      <c r="T209" s="64" t="str">
        <f t="shared" si="4"/>
        <v>Exclude</v>
      </c>
      <c r="V209" s="65" t="str">
        <f t="shared" si="5"/>
        <v>Exclude</v>
      </c>
    </row>
    <row r="210" spans="1:22" s="64" customFormat="1" x14ac:dyDescent="0.25">
      <c r="A210" s="63"/>
      <c r="T210" s="64" t="str">
        <f t="shared" si="4"/>
        <v>Exclude</v>
      </c>
      <c r="V210" s="65" t="str">
        <f t="shared" si="5"/>
        <v>Exclude</v>
      </c>
    </row>
    <row r="211" spans="1:22" s="64" customFormat="1" x14ac:dyDescent="0.25">
      <c r="A211" s="63"/>
      <c r="T211" s="64" t="str">
        <f t="shared" si="4"/>
        <v>Exclude</v>
      </c>
      <c r="V211" s="65" t="str">
        <f t="shared" si="5"/>
        <v>Exclude</v>
      </c>
    </row>
    <row r="212" spans="1:22" s="64" customFormat="1" x14ac:dyDescent="0.25">
      <c r="A212" s="63"/>
      <c r="T212" s="64" t="str">
        <f t="shared" si="4"/>
        <v>Exclude</v>
      </c>
      <c r="V212" s="65" t="str">
        <f t="shared" si="5"/>
        <v>Exclude</v>
      </c>
    </row>
    <row r="213" spans="1:22" s="64" customFormat="1" x14ac:dyDescent="0.25">
      <c r="A213" s="63"/>
      <c r="T213" s="64" t="str">
        <f t="shared" si="4"/>
        <v>Exclude</v>
      </c>
      <c r="V213" s="65" t="str">
        <f t="shared" si="5"/>
        <v>Exclude</v>
      </c>
    </row>
    <row r="214" spans="1:22" s="64" customFormat="1" x14ac:dyDescent="0.25">
      <c r="A214" s="63"/>
      <c r="T214" s="64" t="str">
        <f t="shared" si="4"/>
        <v>Exclude</v>
      </c>
      <c r="V214" s="65" t="str">
        <f t="shared" si="5"/>
        <v>Exclude</v>
      </c>
    </row>
    <row r="215" spans="1:22" s="64" customFormat="1" x14ac:dyDescent="0.25">
      <c r="A215" s="63"/>
      <c r="T215" s="64" t="str">
        <f t="shared" si="4"/>
        <v>Exclude</v>
      </c>
      <c r="V215" s="65" t="str">
        <f t="shared" si="5"/>
        <v>Exclude</v>
      </c>
    </row>
    <row r="216" spans="1:22" s="64" customFormat="1" x14ac:dyDescent="0.25">
      <c r="A216" s="63"/>
      <c r="T216" s="64" t="str">
        <f t="shared" si="4"/>
        <v>Exclude</v>
      </c>
      <c r="V216" s="65" t="str">
        <f t="shared" si="5"/>
        <v>Exclude</v>
      </c>
    </row>
    <row r="217" spans="1:22" s="64" customFormat="1" x14ac:dyDescent="0.25">
      <c r="A217" s="63"/>
      <c r="T217" s="64" t="str">
        <f t="shared" si="4"/>
        <v>Exclude</v>
      </c>
      <c r="V217" s="65" t="str">
        <f t="shared" si="5"/>
        <v>Exclude</v>
      </c>
    </row>
    <row r="218" spans="1:22" s="64" customFormat="1" x14ac:dyDescent="0.25">
      <c r="A218" s="63"/>
      <c r="T218" s="64" t="str">
        <f t="shared" si="4"/>
        <v>Exclude</v>
      </c>
      <c r="V218" s="65" t="str">
        <f t="shared" si="5"/>
        <v>Exclude</v>
      </c>
    </row>
    <row r="219" spans="1:22" s="64" customFormat="1" x14ac:dyDescent="0.25">
      <c r="A219" s="63"/>
      <c r="T219" s="64" t="str">
        <f t="shared" si="4"/>
        <v>Exclude</v>
      </c>
      <c r="V219" s="65" t="str">
        <f t="shared" si="5"/>
        <v>Exclude</v>
      </c>
    </row>
    <row r="220" spans="1:22" s="64" customFormat="1" x14ac:dyDescent="0.25">
      <c r="A220" s="63"/>
      <c r="T220" s="64" t="str">
        <f t="shared" si="4"/>
        <v>Exclude</v>
      </c>
      <c r="V220" s="65" t="str">
        <f t="shared" si="5"/>
        <v>Exclude</v>
      </c>
    </row>
    <row r="221" spans="1:22" s="64" customFormat="1" x14ac:dyDescent="0.25">
      <c r="A221" s="63"/>
      <c r="T221" s="64" t="str">
        <f t="shared" si="4"/>
        <v>Exclude</v>
      </c>
      <c r="V221" s="65" t="str">
        <f t="shared" si="5"/>
        <v>Exclude</v>
      </c>
    </row>
    <row r="222" spans="1:22" s="64" customFormat="1" x14ac:dyDescent="0.25">
      <c r="A222" s="63"/>
      <c r="T222" s="64" t="str">
        <f t="shared" si="4"/>
        <v>Exclude</v>
      </c>
      <c r="V222" s="65" t="str">
        <f t="shared" si="5"/>
        <v>Exclude</v>
      </c>
    </row>
    <row r="223" spans="1:22" s="64" customFormat="1" x14ac:dyDescent="0.25">
      <c r="A223" s="63"/>
      <c r="T223" s="64" t="str">
        <f t="shared" si="4"/>
        <v>Exclude</v>
      </c>
      <c r="V223" s="65" t="str">
        <f t="shared" si="5"/>
        <v>Exclude</v>
      </c>
    </row>
    <row r="224" spans="1:22" s="64" customFormat="1" x14ac:dyDescent="0.25">
      <c r="A224" s="63"/>
      <c r="T224" s="64" t="str">
        <f t="shared" si="4"/>
        <v>Exclude</v>
      </c>
      <c r="V224" s="65" t="str">
        <f t="shared" si="5"/>
        <v>Exclude</v>
      </c>
    </row>
    <row r="225" spans="1:22" s="64" customFormat="1" x14ac:dyDescent="0.25">
      <c r="A225" s="63"/>
      <c r="T225" s="64" t="str">
        <f t="shared" si="4"/>
        <v>Exclude</v>
      </c>
      <c r="V225" s="65" t="str">
        <f t="shared" si="5"/>
        <v>Exclude</v>
      </c>
    </row>
    <row r="226" spans="1:22" s="64" customFormat="1" x14ac:dyDescent="0.25">
      <c r="A226" s="63"/>
      <c r="T226" s="64" t="str">
        <f t="shared" ref="T226:T289" si="6">IF(R226="TruePositive",N226,"Exclude")</f>
        <v>Exclude</v>
      </c>
      <c r="V226" s="65" t="str">
        <f t="shared" ref="V226:V289" si="7">IF(R226="TruePositive",LOG10(N226),"Exclude")</f>
        <v>Exclude</v>
      </c>
    </row>
    <row r="227" spans="1:22" s="64" customFormat="1" x14ac:dyDescent="0.25">
      <c r="A227" s="63"/>
      <c r="T227" s="64" t="str">
        <f t="shared" si="6"/>
        <v>Exclude</v>
      </c>
      <c r="V227" s="65" t="str">
        <f t="shared" si="7"/>
        <v>Exclude</v>
      </c>
    </row>
    <row r="228" spans="1:22" s="64" customFormat="1" x14ac:dyDescent="0.25">
      <c r="A228" s="63"/>
      <c r="T228" s="64" t="str">
        <f t="shared" si="6"/>
        <v>Exclude</v>
      </c>
      <c r="V228" s="65" t="str">
        <f t="shared" si="7"/>
        <v>Exclude</v>
      </c>
    </row>
    <row r="229" spans="1:22" s="64" customFormat="1" x14ac:dyDescent="0.25">
      <c r="A229" s="63"/>
      <c r="T229" s="64" t="str">
        <f t="shared" si="6"/>
        <v>Exclude</v>
      </c>
      <c r="V229" s="65" t="str">
        <f t="shared" si="7"/>
        <v>Exclude</v>
      </c>
    </row>
    <row r="230" spans="1:22" s="64" customFormat="1" x14ac:dyDescent="0.25">
      <c r="A230" s="63"/>
      <c r="T230" s="64" t="str">
        <f t="shared" si="6"/>
        <v>Exclude</v>
      </c>
      <c r="V230" s="65" t="str">
        <f t="shared" si="7"/>
        <v>Exclude</v>
      </c>
    </row>
    <row r="231" spans="1:22" s="64" customFormat="1" x14ac:dyDescent="0.25">
      <c r="A231" s="63"/>
      <c r="T231" s="64" t="str">
        <f t="shared" si="6"/>
        <v>Exclude</v>
      </c>
      <c r="V231" s="65" t="str">
        <f t="shared" si="7"/>
        <v>Exclude</v>
      </c>
    </row>
    <row r="232" spans="1:22" s="64" customFormat="1" x14ac:dyDescent="0.25">
      <c r="A232" s="63"/>
      <c r="T232" s="64" t="str">
        <f t="shared" si="6"/>
        <v>Exclude</v>
      </c>
      <c r="V232" s="65" t="str">
        <f t="shared" si="7"/>
        <v>Exclude</v>
      </c>
    </row>
    <row r="233" spans="1:22" s="64" customFormat="1" x14ac:dyDescent="0.25">
      <c r="A233" s="63"/>
      <c r="T233" s="64" t="str">
        <f t="shared" si="6"/>
        <v>Exclude</v>
      </c>
      <c r="V233" s="65" t="str">
        <f t="shared" si="7"/>
        <v>Exclude</v>
      </c>
    </row>
    <row r="234" spans="1:22" s="64" customFormat="1" x14ac:dyDescent="0.25">
      <c r="A234" s="63"/>
      <c r="T234" s="64" t="str">
        <f t="shared" si="6"/>
        <v>Exclude</v>
      </c>
      <c r="V234" s="65" t="str">
        <f t="shared" si="7"/>
        <v>Exclude</v>
      </c>
    </row>
    <row r="235" spans="1:22" s="64" customFormat="1" x14ac:dyDescent="0.25">
      <c r="A235" s="63"/>
      <c r="T235" s="64" t="str">
        <f t="shared" si="6"/>
        <v>Exclude</v>
      </c>
      <c r="V235" s="65" t="str">
        <f t="shared" si="7"/>
        <v>Exclude</v>
      </c>
    </row>
    <row r="236" spans="1:22" s="64" customFormat="1" x14ac:dyDescent="0.25">
      <c r="A236" s="63"/>
      <c r="T236" s="64" t="str">
        <f t="shared" si="6"/>
        <v>Exclude</v>
      </c>
      <c r="V236" s="65" t="str">
        <f t="shared" si="7"/>
        <v>Exclude</v>
      </c>
    </row>
    <row r="237" spans="1:22" s="64" customFormat="1" x14ac:dyDescent="0.25">
      <c r="A237" s="63"/>
      <c r="T237" s="64" t="str">
        <f t="shared" si="6"/>
        <v>Exclude</v>
      </c>
      <c r="V237" s="65" t="str">
        <f t="shared" si="7"/>
        <v>Exclude</v>
      </c>
    </row>
    <row r="238" spans="1:22" s="64" customFormat="1" x14ac:dyDescent="0.25">
      <c r="A238" s="63"/>
      <c r="T238" s="64" t="str">
        <f t="shared" si="6"/>
        <v>Exclude</v>
      </c>
      <c r="V238" s="65" t="str">
        <f t="shared" si="7"/>
        <v>Exclude</v>
      </c>
    </row>
    <row r="239" spans="1:22" s="64" customFormat="1" x14ac:dyDescent="0.25">
      <c r="A239" s="63"/>
      <c r="T239" s="64" t="str">
        <f t="shared" si="6"/>
        <v>Exclude</v>
      </c>
      <c r="V239" s="65" t="str">
        <f t="shared" si="7"/>
        <v>Exclude</v>
      </c>
    </row>
    <row r="240" spans="1:22" s="64" customFormat="1" x14ac:dyDescent="0.25">
      <c r="A240" s="63"/>
      <c r="T240" s="64" t="str">
        <f t="shared" si="6"/>
        <v>Exclude</v>
      </c>
      <c r="V240" s="65" t="str">
        <f t="shared" si="7"/>
        <v>Exclude</v>
      </c>
    </row>
    <row r="241" spans="1:22" s="64" customFormat="1" x14ac:dyDescent="0.25">
      <c r="A241" s="63"/>
      <c r="T241" s="64" t="str">
        <f t="shared" si="6"/>
        <v>Exclude</v>
      </c>
      <c r="V241" s="65" t="str">
        <f t="shared" si="7"/>
        <v>Exclude</v>
      </c>
    </row>
    <row r="242" spans="1:22" s="64" customFormat="1" x14ac:dyDescent="0.25">
      <c r="A242" s="63"/>
      <c r="T242" s="64" t="str">
        <f t="shared" si="6"/>
        <v>Exclude</v>
      </c>
      <c r="V242" s="65" t="str">
        <f t="shared" si="7"/>
        <v>Exclude</v>
      </c>
    </row>
    <row r="243" spans="1:22" s="64" customFormat="1" x14ac:dyDescent="0.25">
      <c r="A243" s="63"/>
      <c r="T243" s="64" t="str">
        <f t="shared" si="6"/>
        <v>Exclude</v>
      </c>
      <c r="V243" s="65" t="str">
        <f t="shared" si="7"/>
        <v>Exclude</v>
      </c>
    </row>
    <row r="244" spans="1:22" s="64" customFormat="1" x14ac:dyDescent="0.25">
      <c r="A244" s="63"/>
      <c r="T244" s="64" t="str">
        <f t="shared" si="6"/>
        <v>Exclude</v>
      </c>
      <c r="V244" s="65" t="str">
        <f t="shared" si="7"/>
        <v>Exclude</v>
      </c>
    </row>
    <row r="245" spans="1:22" s="64" customFormat="1" x14ac:dyDescent="0.25">
      <c r="A245" s="63"/>
      <c r="T245" s="64" t="str">
        <f t="shared" si="6"/>
        <v>Exclude</v>
      </c>
      <c r="V245" s="65" t="str">
        <f t="shared" si="7"/>
        <v>Exclude</v>
      </c>
    </row>
    <row r="246" spans="1:22" s="64" customFormat="1" x14ac:dyDescent="0.25">
      <c r="A246" s="63"/>
      <c r="T246" s="64" t="str">
        <f t="shared" si="6"/>
        <v>Exclude</v>
      </c>
      <c r="V246" s="65" t="str">
        <f t="shared" si="7"/>
        <v>Exclude</v>
      </c>
    </row>
    <row r="247" spans="1:22" s="64" customFormat="1" x14ac:dyDescent="0.25">
      <c r="A247" s="63"/>
      <c r="T247" s="64" t="str">
        <f t="shared" si="6"/>
        <v>Exclude</v>
      </c>
      <c r="V247" s="65" t="str">
        <f t="shared" si="7"/>
        <v>Exclude</v>
      </c>
    </row>
    <row r="248" spans="1:22" s="64" customFormat="1" x14ac:dyDescent="0.25">
      <c r="A248" s="63"/>
      <c r="T248" s="64" t="str">
        <f t="shared" si="6"/>
        <v>Exclude</v>
      </c>
      <c r="V248" s="65" t="str">
        <f t="shared" si="7"/>
        <v>Exclude</v>
      </c>
    </row>
    <row r="249" spans="1:22" s="64" customFormat="1" x14ac:dyDescent="0.25">
      <c r="A249" s="63"/>
      <c r="T249" s="64" t="str">
        <f t="shared" si="6"/>
        <v>Exclude</v>
      </c>
      <c r="V249" s="65" t="str">
        <f t="shared" si="7"/>
        <v>Exclude</v>
      </c>
    </row>
    <row r="250" spans="1:22" s="64" customFormat="1" x14ac:dyDescent="0.25">
      <c r="A250" s="63"/>
      <c r="T250" s="64" t="str">
        <f t="shared" si="6"/>
        <v>Exclude</v>
      </c>
      <c r="V250" s="65" t="str">
        <f t="shared" si="7"/>
        <v>Exclude</v>
      </c>
    </row>
    <row r="251" spans="1:22" s="64" customFormat="1" x14ac:dyDescent="0.25">
      <c r="A251" s="63"/>
      <c r="T251" s="64" t="str">
        <f t="shared" si="6"/>
        <v>Exclude</v>
      </c>
      <c r="V251" s="65" t="str">
        <f t="shared" si="7"/>
        <v>Exclude</v>
      </c>
    </row>
    <row r="252" spans="1:22" s="64" customFormat="1" x14ac:dyDescent="0.25">
      <c r="A252" s="63"/>
      <c r="T252" s="64" t="str">
        <f t="shared" si="6"/>
        <v>Exclude</v>
      </c>
      <c r="V252" s="65" t="str">
        <f t="shared" si="7"/>
        <v>Exclude</v>
      </c>
    </row>
    <row r="253" spans="1:22" s="64" customFormat="1" x14ac:dyDescent="0.25">
      <c r="A253" s="63"/>
      <c r="T253" s="64" t="str">
        <f t="shared" si="6"/>
        <v>Exclude</v>
      </c>
      <c r="V253" s="65" t="str">
        <f t="shared" si="7"/>
        <v>Exclude</v>
      </c>
    </row>
    <row r="254" spans="1:22" s="64" customFormat="1" x14ac:dyDescent="0.25">
      <c r="A254" s="63"/>
      <c r="T254" s="64" t="str">
        <f t="shared" si="6"/>
        <v>Exclude</v>
      </c>
      <c r="V254" s="65" t="str">
        <f t="shared" si="7"/>
        <v>Exclude</v>
      </c>
    </row>
    <row r="255" spans="1:22" s="64" customFormat="1" x14ac:dyDescent="0.25">
      <c r="A255" s="63"/>
      <c r="T255" s="64" t="str">
        <f t="shared" si="6"/>
        <v>Exclude</v>
      </c>
      <c r="V255" s="65" t="str">
        <f t="shared" si="7"/>
        <v>Exclude</v>
      </c>
    </row>
    <row r="256" spans="1:22" s="64" customFormat="1" x14ac:dyDescent="0.25">
      <c r="A256" s="63"/>
      <c r="T256" s="64" t="str">
        <f t="shared" si="6"/>
        <v>Exclude</v>
      </c>
      <c r="V256" s="65" t="str">
        <f t="shared" si="7"/>
        <v>Exclude</v>
      </c>
    </row>
    <row r="257" spans="1:22" s="64" customFormat="1" x14ac:dyDescent="0.25">
      <c r="A257" s="63"/>
      <c r="T257" s="64" t="str">
        <f t="shared" si="6"/>
        <v>Exclude</v>
      </c>
      <c r="V257" s="65" t="str">
        <f t="shared" si="7"/>
        <v>Exclude</v>
      </c>
    </row>
    <row r="258" spans="1:22" s="64" customFormat="1" x14ac:dyDescent="0.25">
      <c r="A258" s="63"/>
      <c r="T258" s="64" t="str">
        <f t="shared" si="6"/>
        <v>Exclude</v>
      </c>
      <c r="V258" s="65" t="str">
        <f t="shared" si="7"/>
        <v>Exclude</v>
      </c>
    </row>
    <row r="259" spans="1:22" s="64" customFormat="1" x14ac:dyDescent="0.25">
      <c r="A259" s="63"/>
      <c r="T259" s="64" t="str">
        <f t="shared" si="6"/>
        <v>Exclude</v>
      </c>
      <c r="V259" s="65" t="str">
        <f t="shared" si="7"/>
        <v>Exclude</v>
      </c>
    </row>
    <row r="260" spans="1:22" s="64" customFormat="1" x14ac:dyDescent="0.25">
      <c r="A260" s="63"/>
      <c r="T260" s="64" t="str">
        <f t="shared" si="6"/>
        <v>Exclude</v>
      </c>
      <c r="V260" s="65" t="str">
        <f t="shared" si="7"/>
        <v>Exclude</v>
      </c>
    </row>
    <row r="261" spans="1:22" s="64" customFormat="1" x14ac:dyDescent="0.25">
      <c r="A261" s="63"/>
      <c r="T261" s="64" t="str">
        <f t="shared" si="6"/>
        <v>Exclude</v>
      </c>
      <c r="V261" s="65" t="str">
        <f t="shared" si="7"/>
        <v>Exclude</v>
      </c>
    </row>
    <row r="262" spans="1:22" s="64" customFormat="1" x14ac:dyDescent="0.25">
      <c r="A262" s="63"/>
      <c r="T262" s="64" t="str">
        <f t="shared" si="6"/>
        <v>Exclude</v>
      </c>
      <c r="V262" s="65" t="str">
        <f t="shared" si="7"/>
        <v>Exclude</v>
      </c>
    </row>
    <row r="263" spans="1:22" s="64" customFormat="1" x14ac:dyDescent="0.25">
      <c r="A263" s="63"/>
      <c r="T263" s="64" t="str">
        <f t="shared" si="6"/>
        <v>Exclude</v>
      </c>
      <c r="V263" s="65" t="str">
        <f t="shared" si="7"/>
        <v>Exclude</v>
      </c>
    </row>
    <row r="264" spans="1:22" s="64" customFormat="1" x14ac:dyDescent="0.25">
      <c r="A264" s="63"/>
      <c r="T264" s="64" t="str">
        <f t="shared" si="6"/>
        <v>Exclude</v>
      </c>
      <c r="V264" s="65" t="str">
        <f t="shared" si="7"/>
        <v>Exclude</v>
      </c>
    </row>
    <row r="265" spans="1:22" s="64" customFormat="1" x14ac:dyDescent="0.25">
      <c r="A265" s="63"/>
      <c r="T265" s="64" t="str">
        <f t="shared" si="6"/>
        <v>Exclude</v>
      </c>
      <c r="V265" s="65" t="str">
        <f t="shared" si="7"/>
        <v>Exclude</v>
      </c>
    </row>
    <row r="266" spans="1:22" s="64" customFormat="1" x14ac:dyDescent="0.25">
      <c r="A266" s="63"/>
      <c r="T266" s="64" t="str">
        <f t="shared" si="6"/>
        <v>Exclude</v>
      </c>
      <c r="V266" s="65" t="str">
        <f t="shared" si="7"/>
        <v>Exclude</v>
      </c>
    </row>
    <row r="267" spans="1:22" s="64" customFormat="1" x14ac:dyDescent="0.25">
      <c r="A267" s="63"/>
      <c r="T267" s="64" t="str">
        <f t="shared" si="6"/>
        <v>Exclude</v>
      </c>
      <c r="V267" s="65" t="str">
        <f t="shared" si="7"/>
        <v>Exclude</v>
      </c>
    </row>
    <row r="268" spans="1:22" s="64" customFormat="1" x14ac:dyDescent="0.25">
      <c r="A268" s="63"/>
      <c r="T268" s="64" t="str">
        <f t="shared" si="6"/>
        <v>Exclude</v>
      </c>
      <c r="V268" s="65" t="str">
        <f t="shared" si="7"/>
        <v>Exclude</v>
      </c>
    </row>
    <row r="269" spans="1:22" s="64" customFormat="1" x14ac:dyDescent="0.25">
      <c r="A269" s="63"/>
      <c r="T269" s="64" t="str">
        <f t="shared" si="6"/>
        <v>Exclude</v>
      </c>
      <c r="V269" s="65" t="str">
        <f t="shared" si="7"/>
        <v>Exclude</v>
      </c>
    </row>
    <row r="270" spans="1:22" s="64" customFormat="1" x14ac:dyDescent="0.25">
      <c r="A270" s="63"/>
      <c r="T270" s="64" t="str">
        <f t="shared" si="6"/>
        <v>Exclude</v>
      </c>
      <c r="V270" s="65" t="str">
        <f t="shared" si="7"/>
        <v>Exclude</v>
      </c>
    </row>
    <row r="271" spans="1:22" s="64" customFormat="1" x14ac:dyDescent="0.25">
      <c r="A271" s="63"/>
      <c r="T271" s="64" t="str">
        <f t="shared" si="6"/>
        <v>Exclude</v>
      </c>
      <c r="V271" s="65" t="str">
        <f t="shared" si="7"/>
        <v>Exclude</v>
      </c>
    </row>
    <row r="272" spans="1:22" s="64" customFormat="1" x14ac:dyDescent="0.25">
      <c r="A272" s="63"/>
      <c r="T272" s="64" t="str">
        <f t="shared" si="6"/>
        <v>Exclude</v>
      </c>
      <c r="V272" s="65" t="str">
        <f t="shared" si="7"/>
        <v>Exclude</v>
      </c>
    </row>
    <row r="273" spans="1:22" s="64" customFormat="1" x14ac:dyDescent="0.25">
      <c r="A273" s="63"/>
      <c r="T273" s="64" t="str">
        <f t="shared" si="6"/>
        <v>Exclude</v>
      </c>
      <c r="V273" s="65" t="str">
        <f t="shared" si="7"/>
        <v>Exclude</v>
      </c>
    </row>
    <row r="274" spans="1:22" s="64" customFormat="1" x14ac:dyDescent="0.25">
      <c r="A274" s="63"/>
      <c r="T274" s="64" t="str">
        <f t="shared" si="6"/>
        <v>Exclude</v>
      </c>
      <c r="V274" s="65" t="str">
        <f t="shared" si="7"/>
        <v>Exclude</v>
      </c>
    </row>
    <row r="275" spans="1:22" s="64" customFormat="1" x14ac:dyDescent="0.25">
      <c r="A275" s="63"/>
      <c r="T275" s="64" t="str">
        <f t="shared" si="6"/>
        <v>Exclude</v>
      </c>
      <c r="V275" s="65" t="str">
        <f t="shared" si="7"/>
        <v>Exclude</v>
      </c>
    </row>
    <row r="276" spans="1:22" s="64" customFormat="1" x14ac:dyDescent="0.25">
      <c r="A276" s="63"/>
      <c r="T276" s="64" t="str">
        <f t="shared" si="6"/>
        <v>Exclude</v>
      </c>
      <c r="V276" s="65" t="str">
        <f t="shared" si="7"/>
        <v>Exclude</v>
      </c>
    </row>
    <row r="277" spans="1:22" s="64" customFormat="1" x14ac:dyDescent="0.25">
      <c r="A277" s="63"/>
      <c r="T277" s="64" t="str">
        <f t="shared" si="6"/>
        <v>Exclude</v>
      </c>
      <c r="V277" s="65" t="str">
        <f t="shared" si="7"/>
        <v>Exclude</v>
      </c>
    </row>
    <row r="278" spans="1:22" s="64" customFormat="1" x14ac:dyDescent="0.25">
      <c r="A278" s="63"/>
      <c r="T278" s="64" t="str">
        <f t="shared" si="6"/>
        <v>Exclude</v>
      </c>
      <c r="V278" s="65" t="str">
        <f t="shared" si="7"/>
        <v>Exclude</v>
      </c>
    </row>
    <row r="279" spans="1:22" s="64" customFormat="1" x14ac:dyDescent="0.25">
      <c r="A279" s="63"/>
      <c r="T279" s="64" t="str">
        <f t="shared" si="6"/>
        <v>Exclude</v>
      </c>
      <c r="V279" s="65" t="str">
        <f t="shared" si="7"/>
        <v>Exclude</v>
      </c>
    </row>
    <row r="280" spans="1:22" s="64" customFormat="1" x14ac:dyDescent="0.25">
      <c r="A280" s="63"/>
      <c r="T280" s="64" t="str">
        <f t="shared" si="6"/>
        <v>Exclude</v>
      </c>
      <c r="V280" s="65" t="str">
        <f t="shared" si="7"/>
        <v>Exclude</v>
      </c>
    </row>
    <row r="281" spans="1:22" s="64" customFormat="1" x14ac:dyDescent="0.25">
      <c r="A281" s="63"/>
      <c r="T281" s="64" t="str">
        <f t="shared" si="6"/>
        <v>Exclude</v>
      </c>
      <c r="V281" s="65" t="str">
        <f t="shared" si="7"/>
        <v>Exclude</v>
      </c>
    </row>
    <row r="282" spans="1:22" s="64" customFormat="1" x14ac:dyDescent="0.25">
      <c r="A282" s="63"/>
      <c r="T282" s="64" t="str">
        <f t="shared" si="6"/>
        <v>Exclude</v>
      </c>
      <c r="V282" s="65" t="str">
        <f t="shared" si="7"/>
        <v>Exclude</v>
      </c>
    </row>
    <row r="283" spans="1:22" s="64" customFormat="1" x14ac:dyDescent="0.25">
      <c r="A283" s="63"/>
      <c r="T283" s="64" t="str">
        <f t="shared" si="6"/>
        <v>Exclude</v>
      </c>
      <c r="V283" s="65" t="str">
        <f t="shared" si="7"/>
        <v>Exclude</v>
      </c>
    </row>
    <row r="284" spans="1:22" s="64" customFormat="1" x14ac:dyDescent="0.25">
      <c r="A284" s="63"/>
      <c r="T284" s="64" t="str">
        <f t="shared" si="6"/>
        <v>Exclude</v>
      </c>
      <c r="V284" s="65" t="str">
        <f t="shared" si="7"/>
        <v>Exclude</v>
      </c>
    </row>
    <row r="285" spans="1:22" s="64" customFormat="1" x14ac:dyDescent="0.25">
      <c r="A285" s="63"/>
      <c r="T285" s="64" t="str">
        <f t="shared" si="6"/>
        <v>Exclude</v>
      </c>
      <c r="V285" s="65" t="str">
        <f t="shared" si="7"/>
        <v>Exclude</v>
      </c>
    </row>
    <row r="286" spans="1:22" s="64" customFormat="1" x14ac:dyDescent="0.25">
      <c r="A286" s="63"/>
      <c r="T286" s="64" t="str">
        <f t="shared" si="6"/>
        <v>Exclude</v>
      </c>
      <c r="V286" s="65" t="str">
        <f t="shared" si="7"/>
        <v>Exclude</v>
      </c>
    </row>
    <row r="287" spans="1:22" s="64" customFormat="1" x14ac:dyDescent="0.25">
      <c r="A287" s="63"/>
      <c r="T287" s="64" t="str">
        <f t="shared" si="6"/>
        <v>Exclude</v>
      </c>
      <c r="V287" s="65" t="str">
        <f t="shared" si="7"/>
        <v>Exclude</v>
      </c>
    </row>
    <row r="288" spans="1:22" s="64" customFormat="1" x14ac:dyDescent="0.25">
      <c r="A288" s="63"/>
      <c r="T288" s="64" t="str">
        <f t="shared" si="6"/>
        <v>Exclude</v>
      </c>
      <c r="V288" s="65" t="str">
        <f t="shared" si="7"/>
        <v>Exclude</v>
      </c>
    </row>
    <row r="289" spans="1:22" s="64" customFormat="1" x14ac:dyDescent="0.25">
      <c r="A289" s="63"/>
      <c r="T289" s="64" t="str">
        <f t="shared" si="6"/>
        <v>Exclude</v>
      </c>
      <c r="V289" s="65" t="str">
        <f t="shared" si="7"/>
        <v>Exclude</v>
      </c>
    </row>
    <row r="290" spans="1:22" s="64" customFormat="1" x14ac:dyDescent="0.25">
      <c r="A290" s="63"/>
      <c r="T290" s="64" t="str">
        <f t="shared" ref="T290:T353" si="8">IF(R290="TruePositive",N290,"Exclude")</f>
        <v>Exclude</v>
      </c>
      <c r="V290" s="65" t="str">
        <f t="shared" ref="V290:V353" si="9">IF(R290="TruePositive",LOG10(N290),"Exclude")</f>
        <v>Exclude</v>
      </c>
    </row>
    <row r="291" spans="1:22" s="64" customFormat="1" x14ac:dyDescent="0.25">
      <c r="A291" s="63"/>
      <c r="T291" s="64" t="str">
        <f t="shared" si="8"/>
        <v>Exclude</v>
      </c>
      <c r="V291" s="65" t="str">
        <f t="shared" si="9"/>
        <v>Exclude</v>
      </c>
    </row>
    <row r="292" spans="1:22" s="64" customFormat="1" x14ac:dyDescent="0.25">
      <c r="A292" s="63"/>
      <c r="T292" s="64" t="str">
        <f t="shared" si="8"/>
        <v>Exclude</v>
      </c>
      <c r="V292" s="65" t="str">
        <f t="shared" si="9"/>
        <v>Exclude</v>
      </c>
    </row>
    <row r="293" spans="1:22" s="64" customFormat="1" x14ac:dyDescent="0.25">
      <c r="A293" s="63"/>
      <c r="T293" s="64" t="str">
        <f t="shared" si="8"/>
        <v>Exclude</v>
      </c>
      <c r="V293" s="65" t="str">
        <f t="shared" si="9"/>
        <v>Exclude</v>
      </c>
    </row>
    <row r="294" spans="1:22" s="64" customFormat="1" x14ac:dyDescent="0.25">
      <c r="A294" s="63"/>
      <c r="T294" s="64" t="str">
        <f t="shared" si="8"/>
        <v>Exclude</v>
      </c>
      <c r="V294" s="65" t="str">
        <f t="shared" si="9"/>
        <v>Exclude</v>
      </c>
    </row>
    <row r="295" spans="1:22" s="64" customFormat="1" x14ac:dyDescent="0.25">
      <c r="A295" s="63"/>
      <c r="T295" s="64" t="str">
        <f t="shared" si="8"/>
        <v>Exclude</v>
      </c>
      <c r="V295" s="65" t="str">
        <f t="shared" si="9"/>
        <v>Exclude</v>
      </c>
    </row>
    <row r="296" spans="1:22" s="64" customFormat="1" x14ac:dyDescent="0.25">
      <c r="A296" s="63"/>
      <c r="T296" s="64" t="str">
        <f t="shared" si="8"/>
        <v>Exclude</v>
      </c>
      <c r="V296" s="65" t="str">
        <f t="shared" si="9"/>
        <v>Exclude</v>
      </c>
    </row>
    <row r="297" spans="1:22" s="64" customFormat="1" x14ac:dyDescent="0.25">
      <c r="A297" s="63"/>
      <c r="T297" s="64" t="str">
        <f t="shared" si="8"/>
        <v>Exclude</v>
      </c>
      <c r="V297" s="65" t="str">
        <f t="shared" si="9"/>
        <v>Exclude</v>
      </c>
    </row>
    <row r="298" spans="1:22" s="64" customFormat="1" x14ac:dyDescent="0.25">
      <c r="A298" s="63"/>
      <c r="T298" s="64" t="str">
        <f t="shared" si="8"/>
        <v>Exclude</v>
      </c>
      <c r="V298" s="65" t="str">
        <f t="shared" si="9"/>
        <v>Exclude</v>
      </c>
    </row>
    <row r="299" spans="1:22" s="64" customFormat="1" x14ac:dyDescent="0.25">
      <c r="A299" s="63"/>
      <c r="T299" s="64" t="str">
        <f t="shared" si="8"/>
        <v>Exclude</v>
      </c>
      <c r="V299" s="65" t="str">
        <f t="shared" si="9"/>
        <v>Exclude</v>
      </c>
    </row>
    <row r="300" spans="1:22" s="64" customFormat="1" x14ac:dyDescent="0.25">
      <c r="A300" s="63"/>
      <c r="T300" s="64" t="str">
        <f t="shared" si="8"/>
        <v>Exclude</v>
      </c>
      <c r="V300" s="65" t="str">
        <f t="shared" si="9"/>
        <v>Exclude</v>
      </c>
    </row>
    <row r="301" spans="1:22" s="64" customFormat="1" x14ac:dyDescent="0.25">
      <c r="A301" s="63"/>
      <c r="T301" s="64" t="str">
        <f t="shared" si="8"/>
        <v>Exclude</v>
      </c>
      <c r="V301" s="65" t="str">
        <f t="shared" si="9"/>
        <v>Exclude</v>
      </c>
    </row>
    <row r="302" spans="1:22" s="64" customFormat="1" x14ac:dyDescent="0.25">
      <c r="A302" s="63"/>
      <c r="T302" s="64" t="str">
        <f t="shared" si="8"/>
        <v>Exclude</v>
      </c>
      <c r="V302" s="65" t="str">
        <f t="shared" si="9"/>
        <v>Exclude</v>
      </c>
    </row>
    <row r="303" spans="1:22" s="64" customFormat="1" x14ac:dyDescent="0.25">
      <c r="A303" s="63"/>
      <c r="T303" s="64" t="str">
        <f t="shared" si="8"/>
        <v>Exclude</v>
      </c>
      <c r="V303" s="65" t="str">
        <f t="shared" si="9"/>
        <v>Exclude</v>
      </c>
    </row>
    <row r="304" spans="1:22" s="64" customFormat="1" x14ac:dyDescent="0.25">
      <c r="A304" s="63"/>
      <c r="T304" s="64" t="str">
        <f t="shared" si="8"/>
        <v>Exclude</v>
      </c>
      <c r="V304" s="65" t="str">
        <f t="shared" si="9"/>
        <v>Exclude</v>
      </c>
    </row>
    <row r="305" spans="1:22" s="64" customFormat="1" x14ac:dyDescent="0.25">
      <c r="A305" s="63"/>
      <c r="T305" s="64" t="str">
        <f t="shared" si="8"/>
        <v>Exclude</v>
      </c>
      <c r="V305" s="65" t="str">
        <f t="shared" si="9"/>
        <v>Exclude</v>
      </c>
    </row>
    <row r="306" spans="1:22" s="64" customFormat="1" x14ac:dyDescent="0.25">
      <c r="A306" s="63"/>
      <c r="T306" s="64" t="str">
        <f t="shared" si="8"/>
        <v>Exclude</v>
      </c>
      <c r="V306" s="65" t="str">
        <f t="shared" si="9"/>
        <v>Exclude</v>
      </c>
    </row>
    <row r="307" spans="1:22" s="64" customFormat="1" x14ac:dyDescent="0.25">
      <c r="A307" s="63"/>
      <c r="T307" s="64" t="str">
        <f t="shared" si="8"/>
        <v>Exclude</v>
      </c>
      <c r="V307" s="65" t="str">
        <f t="shared" si="9"/>
        <v>Exclude</v>
      </c>
    </row>
    <row r="308" spans="1:22" s="64" customFormat="1" x14ac:dyDescent="0.25">
      <c r="A308" s="63"/>
      <c r="T308" s="64" t="str">
        <f t="shared" si="8"/>
        <v>Exclude</v>
      </c>
      <c r="V308" s="65" t="str">
        <f t="shared" si="9"/>
        <v>Exclude</v>
      </c>
    </row>
    <row r="309" spans="1:22" s="64" customFormat="1" x14ac:dyDescent="0.25">
      <c r="A309" s="63"/>
      <c r="T309" s="64" t="str">
        <f t="shared" si="8"/>
        <v>Exclude</v>
      </c>
      <c r="V309" s="65" t="str">
        <f t="shared" si="9"/>
        <v>Exclude</v>
      </c>
    </row>
    <row r="310" spans="1:22" s="64" customFormat="1" x14ac:dyDescent="0.25">
      <c r="A310" s="63"/>
      <c r="T310" s="64" t="str">
        <f t="shared" si="8"/>
        <v>Exclude</v>
      </c>
      <c r="V310" s="65" t="str">
        <f t="shared" si="9"/>
        <v>Exclude</v>
      </c>
    </row>
    <row r="311" spans="1:22" s="64" customFormat="1" x14ac:dyDescent="0.25">
      <c r="A311" s="63"/>
      <c r="T311" s="64" t="str">
        <f t="shared" si="8"/>
        <v>Exclude</v>
      </c>
      <c r="V311" s="65" t="str">
        <f t="shared" si="9"/>
        <v>Exclude</v>
      </c>
    </row>
    <row r="312" spans="1:22" s="64" customFormat="1" x14ac:dyDescent="0.25">
      <c r="A312" s="63"/>
      <c r="T312" s="64" t="str">
        <f t="shared" si="8"/>
        <v>Exclude</v>
      </c>
      <c r="V312" s="65" t="str">
        <f t="shared" si="9"/>
        <v>Exclude</v>
      </c>
    </row>
    <row r="313" spans="1:22" s="64" customFormat="1" x14ac:dyDescent="0.25">
      <c r="A313" s="63"/>
      <c r="T313" s="64" t="str">
        <f t="shared" si="8"/>
        <v>Exclude</v>
      </c>
      <c r="V313" s="65" t="str">
        <f t="shared" si="9"/>
        <v>Exclude</v>
      </c>
    </row>
    <row r="314" spans="1:22" s="64" customFormat="1" x14ac:dyDescent="0.25">
      <c r="A314" s="63"/>
      <c r="T314" s="64" t="str">
        <f t="shared" si="8"/>
        <v>Exclude</v>
      </c>
      <c r="V314" s="65" t="str">
        <f t="shared" si="9"/>
        <v>Exclude</v>
      </c>
    </row>
    <row r="315" spans="1:22" s="64" customFormat="1" x14ac:dyDescent="0.25">
      <c r="A315" s="63"/>
      <c r="T315" s="64" t="str">
        <f t="shared" si="8"/>
        <v>Exclude</v>
      </c>
      <c r="V315" s="65" t="str">
        <f t="shared" si="9"/>
        <v>Exclude</v>
      </c>
    </row>
    <row r="316" spans="1:22" s="64" customFormat="1" x14ac:dyDescent="0.25">
      <c r="A316" s="63"/>
      <c r="T316" s="64" t="str">
        <f t="shared" si="8"/>
        <v>Exclude</v>
      </c>
      <c r="V316" s="65" t="str">
        <f t="shared" si="9"/>
        <v>Exclude</v>
      </c>
    </row>
    <row r="317" spans="1:22" s="64" customFormat="1" x14ac:dyDescent="0.25">
      <c r="A317" s="63"/>
      <c r="T317" s="64" t="str">
        <f t="shared" si="8"/>
        <v>Exclude</v>
      </c>
      <c r="V317" s="65" t="str">
        <f t="shared" si="9"/>
        <v>Exclude</v>
      </c>
    </row>
    <row r="318" spans="1:22" s="64" customFormat="1" x14ac:dyDescent="0.25">
      <c r="A318" s="63"/>
      <c r="T318" s="64" t="str">
        <f t="shared" si="8"/>
        <v>Exclude</v>
      </c>
      <c r="V318" s="65" t="str">
        <f t="shared" si="9"/>
        <v>Exclude</v>
      </c>
    </row>
    <row r="319" spans="1:22" s="64" customFormat="1" x14ac:dyDescent="0.25">
      <c r="A319" s="63"/>
      <c r="T319" s="64" t="str">
        <f t="shared" si="8"/>
        <v>Exclude</v>
      </c>
      <c r="V319" s="65" t="str">
        <f t="shared" si="9"/>
        <v>Exclude</v>
      </c>
    </row>
    <row r="320" spans="1:22" s="64" customFormat="1" x14ac:dyDescent="0.25">
      <c r="A320" s="63"/>
      <c r="T320" s="64" t="str">
        <f t="shared" si="8"/>
        <v>Exclude</v>
      </c>
      <c r="V320" s="65" t="str">
        <f t="shared" si="9"/>
        <v>Exclude</v>
      </c>
    </row>
    <row r="321" spans="1:22" s="64" customFormat="1" x14ac:dyDescent="0.25">
      <c r="A321" s="63"/>
      <c r="T321" s="64" t="str">
        <f t="shared" si="8"/>
        <v>Exclude</v>
      </c>
      <c r="V321" s="65" t="str">
        <f t="shared" si="9"/>
        <v>Exclude</v>
      </c>
    </row>
    <row r="322" spans="1:22" s="64" customFormat="1" x14ac:dyDescent="0.25">
      <c r="A322" s="63"/>
      <c r="T322" s="64" t="str">
        <f t="shared" si="8"/>
        <v>Exclude</v>
      </c>
      <c r="V322" s="65" t="str">
        <f t="shared" si="9"/>
        <v>Exclude</v>
      </c>
    </row>
    <row r="323" spans="1:22" s="64" customFormat="1" x14ac:dyDescent="0.25">
      <c r="A323" s="63"/>
      <c r="T323" s="64" t="str">
        <f t="shared" si="8"/>
        <v>Exclude</v>
      </c>
      <c r="V323" s="65" t="str">
        <f t="shared" si="9"/>
        <v>Exclude</v>
      </c>
    </row>
    <row r="324" spans="1:22" s="64" customFormat="1" x14ac:dyDescent="0.25">
      <c r="A324" s="63"/>
      <c r="T324" s="64" t="str">
        <f t="shared" si="8"/>
        <v>Exclude</v>
      </c>
      <c r="V324" s="65" t="str">
        <f t="shared" si="9"/>
        <v>Exclude</v>
      </c>
    </row>
    <row r="325" spans="1:22" s="64" customFormat="1" x14ac:dyDescent="0.25">
      <c r="A325" s="63"/>
      <c r="T325" s="64" t="str">
        <f t="shared" si="8"/>
        <v>Exclude</v>
      </c>
      <c r="V325" s="65" t="str">
        <f t="shared" si="9"/>
        <v>Exclude</v>
      </c>
    </row>
    <row r="326" spans="1:22" s="64" customFormat="1" x14ac:dyDescent="0.25">
      <c r="A326" s="63"/>
      <c r="T326" s="64" t="str">
        <f t="shared" si="8"/>
        <v>Exclude</v>
      </c>
      <c r="V326" s="65" t="str">
        <f t="shared" si="9"/>
        <v>Exclude</v>
      </c>
    </row>
    <row r="327" spans="1:22" s="64" customFormat="1" x14ac:dyDescent="0.25">
      <c r="A327" s="63"/>
      <c r="T327" s="64" t="str">
        <f t="shared" si="8"/>
        <v>Exclude</v>
      </c>
      <c r="V327" s="65" t="str">
        <f t="shared" si="9"/>
        <v>Exclude</v>
      </c>
    </row>
    <row r="328" spans="1:22" s="64" customFormat="1" x14ac:dyDescent="0.25">
      <c r="A328" s="63"/>
      <c r="T328" s="64" t="str">
        <f t="shared" si="8"/>
        <v>Exclude</v>
      </c>
      <c r="V328" s="65" t="str">
        <f t="shared" si="9"/>
        <v>Exclude</v>
      </c>
    </row>
    <row r="329" spans="1:22" s="64" customFormat="1" x14ac:dyDescent="0.25">
      <c r="A329" s="63"/>
      <c r="T329" s="64" t="str">
        <f t="shared" si="8"/>
        <v>Exclude</v>
      </c>
      <c r="V329" s="65" t="str">
        <f t="shared" si="9"/>
        <v>Exclude</v>
      </c>
    </row>
    <row r="330" spans="1:22" s="64" customFormat="1" x14ac:dyDescent="0.25">
      <c r="A330" s="63"/>
      <c r="T330" s="64" t="str">
        <f t="shared" si="8"/>
        <v>Exclude</v>
      </c>
      <c r="V330" s="65" t="str">
        <f t="shared" si="9"/>
        <v>Exclude</v>
      </c>
    </row>
    <row r="331" spans="1:22" s="64" customFormat="1" x14ac:dyDescent="0.25">
      <c r="A331" s="63"/>
      <c r="T331" s="64" t="str">
        <f t="shared" si="8"/>
        <v>Exclude</v>
      </c>
      <c r="V331" s="65" t="str">
        <f t="shared" si="9"/>
        <v>Exclude</v>
      </c>
    </row>
    <row r="332" spans="1:22" s="64" customFormat="1" x14ac:dyDescent="0.25">
      <c r="A332" s="63"/>
      <c r="T332" s="64" t="str">
        <f t="shared" si="8"/>
        <v>Exclude</v>
      </c>
      <c r="V332" s="65" t="str">
        <f t="shared" si="9"/>
        <v>Exclude</v>
      </c>
    </row>
    <row r="333" spans="1:22" s="64" customFormat="1" x14ac:dyDescent="0.25">
      <c r="A333" s="63"/>
      <c r="T333" s="64" t="str">
        <f t="shared" si="8"/>
        <v>Exclude</v>
      </c>
      <c r="V333" s="65" t="str">
        <f t="shared" si="9"/>
        <v>Exclude</v>
      </c>
    </row>
    <row r="334" spans="1:22" s="64" customFormat="1" x14ac:dyDescent="0.25">
      <c r="A334" s="63"/>
      <c r="T334" s="64" t="str">
        <f t="shared" si="8"/>
        <v>Exclude</v>
      </c>
      <c r="V334" s="65" t="str">
        <f t="shared" si="9"/>
        <v>Exclude</v>
      </c>
    </row>
    <row r="335" spans="1:22" s="64" customFormat="1" x14ac:dyDescent="0.25">
      <c r="A335" s="63"/>
      <c r="T335" s="64" t="str">
        <f t="shared" si="8"/>
        <v>Exclude</v>
      </c>
      <c r="V335" s="65" t="str">
        <f t="shared" si="9"/>
        <v>Exclude</v>
      </c>
    </row>
    <row r="336" spans="1:22" s="64" customFormat="1" x14ac:dyDescent="0.25">
      <c r="A336" s="63"/>
      <c r="T336" s="64" t="str">
        <f t="shared" si="8"/>
        <v>Exclude</v>
      </c>
      <c r="V336" s="65" t="str">
        <f t="shared" si="9"/>
        <v>Exclude</v>
      </c>
    </row>
    <row r="337" spans="1:22" s="64" customFormat="1" x14ac:dyDescent="0.25">
      <c r="A337" s="63"/>
      <c r="T337" s="64" t="str">
        <f t="shared" si="8"/>
        <v>Exclude</v>
      </c>
      <c r="V337" s="65" t="str">
        <f t="shared" si="9"/>
        <v>Exclude</v>
      </c>
    </row>
    <row r="338" spans="1:22" s="64" customFormat="1" x14ac:dyDescent="0.25">
      <c r="A338" s="63"/>
      <c r="T338" s="64" t="str">
        <f t="shared" si="8"/>
        <v>Exclude</v>
      </c>
      <c r="V338" s="65" t="str">
        <f t="shared" si="9"/>
        <v>Exclude</v>
      </c>
    </row>
    <row r="339" spans="1:22" s="64" customFormat="1" x14ac:dyDescent="0.25">
      <c r="A339" s="63"/>
      <c r="T339" s="64" t="str">
        <f t="shared" si="8"/>
        <v>Exclude</v>
      </c>
      <c r="V339" s="65" t="str">
        <f t="shared" si="9"/>
        <v>Exclude</v>
      </c>
    </row>
    <row r="340" spans="1:22" s="64" customFormat="1" x14ac:dyDescent="0.25">
      <c r="A340" s="63"/>
      <c r="T340" s="64" t="str">
        <f t="shared" si="8"/>
        <v>Exclude</v>
      </c>
      <c r="V340" s="65" t="str">
        <f t="shared" si="9"/>
        <v>Exclude</v>
      </c>
    </row>
    <row r="341" spans="1:22" s="64" customFormat="1" x14ac:dyDescent="0.25">
      <c r="A341" s="63"/>
      <c r="T341" s="64" t="str">
        <f t="shared" si="8"/>
        <v>Exclude</v>
      </c>
      <c r="V341" s="65" t="str">
        <f t="shared" si="9"/>
        <v>Exclude</v>
      </c>
    </row>
    <row r="342" spans="1:22" s="64" customFormat="1" x14ac:dyDescent="0.25">
      <c r="A342" s="63"/>
      <c r="T342" s="64" t="str">
        <f t="shared" si="8"/>
        <v>Exclude</v>
      </c>
      <c r="V342" s="65" t="str">
        <f t="shared" si="9"/>
        <v>Exclude</v>
      </c>
    </row>
    <row r="343" spans="1:22" s="64" customFormat="1" x14ac:dyDescent="0.25">
      <c r="A343" s="63"/>
      <c r="T343" s="64" t="str">
        <f t="shared" si="8"/>
        <v>Exclude</v>
      </c>
      <c r="V343" s="65" t="str">
        <f t="shared" si="9"/>
        <v>Exclude</v>
      </c>
    </row>
    <row r="344" spans="1:22" s="64" customFormat="1" x14ac:dyDescent="0.25">
      <c r="A344" s="63"/>
      <c r="T344" s="64" t="str">
        <f t="shared" si="8"/>
        <v>Exclude</v>
      </c>
      <c r="V344" s="65" t="str">
        <f t="shared" si="9"/>
        <v>Exclude</v>
      </c>
    </row>
    <row r="345" spans="1:22" s="64" customFormat="1" x14ac:dyDescent="0.25">
      <c r="A345" s="63"/>
      <c r="T345" s="64" t="str">
        <f t="shared" si="8"/>
        <v>Exclude</v>
      </c>
      <c r="V345" s="65" t="str">
        <f t="shared" si="9"/>
        <v>Exclude</v>
      </c>
    </row>
    <row r="346" spans="1:22" s="64" customFormat="1" x14ac:dyDescent="0.25">
      <c r="A346" s="63"/>
      <c r="T346" s="64" t="str">
        <f t="shared" si="8"/>
        <v>Exclude</v>
      </c>
      <c r="V346" s="65" t="str">
        <f t="shared" si="9"/>
        <v>Exclude</v>
      </c>
    </row>
    <row r="347" spans="1:22" s="64" customFormat="1" x14ac:dyDescent="0.25">
      <c r="A347" s="63"/>
      <c r="T347" s="64" t="str">
        <f t="shared" si="8"/>
        <v>Exclude</v>
      </c>
      <c r="V347" s="65" t="str">
        <f t="shared" si="9"/>
        <v>Exclude</v>
      </c>
    </row>
    <row r="348" spans="1:22" s="64" customFormat="1" x14ac:dyDescent="0.25">
      <c r="A348" s="63"/>
      <c r="T348" s="64" t="str">
        <f t="shared" si="8"/>
        <v>Exclude</v>
      </c>
      <c r="V348" s="65" t="str">
        <f t="shared" si="9"/>
        <v>Exclude</v>
      </c>
    </row>
    <row r="349" spans="1:22" s="64" customFormat="1" x14ac:dyDescent="0.25">
      <c r="A349" s="63"/>
      <c r="T349" s="64" t="str">
        <f t="shared" si="8"/>
        <v>Exclude</v>
      </c>
      <c r="V349" s="65" t="str">
        <f t="shared" si="9"/>
        <v>Exclude</v>
      </c>
    </row>
    <row r="350" spans="1:22" s="64" customFormat="1" x14ac:dyDescent="0.25">
      <c r="A350" s="63"/>
      <c r="T350" s="64" t="str">
        <f t="shared" si="8"/>
        <v>Exclude</v>
      </c>
      <c r="V350" s="65" t="str">
        <f t="shared" si="9"/>
        <v>Exclude</v>
      </c>
    </row>
    <row r="351" spans="1:22" s="64" customFormat="1" x14ac:dyDescent="0.25">
      <c r="A351" s="63"/>
      <c r="T351" s="64" t="str">
        <f t="shared" si="8"/>
        <v>Exclude</v>
      </c>
      <c r="V351" s="65" t="str">
        <f t="shared" si="9"/>
        <v>Exclude</v>
      </c>
    </row>
    <row r="352" spans="1:22" s="64" customFormat="1" x14ac:dyDescent="0.25">
      <c r="A352" s="63"/>
      <c r="T352" s="64" t="str">
        <f t="shared" si="8"/>
        <v>Exclude</v>
      </c>
      <c r="V352" s="65" t="str">
        <f t="shared" si="9"/>
        <v>Exclude</v>
      </c>
    </row>
    <row r="353" spans="1:22" s="64" customFormat="1" x14ac:dyDescent="0.25">
      <c r="A353" s="63"/>
      <c r="T353" s="64" t="str">
        <f t="shared" si="8"/>
        <v>Exclude</v>
      </c>
      <c r="V353" s="65" t="str">
        <f t="shared" si="9"/>
        <v>Exclude</v>
      </c>
    </row>
    <row r="354" spans="1:22" s="64" customFormat="1" x14ac:dyDescent="0.25">
      <c r="A354" s="63"/>
      <c r="T354" s="64" t="str">
        <f t="shared" ref="T354:T417" si="10">IF(R354="TruePositive",N354,"Exclude")</f>
        <v>Exclude</v>
      </c>
      <c r="V354" s="65" t="str">
        <f t="shared" ref="V354:V417" si="11">IF(R354="TruePositive",LOG10(N354),"Exclude")</f>
        <v>Exclude</v>
      </c>
    </row>
    <row r="355" spans="1:22" s="64" customFormat="1" x14ac:dyDescent="0.25">
      <c r="A355" s="63"/>
      <c r="T355" s="64" t="str">
        <f t="shared" si="10"/>
        <v>Exclude</v>
      </c>
      <c r="V355" s="65" t="str">
        <f t="shared" si="11"/>
        <v>Exclude</v>
      </c>
    </row>
    <row r="356" spans="1:22" s="64" customFormat="1" x14ac:dyDescent="0.25">
      <c r="A356" s="63"/>
      <c r="T356" s="64" t="str">
        <f t="shared" si="10"/>
        <v>Exclude</v>
      </c>
      <c r="V356" s="65" t="str">
        <f t="shared" si="11"/>
        <v>Exclude</v>
      </c>
    </row>
    <row r="357" spans="1:22" s="64" customFormat="1" x14ac:dyDescent="0.25">
      <c r="A357" s="63"/>
      <c r="T357" s="64" t="str">
        <f t="shared" si="10"/>
        <v>Exclude</v>
      </c>
      <c r="V357" s="65" t="str">
        <f t="shared" si="11"/>
        <v>Exclude</v>
      </c>
    </row>
    <row r="358" spans="1:22" s="64" customFormat="1" x14ac:dyDescent="0.25">
      <c r="A358" s="63"/>
      <c r="T358" s="64" t="str">
        <f t="shared" si="10"/>
        <v>Exclude</v>
      </c>
      <c r="V358" s="65" t="str">
        <f t="shared" si="11"/>
        <v>Exclude</v>
      </c>
    </row>
    <row r="359" spans="1:22" s="64" customFormat="1" x14ac:dyDescent="0.25">
      <c r="A359" s="63"/>
      <c r="T359" s="64" t="str">
        <f t="shared" si="10"/>
        <v>Exclude</v>
      </c>
      <c r="V359" s="65" t="str">
        <f t="shared" si="11"/>
        <v>Exclude</v>
      </c>
    </row>
    <row r="360" spans="1:22" s="64" customFormat="1" x14ac:dyDescent="0.25">
      <c r="A360" s="63"/>
      <c r="T360" s="64" t="str">
        <f t="shared" si="10"/>
        <v>Exclude</v>
      </c>
      <c r="V360" s="65" t="str">
        <f t="shared" si="11"/>
        <v>Exclude</v>
      </c>
    </row>
    <row r="361" spans="1:22" s="64" customFormat="1" x14ac:dyDescent="0.25">
      <c r="A361" s="63"/>
      <c r="T361" s="64" t="str">
        <f t="shared" si="10"/>
        <v>Exclude</v>
      </c>
      <c r="V361" s="65" t="str">
        <f t="shared" si="11"/>
        <v>Exclude</v>
      </c>
    </row>
    <row r="362" spans="1:22" s="64" customFormat="1" x14ac:dyDescent="0.25">
      <c r="A362" s="63"/>
      <c r="T362" s="64" t="str">
        <f t="shared" si="10"/>
        <v>Exclude</v>
      </c>
      <c r="V362" s="65" t="str">
        <f t="shared" si="11"/>
        <v>Exclude</v>
      </c>
    </row>
    <row r="363" spans="1:22" s="64" customFormat="1" x14ac:dyDescent="0.25">
      <c r="A363" s="63"/>
      <c r="T363" s="64" t="str">
        <f t="shared" si="10"/>
        <v>Exclude</v>
      </c>
      <c r="V363" s="65" t="str">
        <f t="shared" si="11"/>
        <v>Exclude</v>
      </c>
    </row>
    <row r="364" spans="1:22" s="64" customFormat="1" x14ac:dyDescent="0.25">
      <c r="A364" s="63"/>
      <c r="T364" s="64" t="str">
        <f t="shared" si="10"/>
        <v>Exclude</v>
      </c>
      <c r="V364" s="65" t="str">
        <f t="shared" si="11"/>
        <v>Exclude</v>
      </c>
    </row>
    <row r="365" spans="1:22" s="64" customFormat="1" x14ac:dyDescent="0.25">
      <c r="A365" s="63"/>
      <c r="T365" s="64" t="str">
        <f t="shared" si="10"/>
        <v>Exclude</v>
      </c>
      <c r="V365" s="65" t="str">
        <f t="shared" si="11"/>
        <v>Exclude</v>
      </c>
    </row>
    <row r="366" spans="1:22" s="64" customFormat="1" x14ac:dyDescent="0.25">
      <c r="A366" s="63"/>
      <c r="T366" s="64" t="str">
        <f t="shared" si="10"/>
        <v>Exclude</v>
      </c>
      <c r="V366" s="65" t="str">
        <f t="shared" si="11"/>
        <v>Exclude</v>
      </c>
    </row>
    <row r="367" spans="1:22" s="64" customFormat="1" x14ac:dyDescent="0.25">
      <c r="A367" s="63"/>
      <c r="T367" s="64" t="str">
        <f t="shared" si="10"/>
        <v>Exclude</v>
      </c>
      <c r="V367" s="65" t="str">
        <f t="shared" si="11"/>
        <v>Exclude</v>
      </c>
    </row>
    <row r="368" spans="1:22" s="64" customFormat="1" x14ac:dyDescent="0.25">
      <c r="A368" s="63"/>
      <c r="T368" s="64" t="str">
        <f t="shared" si="10"/>
        <v>Exclude</v>
      </c>
      <c r="V368" s="65" t="str">
        <f t="shared" si="11"/>
        <v>Exclude</v>
      </c>
    </row>
    <row r="369" spans="1:22" s="64" customFormat="1" x14ac:dyDescent="0.25">
      <c r="A369" s="63"/>
      <c r="T369" s="64" t="str">
        <f t="shared" si="10"/>
        <v>Exclude</v>
      </c>
      <c r="V369" s="65" t="str">
        <f t="shared" si="11"/>
        <v>Exclude</v>
      </c>
    </row>
    <row r="370" spans="1:22" s="64" customFormat="1" x14ac:dyDescent="0.25">
      <c r="A370" s="63"/>
      <c r="T370" s="64" t="str">
        <f t="shared" si="10"/>
        <v>Exclude</v>
      </c>
      <c r="V370" s="65" t="str">
        <f t="shared" si="11"/>
        <v>Exclude</v>
      </c>
    </row>
    <row r="371" spans="1:22" s="64" customFormat="1" x14ac:dyDescent="0.25">
      <c r="A371" s="63"/>
      <c r="T371" s="64" t="str">
        <f t="shared" si="10"/>
        <v>Exclude</v>
      </c>
      <c r="V371" s="65" t="str">
        <f t="shared" si="11"/>
        <v>Exclude</v>
      </c>
    </row>
    <row r="372" spans="1:22" s="64" customFormat="1" x14ac:dyDescent="0.25">
      <c r="A372" s="63"/>
      <c r="T372" s="64" t="str">
        <f t="shared" si="10"/>
        <v>Exclude</v>
      </c>
      <c r="V372" s="65" t="str">
        <f t="shared" si="11"/>
        <v>Exclude</v>
      </c>
    </row>
    <row r="373" spans="1:22" s="64" customFormat="1" x14ac:dyDescent="0.25">
      <c r="A373" s="63"/>
      <c r="T373" s="64" t="str">
        <f t="shared" si="10"/>
        <v>Exclude</v>
      </c>
      <c r="V373" s="65" t="str">
        <f t="shared" si="11"/>
        <v>Exclude</v>
      </c>
    </row>
    <row r="374" spans="1:22" s="64" customFormat="1" x14ac:dyDescent="0.25">
      <c r="A374" s="63"/>
      <c r="T374" s="64" t="str">
        <f t="shared" si="10"/>
        <v>Exclude</v>
      </c>
      <c r="V374" s="65" t="str">
        <f t="shared" si="11"/>
        <v>Exclude</v>
      </c>
    </row>
    <row r="375" spans="1:22" s="64" customFormat="1" x14ac:dyDescent="0.25">
      <c r="A375" s="63"/>
      <c r="T375" s="64" t="str">
        <f t="shared" si="10"/>
        <v>Exclude</v>
      </c>
      <c r="V375" s="65" t="str">
        <f t="shared" si="11"/>
        <v>Exclude</v>
      </c>
    </row>
    <row r="376" spans="1:22" s="64" customFormat="1" x14ac:dyDescent="0.25">
      <c r="A376" s="63"/>
      <c r="T376" s="64" t="str">
        <f t="shared" si="10"/>
        <v>Exclude</v>
      </c>
      <c r="V376" s="65" t="str">
        <f t="shared" si="11"/>
        <v>Exclude</v>
      </c>
    </row>
    <row r="377" spans="1:22" s="64" customFormat="1" x14ac:dyDescent="0.25">
      <c r="A377" s="63"/>
      <c r="T377" s="64" t="str">
        <f t="shared" si="10"/>
        <v>Exclude</v>
      </c>
      <c r="V377" s="65" t="str">
        <f t="shared" si="11"/>
        <v>Exclude</v>
      </c>
    </row>
    <row r="378" spans="1:22" s="64" customFormat="1" x14ac:dyDescent="0.25">
      <c r="A378" s="63"/>
      <c r="T378" s="64" t="str">
        <f t="shared" si="10"/>
        <v>Exclude</v>
      </c>
      <c r="V378" s="65" t="str">
        <f t="shared" si="11"/>
        <v>Exclude</v>
      </c>
    </row>
    <row r="379" spans="1:22" s="64" customFormat="1" x14ac:dyDescent="0.25">
      <c r="A379" s="63"/>
      <c r="T379" s="64" t="str">
        <f t="shared" si="10"/>
        <v>Exclude</v>
      </c>
      <c r="V379" s="65" t="str">
        <f t="shared" si="11"/>
        <v>Exclude</v>
      </c>
    </row>
    <row r="380" spans="1:22" s="64" customFormat="1" x14ac:dyDescent="0.25">
      <c r="A380" s="63"/>
      <c r="T380" s="64" t="str">
        <f t="shared" si="10"/>
        <v>Exclude</v>
      </c>
      <c r="V380" s="65" t="str">
        <f t="shared" si="11"/>
        <v>Exclude</v>
      </c>
    </row>
    <row r="381" spans="1:22" s="64" customFormat="1" x14ac:dyDescent="0.25">
      <c r="A381" s="63"/>
      <c r="T381" s="64" t="str">
        <f t="shared" si="10"/>
        <v>Exclude</v>
      </c>
      <c r="V381" s="65" t="str">
        <f t="shared" si="11"/>
        <v>Exclude</v>
      </c>
    </row>
    <row r="382" spans="1:22" s="64" customFormat="1" x14ac:dyDescent="0.25">
      <c r="A382" s="63"/>
      <c r="T382" s="64" t="str">
        <f t="shared" si="10"/>
        <v>Exclude</v>
      </c>
      <c r="V382" s="65" t="str">
        <f t="shared" si="11"/>
        <v>Exclude</v>
      </c>
    </row>
    <row r="383" spans="1:22" s="64" customFormat="1" x14ac:dyDescent="0.25">
      <c r="A383" s="63"/>
      <c r="T383" s="64" t="str">
        <f t="shared" si="10"/>
        <v>Exclude</v>
      </c>
      <c r="V383" s="65" t="str">
        <f t="shared" si="11"/>
        <v>Exclude</v>
      </c>
    </row>
    <row r="384" spans="1:22" s="64" customFormat="1" x14ac:dyDescent="0.25">
      <c r="A384" s="63"/>
      <c r="T384" s="64" t="str">
        <f t="shared" si="10"/>
        <v>Exclude</v>
      </c>
      <c r="V384" s="65" t="str">
        <f t="shared" si="11"/>
        <v>Exclude</v>
      </c>
    </row>
    <row r="385" spans="1:22" s="64" customFormat="1" x14ac:dyDescent="0.25">
      <c r="A385" s="63"/>
      <c r="T385" s="64" t="str">
        <f t="shared" si="10"/>
        <v>Exclude</v>
      </c>
      <c r="V385" s="65" t="str">
        <f t="shared" si="11"/>
        <v>Exclude</v>
      </c>
    </row>
    <row r="386" spans="1:22" s="64" customFormat="1" x14ac:dyDescent="0.25">
      <c r="A386" s="63"/>
      <c r="T386" s="64" t="str">
        <f t="shared" si="10"/>
        <v>Exclude</v>
      </c>
      <c r="V386" s="65" t="str">
        <f t="shared" si="11"/>
        <v>Exclude</v>
      </c>
    </row>
    <row r="387" spans="1:22" s="64" customFormat="1" x14ac:dyDescent="0.25">
      <c r="A387" s="63"/>
      <c r="T387" s="64" t="str">
        <f t="shared" si="10"/>
        <v>Exclude</v>
      </c>
      <c r="V387" s="65" t="str">
        <f t="shared" si="11"/>
        <v>Exclude</v>
      </c>
    </row>
    <row r="388" spans="1:22" s="64" customFormat="1" x14ac:dyDescent="0.25">
      <c r="A388" s="63"/>
      <c r="T388" s="64" t="str">
        <f t="shared" si="10"/>
        <v>Exclude</v>
      </c>
      <c r="V388" s="65" t="str">
        <f t="shared" si="11"/>
        <v>Exclude</v>
      </c>
    </row>
    <row r="389" spans="1:22" s="64" customFormat="1" x14ac:dyDescent="0.25">
      <c r="A389" s="63"/>
      <c r="T389" s="64" t="str">
        <f t="shared" si="10"/>
        <v>Exclude</v>
      </c>
      <c r="V389" s="65" t="str">
        <f t="shared" si="11"/>
        <v>Exclude</v>
      </c>
    </row>
    <row r="390" spans="1:22" s="64" customFormat="1" x14ac:dyDescent="0.25">
      <c r="A390" s="63"/>
      <c r="T390" s="64" t="str">
        <f t="shared" si="10"/>
        <v>Exclude</v>
      </c>
      <c r="V390" s="65" t="str">
        <f t="shared" si="11"/>
        <v>Exclude</v>
      </c>
    </row>
    <row r="391" spans="1:22" s="64" customFormat="1" x14ac:dyDescent="0.25">
      <c r="A391" s="63"/>
      <c r="T391" s="64" t="str">
        <f t="shared" si="10"/>
        <v>Exclude</v>
      </c>
      <c r="V391" s="65" t="str">
        <f t="shared" si="11"/>
        <v>Exclude</v>
      </c>
    </row>
    <row r="392" spans="1:22" s="64" customFormat="1" x14ac:dyDescent="0.25">
      <c r="A392" s="63"/>
      <c r="T392" s="64" t="str">
        <f t="shared" si="10"/>
        <v>Exclude</v>
      </c>
      <c r="V392" s="65" t="str">
        <f t="shared" si="11"/>
        <v>Exclude</v>
      </c>
    </row>
    <row r="393" spans="1:22" s="64" customFormat="1" x14ac:dyDescent="0.25">
      <c r="A393" s="63"/>
      <c r="T393" s="64" t="str">
        <f t="shared" si="10"/>
        <v>Exclude</v>
      </c>
      <c r="V393" s="65" t="str">
        <f t="shared" si="11"/>
        <v>Exclude</v>
      </c>
    </row>
    <row r="394" spans="1:22" s="64" customFormat="1" x14ac:dyDescent="0.25">
      <c r="A394" s="63"/>
      <c r="T394" s="64" t="str">
        <f t="shared" si="10"/>
        <v>Exclude</v>
      </c>
      <c r="V394" s="65" t="str">
        <f t="shared" si="11"/>
        <v>Exclude</v>
      </c>
    </row>
    <row r="395" spans="1:22" s="64" customFormat="1" x14ac:dyDescent="0.25">
      <c r="A395" s="63"/>
      <c r="T395" s="64" t="str">
        <f t="shared" si="10"/>
        <v>Exclude</v>
      </c>
      <c r="V395" s="65" t="str">
        <f t="shared" si="11"/>
        <v>Exclude</v>
      </c>
    </row>
    <row r="396" spans="1:22" s="64" customFormat="1" x14ac:dyDescent="0.25">
      <c r="A396" s="63"/>
      <c r="T396" s="64" t="str">
        <f t="shared" si="10"/>
        <v>Exclude</v>
      </c>
      <c r="V396" s="65" t="str">
        <f t="shared" si="11"/>
        <v>Exclude</v>
      </c>
    </row>
    <row r="397" spans="1:22" s="64" customFormat="1" x14ac:dyDescent="0.25">
      <c r="A397" s="63"/>
      <c r="T397" s="64" t="str">
        <f t="shared" si="10"/>
        <v>Exclude</v>
      </c>
      <c r="V397" s="65" t="str">
        <f t="shared" si="11"/>
        <v>Exclude</v>
      </c>
    </row>
    <row r="398" spans="1:22" s="64" customFormat="1" x14ac:dyDescent="0.25">
      <c r="A398" s="63"/>
      <c r="T398" s="64" t="str">
        <f t="shared" si="10"/>
        <v>Exclude</v>
      </c>
      <c r="V398" s="65" t="str">
        <f t="shared" si="11"/>
        <v>Exclude</v>
      </c>
    </row>
    <row r="399" spans="1:22" s="64" customFormat="1" x14ac:dyDescent="0.25">
      <c r="A399" s="63"/>
      <c r="T399" s="64" t="str">
        <f t="shared" si="10"/>
        <v>Exclude</v>
      </c>
      <c r="V399" s="65" t="str">
        <f t="shared" si="11"/>
        <v>Exclude</v>
      </c>
    </row>
    <row r="400" spans="1:22" s="64" customFormat="1" x14ac:dyDescent="0.25">
      <c r="A400" s="63"/>
      <c r="T400" s="64" t="str">
        <f t="shared" si="10"/>
        <v>Exclude</v>
      </c>
      <c r="V400" s="65" t="str">
        <f t="shared" si="11"/>
        <v>Exclude</v>
      </c>
    </row>
    <row r="401" spans="1:22" s="64" customFormat="1" x14ac:dyDescent="0.25">
      <c r="A401" s="63"/>
      <c r="T401" s="64" t="str">
        <f t="shared" si="10"/>
        <v>Exclude</v>
      </c>
      <c r="V401" s="65" t="str">
        <f t="shared" si="11"/>
        <v>Exclude</v>
      </c>
    </row>
    <row r="402" spans="1:22" s="64" customFormat="1" x14ac:dyDescent="0.25">
      <c r="A402" s="63"/>
      <c r="T402" s="64" t="str">
        <f t="shared" si="10"/>
        <v>Exclude</v>
      </c>
      <c r="V402" s="65" t="str">
        <f t="shared" si="11"/>
        <v>Exclude</v>
      </c>
    </row>
    <row r="403" spans="1:22" s="64" customFormat="1" x14ac:dyDescent="0.25">
      <c r="A403" s="63"/>
      <c r="T403" s="64" t="str">
        <f t="shared" si="10"/>
        <v>Exclude</v>
      </c>
      <c r="V403" s="65" t="str">
        <f t="shared" si="11"/>
        <v>Exclude</v>
      </c>
    </row>
    <row r="404" spans="1:22" s="64" customFormat="1" x14ac:dyDescent="0.25">
      <c r="A404" s="63"/>
      <c r="T404" s="64" t="str">
        <f t="shared" si="10"/>
        <v>Exclude</v>
      </c>
      <c r="V404" s="65" t="str">
        <f t="shared" si="11"/>
        <v>Exclude</v>
      </c>
    </row>
    <row r="405" spans="1:22" s="64" customFormat="1" x14ac:dyDescent="0.25">
      <c r="A405" s="63"/>
      <c r="T405" s="64" t="str">
        <f t="shared" si="10"/>
        <v>Exclude</v>
      </c>
      <c r="V405" s="65" t="str">
        <f t="shared" si="11"/>
        <v>Exclude</v>
      </c>
    </row>
    <row r="406" spans="1:22" s="64" customFormat="1" x14ac:dyDescent="0.25">
      <c r="A406" s="63"/>
      <c r="T406" s="64" t="str">
        <f t="shared" si="10"/>
        <v>Exclude</v>
      </c>
      <c r="V406" s="65" t="str">
        <f t="shared" si="11"/>
        <v>Exclude</v>
      </c>
    </row>
    <row r="407" spans="1:22" s="64" customFormat="1" x14ac:dyDescent="0.25">
      <c r="A407" s="63"/>
      <c r="T407" s="64" t="str">
        <f t="shared" si="10"/>
        <v>Exclude</v>
      </c>
      <c r="V407" s="65" t="str">
        <f t="shared" si="11"/>
        <v>Exclude</v>
      </c>
    </row>
    <row r="408" spans="1:22" s="64" customFormat="1" x14ac:dyDescent="0.25">
      <c r="A408" s="63"/>
      <c r="T408" s="64" t="str">
        <f t="shared" si="10"/>
        <v>Exclude</v>
      </c>
      <c r="V408" s="65" t="str">
        <f t="shared" si="11"/>
        <v>Exclude</v>
      </c>
    </row>
    <row r="409" spans="1:22" s="64" customFormat="1" x14ac:dyDescent="0.25">
      <c r="A409" s="63"/>
      <c r="T409" s="64" t="str">
        <f t="shared" si="10"/>
        <v>Exclude</v>
      </c>
      <c r="V409" s="65" t="str">
        <f t="shared" si="11"/>
        <v>Exclude</v>
      </c>
    </row>
    <row r="410" spans="1:22" s="64" customFormat="1" x14ac:dyDescent="0.25">
      <c r="A410" s="63"/>
      <c r="T410" s="64" t="str">
        <f t="shared" si="10"/>
        <v>Exclude</v>
      </c>
      <c r="V410" s="65" t="str">
        <f t="shared" si="11"/>
        <v>Exclude</v>
      </c>
    </row>
    <row r="411" spans="1:22" s="64" customFormat="1" x14ac:dyDescent="0.25">
      <c r="A411" s="63"/>
      <c r="T411" s="64" t="str">
        <f t="shared" si="10"/>
        <v>Exclude</v>
      </c>
      <c r="V411" s="65" t="str">
        <f t="shared" si="11"/>
        <v>Exclude</v>
      </c>
    </row>
    <row r="412" spans="1:22" s="64" customFormat="1" x14ac:dyDescent="0.25">
      <c r="A412" s="63"/>
      <c r="T412" s="64" t="str">
        <f t="shared" si="10"/>
        <v>Exclude</v>
      </c>
      <c r="V412" s="65" t="str">
        <f t="shared" si="11"/>
        <v>Exclude</v>
      </c>
    </row>
    <row r="413" spans="1:22" s="64" customFormat="1" x14ac:dyDescent="0.25">
      <c r="A413" s="63"/>
      <c r="T413" s="64" t="str">
        <f t="shared" si="10"/>
        <v>Exclude</v>
      </c>
      <c r="V413" s="65" t="str">
        <f t="shared" si="11"/>
        <v>Exclude</v>
      </c>
    </row>
    <row r="414" spans="1:22" s="64" customFormat="1" x14ac:dyDescent="0.25">
      <c r="A414" s="63"/>
      <c r="T414" s="64" t="str">
        <f t="shared" si="10"/>
        <v>Exclude</v>
      </c>
      <c r="V414" s="65" t="str">
        <f t="shared" si="11"/>
        <v>Exclude</v>
      </c>
    </row>
    <row r="415" spans="1:22" s="64" customFormat="1" x14ac:dyDescent="0.25">
      <c r="A415" s="63"/>
      <c r="T415" s="64" t="str">
        <f t="shared" si="10"/>
        <v>Exclude</v>
      </c>
      <c r="V415" s="65" t="str">
        <f t="shared" si="11"/>
        <v>Exclude</v>
      </c>
    </row>
    <row r="416" spans="1:22" s="64" customFormat="1" x14ac:dyDescent="0.25">
      <c r="A416" s="63"/>
      <c r="T416" s="64" t="str">
        <f t="shared" si="10"/>
        <v>Exclude</v>
      </c>
      <c r="V416" s="65" t="str">
        <f t="shared" si="11"/>
        <v>Exclude</v>
      </c>
    </row>
    <row r="417" spans="1:22" s="64" customFormat="1" x14ac:dyDescent="0.25">
      <c r="A417" s="63"/>
      <c r="T417" s="64" t="str">
        <f t="shared" si="10"/>
        <v>Exclude</v>
      </c>
      <c r="V417" s="65" t="str">
        <f t="shared" si="11"/>
        <v>Exclude</v>
      </c>
    </row>
    <row r="418" spans="1:22" s="64" customFormat="1" x14ac:dyDescent="0.25">
      <c r="A418" s="63"/>
      <c r="T418" s="64" t="str">
        <f t="shared" ref="T418:T481" si="12">IF(R418="TruePositive",N418,"Exclude")</f>
        <v>Exclude</v>
      </c>
      <c r="V418" s="65" t="str">
        <f t="shared" ref="V418:V481" si="13">IF(R418="TruePositive",LOG10(N418),"Exclude")</f>
        <v>Exclude</v>
      </c>
    </row>
    <row r="419" spans="1:22" s="64" customFormat="1" x14ac:dyDescent="0.25">
      <c r="A419" s="63"/>
      <c r="T419" s="64" t="str">
        <f t="shared" si="12"/>
        <v>Exclude</v>
      </c>
      <c r="V419" s="65" t="str">
        <f t="shared" si="13"/>
        <v>Exclude</v>
      </c>
    </row>
    <row r="420" spans="1:22" s="64" customFormat="1" x14ac:dyDescent="0.25">
      <c r="A420" s="63"/>
      <c r="T420" s="64" t="str">
        <f t="shared" si="12"/>
        <v>Exclude</v>
      </c>
      <c r="V420" s="65" t="str">
        <f t="shared" si="13"/>
        <v>Exclude</v>
      </c>
    </row>
    <row r="421" spans="1:22" s="64" customFormat="1" x14ac:dyDescent="0.25">
      <c r="A421" s="63"/>
      <c r="T421" s="64" t="str">
        <f t="shared" si="12"/>
        <v>Exclude</v>
      </c>
      <c r="V421" s="65" t="str">
        <f t="shared" si="13"/>
        <v>Exclude</v>
      </c>
    </row>
    <row r="422" spans="1:22" s="64" customFormat="1" x14ac:dyDescent="0.25">
      <c r="A422" s="63"/>
      <c r="T422" s="64" t="str">
        <f t="shared" si="12"/>
        <v>Exclude</v>
      </c>
      <c r="V422" s="65" t="str">
        <f t="shared" si="13"/>
        <v>Exclude</v>
      </c>
    </row>
    <row r="423" spans="1:22" s="64" customFormat="1" x14ac:dyDescent="0.25">
      <c r="A423" s="63"/>
      <c r="T423" s="64" t="str">
        <f t="shared" si="12"/>
        <v>Exclude</v>
      </c>
      <c r="V423" s="65" t="str">
        <f t="shared" si="13"/>
        <v>Exclude</v>
      </c>
    </row>
    <row r="424" spans="1:22" s="64" customFormat="1" x14ac:dyDescent="0.25">
      <c r="A424" s="63"/>
      <c r="T424" s="64" t="str">
        <f t="shared" si="12"/>
        <v>Exclude</v>
      </c>
      <c r="V424" s="65" t="str">
        <f t="shared" si="13"/>
        <v>Exclude</v>
      </c>
    </row>
    <row r="425" spans="1:22" s="64" customFormat="1" x14ac:dyDescent="0.25">
      <c r="A425" s="63"/>
      <c r="T425" s="64" t="str">
        <f t="shared" si="12"/>
        <v>Exclude</v>
      </c>
      <c r="V425" s="65" t="str">
        <f t="shared" si="13"/>
        <v>Exclude</v>
      </c>
    </row>
    <row r="426" spans="1:22" s="64" customFormat="1" x14ac:dyDescent="0.25">
      <c r="A426" s="63"/>
      <c r="T426" s="64" t="str">
        <f t="shared" si="12"/>
        <v>Exclude</v>
      </c>
      <c r="V426" s="65" t="str">
        <f t="shared" si="13"/>
        <v>Exclude</v>
      </c>
    </row>
    <row r="427" spans="1:22" s="64" customFormat="1" x14ac:dyDescent="0.25">
      <c r="A427" s="63"/>
      <c r="T427" s="64" t="str">
        <f t="shared" si="12"/>
        <v>Exclude</v>
      </c>
      <c r="V427" s="65" t="str">
        <f t="shared" si="13"/>
        <v>Exclude</v>
      </c>
    </row>
    <row r="428" spans="1:22" s="64" customFormat="1" x14ac:dyDescent="0.25">
      <c r="A428" s="63"/>
      <c r="T428" s="64" t="str">
        <f t="shared" si="12"/>
        <v>Exclude</v>
      </c>
      <c r="V428" s="65" t="str">
        <f t="shared" si="13"/>
        <v>Exclude</v>
      </c>
    </row>
    <row r="429" spans="1:22" s="64" customFormat="1" x14ac:dyDescent="0.25">
      <c r="A429" s="63"/>
      <c r="T429" s="64" t="str">
        <f t="shared" si="12"/>
        <v>Exclude</v>
      </c>
      <c r="V429" s="65" t="str">
        <f t="shared" si="13"/>
        <v>Exclude</v>
      </c>
    </row>
    <row r="430" spans="1:22" s="64" customFormat="1" x14ac:dyDescent="0.25">
      <c r="A430" s="63"/>
      <c r="T430" s="64" t="str">
        <f t="shared" si="12"/>
        <v>Exclude</v>
      </c>
      <c r="V430" s="65" t="str">
        <f t="shared" si="13"/>
        <v>Exclude</v>
      </c>
    </row>
    <row r="431" spans="1:22" s="64" customFormat="1" x14ac:dyDescent="0.25">
      <c r="A431" s="63"/>
      <c r="T431" s="64" t="str">
        <f t="shared" si="12"/>
        <v>Exclude</v>
      </c>
      <c r="V431" s="65" t="str">
        <f t="shared" si="13"/>
        <v>Exclude</v>
      </c>
    </row>
    <row r="432" spans="1:22" s="64" customFormat="1" x14ac:dyDescent="0.25">
      <c r="A432" s="63"/>
      <c r="T432" s="64" t="str">
        <f t="shared" si="12"/>
        <v>Exclude</v>
      </c>
      <c r="V432" s="65" t="str">
        <f t="shared" si="13"/>
        <v>Exclude</v>
      </c>
    </row>
    <row r="433" spans="1:22" s="64" customFormat="1" x14ac:dyDescent="0.25">
      <c r="A433" s="63"/>
      <c r="T433" s="64" t="str">
        <f t="shared" si="12"/>
        <v>Exclude</v>
      </c>
      <c r="V433" s="65" t="str">
        <f t="shared" si="13"/>
        <v>Exclude</v>
      </c>
    </row>
    <row r="434" spans="1:22" s="64" customFormat="1" x14ac:dyDescent="0.25">
      <c r="A434" s="63"/>
      <c r="T434" s="64" t="str">
        <f t="shared" si="12"/>
        <v>Exclude</v>
      </c>
      <c r="V434" s="65" t="str">
        <f t="shared" si="13"/>
        <v>Exclude</v>
      </c>
    </row>
    <row r="435" spans="1:22" s="64" customFormat="1" x14ac:dyDescent="0.25">
      <c r="A435" s="63"/>
      <c r="T435" s="64" t="str">
        <f t="shared" si="12"/>
        <v>Exclude</v>
      </c>
      <c r="V435" s="65" t="str">
        <f t="shared" si="13"/>
        <v>Exclude</v>
      </c>
    </row>
    <row r="436" spans="1:22" s="64" customFormat="1" x14ac:dyDescent="0.25">
      <c r="A436" s="63"/>
      <c r="T436" s="64" t="str">
        <f t="shared" si="12"/>
        <v>Exclude</v>
      </c>
      <c r="V436" s="65" t="str">
        <f t="shared" si="13"/>
        <v>Exclude</v>
      </c>
    </row>
    <row r="437" spans="1:22" s="64" customFormat="1" x14ac:dyDescent="0.25">
      <c r="A437" s="63"/>
      <c r="T437" s="64" t="str">
        <f t="shared" si="12"/>
        <v>Exclude</v>
      </c>
      <c r="V437" s="65" t="str">
        <f t="shared" si="13"/>
        <v>Exclude</v>
      </c>
    </row>
    <row r="438" spans="1:22" s="64" customFormat="1" x14ac:dyDescent="0.25">
      <c r="A438" s="63"/>
      <c r="T438" s="64" t="str">
        <f t="shared" si="12"/>
        <v>Exclude</v>
      </c>
      <c r="V438" s="65" t="str">
        <f t="shared" si="13"/>
        <v>Exclude</v>
      </c>
    </row>
    <row r="439" spans="1:22" s="64" customFormat="1" x14ac:dyDescent="0.25">
      <c r="A439" s="63"/>
      <c r="T439" s="64" t="str">
        <f t="shared" si="12"/>
        <v>Exclude</v>
      </c>
      <c r="V439" s="65" t="str">
        <f t="shared" si="13"/>
        <v>Exclude</v>
      </c>
    </row>
    <row r="440" spans="1:22" s="64" customFormat="1" x14ac:dyDescent="0.25">
      <c r="A440" s="63"/>
      <c r="T440" s="64" t="str">
        <f t="shared" si="12"/>
        <v>Exclude</v>
      </c>
      <c r="V440" s="65" t="str">
        <f t="shared" si="13"/>
        <v>Exclude</v>
      </c>
    </row>
    <row r="441" spans="1:22" s="64" customFormat="1" x14ac:dyDescent="0.25">
      <c r="A441" s="63"/>
      <c r="T441" s="64" t="str">
        <f t="shared" si="12"/>
        <v>Exclude</v>
      </c>
      <c r="V441" s="65" t="str">
        <f t="shared" si="13"/>
        <v>Exclude</v>
      </c>
    </row>
    <row r="442" spans="1:22" s="64" customFormat="1" x14ac:dyDescent="0.25">
      <c r="A442" s="63"/>
      <c r="T442" s="64" t="str">
        <f t="shared" si="12"/>
        <v>Exclude</v>
      </c>
      <c r="V442" s="65" t="str">
        <f t="shared" si="13"/>
        <v>Exclude</v>
      </c>
    </row>
    <row r="443" spans="1:22" s="64" customFormat="1" x14ac:dyDescent="0.25">
      <c r="A443" s="63"/>
      <c r="T443" s="64" t="str">
        <f t="shared" si="12"/>
        <v>Exclude</v>
      </c>
      <c r="V443" s="65" t="str">
        <f t="shared" si="13"/>
        <v>Exclude</v>
      </c>
    </row>
    <row r="444" spans="1:22" s="64" customFormat="1" x14ac:dyDescent="0.25">
      <c r="A444" s="63"/>
      <c r="T444" s="64" t="str">
        <f t="shared" si="12"/>
        <v>Exclude</v>
      </c>
      <c r="V444" s="65" t="str">
        <f t="shared" si="13"/>
        <v>Exclude</v>
      </c>
    </row>
    <row r="445" spans="1:22" s="64" customFormat="1" x14ac:dyDescent="0.25">
      <c r="A445" s="63"/>
      <c r="T445" s="64" t="str">
        <f t="shared" si="12"/>
        <v>Exclude</v>
      </c>
      <c r="V445" s="65" t="str">
        <f t="shared" si="13"/>
        <v>Exclude</v>
      </c>
    </row>
    <row r="446" spans="1:22" s="64" customFormat="1" x14ac:dyDescent="0.25">
      <c r="A446" s="63"/>
      <c r="T446" s="64" t="str">
        <f t="shared" si="12"/>
        <v>Exclude</v>
      </c>
      <c r="V446" s="65" t="str">
        <f t="shared" si="13"/>
        <v>Exclude</v>
      </c>
    </row>
    <row r="447" spans="1:22" s="64" customFormat="1" x14ac:dyDescent="0.25">
      <c r="A447" s="63"/>
      <c r="T447" s="64" t="str">
        <f t="shared" si="12"/>
        <v>Exclude</v>
      </c>
      <c r="V447" s="65" t="str">
        <f t="shared" si="13"/>
        <v>Exclude</v>
      </c>
    </row>
    <row r="448" spans="1:22" s="64" customFormat="1" x14ac:dyDescent="0.25">
      <c r="A448" s="63"/>
      <c r="T448" s="64" t="str">
        <f t="shared" si="12"/>
        <v>Exclude</v>
      </c>
      <c r="V448" s="65" t="str">
        <f t="shared" si="13"/>
        <v>Exclude</v>
      </c>
    </row>
    <row r="449" spans="1:22" s="64" customFormat="1" x14ac:dyDescent="0.25">
      <c r="A449" s="63"/>
      <c r="T449" s="64" t="str">
        <f t="shared" si="12"/>
        <v>Exclude</v>
      </c>
      <c r="V449" s="65" t="str">
        <f t="shared" si="13"/>
        <v>Exclude</v>
      </c>
    </row>
    <row r="450" spans="1:22" s="64" customFormat="1" x14ac:dyDescent="0.25">
      <c r="A450" s="63"/>
      <c r="T450" s="64" t="str">
        <f t="shared" si="12"/>
        <v>Exclude</v>
      </c>
      <c r="V450" s="65" t="str">
        <f t="shared" si="13"/>
        <v>Exclude</v>
      </c>
    </row>
    <row r="451" spans="1:22" s="64" customFormat="1" x14ac:dyDescent="0.25">
      <c r="A451" s="63"/>
      <c r="T451" s="64" t="str">
        <f t="shared" si="12"/>
        <v>Exclude</v>
      </c>
      <c r="V451" s="65" t="str">
        <f t="shared" si="13"/>
        <v>Exclude</v>
      </c>
    </row>
    <row r="452" spans="1:22" s="64" customFormat="1" x14ac:dyDescent="0.25">
      <c r="A452" s="63"/>
      <c r="T452" s="64" t="str">
        <f t="shared" si="12"/>
        <v>Exclude</v>
      </c>
      <c r="V452" s="65" t="str">
        <f t="shared" si="13"/>
        <v>Exclude</v>
      </c>
    </row>
    <row r="453" spans="1:22" s="64" customFormat="1" x14ac:dyDescent="0.25">
      <c r="A453" s="63"/>
      <c r="T453" s="64" t="str">
        <f t="shared" si="12"/>
        <v>Exclude</v>
      </c>
      <c r="V453" s="65" t="str">
        <f t="shared" si="13"/>
        <v>Exclude</v>
      </c>
    </row>
    <row r="454" spans="1:22" s="64" customFormat="1" x14ac:dyDescent="0.25">
      <c r="A454" s="63"/>
      <c r="T454" s="64" t="str">
        <f t="shared" si="12"/>
        <v>Exclude</v>
      </c>
      <c r="V454" s="65" t="str">
        <f t="shared" si="13"/>
        <v>Exclude</v>
      </c>
    </row>
    <row r="455" spans="1:22" s="64" customFormat="1" x14ac:dyDescent="0.25">
      <c r="A455" s="63"/>
      <c r="T455" s="64" t="str">
        <f t="shared" si="12"/>
        <v>Exclude</v>
      </c>
      <c r="V455" s="65" t="str">
        <f t="shared" si="13"/>
        <v>Exclude</v>
      </c>
    </row>
    <row r="456" spans="1:22" s="64" customFormat="1" x14ac:dyDescent="0.25">
      <c r="A456" s="63"/>
      <c r="T456" s="64" t="str">
        <f t="shared" si="12"/>
        <v>Exclude</v>
      </c>
      <c r="V456" s="65" t="str">
        <f t="shared" si="13"/>
        <v>Exclude</v>
      </c>
    </row>
    <row r="457" spans="1:22" s="64" customFormat="1" x14ac:dyDescent="0.25">
      <c r="A457" s="63"/>
      <c r="T457" s="64" t="str">
        <f t="shared" si="12"/>
        <v>Exclude</v>
      </c>
      <c r="V457" s="65" t="str">
        <f t="shared" si="13"/>
        <v>Exclude</v>
      </c>
    </row>
    <row r="458" spans="1:22" s="64" customFormat="1" x14ac:dyDescent="0.25">
      <c r="A458" s="63"/>
      <c r="T458" s="64" t="str">
        <f t="shared" si="12"/>
        <v>Exclude</v>
      </c>
      <c r="V458" s="65" t="str">
        <f t="shared" si="13"/>
        <v>Exclude</v>
      </c>
    </row>
    <row r="459" spans="1:22" s="64" customFormat="1" x14ac:dyDescent="0.25">
      <c r="A459" s="63"/>
      <c r="T459" s="64" t="str">
        <f t="shared" si="12"/>
        <v>Exclude</v>
      </c>
      <c r="V459" s="65" t="str">
        <f t="shared" si="13"/>
        <v>Exclude</v>
      </c>
    </row>
    <row r="460" spans="1:22" s="64" customFormat="1" x14ac:dyDescent="0.25">
      <c r="A460" s="63"/>
      <c r="T460" s="64" t="str">
        <f t="shared" si="12"/>
        <v>Exclude</v>
      </c>
      <c r="V460" s="65" t="str">
        <f t="shared" si="13"/>
        <v>Exclude</v>
      </c>
    </row>
    <row r="461" spans="1:22" s="64" customFormat="1" x14ac:dyDescent="0.25">
      <c r="A461" s="63"/>
      <c r="T461" s="64" t="str">
        <f t="shared" si="12"/>
        <v>Exclude</v>
      </c>
      <c r="V461" s="65" t="str">
        <f t="shared" si="13"/>
        <v>Exclude</v>
      </c>
    </row>
    <row r="462" spans="1:22" s="64" customFormat="1" x14ac:dyDescent="0.25">
      <c r="A462" s="63"/>
      <c r="T462" s="64" t="str">
        <f t="shared" si="12"/>
        <v>Exclude</v>
      </c>
      <c r="V462" s="65" t="str">
        <f t="shared" si="13"/>
        <v>Exclude</v>
      </c>
    </row>
    <row r="463" spans="1:22" s="64" customFormat="1" x14ac:dyDescent="0.25">
      <c r="A463" s="63"/>
      <c r="T463" s="64" t="str">
        <f t="shared" si="12"/>
        <v>Exclude</v>
      </c>
      <c r="V463" s="65" t="str">
        <f t="shared" si="13"/>
        <v>Exclude</v>
      </c>
    </row>
    <row r="464" spans="1:22" s="64" customFormat="1" x14ac:dyDescent="0.25">
      <c r="A464" s="63"/>
      <c r="T464" s="64" t="str">
        <f t="shared" si="12"/>
        <v>Exclude</v>
      </c>
      <c r="V464" s="65" t="str">
        <f t="shared" si="13"/>
        <v>Exclude</v>
      </c>
    </row>
    <row r="465" spans="1:22" s="64" customFormat="1" x14ac:dyDescent="0.25">
      <c r="A465" s="63"/>
      <c r="T465" s="64" t="str">
        <f t="shared" si="12"/>
        <v>Exclude</v>
      </c>
      <c r="V465" s="65" t="str">
        <f t="shared" si="13"/>
        <v>Exclude</v>
      </c>
    </row>
    <row r="466" spans="1:22" s="64" customFormat="1" x14ac:dyDescent="0.25">
      <c r="A466" s="63"/>
      <c r="T466" s="64" t="str">
        <f t="shared" si="12"/>
        <v>Exclude</v>
      </c>
      <c r="V466" s="65" t="str">
        <f t="shared" si="13"/>
        <v>Exclude</v>
      </c>
    </row>
    <row r="467" spans="1:22" s="64" customFormat="1" x14ac:dyDescent="0.25">
      <c r="A467" s="63"/>
      <c r="T467" s="64" t="str">
        <f t="shared" si="12"/>
        <v>Exclude</v>
      </c>
      <c r="V467" s="65" t="str">
        <f t="shared" si="13"/>
        <v>Exclude</v>
      </c>
    </row>
    <row r="468" spans="1:22" s="64" customFormat="1" x14ac:dyDescent="0.25">
      <c r="A468" s="63"/>
      <c r="T468" s="64" t="str">
        <f t="shared" si="12"/>
        <v>Exclude</v>
      </c>
      <c r="V468" s="65" t="str">
        <f t="shared" si="13"/>
        <v>Exclude</v>
      </c>
    </row>
    <row r="469" spans="1:22" s="64" customFormat="1" x14ac:dyDescent="0.25">
      <c r="A469" s="63"/>
      <c r="T469" s="64" t="str">
        <f t="shared" si="12"/>
        <v>Exclude</v>
      </c>
      <c r="V469" s="65" t="str">
        <f t="shared" si="13"/>
        <v>Exclude</v>
      </c>
    </row>
    <row r="470" spans="1:22" s="64" customFormat="1" x14ac:dyDescent="0.25">
      <c r="A470" s="63"/>
      <c r="T470" s="64" t="str">
        <f t="shared" si="12"/>
        <v>Exclude</v>
      </c>
      <c r="V470" s="65" t="str">
        <f t="shared" si="13"/>
        <v>Exclude</v>
      </c>
    </row>
    <row r="471" spans="1:22" s="64" customFormat="1" x14ac:dyDescent="0.25">
      <c r="A471" s="63"/>
      <c r="T471" s="64" t="str">
        <f t="shared" si="12"/>
        <v>Exclude</v>
      </c>
      <c r="V471" s="65" t="str">
        <f t="shared" si="13"/>
        <v>Exclude</v>
      </c>
    </row>
    <row r="472" spans="1:22" s="64" customFormat="1" x14ac:dyDescent="0.25">
      <c r="A472" s="63"/>
      <c r="T472" s="64" t="str">
        <f t="shared" si="12"/>
        <v>Exclude</v>
      </c>
      <c r="V472" s="65" t="str">
        <f t="shared" si="13"/>
        <v>Exclude</v>
      </c>
    </row>
    <row r="473" spans="1:22" s="64" customFormat="1" x14ac:dyDescent="0.25">
      <c r="A473" s="63"/>
      <c r="T473" s="64" t="str">
        <f t="shared" si="12"/>
        <v>Exclude</v>
      </c>
      <c r="V473" s="65" t="str">
        <f t="shared" si="13"/>
        <v>Exclude</v>
      </c>
    </row>
    <row r="474" spans="1:22" s="64" customFormat="1" x14ac:dyDescent="0.25">
      <c r="A474" s="63"/>
      <c r="T474" s="64" t="str">
        <f t="shared" si="12"/>
        <v>Exclude</v>
      </c>
      <c r="V474" s="65" t="str">
        <f t="shared" si="13"/>
        <v>Exclude</v>
      </c>
    </row>
    <row r="475" spans="1:22" s="64" customFormat="1" x14ac:dyDescent="0.25">
      <c r="A475" s="63"/>
      <c r="T475" s="64" t="str">
        <f t="shared" si="12"/>
        <v>Exclude</v>
      </c>
      <c r="V475" s="65" t="str">
        <f t="shared" si="13"/>
        <v>Exclude</v>
      </c>
    </row>
    <row r="476" spans="1:22" s="64" customFormat="1" x14ac:dyDescent="0.25">
      <c r="A476" s="63"/>
      <c r="T476" s="64" t="str">
        <f t="shared" si="12"/>
        <v>Exclude</v>
      </c>
      <c r="V476" s="65" t="str">
        <f t="shared" si="13"/>
        <v>Exclude</v>
      </c>
    </row>
    <row r="477" spans="1:22" s="64" customFormat="1" x14ac:dyDescent="0.25">
      <c r="A477" s="63"/>
      <c r="T477" s="64" t="str">
        <f t="shared" si="12"/>
        <v>Exclude</v>
      </c>
      <c r="V477" s="65" t="str">
        <f t="shared" si="13"/>
        <v>Exclude</v>
      </c>
    </row>
    <row r="478" spans="1:22" s="64" customFormat="1" x14ac:dyDescent="0.25">
      <c r="A478" s="63"/>
      <c r="T478" s="64" t="str">
        <f t="shared" si="12"/>
        <v>Exclude</v>
      </c>
      <c r="V478" s="65" t="str">
        <f t="shared" si="13"/>
        <v>Exclude</v>
      </c>
    </row>
    <row r="479" spans="1:22" s="64" customFormat="1" x14ac:dyDescent="0.25">
      <c r="A479" s="63"/>
      <c r="T479" s="64" t="str">
        <f t="shared" si="12"/>
        <v>Exclude</v>
      </c>
      <c r="V479" s="65" t="str">
        <f t="shared" si="13"/>
        <v>Exclude</v>
      </c>
    </row>
    <row r="480" spans="1:22" s="64" customFormat="1" x14ac:dyDescent="0.25">
      <c r="A480" s="63"/>
      <c r="T480" s="64" t="str">
        <f t="shared" si="12"/>
        <v>Exclude</v>
      </c>
      <c r="V480" s="65" t="str">
        <f t="shared" si="13"/>
        <v>Exclude</v>
      </c>
    </row>
    <row r="481" spans="1:22" s="64" customFormat="1" x14ac:dyDescent="0.25">
      <c r="A481" s="63"/>
      <c r="T481" s="64" t="str">
        <f t="shared" si="12"/>
        <v>Exclude</v>
      </c>
      <c r="V481" s="65" t="str">
        <f t="shared" si="13"/>
        <v>Exclude</v>
      </c>
    </row>
    <row r="482" spans="1:22" s="64" customFormat="1" x14ac:dyDescent="0.25">
      <c r="A482" s="63"/>
      <c r="T482" s="64" t="str">
        <f t="shared" ref="T482:T545" si="14">IF(R482="TruePositive",N482,"Exclude")</f>
        <v>Exclude</v>
      </c>
      <c r="V482" s="65" t="str">
        <f t="shared" ref="V482:V545" si="15">IF(R482="TruePositive",LOG10(N482),"Exclude")</f>
        <v>Exclude</v>
      </c>
    </row>
    <row r="483" spans="1:22" s="64" customFormat="1" x14ac:dyDescent="0.25">
      <c r="A483" s="63"/>
      <c r="T483" s="64" t="str">
        <f t="shared" si="14"/>
        <v>Exclude</v>
      </c>
      <c r="V483" s="65" t="str">
        <f t="shared" si="15"/>
        <v>Exclude</v>
      </c>
    </row>
    <row r="484" spans="1:22" s="64" customFormat="1" x14ac:dyDescent="0.25">
      <c r="A484" s="63"/>
      <c r="T484" s="64" t="str">
        <f t="shared" si="14"/>
        <v>Exclude</v>
      </c>
      <c r="V484" s="65" t="str">
        <f t="shared" si="15"/>
        <v>Exclude</v>
      </c>
    </row>
    <row r="485" spans="1:22" s="64" customFormat="1" x14ac:dyDescent="0.25">
      <c r="A485" s="63"/>
      <c r="T485" s="64" t="str">
        <f t="shared" si="14"/>
        <v>Exclude</v>
      </c>
      <c r="V485" s="65" t="str">
        <f t="shared" si="15"/>
        <v>Exclude</v>
      </c>
    </row>
    <row r="486" spans="1:22" s="64" customFormat="1" x14ac:dyDescent="0.25">
      <c r="A486" s="63"/>
      <c r="T486" s="64" t="str">
        <f t="shared" si="14"/>
        <v>Exclude</v>
      </c>
      <c r="V486" s="65" t="str">
        <f t="shared" si="15"/>
        <v>Exclude</v>
      </c>
    </row>
    <row r="487" spans="1:22" s="64" customFormat="1" x14ac:dyDescent="0.25">
      <c r="A487" s="63"/>
      <c r="T487" s="64" t="str">
        <f t="shared" si="14"/>
        <v>Exclude</v>
      </c>
      <c r="V487" s="65" t="str">
        <f t="shared" si="15"/>
        <v>Exclude</v>
      </c>
    </row>
    <row r="488" spans="1:22" s="64" customFormat="1" x14ac:dyDescent="0.25">
      <c r="A488" s="63"/>
      <c r="T488" s="64" t="str">
        <f t="shared" si="14"/>
        <v>Exclude</v>
      </c>
      <c r="V488" s="65" t="str">
        <f t="shared" si="15"/>
        <v>Exclude</v>
      </c>
    </row>
    <row r="489" spans="1:22" s="64" customFormat="1" x14ac:dyDescent="0.25">
      <c r="A489" s="63"/>
      <c r="T489" s="64" t="str">
        <f t="shared" si="14"/>
        <v>Exclude</v>
      </c>
      <c r="V489" s="65" t="str">
        <f t="shared" si="15"/>
        <v>Exclude</v>
      </c>
    </row>
    <row r="490" spans="1:22" s="64" customFormat="1" x14ac:dyDescent="0.25">
      <c r="A490" s="63"/>
      <c r="T490" s="64" t="str">
        <f t="shared" si="14"/>
        <v>Exclude</v>
      </c>
      <c r="V490" s="65" t="str">
        <f t="shared" si="15"/>
        <v>Exclude</v>
      </c>
    </row>
    <row r="491" spans="1:22" s="64" customFormat="1" x14ac:dyDescent="0.25">
      <c r="A491" s="63"/>
      <c r="T491" s="64" t="str">
        <f t="shared" si="14"/>
        <v>Exclude</v>
      </c>
      <c r="V491" s="65" t="str">
        <f t="shared" si="15"/>
        <v>Exclude</v>
      </c>
    </row>
    <row r="492" spans="1:22" s="64" customFormat="1" x14ac:dyDescent="0.25">
      <c r="A492" s="63"/>
      <c r="T492" s="64" t="str">
        <f t="shared" si="14"/>
        <v>Exclude</v>
      </c>
      <c r="V492" s="65" t="str">
        <f t="shared" si="15"/>
        <v>Exclude</v>
      </c>
    </row>
    <row r="493" spans="1:22" s="64" customFormat="1" x14ac:dyDescent="0.25">
      <c r="A493" s="63"/>
      <c r="T493" s="64" t="str">
        <f t="shared" si="14"/>
        <v>Exclude</v>
      </c>
      <c r="V493" s="65" t="str">
        <f t="shared" si="15"/>
        <v>Exclude</v>
      </c>
    </row>
    <row r="494" spans="1:22" s="64" customFormat="1" x14ac:dyDescent="0.25">
      <c r="A494" s="63"/>
      <c r="T494" s="64" t="str">
        <f t="shared" si="14"/>
        <v>Exclude</v>
      </c>
      <c r="V494" s="65" t="str">
        <f t="shared" si="15"/>
        <v>Exclude</v>
      </c>
    </row>
    <row r="495" spans="1:22" s="64" customFormat="1" x14ac:dyDescent="0.25">
      <c r="A495" s="63"/>
      <c r="T495" s="64" t="str">
        <f t="shared" si="14"/>
        <v>Exclude</v>
      </c>
      <c r="V495" s="65" t="str">
        <f t="shared" si="15"/>
        <v>Exclude</v>
      </c>
    </row>
    <row r="496" spans="1:22" s="64" customFormat="1" x14ac:dyDescent="0.25">
      <c r="A496" s="63"/>
      <c r="T496" s="64" t="str">
        <f t="shared" si="14"/>
        <v>Exclude</v>
      </c>
      <c r="V496" s="65" t="str">
        <f t="shared" si="15"/>
        <v>Exclude</v>
      </c>
    </row>
    <row r="497" spans="1:22" s="64" customFormat="1" x14ac:dyDescent="0.25">
      <c r="A497" s="63"/>
      <c r="T497" s="64" t="str">
        <f t="shared" si="14"/>
        <v>Exclude</v>
      </c>
      <c r="V497" s="65" t="str">
        <f t="shared" si="15"/>
        <v>Exclude</v>
      </c>
    </row>
    <row r="498" spans="1:22" s="64" customFormat="1" x14ac:dyDescent="0.25">
      <c r="A498" s="63"/>
      <c r="T498" s="64" t="str">
        <f t="shared" si="14"/>
        <v>Exclude</v>
      </c>
      <c r="V498" s="65" t="str">
        <f t="shared" si="15"/>
        <v>Exclude</v>
      </c>
    </row>
    <row r="499" spans="1:22" s="64" customFormat="1" x14ac:dyDescent="0.25">
      <c r="A499" s="63"/>
      <c r="T499" s="64" t="str">
        <f t="shared" si="14"/>
        <v>Exclude</v>
      </c>
      <c r="V499" s="65" t="str">
        <f t="shared" si="15"/>
        <v>Exclude</v>
      </c>
    </row>
    <row r="500" spans="1:22" s="64" customFormat="1" x14ac:dyDescent="0.25">
      <c r="A500" s="63"/>
      <c r="T500" s="64" t="str">
        <f t="shared" si="14"/>
        <v>Exclude</v>
      </c>
      <c r="V500" s="65" t="str">
        <f t="shared" si="15"/>
        <v>Exclude</v>
      </c>
    </row>
    <row r="501" spans="1:22" s="64" customFormat="1" x14ac:dyDescent="0.25">
      <c r="A501" s="63"/>
      <c r="T501" s="64" t="str">
        <f t="shared" si="14"/>
        <v>Exclude</v>
      </c>
      <c r="V501" s="65" t="str">
        <f t="shared" si="15"/>
        <v>Exclude</v>
      </c>
    </row>
    <row r="502" spans="1:22" s="64" customFormat="1" x14ac:dyDescent="0.25">
      <c r="A502" s="63"/>
      <c r="T502" s="64" t="str">
        <f t="shared" si="14"/>
        <v>Exclude</v>
      </c>
      <c r="V502" s="65" t="str">
        <f t="shared" si="15"/>
        <v>Exclude</v>
      </c>
    </row>
    <row r="503" spans="1:22" s="64" customFormat="1" x14ac:dyDescent="0.25">
      <c r="A503" s="63"/>
      <c r="T503" s="64" t="str">
        <f t="shared" si="14"/>
        <v>Exclude</v>
      </c>
      <c r="V503" s="65" t="str">
        <f t="shared" si="15"/>
        <v>Exclude</v>
      </c>
    </row>
    <row r="504" spans="1:22" s="64" customFormat="1" x14ac:dyDescent="0.25">
      <c r="A504" s="63"/>
      <c r="T504" s="64" t="str">
        <f t="shared" si="14"/>
        <v>Exclude</v>
      </c>
      <c r="V504" s="65" t="str">
        <f t="shared" si="15"/>
        <v>Exclude</v>
      </c>
    </row>
    <row r="505" spans="1:22" s="64" customFormat="1" x14ac:dyDescent="0.25">
      <c r="A505" s="63"/>
      <c r="T505" s="64" t="str">
        <f t="shared" si="14"/>
        <v>Exclude</v>
      </c>
      <c r="V505" s="65" t="str">
        <f t="shared" si="15"/>
        <v>Exclude</v>
      </c>
    </row>
    <row r="506" spans="1:22" s="64" customFormat="1" x14ac:dyDescent="0.25">
      <c r="A506" s="63"/>
      <c r="T506" s="64" t="str">
        <f t="shared" si="14"/>
        <v>Exclude</v>
      </c>
      <c r="V506" s="65" t="str">
        <f t="shared" si="15"/>
        <v>Exclude</v>
      </c>
    </row>
    <row r="507" spans="1:22" s="64" customFormat="1" x14ac:dyDescent="0.25">
      <c r="A507" s="63"/>
      <c r="T507" s="64" t="str">
        <f t="shared" si="14"/>
        <v>Exclude</v>
      </c>
      <c r="V507" s="65" t="str">
        <f t="shared" si="15"/>
        <v>Exclude</v>
      </c>
    </row>
    <row r="508" spans="1:22" s="64" customFormat="1" x14ac:dyDescent="0.25">
      <c r="A508" s="63"/>
      <c r="T508" s="64" t="str">
        <f t="shared" si="14"/>
        <v>Exclude</v>
      </c>
      <c r="V508" s="65" t="str">
        <f t="shared" si="15"/>
        <v>Exclude</v>
      </c>
    </row>
    <row r="509" spans="1:22" s="64" customFormat="1" x14ac:dyDescent="0.25">
      <c r="A509" s="63"/>
      <c r="T509" s="64" t="str">
        <f t="shared" si="14"/>
        <v>Exclude</v>
      </c>
      <c r="V509" s="65" t="str">
        <f t="shared" si="15"/>
        <v>Exclude</v>
      </c>
    </row>
    <row r="510" spans="1:22" s="64" customFormat="1" x14ac:dyDescent="0.25">
      <c r="A510" s="63"/>
      <c r="T510" s="64" t="str">
        <f t="shared" si="14"/>
        <v>Exclude</v>
      </c>
      <c r="V510" s="65" t="str">
        <f t="shared" si="15"/>
        <v>Exclude</v>
      </c>
    </row>
    <row r="511" spans="1:22" s="64" customFormat="1" x14ac:dyDescent="0.25">
      <c r="A511" s="63"/>
      <c r="T511" s="64" t="str">
        <f t="shared" si="14"/>
        <v>Exclude</v>
      </c>
      <c r="V511" s="65" t="str">
        <f t="shared" si="15"/>
        <v>Exclude</v>
      </c>
    </row>
    <row r="512" spans="1:22" s="64" customFormat="1" x14ac:dyDescent="0.25">
      <c r="A512" s="63"/>
      <c r="T512" s="64" t="str">
        <f t="shared" si="14"/>
        <v>Exclude</v>
      </c>
      <c r="V512" s="65" t="str">
        <f t="shared" si="15"/>
        <v>Exclude</v>
      </c>
    </row>
    <row r="513" spans="1:22" s="64" customFormat="1" x14ac:dyDescent="0.25">
      <c r="A513" s="63"/>
      <c r="T513" s="64" t="str">
        <f t="shared" si="14"/>
        <v>Exclude</v>
      </c>
      <c r="V513" s="65" t="str">
        <f t="shared" si="15"/>
        <v>Exclude</v>
      </c>
    </row>
    <row r="514" spans="1:22" s="64" customFormat="1" x14ac:dyDescent="0.25">
      <c r="A514" s="63"/>
      <c r="T514" s="64" t="str">
        <f t="shared" si="14"/>
        <v>Exclude</v>
      </c>
      <c r="V514" s="65" t="str">
        <f t="shared" si="15"/>
        <v>Exclude</v>
      </c>
    </row>
    <row r="515" spans="1:22" s="64" customFormat="1" x14ac:dyDescent="0.25">
      <c r="A515" s="63"/>
      <c r="T515" s="64" t="str">
        <f t="shared" si="14"/>
        <v>Exclude</v>
      </c>
      <c r="V515" s="65" t="str">
        <f t="shared" si="15"/>
        <v>Exclude</v>
      </c>
    </row>
    <row r="516" spans="1:22" s="64" customFormat="1" x14ac:dyDescent="0.25">
      <c r="A516" s="63"/>
      <c r="T516" s="64" t="str">
        <f t="shared" si="14"/>
        <v>Exclude</v>
      </c>
      <c r="V516" s="65" t="str">
        <f t="shared" si="15"/>
        <v>Exclude</v>
      </c>
    </row>
    <row r="517" spans="1:22" s="64" customFormat="1" x14ac:dyDescent="0.25">
      <c r="A517" s="63"/>
      <c r="T517" s="64" t="str">
        <f t="shared" si="14"/>
        <v>Exclude</v>
      </c>
      <c r="V517" s="65" t="str">
        <f t="shared" si="15"/>
        <v>Exclude</v>
      </c>
    </row>
    <row r="518" spans="1:22" s="64" customFormat="1" x14ac:dyDescent="0.25">
      <c r="A518" s="63"/>
      <c r="T518" s="64" t="str">
        <f t="shared" si="14"/>
        <v>Exclude</v>
      </c>
      <c r="V518" s="65" t="str">
        <f t="shared" si="15"/>
        <v>Exclude</v>
      </c>
    </row>
    <row r="519" spans="1:22" s="64" customFormat="1" x14ac:dyDescent="0.25">
      <c r="A519" s="63"/>
      <c r="T519" s="64" t="str">
        <f t="shared" si="14"/>
        <v>Exclude</v>
      </c>
      <c r="V519" s="65" t="str">
        <f t="shared" si="15"/>
        <v>Exclude</v>
      </c>
    </row>
    <row r="520" spans="1:22" s="64" customFormat="1" x14ac:dyDescent="0.25">
      <c r="A520" s="63"/>
      <c r="T520" s="64" t="str">
        <f t="shared" si="14"/>
        <v>Exclude</v>
      </c>
      <c r="V520" s="65" t="str">
        <f t="shared" si="15"/>
        <v>Exclude</v>
      </c>
    </row>
    <row r="521" spans="1:22" s="64" customFormat="1" x14ac:dyDescent="0.25">
      <c r="A521" s="63"/>
      <c r="T521" s="64" t="str">
        <f t="shared" si="14"/>
        <v>Exclude</v>
      </c>
      <c r="V521" s="65" t="str">
        <f t="shared" si="15"/>
        <v>Exclude</v>
      </c>
    </row>
    <row r="522" spans="1:22" s="64" customFormat="1" x14ac:dyDescent="0.25">
      <c r="A522" s="63"/>
      <c r="T522" s="64" t="str">
        <f t="shared" si="14"/>
        <v>Exclude</v>
      </c>
      <c r="V522" s="65" t="str">
        <f t="shared" si="15"/>
        <v>Exclude</v>
      </c>
    </row>
    <row r="523" spans="1:22" s="64" customFormat="1" x14ac:dyDescent="0.25">
      <c r="A523" s="63"/>
      <c r="T523" s="64" t="str">
        <f t="shared" si="14"/>
        <v>Exclude</v>
      </c>
      <c r="V523" s="65" t="str">
        <f t="shared" si="15"/>
        <v>Exclude</v>
      </c>
    </row>
    <row r="524" spans="1:22" s="64" customFormat="1" x14ac:dyDescent="0.25">
      <c r="A524" s="63"/>
      <c r="T524" s="64" t="str">
        <f t="shared" si="14"/>
        <v>Exclude</v>
      </c>
      <c r="V524" s="65" t="str">
        <f t="shared" si="15"/>
        <v>Exclude</v>
      </c>
    </row>
    <row r="525" spans="1:22" s="64" customFormat="1" x14ac:dyDescent="0.25">
      <c r="A525" s="63"/>
      <c r="T525" s="64" t="str">
        <f t="shared" si="14"/>
        <v>Exclude</v>
      </c>
      <c r="V525" s="65" t="str">
        <f t="shared" si="15"/>
        <v>Exclude</v>
      </c>
    </row>
    <row r="526" spans="1:22" s="64" customFormat="1" x14ac:dyDescent="0.25">
      <c r="A526" s="63"/>
      <c r="T526" s="64" t="str">
        <f t="shared" si="14"/>
        <v>Exclude</v>
      </c>
      <c r="V526" s="65" t="str">
        <f t="shared" si="15"/>
        <v>Exclude</v>
      </c>
    </row>
    <row r="527" spans="1:22" s="64" customFormat="1" x14ac:dyDescent="0.25">
      <c r="A527" s="63"/>
      <c r="T527" s="64" t="str">
        <f t="shared" si="14"/>
        <v>Exclude</v>
      </c>
      <c r="V527" s="65" t="str">
        <f t="shared" si="15"/>
        <v>Exclude</v>
      </c>
    </row>
    <row r="528" spans="1:22" s="64" customFormat="1" x14ac:dyDescent="0.25">
      <c r="A528" s="63"/>
      <c r="T528" s="64" t="str">
        <f t="shared" si="14"/>
        <v>Exclude</v>
      </c>
      <c r="V528" s="65" t="str">
        <f t="shared" si="15"/>
        <v>Exclude</v>
      </c>
    </row>
    <row r="529" spans="1:22" s="64" customFormat="1" x14ac:dyDescent="0.25">
      <c r="A529" s="63"/>
      <c r="T529" s="64" t="str">
        <f t="shared" si="14"/>
        <v>Exclude</v>
      </c>
      <c r="V529" s="65" t="str">
        <f t="shared" si="15"/>
        <v>Exclude</v>
      </c>
    </row>
    <row r="530" spans="1:22" s="64" customFormat="1" x14ac:dyDescent="0.25">
      <c r="A530" s="63"/>
      <c r="T530" s="64" t="str">
        <f t="shared" si="14"/>
        <v>Exclude</v>
      </c>
      <c r="V530" s="65" t="str">
        <f t="shared" si="15"/>
        <v>Exclude</v>
      </c>
    </row>
    <row r="531" spans="1:22" s="64" customFormat="1" x14ac:dyDescent="0.25">
      <c r="A531" s="63"/>
      <c r="T531" s="64" t="str">
        <f t="shared" si="14"/>
        <v>Exclude</v>
      </c>
      <c r="V531" s="65" t="str">
        <f t="shared" si="15"/>
        <v>Exclude</v>
      </c>
    </row>
    <row r="532" spans="1:22" s="64" customFormat="1" x14ac:dyDescent="0.25">
      <c r="A532" s="63"/>
      <c r="T532" s="64" t="str">
        <f t="shared" si="14"/>
        <v>Exclude</v>
      </c>
      <c r="V532" s="65" t="str">
        <f t="shared" si="15"/>
        <v>Exclude</v>
      </c>
    </row>
    <row r="533" spans="1:22" s="64" customFormat="1" x14ac:dyDescent="0.25">
      <c r="A533" s="63"/>
      <c r="T533" s="64" t="str">
        <f t="shared" si="14"/>
        <v>Exclude</v>
      </c>
      <c r="V533" s="65" t="str">
        <f t="shared" si="15"/>
        <v>Exclude</v>
      </c>
    </row>
    <row r="534" spans="1:22" s="64" customFormat="1" x14ac:dyDescent="0.25">
      <c r="A534" s="63"/>
      <c r="T534" s="64" t="str">
        <f t="shared" si="14"/>
        <v>Exclude</v>
      </c>
      <c r="V534" s="65" t="str">
        <f t="shared" si="15"/>
        <v>Exclude</v>
      </c>
    </row>
    <row r="535" spans="1:22" s="64" customFormat="1" x14ac:dyDescent="0.25">
      <c r="A535" s="63"/>
      <c r="T535" s="64" t="str">
        <f t="shared" si="14"/>
        <v>Exclude</v>
      </c>
      <c r="V535" s="65" t="str">
        <f t="shared" si="15"/>
        <v>Exclude</v>
      </c>
    </row>
    <row r="536" spans="1:22" s="64" customFormat="1" x14ac:dyDescent="0.25">
      <c r="A536" s="63"/>
      <c r="T536" s="64" t="str">
        <f t="shared" si="14"/>
        <v>Exclude</v>
      </c>
      <c r="V536" s="65" t="str">
        <f t="shared" si="15"/>
        <v>Exclude</v>
      </c>
    </row>
    <row r="537" spans="1:22" s="64" customFormat="1" x14ac:dyDescent="0.25">
      <c r="A537" s="63"/>
      <c r="T537" s="64" t="str">
        <f t="shared" si="14"/>
        <v>Exclude</v>
      </c>
      <c r="V537" s="65" t="str">
        <f t="shared" si="15"/>
        <v>Exclude</v>
      </c>
    </row>
    <row r="538" spans="1:22" s="64" customFormat="1" x14ac:dyDescent="0.25">
      <c r="A538" s="63"/>
      <c r="T538" s="64" t="str">
        <f t="shared" si="14"/>
        <v>Exclude</v>
      </c>
      <c r="V538" s="65" t="str">
        <f t="shared" si="15"/>
        <v>Exclude</v>
      </c>
    </row>
    <row r="539" spans="1:22" s="64" customFormat="1" x14ac:dyDescent="0.25">
      <c r="A539" s="63"/>
      <c r="T539" s="64" t="str">
        <f t="shared" si="14"/>
        <v>Exclude</v>
      </c>
      <c r="V539" s="65" t="str">
        <f t="shared" si="15"/>
        <v>Exclude</v>
      </c>
    </row>
    <row r="540" spans="1:22" s="64" customFormat="1" x14ac:dyDescent="0.25">
      <c r="A540" s="63"/>
      <c r="T540" s="64" t="str">
        <f t="shared" si="14"/>
        <v>Exclude</v>
      </c>
      <c r="V540" s="65" t="str">
        <f t="shared" si="15"/>
        <v>Exclude</v>
      </c>
    </row>
    <row r="541" spans="1:22" s="64" customFormat="1" x14ac:dyDescent="0.25">
      <c r="A541" s="63"/>
      <c r="T541" s="64" t="str">
        <f t="shared" si="14"/>
        <v>Exclude</v>
      </c>
      <c r="V541" s="65" t="str">
        <f t="shared" si="15"/>
        <v>Exclude</v>
      </c>
    </row>
    <row r="542" spans="1:22" s="64" customFormat="1" x14ac:dyDescent="0.25">
      <c r="A542" s="63"/>
      <c r="T542" s="64" t="str">
        <f t="shared" si="14"/>
        <v>Exclude</v>
      </c>
      <c r="V542" s="65" t="str">
        <f t="shared" si="15"/>
        <v>Exclude</v>
      </c>
    </row>
    <row r="543" spans="1:22" s="64" customFormat="1" x14ac:dyDescent="0.25">
      <c r="A543" s="63"/>
      <c r="T543" s="64" t="str">
        <f t="shared" si="14"/>
        <v>Exclude</v>
      </c>
      <c r="V543" s="65" t="str">
        <f t="shared" si="15"/>
        <v>Exclude</v>
      </c>
    </row>
    <row r="544" spans="1:22" s="64" customFormat="1" x14ac:dyDescent="0.25">
      <c r="A544" s="63"/>
      <c r="T544" s="64" t="str">
        <f t="shared" si="14"/>
        <v>Exclude</v>
      </c>
      <c r="V544" s="65" t="str">
        <f t="shared" si="15"/>
        <v>Exclude</v>
      </c>
    </row>
    <row r="545" spans="1:22" s="64" customFormat="1" x14ac:dyDescent="0.25">
      <c r="A545" s="63"/>
      <c r="T545" s="64" t="str">
        <f t="shared" si="14"/>
        <v>Exclude</v>
      </c>
      <c r="V545" s="65" t="str">
        <f t="shared" si="15"/>
        <v>Exclude</v>
      </c>
    </row>
    <row r="546" spans="1:22" s="64" customFormat="1" x14ac:dyDescent="0.25">
      <c r="A546" s="63"/>
      <c r="T546" s="64" t="str">
        <f t="shared" ref="T546:T609" si="16">IF(R546="TruePositive",N546,"Exclude")</f>
        <v>Exclude</v>
      </c>
      <c r="V546" s="65" t="str">
        <f t="shared" ref="V546:V609" si="17">IF(R546="TruePositive",LOG10(N546),"Exclude")</f>
        <v>Exclude</v>
      </c>
    </row>
    <row r="547" spans="1:22" s="64" customFormat="1" x14ac:dyDescent="0.25">
      <c r="A547" s="63"/>
      <c r="T547" s="64" t="str">
        <f t="shared" si="16"/>
        <v>Exclude</v>
      </c>
      <c r="V547" s="65" t="str">
        <f t="shared" si="17"/>
        <v>Exclude</v>
      </c>
    </row>
    <row r="548" spans="1:22" s="64" customFormat="1" x14ac:dyDescent="0.25">
      <c r="A548" s="63"/>
      <c r="T548" s="64" t="str">
        <f t="shared" si="16"/>
        <v>Exclude</v>
      </c>
      <c r="V548" s="65" t="str">
        <f t="shared" si="17"/>
        <v>Exclude</v>
      </c>
    </row>
    <row r="549" spans="1:22" s="64" customFormat="1" x14ac:dyDescent="0.25">
      <c r="A549" s="63"/>
      <c r="T549" s="64" t="str">
        <f t="shared" si="16"/>
        <v>Exclude</v>
      </c>
      <c r="V549" s="65" t="str">
        <f t="shared" si="17"/>
        <v>Exclude</v>
      </c>
    </row>
    <row r="550" spans="1:22" s="64" customFormat="1" x14ac:dyDescent="0.25">
      <c r="A550" s="63"/>
      <c r="T550" s="64" t="str">
        <f t="shared" si="16"/>
        <v>Exclude</v>
      </c>
      <c r="V550" s="65" t="str">
        <f t="shared" si="17"/>
        <v>Exclude</v>
      </c>
    </row>
    <row r="551" spans="1:22" s="64" customFormat="1" x14ac:dyDescent="0.25">
      <c r="A551" s="63"/>
      <c r="T551" s="64" t="str">
        <f t="shared" si="16"/>
        <v>Exclude</v>
      </c>
      <c r="V551" s="65" t="str">
        <f t="shared" si="17"/>
        <v>Exclude</v>
      </c>
    </row>
    <row r="552" spans="1:22" s="64" customFormat="1" x14ac:dyDescent="0.25">
      <c r="A552" s="63"/>
      <c r="T552" s="64" t="str">
        <f t="shared" si="16"/>
        <v>Exclude</v>
      </c>
      <c r="V552" s="65" t="str">
        <f t="shared" si="17"/>
        <v>Exclude</v>
      </c>
    </row>
    <row r="553" spans="1:22" s="64" customFormat="1" x14ac:dyDescent="0.25">
      <c r="A553" s="63"/>
      <c r="T553" s="64" t="str">
        <f t="shared" si="16"/>
        <v>Exclude</v>
      </c>
      <c r="V553" s="65" t="str">
        <f t="shared" si="17"/>
        <v>Exclude</v>
      </c>
    </row>
    <row r="554" spans="1:22" s="64" customFormat="1" x14ac:dyDescent="0.25">
      <c r="A554" s="63"/>
      <c r="T554" s="64" t="str">
        <f t="shared" si="16"/>
        <v>Exclude</v>
      </c>
      <c r="V554" s="65" t="str">
        <f t="shared" si="17"/>
        <v>Exclude</v>
      </c>
    </row>
    <row r="555" spans="1:22" s="64" customFormat="1" x14ac:dyDescent="0.25">
      <c r="A555" s="63"/>
      <c r="T555" s="64" t="str">
        <f t="shared" si="16"/>
        <v>Exclude</v>
      </c>
      <c r="V555" s="65" t="str">
        <f t="shared" si="17"/>
        <v>Exclude</v>
      </c>
    </row>
    <row r="556" spans="1:22" s="64" customFormat="1" x14ac:dyDescent="0.25">
      <c r="A556" s="63"/>
      <c r="T556" s="64" t="str">
        <f t="shared" si="16"/>
        <v>Exclude</v>
      </c>
      <c r="V556" s="65" t="str">
        <f t="shared" si="17"/>
        <v>Exclude</v>
      </c>
    </row>
    <row r="557" spans="1:22" s="64" customFormat="1" x14ac:dyDescent="0.25">
      <c r="A557" s="63"/>
      <c r="T557" s="64" t="str">
        <f t="shared" si="16"/>
        <v>Exclude</v>
      </c>
      <c r="V557" s="65" t="str">
        <f t="shared" si="17"/>
        <v>Exclude</v>
      </c>
    </row>
    <row r="558" spans="1:22" s="64" customFormat="1" x14ac:dyDescent="0.25">
      <c r="A558" s="63"/>
      <c r="T558" s="64" t="str">
        <f t="shared" si="16"/>
        <v>Exclude</v>
      </c>
      <c r="V558" s="65" t="str">
        <f t="shared" si="17"/>
        <v>Exclude</v>
      </c>
    </row>
    <row r="559" spans="1:22" s="64" customFormat="1" x14ac:dyDescent="0.25">
      <c r="A559" s="63"/>
      <c r="T559" s="64" t="str">
        <f t="shared" si="16"/>
        <v>Exclude</v>
      </c>
      <c r="V559" s="65" t="str">
        <f t="shared" si="17"/>
        <v>Exclude</v>
      </c>
    </row>
    <row r="560" spans="1:22" s="64" customFormat="1" x14ac:dyDescent="0.25">
      <c r="A560" s="63"/>
      <c r="T560" s="64" t="str">
        <f t="shared" si="16"/>
        <v>Exclude</v>
      </c>
      <c r="V560" s="65" t="str">
        <f t="shared" si="17"/>
        <v>Exclude</v>
      </c>
    </row>
    <row r="561" spans="1:22" s="64" customFormat="1" x14ac:dyDescent="0.25">
      <c r="A561" s="63"/>
      <c r="T561" s="64" t="str">
        <f t="shared" si="16"/>
        <v>Exclude</v>
      </c>
      <c r="V561" s="65" t="str">
        <f t="shared" si="17"/>
        <v>Exclude</v>
      </c>
    </row>
    <row r="562" spans="1:22" s="64" customFormat="1" x14ac:dyDescent="0.25">
      <c r="A562" s="63"/>
      <c r="T562" s="64" t="str">
        <f t="shared" si="16"/>
        <v>Exclude</v>
      </c>
      <c r="V562" s="65" t="str">
        <f t="shared" si="17"/>
        <v>Exclude</v>
      </c>
    </row>
    <row r="563" spans="1:22" s="64" customFormat="1" x14ac:dyDescent="0.25">
      <c r="A563" s="63"/>
      <c r="T563" s="64" t="str">
        <f t="shared" si="16"/>
        <v>Exclude</v>
      </c>
      <c r="V563" s="65" t="str">
        <f t="shared" si="17"/>
        <v>Exclude</v>
      </c>
    </row>
    <row r="564" spans="1:22" s="64" customFormat="1" x14ac:dyDescent="0.25">
      <c r="A564" s="63"/>
      <c r="T564" s="64" t="str">
        <f t="shared" si="16"/>
        <v>Exclude</v>
      </c>
      <c r="V564" s="65" t="str">
        <f t="shared" si="17"/>
        <v>Exclude</v>
      </c>
    </row>
    <row r="565" spans="1:22" s="64" customFormat="1" x14ac:dyDescent="0.25">
      <c r="A565" s="63"/>
      <c r="T565" s="64" t="str">
        <f t="shared" si="16"/>
        <v>Exclude</v>
      </c>
      <c r="V565" s="65" t="str">
        <f t="shared" si="17"/>
        <v>Exclude</v>
      </c>
    </row>
    <row r="566" spans="1:22" s="64" customFormat="1" x14ac:dyDescent="0.25">
      <c r="A566" s="63"/>
      <c r="T566" s="64" t="str">
        <f t="shared" si="16"/>
        <v>Exclude</v>
      </c>
      <c r="V566" s="65" t="str">
        <f t="shared" si="17"/>
        <v>Exclude</v>
      </c>
    </row>
    <row r="567" spans="1:22" s="64" customFormat="1" x14ac:dyDescent="0.25">
      <c r="A567" s="63"/>
      <c r="T567" s="64" t="str">
        <f t="shared" si="16"/>
        <v>Exclude</v>
      </c>
      <c r="V567" s="65" t="str">
        <f t="shared" si="17"/>
        <v>Exclude</v>
      </c>
    </row>
    <row r="568" spans="1:22" s="64" customFormat="1" x14ac:dyDescent="0.25">
      <c r="A568" s="63"/>
      <c r="T568" s="64" t="str">
        <f t="shared" si="16"/>
        <v>Exclude</v>
      </c>
      <c r="V568" s="65" t="str">
        <f t="shared" si="17"/>
        <v>Exclude</v>
      </c>
    </row>
    <row r="569" spans="1:22" s="64" customFormat="1" x14ac:dyDescent="0.25">
      <c r="A569" s="63"/>
      <c r="T569" s="64" t="str">
        <f t="shared" si="16"/>
        <v>Exclude</v>
      </c>
      <c r="V569" s="65" t="str">
        <f t="shared" si="17"/>
        <v>Exclude</v>
      </c>
    </row>
    <row r="570" spans="1:22" s="64" customFormat="1" x14ac:dyDescent="0.25">
      <c r="A570" s="63"/>
      <c r="T570" s="64" t="str">
        <f t="shared" si="16"/>
        <v>Exclude</v>
      </c>
      <c r="V570" s="65" t="str">
        <f t="shared" si="17"/>
        <v>Exclude</v>
      </c>
    </row>
    <row r="571" spans="1:22" s="64" customFormat="1" x14ac:dyDescent="0.25">
      <c r="A571" s="63"/>
      <c r="T571" s="64" t="str">
        <f t="shared" si="16"/>
        <v>Exclude</v>
      </c>
      <c r="V571" s="65" t="str">
        <f t="shared" si="17"/>
        <v>Exclude</v>
      </c>
    </row>
    <row r="572" spans="1:22" s="64" customFormat="1" x14ac:dyDescent="0.25">
      <c r="A572" s="63"/>
      <c r="T572" s="64" t="str">
        <f t="shared" si="16"/>
        <v>Exclude</v>
      </c>
      <c r="V572" s="65" t="str">
        <f t="shared" si="17"/>
        <v>Exclude</v>
      </c>
    </row>
    <row r="573" spans="1:22" s="64" customFormat="1" x14ac:dyDescent="0.25">
      <c r="A573" s="63"/>
      <c r="T573" s="64" t="str">
        <f t="shared" si="16"/>
        <v>Exclude</v>
      </c>
      <c r="V573" s="65" t="str">
        <f t="shared" si="17"/>
        <v>Exclude</v>
      </c>
    </row>
    <row r="574" spans="1:22" s="64" customFormat="1" x14ac:dyDescent="0.25">
      <c r="A574" s="63"/>
      <c r="T574" s="64" t="str">
        <f t="shared" si="16"/>
        <v>Exclude</v>
      </c>
      <c r="V574" s="65" t="str">
        <f t="shared" si="17"/>
        <v>Exclude</v>
      </c>
    </row>
    <row r="575" spans="1:22" s="64" customFormat="1" x14ac:dyDescent="0.25">
      <c r="A575" s="63"/>
      <c r="T575" s="64" t="str">
        <f t="shared" si="16"/>
        <v>Exclude</v>
      </c>
      <c r="V575" s="65" t="str">
        <f t="shared" si="17"/>
        <v>Exclude</v>
      </c>
    </row>
    <row r="576" spans="1:22" s="64" customFormat="1" x14ac:dyDescent="0.25">
      <c r="A576" s="63"/>
      <c r="T576" s="64" t="str">
        <f t="shared" si="16"/>
        <v>Exclude</v>
      </c>
      <c r="V576" s="65" t="str">
        <f t="shared" si="17"/>
        <v>Exclude</v>
      </c>
    </row>
    <row r="577" spans="1:22" s="64" customFormat="1" x14ac:dyDescent="0.25">
      <c r="A577" s="63"/>
      <c r="T577" s="64" t="str">
        <f t="shared" si="16"/>
        <v>Exclude</v>
      </c>
      <c r="V577" s="65" t="str">
        <f t="shared" si="17"/>
        <v>Exclude</v>
      </c>
    </row>
    <row r="578" spans="1:22" s="64" customFormat="1" x14ac:dyDescent="0.25">
      <c r="A578" s="63"/>
      <c r="T578" s="64" t="str">
        <f t="shared" si="16"/>
        <v>Exclude</v>
      </c>
      <c r="V578" s="65" t="str">
        <f t="shared" si="17"/>
        <v>Exclude</v>
      </c>
    </row>
    <row r="579" spans="1:22" s="64" customFormat="1" x14ac:dyDescent="0.25">
      <c r="A579" s="63"/>
      <c r="T579" s="64" t="str">
        <f t="shared" si="16"/>
        <v>Exclude</v>
      </c>
      <c r="V579" s="65" t="str">
        <f t="shared" si="17"/>
        <v>Exclude</v>
      </c>
    </row>
    <row r="580" spans="1:22" s="64" customFormat="1" x14ac:dyDescent="0.25">
      <c r="A580" s="63"/>
      <c r="T580" s="64" t="str">
        <f t="shared" si="16"/>
        <v>Exclude</v>
      </c>
      <c r="V580" s="65" t="str">
        <f t="shared" si="17"/>
        <v>Exclude</v>
      </c>
    </row>
    <row r="581" spans="1:22" s="64" customFormat="1" x14ac:dyDescent="0.25">
      <c r="A581" s="63"/>
      <c r="T581" s="64" t="str">
        <f t="shared" si="16"/>
        <v>Exclude</v>
      </c>
      <c r="V581" s="65" t="str">
        <f t="shared" si="17"/>
        <v>Exclude</v>
      </c>
    </row>
    <row r="582" spans="1:22" s="64" customFormat="1" x14ac:dyDescent="0.25">
      <c r="A582" s="63"/>
      <c r="T582" s="64" t="str">
        <f t="shared" si="16"/>
        <v>Exclude</v>
      </c>
      <c r="V582" s="65" t="str">
        <f t="shared" si="17"/>
        <v>Exclude</v>
      </c>
    </row>
    <row r="583" spans="1:22" s="64" customFormat="1" x14ac:dyDescent="0.25">
      <c r="A583" s="63"/>
      <c r="T583" s="64" t="str">
        <f t="shared" si="16"/>
        <v>Exclude</v>
      </c>
      <c r="V583" s="65" t="str">
        <f t="shared" si="17"/>
        <v>Exclude</v>
      </c>
    </row>
    <row r="584" spans="1:22" s="64" customFormat="1" x14ac:dyDescent="0.25">
      <c r="A584" s="63"/>
      <c r="T584" s="64" t="str">
        <f t="shared" si="16"/>
        <v>Exclude</v>
      </c>
      <c r="V584" s="65" t="str">
        <f t="shared" si="17"/>
        <v>Exclude</v>
      </c>
    </row>
    <row r="585" spans="1:22" s="64" customFormat="1" x14ac:dyDescent="0.25">
      <c r="A585" s="63"/>
      <c r="T585" s="64" t="str">
        <f t="shared" si="16"/>
        <v>Exclude</v>
      </c>
      <c r="V585" s="65" t="str">
        <f t="shared" si="17"/>
        <v>Exclude</v>
      </c>
    </row>
    <row r="586" spans="1:22" s="64" customFormat="1" x14ac:dyDescent="0.25">
      <c r="A586" s="63"/>
      <c r="T586" s="64" t="str">
        <f t="shared" si="16"/>
        <v>Exclude</v>
      </c>
      <c r="V586" s="65" t="str">
        <f t="shared" si="17"/>
        <v>Exclude</v>
      </c>
    </row>
    <row r="587" spans="1:22" s="64" customFormat="1" x14ac:dyDescent="0.25">
      <c r="A587" s="63"/>
      <c r="T587" s="64" t="str">
        <f t="shared" si="16"/>
        <v>Exclude</v>
      </c>
      <c r="V587" s="65" t="str">
        <f t="shared" si="17"/>
        <v>Exclude</v>
      </c>
    </row>
    <row r="588" spans="1:22" s="64" customFormat="1" x14ac:dyDescent="0.25">
      <c r="A588" s="63"/>
      <c r="T588" s="64" t="str">
        <f t="shared" si="16"/>
        <v>Exclude</v>
      </c>
      <c r="V588" s="65" t="str">
        <f t="shared" si="17"/>
        <v>Exclude</v>
      </c>
    </row>
    <row r="589" spans="1:22" s="64" customFormat="1" x14ac:dyDescent="0.25">
      <c r="A589" s="63"/>
      <c r="T589" s="64" t="str">
        <f t="shared" si="16"/>
        <v>Exclude</v>
      </c>
      <c r="V589" s="65" t="str">
        <f t="shared" si="17"/>
        <v>Exclude</v>
      </c>
    </row>
    <row r="590" spans="1:22" s="64" customFormat="1" x14ac:dyDescent="0.25">
      <c r="A590" s="63"/>
      <c r="T590" s="64" t="str">
        <f t="shared" si="16"/>
        <v>Exclude</v>
      </c>
      <c r="V590" s="65" t="str">
        <f t="shared" si="17"/>
        <v>Exclude</v>
      </c>
    </row>
    <row r="591" spans="1:22" s="64" customFormat="1" x14ac:dyDescent="0.25">
      <c r="A591" s="63"/>
      <c r="T591" s="64" t="str">
        <f t="shared" si="16"/>
        <v>Exclude</v>
      </c>
      <c r="V591" s="65" t="str">
        <f t="shared" si="17"/>
        <v>Exclude</v>
      </c>
    </row>
    <row r="592" spans="1:22" s="64" customFormat="1" x14ac:dyDescent="0.25">
      <c r="A592" s="63"/>
      <c r="T592" s="64" t="str">
        <f t="shared" si="16"/>
        <v>Exclude</v>
      </c>
      <c r="V592" s="65" t="str">
        <f t="shared" si="17"/>
        <v>Exclude</v>
      </c>
    </row>
    <row r="593" spans="1:22" s="64" customFormat="1" x14ac:dyDescent="0.25">
      <c r="A593" s="63"/>
      <c r="T593" s="64" t="str">
        <f t="shared" si="16"/>
        <v>Exclude</v>
      </c>
      <c r="V593" s="65" t="str">
        <f t="shared" si="17"/>
        <v>Exclude</v>
      </c>
    </row>
    <row r="594" spans="1:22" s="64" customFormat="1" x14ac:dyDescent="0.25">
      <c r="A594" s="63"/>
      <c r="T594" s="64" t="str">
        <f t="shared" si="16"/>
        <v>Exclude</v>
      </c>
      <c r="V594" s="65" t="str">
        <f t="shared" si="17"/>
        <v>Exclude</v>
      </c>
    </row>
    <row r="595" spans="1:22" s="64" customFormat="1" x14ac:dyDescent="0.25">
      <c r="A595" s="63"/>
      <c r="T595" s="64" t="str">
        <f t="shared" si="16"/>
        <v>Exclude</v>
      </c>
      <c r="V595" s="65" t="str">
        <f t="shared" si="17"/>
        <v>Exclude</v>
      </c>
    </row>
    <row r="596" spans="1:22" s="64" customFormat="1" x14ac:dyDescent="0.25">
      <c r="A596" s="63"/>
      <c r="T596" s="64" t="str">
        <f t="shared" si="16"/>
        <v>Exclude</v>
      </c>
      <c r="V596" s="65" t="str">
        <f t="shared" si="17"/>
        <v>Exclude</v>
      </c>
    </row>
    <row r="597" spans="1:22" s="64" customFormat="1" x14ac:dyDescent="0.25">
      <c r="A597" s="63"/>
      <c r="T597" s="64" t="str">
        <f t="shared" si="16"/>
        <v>Exclude</v>
      </c>
      <c r="V597" s="65" t="str">
        <f t="shared" si="17"/>
        <v>Exclude</v>
      </c>
    </row>
    <row r="598" spans="1:22" s="64" customFormat="1" x14ac:dyDescent="0.25">
      <c r="A598" s="63"/>
      <c r="T598" s="64" t="str">
        <f t="shared" si="16"/>
        <v>Exclude</v>
      </c>
      <c r="V598" s="65" t="str">
        <f t="shared" si="17"/>
        <v>Exclude</v>
      </c>
    </row>
    <row r="599" spans="1:22" s="64" customFormat="1" x14ac:dyDescent="0.25">
      <c r="A599" s="63"/>
      <c r="T599" s="64" t="str">
        <f t="shared" si="16"/>
        <v>Exclude</v>
      </c>
      <c r="V599" s="65" t="str">
        <f t="shared" si="17"/>
        <v>Exclude</v>
      </c>
    </row>
    <row r="600" spans="1:22" s="64" customFormat="1" x14ac:dyDescent="0.25">
      <c r="A600" s="63"/>
      <c r="T600" s="64" t="str">
        <f t="shared" si="16"/>
        <v>Exclude</v>
      </c>
      <c r="V600" s="65" t="str">
        <f t="shared" si="17"/>
        <v>Exclude</v>
      </c>
    </row>
    <row r="601" spans="1:22" s="64" customFormat="1" x14ac:dyDescent="0.25">
      <c r="A601" s="63"/>
      <c r="T601" s="64" t="str">
        <f t="shared" si="16"/>
        <v>Exclude</v>
      </c>
      <c r="V601" s="65" t="str">
        <f t="shared" si="17"/>
        <v>Exclude</v>
      </c>
    </row>
    <row r="602" spans="1:22" s="64" customFormat="1" x14ac:dyDescent="0.25">
      <c r="A602" s="63"/>
      <c r="T602" s="64" t="str">
        <f t="shared" si="16"/>
        <v>Exclude</v>
      </c>
      <c r="V602" s="65" t="str">
        <f t="shared" si="17"/>
        <v>Exclude</v>
      </c>
    </row>
    <row r="603" spans="1:22" s="64" customFormat="1" x14ac:dyDescent="0.25">
      <c r="A603" s="63"/>
      <c r="T603" s="64" t="str">
        <f t="shared" si="16"/>
        <v>Exclude</v>
      </c>
      <c r="V603" s="65" t="str">
        <f t="shared" si="17"/>
        <v>Exclude</v>
      </c>
    </row>
    <row r="604" spans="1:22" s="64" customFormat="1" x14ac:dyDescent="0.25">
      <c r="A604" s="63"/>
      <c r="T604" s="64" t="str">
        <f t="shared" si="16"/>
        <v>Exclude</v>
      </c>
      <c r="V604" s="65" t="str">
        <f t="shared" si="17"/>
        <v>Exclude</v>
      </c>
    </row>
    <row r="605" spans="1:22" s="64" customFormat="1" x14ac:dyDescent="0.25">
      <c r="A605" s="63"/>
      <c r="T605" s="64" t="str">
        <f t="shared" si="16"/>
        <v>Exclude</v>
      </c>
      <c r="V605" s="65" t="str">
        <f t="shared" si="17"/>
        <v>Exclude</v>
      </c>
    </row>
    <row r="606" spans="1:22" s="64" customFormat="1" x14ac:dyDescent="0.25">
      <c r="A606" s="63"/>
      <c r="T606" s="64" t="str">
        <f t="shared" si="16"/>
        <v>Exclude</v>
      </c>
      <c r="V606" s="65" t="str">
        <f t="shared" si="17"/>
        <v>Exclude</v>
      </c>
    </row>
    <row r="607" spans="1:22" s="64" customFormat="1" x14ac:dyDescent="0.25">
      <c r="A607" s="63"/>
      <c r="T607" s="64" t="str">
        <f t="shared" si="16"/>
        <v>Exclude</v>
      </c>
      <c r="V607" s="65" t="str">
        <f t="shared" si="17"/>
        <v>Exclude</v>
      </c>
    </row>
    <row r="608" spans="1:22" s="64" customFormat="1" x14ac:dyDescent="0.25">
      <c r="A608" s="63"/>
      <c r="T608" s="64" t="str">
        <f t="shared" si="16"/>
        <v>Exclude</v>
      </c>
      <c r="V608" s="65" t="str">
        <f t="shared" si="17"/>
        <v>Exclude</v>
      </c>
    </row>
    <row r="609" spans="1:22" s="64" customFormat="1" x14ac:dyDescent="0.25">
      <c r="A609" s="63"/>
      <c r="T609" s="64" t="str">
        <f t="shared" si="16"/>
        <v>Exclude</v>
      </c>
      <c r="V609" s="65" t="str">
        <f t="shared" si="17"/>
        <v>Exclude</v>
      </c>
    </row>
    <row r="610" spans="1:22" s="64" customFormat="1" x14ac:dyDescent="0.25">
      <c r="A610" s="63"/>
      <c r="T610" s="64" t="str">
        <f t="shared" ref="T610:T648" si="18">IF(R610="TruePositive",N610,"Exclude")</f>
        <v>Exclude</v>
      </c>
      <c r="V610" s="65" t="str">
        <f t="shared" ref="V610:V648" si="19">IF(R610="TruePositive",LOG10(N610),"Exclude")</f>
        <v>Exclude</v>
      </c>
    </row>
    <row r="611" spans="1:22" s="64" customFormat="1" x14ac:dyDescent="0.25">
      <c r="A611" s="63"/>
      <c r="T611" s="64" t="str">
        <f t="shared" si="18"/>
        <v>Exclude</v>
      </c>
      <c r="V611" s="65" t="str">
        <f t="shared" si="19"/>
        <v>Exclude</v>
      </c>
    </row>
    <row r="612" spans="1:22" s="64" customFormat="1" x14ac:dyDescent="0.25">
      <c r="A612" s="63"/>
      <c r="T612" s="64" t="str">
        <f t="shared" si="18"/>
        <v>Exclude</v>
      </c>
      <c r="V612" s="65" t="str">
        <f t="shared" si="19"/>
        <v>Exclude</v>
      </c>
    </row>
    <row r="613" spans="1:22" s="64" customFormat="1" x14ac:dyDescent="0.25">
      <c r="A613" s="63"/>
      <c r="T613" s="64" t="str">
        <f t="shared" si="18"/>
        <v>Exclude</v>
      </c>
      <c r="V613" s="65" t="str">
        <f t="shared" si="19"/>
        <v>Exclude</v>
      </c>
    </row>
    <row r="614" spans="1:22" s="64" customFormat="1" x14ac:dyDescent="0.25">
      <c r="A614" s="63"/>
      <c r="T614" s="64" t="str">
        <f t="shared" si="18"/>
        <v>Exclude</v>
      </c>
      <c r="V614" s="65" t="str">
        <f t="shared" si="19"/>
        <v>Exclude</v>
      </c>
    </row>
    <row r="615" spans="1:22" s="64" customFormat="1" x14ac:dyDescent="0.25">
      <c r="A615" s="63"/>
      <c r="T615" s="64" t="str">
        <f t="shared" si="18"/>
        <v>Exclude</v>
      </c>
      <c r="V615" s="65" t="str">
        <f t="shared" si="19"/>
        <v>Exclude</v>
      </c>
    </row>
    <row r="616" spans="1:22" s="64" customFormat="1" x14ac:dyDescent="0.25">
      <c r="A616" s="63"/>
      <c r="T616" s="64" t="str">
        <f t="shared" si="18"/>
        <v>Exclude</v>
      </c>
      <c r="V616" s="65" t="str">
        <f t="shared" si="19"/>
        <v>Exclude</v>
      </c>
    </row>
    <row r="617" spans="1:22" s="64" customFormat="1" x14ac:dyDescent="0.25">
      <c r="A617" s="63"/>
      <c r="T617" s="64" t="str">
        <f t="shared" si="18"/>
        <v>Exclude</v>
      </c>
      <c r="V617" s="65" t="str">
        <f t="shared" si="19"/>
        <v>Exclude</v>
      </c>
    </row>
    <row r="618" spans="1:22" s="64" customFormat="1" x14ac:dyDescent="0.25">
      <c r="A618" s="63"/>
      <c r="T618" s="64" t="str">
        <f t="shared" si="18"/>
        <v>Exclude</v>
      </c>
      <c r="V618" s="65" t="str">
        <f t="shared" si="19"/>
        <v>Exclude</v>
      </c>
    </row>
    <row r="619" spans="1:22" s="64" customFormat="1" x14ac:dyDescent="0.25">
      <c r="A619" s="63"/>
      <c r="T619" s="64" t="str">
        <f t="shared" si="18"/>
        <v>Exclude</v>
      </c>
      <c r="V619" s="65" t="str">
        <f t="shared" si="19"/>
        <v>Exclude</v>
      </c>
    </row>
    <row r="620" spans="1:22" s="64" customFormat="1" x14ac:dyDescent="0.25">
      <c r="A620" s="63"/>
      <c r="T620" s="64" t="str">
        <f t="shared" si="18"/>
        <v>Exclude</v>
      </c>
      <c r="V620" s="65" t="str">
        <f t="shared" si="19"/>
        <v>Exclude</v>
      </c>
    </row>
    <row r="621" spans="1:22" s="64" customFormat="1" x14ac:dyDescent="0.25">
      <c r="A621" s="63"/>
      <c r="T621" s="64" t="str">
        <f t="shared" si="18"/>
        <v>Exclude</v>
      </c>
      <c r="V621" s="65" t="str">
        <f t="shared" si="19"/>
        <v>Exclude</v>
      </c>
    </row>
    <row r="622" spans="1:22" s="64" customFormat="1" x14ac:dyDescent="0.25">
      <c r="A622" s="63"/>
      <c r="T622" s="64" t="str">
        <f t="shared" si="18"/>
        <v>Exclude</v>
      </c>
      <c r="V622" s="65" t="str">
        <f t="shared" si="19"/>
        <v>Exclude</v>
      </c>
    </row>
    <row r="623" spans="1:22" s="64" customFormat="1" x14ac:dyDescent="0.25">
      <c r="A623" s="63"/>
      <c r="T623" s="64" t="str">
        <f t="shared" si="18"/>
        <v>Exclude</v>
      </c>
      <c r="V623" s="65" t="str">
        <f t="shared" si="19"/>
        <v>Exclude</v>
      </c>
    </row>
    <row r="624" spans="1:22" s="64" customFormat="1" x14ac:dyDescent="0.25">
      <c r="A624" s="63"/>
      <c r="T624" s="64" t="str">
        <f t="shared" si="18"/>
        <v>Exclude</v>
      </c>
      <c r="V624" s="65" t="str">
        <f t="shared" si="19"/>
        <v>Exclude</v>
      </c>
    </row>
    <row r="625" spans="1:22" s="64" customFormat="1" x14ac:dyDescent="0.25">
      <c r="A625" s="63"/>
      <c r="T625" s="64" t="str">
        <f t="shared" si="18"/>
        <v>Exclude</v>
      </c>
      <c r="V625" s="65" t="str">
        <f t="shared" si="19"/>
        <v>Exclude</v>
      </c>
    </row>
    <row r="626" spans="1:22" s="64" customFormat="1" x14ac:dyDescent="0.25">
      <c r="A626" s="63"/>
      <c r="T626" s="64" t="str">
        <f t="shared" si="18"/>
        <v>Exclude</v>
      </c>
      <c r="V626" s="65" t="str">
        <f t="shared" si="19"/>
        <v>Exclude</v>
      </c>
    </row>
    <row r="627" spans="1:22" s="64" customFormat="1" x14ac:dyDescent="0.25">
      <c r="A627" s="63"/>
      <c r="T627" s="64" t="str">
        <f t="shared" si="18"/>
        <v>Exclude</v>
      </c>
      <c r="V627" s="65" t="str">
        <f t="shared" si="19"/>
        <v>Exclude</v>
      </c>
    </row>
    <row r="628" spans="1:22" s="64" customFormat="1" x14ac:dyDescent="0.25">
      <c r="A628" s="63"/>
      <c r="T628" s="64" t="str">
        <f t="shared" si="18"/>
        <v>Exclude</v>
      </c>
      <c r="V628" s="65" t="str">
        <f t="shared" si="19"/>
        <v>Exclude</v>
      </c>
    </row>
    <row r="629" spans="1:22" s="64" customFormat="1" x14ac:dyDescent="0.25">
      <c r="A629" s="63"/>
      <c r="T629" s="64" t="str">
        <f t="shared" si="18"/>
        <v>Exclude</v>
      </c>
      <c r="V629" s="65" t="str">
        <f t="shared" si="19"/>
        <v>Exclude</v>
      </c>
    </row>
    <row r="630" spans="1:22" s="64" customFormat="1" x14ac:dyDescent="0.25">
      <c r="A630" s="63"/>
      <c r="T630" s="64" t="str">
        <f t="shared" si="18"/>
        <v>Exclude</v>
      </c>
      <c r="V630" s="65" t="str">
        <f t="shared" si="19"/>
        <v>Exclude</v>
      </c>
    </row>
    <row r="631" spans="1:22" s="64" customFormat="1" x14ac:dyDescent="0.25">
      <c r="A631" s="63"/>
      <c r="T631" s="64" t="str">
        <f t="shared" si="18"/>
        <v>Exclude</v>
      </c>
      <c r="V631" s="65" t="str">
        <f t="shared" si="19"/>
        <v>Exclude</v>
      </c>
    </row>
    <row r="632" spans="1:22" s="64" customFormat="1" x14ac:dyDescent="0.25">
      <c r="A632" s="63"/>
      <c r="T632" s="64" t="str">
        <f t="shared" si="18"/>
        <v>Exclude</v>
      </c>
      <c r="V632" s="65" t="str">
        <f t="shared" si="19"/>
        <v>Exclude</v>
      </c>
    </row>
    <row r="633" spans="1:22" s="64" customFormat="1" x14ac:dyDescent="0.25">
      <c r="A633" s="63"/>
      <c r="T633" s="64" t="str">
        <f t="shared" si="18"/>
        <v>Exclude</v>
      </c>
      <c r="V633" s="65" t="str">
        <f t="shared" si="19"/>
        <v>Exclude</v>
      </c>
    </row>
    <row r="634" spans="1:22" s="64" customFormat="1" x14ac:dyDescent="0.25">
      <c r="A634" s="63"/>
      <c r="T634" s="64" t="str">
        <f t="shared" si="18"/>
        <v>Exclude</v>
      </c>
      <c r="V634" s="65" t="str">
        <f t="shared" si="19"/>
        <v>Exclude</v>
      </c>
    </row>
    <row r="635" spans="1:22" s="64" customFormat="1" x14ac:dyDescent="0.25">
      <c r="A635" s="63"/>
      <c r="T635" s="64" t="str">
        <f t="shared" si="18"/>
        <v>Exclude</v>
      </c>
      <c r="V635" s="65" t="str">
        <f t="shared" si="19"/>
        <v>Exclude</v>
      </c>
    </row>
    <row r="636" spans="1:22" s="64" customFormat="1" x14ac:dyDescent="0.25">
      <c r="A636" s="63"/>
      <c r="T636" s="64" t="str">
        <f t="shared" si="18"/>
        <v>Exclude</v>
      </c>
      <c r="V636" s="65" t="str">
        <f t="shared" si="19"/>
        <v>Exclude</v>
      </c>
    </row>
    <row r="637" spans="1:22" s="64" customFormat="1" x14ac:dyDescent="0.25">
      <c r="A637" s="63"/>
      <c r="T637" s="64" t="str">
        <f t="shared" si="18"/>
        <v>Exclude</v>
      </c>
      <c r="V637" s="65" t="str">
        <f t="shared" si="19"/>
        <v>Exclude</v>
      </c>
    </row>
    <row r="638" spans="1:22" s="64" customFormat="1" x14ac:dyDescent="0.25">
      <c r="A638" s="63"/>
      <c r="T638" s="64" t="str">
        <f t="shared" si="18"/>
        <v>Exclude</v>
      </c>
      <c r="V638" s="65" t="str">
        <f t="shared" si="19"/>
        <v>Exclude</v>
      </c>
    </row>
    <row r="639" spans="1:22" s="64" customFormat="1" x14ac:dyDescent="0.25">
      <c r="A639" s="63"/>
      <c r="T639" s="64" t="str">
        <f t="shared" si="18"/>
        <v>Exclude</v>
      </c>
      <c r="V639" s="65" t="str">
        <f t="shared" si="19"/>
        <v>Exclude</v>
      </c>
    </row>
    <row r="640" spans="1:22" s="64" customFormat="1" x14ac:dyDescent="0.25">
      <c r="A640" s="63"/>
      <c r="T640" s="64" t="str">
        <f t="shared" si="18"/>
        <v>Exclude</v>
      </c>
      <c r="V640" s="65" t="str">
        <f t="shared" si="19"/>
        <v>Exclude</v>
      </c>
    </row>
    <row r="641" spans="1:22" s="64" customFormat="1" x14ac:dyDescent="0.25">
      <c r="A641" s="63"/>
      <c r="T641" s="64" t="str">
        <f t="shared" si="18"/>
        <v>Exclude</v>
      </c>
      <c r="V641" s="65" t="str">
        <f t="shared" si="19"/>
        <v>Exclude</v>
      </c>
    </row>
    <row r="642" spans="1:22" s="64" customFormat="1" x14ac:dyDescent="0.25">
      <c r="A642" s="63"/>
      <c r="T642" s="64" t="str">
        <f t="shared" si="18"/>
        <v>Exclude</v>
      </c>
      <c r="V642" s="65" t="str">
        <f t="shared" si="19"/>
        <v>Exclude</v>
      </c>
    </row>
    <row r="643" spans="1:22" s="64" customFormat="1" x14ac:dyDescent="0.25">
      <c r="A643" s="63"/>
      <c r="T643" s="64" t="str">
        <f t="shared" si="18"/>
        <v>Exclude</v>
      </c>
      <c r="V643" s="65" t="str">
        <f t="shared" si="19"/>
        <v>Exclude</v>
      </c>
    </row>
    <row r="644" spans="1:22" s="64" customFormat="1" x14ac:dyDescent="0.25">
      <c r="A644" s="63"/>
      <c r="T644" s="64" t="str">
        <f t="shared" si="18"/>
        <v>Exclude</v>
      </c>
      <c r="V644" s="65" t="str">
        <f t="shared" si="19"/>
        <v>Exclude</v>
      </c>
    </row>
    <row r="645" spans="1:22" s="64" customFormat="1" x14ac:dyDescent="0.25">
      <c r="A645" s="63"/>
      <c r="T645" s="64" t="str">
        <f t="shared" si="18"/>
        <v>Exclude</v>
      </c>
      <c r="V645" s="65" t="str">
        <f t="shared" si="19"/>
        <v>Exclude</v>
      </c>
    </row>
    <row r="646" spans="1:22" s="64" customFormat="1" x14ac:dyDescent="0.25">
      <c r="A646" s="63"/>
      <c r="T646" s="64" t="str">
        <f t="shared" si="18"/>
        <v>Exclude</v>
      </c>
      <c r="V646" s="65" t="str">
        <f t="shared" si="19"/>
        <v>Exclude</v>
      </c>
    </row>
    <row r="647" spans="1:22" s="64" customFormat="1" x14ac:dyDescent="0.25">
      <c r="A647" s="63"/>
      <c r="T647" s="64" t="str">
        <f t="shared" si="18"/>
        <v>Exclude</v>
      </c>
      <c r="V647" s="65" t="str">
        <f t="shared" si="19"/>
        <v>Exclude</v>
      </c>
    </row>
    <row r="648" spans="1:22" s="64" customFormat="1" x14ac:dyDescent="0.25">
      <c r="A648" s="63"/>
      <c r="T648" s="64" t="str">
        <f t="shared" si="18"/>
        <v>Exclude</v>
      </c>
      <c r="V648" s="65" t="str">
        <f t="shared" si="19"/>
        <v>Exclude</v>
      </c>
    </row>
    <row r="649" spans="1:22" s="64" customFormat="1" x14ac:dyDescent="0.25">
      <c r="A649" s="63"/>
    </row>
    <row r="650" spans="1:22" s="64" customFormat="1" x14ac:dyDescent="0.25">
      <c r="A650" s="63"/>
    </row>
    <row r="651" spans="1:22" s="64" customFormat="1" x14ac:dyDescent="0.25">
      <c r="A651" s="63"/>
    </row>
    <row r="652" spans="1:22" s="64" customFormat="1" x14ac:dyDescent="0.25">
      <c r="A652" s="63"/>
    </row>
    <row r="653" spans="1:22" s="64" customFormat="1" x14ac:dyDescent="0.25">
      <c r="A653" s="63"/>
    </row>
    <row r="654" spans="1:22" s="64" customFormat="1" x14ac:dyDescent="0.25">
      <c r="A654" s="63"/>
    </row>
    <row r="655" spans="1:22" s="64" customFormat="1" x14ac:dyDescent="0.25">
      <c r="A655" s="63"/>
    </row>
    <row r="656" spans="1:22" s="64" customFormat="1" x14ac:dyDescent="0.25">
      <c r="A656" s="63"/>
    </row>
    <row r="657" spans="1:1" s="64" customFormat="1" x14ac:dyDescent="0.25">
      <c r="A657" s="63"/>
    </row>
    <row r="658" spans="1:1" s="64" customFormat="1" x14ac:dyDescent="0.25">
      <c r="A658" s="63"/>
    </row>
    <row r="659" spans="1:1" s="64" customFormat="1" x14ac:dyDescent="0.25">
      <c r="A659" s="63"/>
    </row>
    <row r="660" spans="1:1" s="64" customFormat="1" x14ac:dyDescent="0.25">
      <c r="A660" s="63"/>
    </row>
    <row r="661" spans="1:1" s="64" customFormat="1" x14ac:dyDescent="0.25">
      <c r="A661" s="63"/>
    </row>
    <row r="662" spans="1:1" s="64" customFormat="1" x14ac:dyDescent="0.25">
      <c r="A662" s="63"/>
    </row>
    <row r="663" spans="1:1" s="64" customFormat="1" x14ac:dyDescent="0.25">
      <c r="A663" s="63"/>
    </row>
    <row r="664" spans="1:1" s="64" customFormat="1" x14ac:dyDescent="0.25">
      <c r="A664" s="63"/>
    </row>
    <row r="665" spans="1:1" s="64" customFormat="1" x14ac:dyDescent="0.25">
      <c r="A665" s="63"/>
    </row>
    <row r="666" spans="1:1" s="64" customFormat="1" x14ac:dyDescent="0.25">
      <c r="A666" s="63"/>
    </row>
  </sheetData>
  <conditionalFormatting sqref="W33:XFD658 A33:U658">
    <cfRule type="expression" dxfId="28" priority="29">
      <formula>MOD(ROW(),2)=0</formula>
    </cfRule>
  </conditionalFormatting>
  <conditionalFormatting sqref="V33:V658">
    <cfRule type="expression" dxfId="27" priority="28">
      <formula>MOD(ROW(),2)=0</formula>
    </cfRule>
  </conditionalFormatting>
  <conditionalFormatting sqref="V6:V10 V1:V4 V32:V1048576">
    <cfRule type="containsText" dxfId="26" priority="27" operator="containsText" text="Exclude">
      <formula>NOT(ISERROR(SEARCH("Exclude",V1)))</formula>
    </cfRule>
  </conditionalFormatting>
  <conditionalFormatting sqref="A14:C15 A28:C28">
    <cfRule type="containsErrors" dxfId="25" priority="26">
      <formula>ISERROR(A14)</formula>
    </cfRule>
  </conditionalFormatting>
  <conditionalFormatting sqref="T1:T2 T12 S28 T32:T1048576">
    <cfRule type="containsText" dxfId="24" priority="24" operator="containsText" text="Pant">
      <formula>NOT(ISERROR(SEARCH("Pant",S1)))</formula>
    </cfRule>
    <cfRule type="containsText" dxfId="23" priority="25" operator="containsText" text="Exclude">
      <formula>NOT(ISERROR(SEARCH("Exclude",S1)))</formula>
    </cfRule>
  </conditionalFormatting>
  <conditionalFormatting sqref="A11:C11">
    <cfRule type="containsErrors" dxfId="22" priority="23">
      <formula>ISERROR(A11)</formula>
    </cfRule>
  </conditionalFormatting>
  <conditionalFormatting sqref="A8:C8">
    <cfRule type="containsErrors" dxfId="21" priority="20">
      <formula>ISERROR(A8)</formula>
    </cfRule>
  </conditionalFormatting>
  <conditionalFormatting sqref="S16">
    <cfRule type="containsText" dxfId="20" priority="6" operator="containsText" text="Pant">
      <formula>NOT(ISERROR(SEARCH("Pant",S16)))</formula>
    </cfRule>
    <cfRule type="containsText" dxfId="19" priority="7" operator="containsText" text="Exclude">
      <formula>NOT(ISERROR(SEARCH("Exclude",S16)))</formula>
    </cfRule>
  </conditionalFormatting>
  <conditionalFormatting sqref="A5">
    <cfRule type="containsErrors" dxfId="18" priority="17">
      <formula>ISERROR(A5)</formula>
    </cfRule>
  </conditionalFormatting>
  <conditionalFormatting sqref="T3">
    <cfRule type="containsText" dxfId="17" priority="15" operator="containsText" text="Pant">
      <formula>NOT(ISERROR(SEARCH("Pant",T3)))</formula>
    </cfRule>
    <cfRule type="containsText" dxfId="16" priority="16" operator="containsText" text="Exclude">
      <formula>NOT(ISERROR(SEARCH("Exclude",T3)))</formula>
    </cfRule>
  </conditionalFormatting>
  <conditionalFormatting sqref="V19:V23 U16 V17">
    <cfRule type="containsText" dxfId="15" priority="14" operator="containsText" text="Exclude">
      <formula>NOT(ISERROR(SEARCH("Exclude",U16)))</formula>
    </cfRule>
  </conditionalFormatting>
  <conditionalFormatting sqref="A27:C27">
    <cfRule type="containsErrors" dxfId="14" priority="13">
      <formula>ISERROR(A27)</formula>
    </cfRule>
  </conditionalFormatting>
  <conditionalFormatting sqref="T25">
    <cfRule type="containsText" dxfId="13" priority="11" operator="containsText" text="Pant">
      <formula>NOT(ISERROR(SEARCH("Pant",T25)))</formula>
    </cfRule>
    <cfRule type="containsText" dxfId="12" priority="12" operator="containsText" text="Exclude">
      <formula>NOT(ISERROR(SEARCH("Exclude",T25)))</formula>
    </cfRule>
  </conditionalFormatting>
  <conditionalFormatting sqref="A24:C24">
    <cfRule type="containsErrors" dxfId="11" priority="10">
      <formula>ISERROR(A24)</formula>
    </cfRule>
  </conditionalFormatting>
  <conditionalFormatting sqref="A21:C21">
    <cfRule type="containsErrors" dxfId="10" priority="9">
      <formula>ISERROR(A21)</formula>
    </cfRule>
  </conditionalFormatting>
  <conditionalFormatting sqref="A18:C18">
    <cfRule type="containsErrors" dxfId="9" priority="8">
      <formula>ISERROR(A18)</formula>
    </cfRule>
  </conditionalFormatting>
  <conditionalFormatting sqref="A31:C31">
    <cfRule type="containsErrors" dxfId="8" priority="5">
      <formula>ISERROR(A31)</formula>
    </cfRule>
  </conditionalFormatting>
  <conditionalFormatting sqref="T29">
    <cfRule type="containsText" dxfId="7" priority="3" operator="containsText" text="Pant">
      <formula>NOT(ISERROR(SEARCH("Pant",T29)))</formula>
    </cfRule>
    <cfRule type="containsText" dxfId="6" priority="4" operator="containsText" text="Exclude">
      <formula>NOT(ISERROR(SEARCH("Exclude",T29)))</formula>
    </cfRule>
  </conditionalFormatting>
  <conditionalFormatting sqref="C5">
    <cfRule type="containsErrors" dxfId="5" priority="2">
      <formula>ISERROR(C5)</formula>
    </cfRule>
  </conditionalFormatting>
  <conditionalFormatting sqref="B5">
    <cfRule type="containsErrors" dxfId="4" priority="1">
      <formula>ISERROR(B5)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extToColumnsFT">
                <anchor moveWithCells="1" sizeWithCells="1">
                  <from>
                    <xdr:col>6</xdr:col>
                    <xdr:colOff>857250</xdr:colOff>
                    <xdr:row>0</xdr:row>
                    <xdr:rowOff>9525</xdr:rowOff>
                  </from>
                  <to>
                    <xdr:col>11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S133"/>
  <sheetViews>
    <sheetView topLeftCell="A100" workbookViewId="0">
      <selection activeCell="A105" sqref="A105:D111"/>
    </sheetView>
  </sheetViews>
  <sheetFormatPr defaultRowHeight="15" x14ac:dyDescent="0.25"/>
  <cols>
    <col min="2" max="3" width="9.7109375" bestFit="1" customWidth="1"/>
    <col min="5" max="5" width="9.140625" customWidth="1"/>
    <col min="13" max="13" width="12" customWidth="1"/>
    <col min="19" max="19" width="13.140625" customWidth="1"/>
  </cols>
  <sheetData>
    <row r="1" spans="1:19" ht="18" x14ac:dyDescent="0.25">
      <c r="A1" s="9"/>
      <c r="I1" s="6" t="s">
        <v>36</v>
      </c>
    </row>
    <row r="2" spans="1:19" ht="15.75" thickBot="1" x14ac:dyDescent="0.3">
      <c r="A2" s="10" t="s">
        <v>26</v>
      </c>
    </row>
    <row r="3" spans="1:19" ht="26.25" thickBot="1" x14ac:dyDescent="0.3">
      <c r="A3" s="11" t="s">
        <v>14</v>
      </c>
      <c r="B3" s="12" t="s">
        <v>15</v>
      </c>
      <c r="C3" s="12" t="s">
        <v>16</v>
      </c>
      <c r="D3" s="12" t="s">
        <v>17</v>
      </c>
      <c r="E3" s="12" t="s">
        <v>18</v>
      </c>
    </row>
    <row r="4" spans="1:19" ht="15.75" thickBot="1" x14ac:dyDescent="0.3">
      <c r="A4" s="7" t="s">
        <v>19</v>
      </c>
      <c r="B4" s="31">
        <v>2.45444</v>
      </c>
      <c r="C4" s="46">
        <v>7.3370000000000005E-2</v>
      </c>
      <c r="D4" s="8"/>
      <c r="E4" s="52">
        <v>6.429E-2</v>
      </c>
      <c r="G4" s="28"/>
    </row>
    <row r="5" spans="1:19" ht="15.75" thickBot="1" x14ac:dyDescent="0.3">
      <c r="A5" s="7" t="s">
        <v>20</v>
      </c>
      <c r="B5" s="32">
        <v>2.4730099999999999</v>
      </c>
      <c r="C5" s="47">
        <v>9.1639999999999999E-2</v>
      </c>
      <c r="D5" s="8"/>
      <c r="E5" s="53">
        <v>6.429E-2</v>
      </c>
      <c r="G5" s="28"/>
    </row>
    <row r="6" spans="1:19" ht="15.75" thickBot="1" x14ac:dyDescent="0.3">
      <c r="A6" s="7" t="s">
        <v>21</v>
      </c>
      <c r="B6" s="32">
        <v>2.5176099999999999</v>
      </c>
      <c r="C6" s="47">
        <v>9.8860000000000003E-2</v>
      </c>
      <c r="D6" s="8"/>
      <c r="E6" s="53">
        <v>6.429E-2</v>
      </c>
      <c r="G6" s="28"/>
      <c r="N6" t="s">
        <v>12</v>
      </c>
    </row>
    <row r="7" spans="1:19" ht="15.75" thickBot="1" x14ac:dyDescent="0.3">
      <c r="A7" s="7" t="s">
        <v>22</v>
      </c>
      <c r="B7" s="32">
        <v>2.5582099999999999</v>
      </c>
      <c r="C7" s="47">
        <v>0.10062</v>
      </c>
      <c r="D7" s="8"/>
      <c r="E7" s="53">
        <v>6.429E-2</v>
      </c>
      <c r="G7" s="28"/>
    </row>
    <row r="8" spans="1:19" ht="15.75" thickBot="1" x14ac:dyDescent="0.3">
      <c r="A8" s="7" t="s">
        <v>23</v>
      </c>
      <c r="B8" s="32">
        <v>2.5838299999999998</v>
      </c>
      <c r="C8" s="47">
        <v>0.10503999999999999</v>
      </c>
      <c r="D8" s="8"/>
      <c r="E8" s="53">
        <v>6.429E-2</v>
      </c>
      <c r="G8" s="28"/>
      <c r="J8" s="51" t="s">
        <v>60</v>
      </c>
      <c r="P8" s="51" t="s">
        <v>61</v>
      </c>
      <c r="Q8" s="28"/>
      <c r="R8" s="28"/>
      <c r="S8" s="28"/>
    </row>
    <row r="9" spans="1:19" ht="15.75" thickBot="1" x14ac:dyDescent="0.3">
      <c r="A9" s="7" t="s">
        <v>24</v>
      </c>
      <c r="B9" s="32">
        <v>2.5948899999999999</v>
      </c>
      <c r="C9" s="47">
        <v>0.10448</v>
      </c>
      <c r="D9" s="8"/>
      <c r="E9" s="53">
        <v>6.429E-2</v>
      </c>
      <c r="G9" s="28"/>
      <c r="P9" s="28"/>
      <c r="Q9" s="28"/>
      <c r="R9" s="28"/>
      <c r="S9" s="28"/>
    </row>
    <row r="10" spans="1:19" ht="15.75" thickBot="1" x14ac:dyDescent="0.3">
      <c r="A10" s="7" t="s">
        <v>25</v>
      </c>
      <c r="B10" s="32">
        <v>2.56549</v>
      </c>
      <c r="C10" s="47">
        <v>0.13084999999999999</v>
      </c>
      <c r="D10" s="8"/>
      <c r="E10" s="53">
        <v>6.429E-2</v>
      </c>
      <c r="G10" s="28"/>
      <c r="J10" s="2" t="s">
        <v>38</v>
      </c>
      <c r="M10">
        <f>SUM(Detection!A6-VLOOKUP(Detection!E2,Norms!A4:E10,2,TRUE))/VLOOKUP(Detection!E2,Norms!A4:E10,3,TRUE)</f>
        <v>0.32889460125200304</v>
      </c>
      <c r="P10" s="29" t="s">
        <v>38</v>
      </c>
      <c r="Q10" s="28"/>
      <c r="R10" s="28"/>
      <c r="S10" s="28" t="e">
        <f>SUM(Detection!Y6-VLOOKUP(Detection!E2,Norms!A4:E10,2,TRUE))/VLOOKUP(Detection!E2,Norms!A4:E10,3,TRUE)</f>
        <v>#DIV/0!</v>
      </c>
    </row>
    <row r="11" spans="1:19" x14ac:dyDescent="0.25">
      <c r="J11" s="2" t="s">
        <v>37</v>
      </c>
      <c r="M11">
        <f>SUM(Identification!A6-VLOOKUP(Detection!E2,Norms!A15:E21,2,TRUE))/VLOOKUP(Detection!E2,Norms!A15:E21,3,TRUE)</f>
        <v>-0.68046262604571328</v>
      </c>
      <c r="P11" s="29" t="s">
        <v>37</v>
      </c>
      <c r="Q11" s="28"/>
      <c r="R11" s="28"/>
      <c r="S11" s="28" t="e">
        <f>SUM(Identification!Y6-VLOOKUP(Detection!E2,Norms!A15:E21,2,TRUE))/VLOOKUP(Detection!E2,Norms!A15:E21,3,TRUE)</f>
        <v>#DIV/0!</v>
      </c>
    </row>
    <row r="12" spans="1:19" x14ac:dyDescent="0.25">
      <c r="A12" s="13"/>
      <c r="J12" s="2" t="s">
        <v>39</v>
      </c>
      <c r="M12">
        <f>IF(Detection!B9="No",0,SUM(M10*-10)+100)</f>
        <v>96.711053987479971</v>
      </c>
      <c r="P12" s="29" t="s">
        <v>39</v>
      </c>
      <c r="Q12" s="28"/>
      <c r="R12" s="28"/>
      <c r="S12" s="28">
        <f>IF(Detection!Z9="No",0,SUM(S10*-10)+100)</f>
        <v>0</v>
      </c>
    </row>
    <row r="13" spans="1:19" ht="15.75" thickBot="1" x14ac:dyDescent="0.3">
      <c r="A13" s="10" t="s">
        <v>27</v>
      </c>
      <c r="J13" s="2" t="s">
        <v>40</v>
      </c>
      <c r="M13">
        <f>IF(Identification!B9="No",0,SUM(M11*-10)+100)</f>
        <v>106.80462626045713</v>
      </c>
      <c r="P13" s="29" t="s">
        <v>40</v>
      </c>
      <c r="Q13" s="28"/>
      <c r="R13" s="28"/>
      <c r="S13" s="28">
        <f>IF(Identification!Z9="No",0,SUM(S11*-10)+100)</f>
        <v>0</v>
      </c>
    </row>
    <row r="14" spans="1:19" ht="26.25" thickBot="1" x14ac:dyDescent="0.3">
      <c r="A14" s="11" t="s">
        <v>14</v>
      </c>
      <c r="B14" s="12" t="s">
        <v>15</v>
      </c>
      <c r="C14" s="12" t="s">
        <v>16</v>
      </c>
      <c r="D14" s="12" t="s">
        <v>17</v>
      </c>
      <c r="E14" s="12" t="s">
        <v>18</v>
      </c>
      <c r="J14" s="2" t="s">
        <v>41</v>
      </c>
      <c r="M14">
        <f>IF(COUNTIFS(M12:M13,0),SUM(M12:M13)/1,SUM(M12:M13)/2)</f>
        <v>101.75784012396855</v>
      </c>
      <c r="P14" s="29" t="s">
        <v>41</v>
      </c>
      <c r="Q14" s="28"/>
      <c r="R14" s="28"/>
      <c r="S14" s="28">
        <f>IF(COUNTIFS(S12:S13,0),SUM(S12:S13)/1,SUM(S12:S13)/2)</f>
        <v>0</v>
      </c>
    </row>
    <row r="15" spans="1:19" ht="15.75" thickBot="1" x14ac:dyDescent="0.3">
      <c r="A15" s="7" t="s">
        <v>19</v>
      </c>
      <c r="B15" s="31">
        <v>2.6419999999999999</v>
      </c>
      <c r="C15" s="46">
        <v>6.3509999999999997E-2</v>
      </c>
      <c r="D15" s="8"/>
      <c r="E15" s="52">
        <v>0.04</v>
      </c>
      <c r="J15" s="2" t="s">
        <v>42</v>
      </c>
      <c r="M15">
        <f>IF(M14=0,"",SUM(M14-VLOOKUP(Detection!E2,Norms!A60:D66,2,TRUE))/VLOOKUP(Detection!E2,Norms!A60:D66,3,TRUE))</f>
        <v>0.20020415534993349</v>
      </c>
      <c r="P15" s="29" t="s">
        <v>42</v>
      </c>
      <c r="Q15" s="28"/>
      <c r="R15" s="28"/>
      <c r="S15" s="28" t="str">
        <f>IF(S14=0,"",SUM(S14-VLOOKUP(Detection!E2,Norms!A60:D66,2,TRUE))/VLOOKUP(Detection!E2,Norms!A60:D66,3,TRUE))</f>
        <v/>
      </c>
    </row>
    <row r="16" spans="1:19" ht="15.75" thickBot="1" x14ac:dyDescent="0.3">
      <c r="A16" s="7" t="s">
        <v>20</v>
      </c>
      <c r="B16" s="32">
        <v>2.6591999999999998</v>
      </c>
      <c r="C16" s="47">
        <v>6.7580000000000001E-2</v>
      </c>
      <c r="D16" s="8"/>
      <c r="E16" s="53">
        <v>0.04</v>
      </c>
      <c r="J16" s="2" t="s">
        <v>43</v>
      </c>
      <c r="M16">
        <f>SUM(M15*10)+100</f>
        <v>102.00204155349934</v>
      </c>
      <c r="P16" s="29" t="s">
        <v>43</v>
      </c>
      <c r="Q16" s="28"/>
      <c r="R16" s="28"/>
      <c r="S16" s="28" t="e">
        <f>SUM(S15*10)+100</f>
        <v>#VALUE!</v>
      </c>
    </row>
    <row r="17" spans="1:19" ht="15.75" thickBot="1" x14ac:dyDescent="0.3">
      <c r="A17" s="7" t="s">
        <v>21</v>
      </c>
      <c r="B17" s="32">
        <v>2.6905399999999999</v>
      </c>
      <c r="C17" s="47">
        <v>7.4759999999999993E-2</v>
      </c>
      <c r="D17" s="8"/>
      <c r="E17" s="53">
        <v>0.04</v>
      </c>
      <c r="P17" s="28"/>
      <c r="Q17" s="28"/>
      <c r="R17" s="28"/>
      <c r="S17" s="28"/>
    </row>
    <row r="18" spans="1:19" ht="15.75" thickBot="1" x14ac:dyDescent="0.3">
      <c r="A18" s="7" t="s">
        <v>22</v>
      </c>
      <c r="B18" s="32">
        <v>2.7260800000000001</v>
      </c>
      <c r="C18" s="47">
        <v>7.9519999999999993E-2</v>
      </c>
      <c r="D18" s="8"/>
      <c r="E18" s="53">
        <v>0.04</v>
      </c>
      <c r="P18" s="28"/>
      <c r="Q18" s="28"/>
      <c r="R18" s="28"/>
      <c r="S18" s="28"/>
    </row>
    <row r="19" spans="1:19" ht="15.75" thickBot="1" x14ac:dyDescent="0.3">
      <c r="A19" s="7" t="s">
        <v>23</v>
      </c>
      <c r="B19" s="32">
        <v>2.7509600000000001</v>
      </c>
      <c r="C19" s="47">
        <v>8.523E-2</v>
      </c>
      <c r="D19" s="8"/>
      <c r="E19" s="53">
        <v>0.04</v>
      </c>
      <c r="P19" s="28"/>
      <c r="Q19" s="28"/>
      <c r="R19" s="28"/>
      <c r="S19" s="28"/>
    </row>
    <row r="20" spans="1:19" ht="15.75" thickBot="1" x14ac:dyDescent="0.3">
      <c r="A20" s="7" t="s">
        <v>24</v>
      </c>
      <c r="B20" s="32">
        <v>2.7639</v>
      </c>
      <c r="C20" s="47">
        <v>8.3330000000000001E-2</v>
      </c>
      <c r="D20" s="8"/>
      <c r="E20" s="53">
        <v>0.04</v>
      </c>
      <c r="P20" s="28"/>
      <c r="Q20" s="28"/>
      <c r="R20" s="28"/>
      <c r="S20" s="28"/>
    </row>
    <row r="21" spans="1:19" ht="15.75" thickBot="1" x14ac:dyDescent="0.3">
      <c r="A21" s="7" t="s">
        <v>25</v>
      </c>
      <c r="B21" s="32">
        <v>2.74919</v>
      </c>
      <c r="C21" s="47">
        <v>8.5400000000000004E-2</v>
      </c>
      <c r="D21" s="8"/>
      <c r="E21" s="53">
        <v>0.04</v>
      </c>
      <c r="P21" s="28"/>
      <c r="Q21" s="28"/>
      <c r="R21" s="28"/>
      <c r="S21" s="28"/>
    </row>
    <row r="22" spans="1:19" x14ac:dyDescent="0.25">
      <c r="P22" s="28"/>
      <c r="Q22" s="28"/>
      <c r="R22" s="28"/>
      <c r="S22" s="28"/>
    </row>
    <row r="23" spans="1:19" x14ac:dyDescent="0.25">
      <c r="P23" s="28"/>
      <c r="Q23" s="28"/>
      <c r="R23" s="28"/>
      <c r="S23" s="28"/>
    </row>
    <row r="24" spans="1:19" ht="15.75" thickBot="1" x14ac:dyDescent="0.3">
      <c r="A24" s="10" t="s">
        <v>28</v>
      </c>
      <c r="P24" s="28"/>
      <c r="Q24" s="28"/>
      <c r="R24" s="28"/>
      <c r="S24" s="28"/>
    </row>
    <row r="25" spans="1:19" ht="26.25" thickBot="1" x14ac:dyDescent="0.3">
      <c r="A25" s="11" t="s">
        <v>14</v>
      </c>
      <c r="B25" s="14" t="s">
        <v>15</v>
      </c>
      <c r="C25" s="12" t="s">
        <v>16</v>
      </c>
      <c r="D25" s="12" t="s">
        <v>17</v>
      </c>
      <c r="E25" s="12" t="s">
        <v>18</v>
      </c>
      <c r="P25" s="28"/>
      <c r="Q25" s="28"/>
      <c r="R25" s="28"/>
      <c r="S25" s="28"/>
    </row>
    <row r="26" spans="1:19" ht="15.75" thickBot="1" x14ac:dyDescent="0.3">
      <c r="A26" s="7" t="s">
        <v>19</v>
      </c>
      <c r="B26" s="31">
        <v>0.99138000000000004</v>
      </c>
      <c r="C26" s="46">
        <v>0.11465</v>
      </c>
      <c r="D26" s="8"/>
      <c r="E26" s="52">
        <v>9.1429999999999997E-2</v>
      </c>
      <c r="P26" s="28"/>
      <c r="Q26" s="28"/>
      <c r="R26" s="28"/>
      <c r="S26" s="28"/>
    </row>
    <row r="27" spans="1:19" ht="15.75" thickBot="1" x14ac:dyDescent="0.3">
      <c r="A27" s="7" t="s">
        <v>20</v>
      </c>
      <c r="B27" s="32">
        <v>0.97065000000000001</v>
      </c>
      <c r="C27" s="47">
        <v>0.11375</v>
      </c>
      <c r="D27" s="8"/>
      <c r="E27" s="53">
        <v>9.1429999999999997E-2</v>
      </c>
      <c r="N27" t="s">
        <v>13</v>
      </c>
      <c r="P27" s="28"/>
      <c r="Q27" s="28"/>
      <c r="R27" s="28"/>
      <c r="S27" s="28"/>
    </row>
    <row r="28" spans="1:19" ht="15.75" thickBot="1" x14ac:dyDescent="0.3">
      <c r="A28" s="7" t="s">
        <v>21</v>
      </c>
      <c r="B28" s="32">
        <v>0.96031999999999995</v>
      </c>
      <c r="C28" s="47">
        <v>0.1198</v>
      </c>
      <c r="D28" s="8"/>
      <c r="E28" s="53">
        <v>9.1429999999999997E-2</v>
      </c>
      <c r="P28" s="28"/>
      <c r="Q28" s="28"/>
      <c r="R28" s="28"/>
      <c r="S28" s="28"/>
    </row>
    <row r="29" spans="1:19" ht="15.75" thickBot="1" x14ac:dyDescent="0.3">
      <c r="A29" s="7" t="s">
        <v>22</v>
      </c>
      <c r="B29" s="32">
        <v>0.95696999999999999</v>
      </c>
      <c r="C29" s="47">
        <v>0.12010999999999999</v>
      </c>
      <c r="D29" s="8"/>
      <c r="E29" s="53">
        <v>9.1429999999999997E-2</v>
      </c>
      <c r="J29" s="51"/>
      <c r="P29" s="51"/>
      <c r="Q29" s="28"/>
      <c r="R29" s="28"/>
      <c r="S29" s="28"/>
    </row>
    <row r="30" spans="1:19" ht="15.75" thickBot="1" x14ac:dyDescent="0.3">
      <c r="A30" s="7" t="s">
        <v>23</v>
      </c>
      <c r="B30" s="32">
        <v>0.95121</v>
      </c>
      <c r="C30" s="47">
        <v>0.12647</v>
      </c>
      <c r="D30" s="8"/>
      <c r="E30" s="53">
        <v>9.1429999999999997E-2</v>
      </c>
      <c r="J30" s="51" t="s">
        <v>60</v>
      </c>
      <c r="P30" s="51" t="s">
        <v>61</v>
      </c>
      <c r="Q30" s="28"/>
      <c r="R30" s="28"/>
      <c r="S30" s="28"/>
    </row>
    <row r="31" spans="1:19" ht="15.75" thickBot="1" x14ac:dyDescent="0.3">
      <c r="A31" s="7" t="s">
        <v>24</v>
      </c>
      <c r="B31" s="32">
        <v>0.93113000000000001</v>
      </c>
      <c r="C31" s="47">
        <v>0.13478000000000001</v>
      </c>
      <c r="D31" s="8"/>
      <c r="E31" s="53">
        <v>9.1429999999999997E-2</v>
      </c>
      <c r="P31" s="28"/>
      <c r="Q31" s="28"/>
      <c r="R31" s="28"/>
      <c r="S31" s="28"/>
    </row>
    <row r="32" spans="1:19" ht="15.75" thickBot="1" x14ac:dyDescent="0.3">
      <c r="A32" s="7" t="s">
        <v>25</v>
      </c>
      <c r="B32" s="32">
        <v>0.93401999999999996</v>
      </c>
      <c r="C32" s="47">
        <v>0.12565999999999999</v>
      </c>
      <c r="D32" s="8"/>
      <c r="E32" s="53">
        <v>9.1429999999999997E-2</v>
      </c>
      <c r="J32" s="2" t="s">
        <v>44</v>
      </c>
      <c r="M32">
        <f>SUM('OCL2'!C6-VLOOKUP(Detection!E2,Norms!A26:E32,2,TRUE))/VLOOKUP(Detection!E2,Norms!A26:E32,3,TRUE)</f>
        <v>-0.9316280991973781</v>
      </c>
      <c r="P32" s="29" t="s">
        <v>44</v>
      </c>
      <c r="Q32" s="28"/>
      <c r="R32" s="28"/>
      <c r="S32" s="28" t="e">
        <f>SUM('OCL2'!AA6-VLOOKUP(Detection!E2,Norms!A26:E32,2,TRUE))/VLOOKUP(Detection!E2,Norms!A26:E32,3,TRUE)</f>
        <v>#DIV/0!</v>
      </c>
    </row>
    <row r="33" spans="1:19" x14ac:dyDescent="0.25">
      <c r="J33" s="2" t="s">
        <v>75</v>
      </c>
      <c r="M33">
        <f>SUM('One Back'!C6-VLOOKUP(Detection!E2,Norms!A50:E56,2,TRUE))/VLOOKUP(Detection!E2,Norms!A50:E56,3,TRUE)</f>
        <v>-2.8676272844577069</v>
      </c>
      <c r="P33" s="29" t="s">
        <v>75</v>
      </c>
      <c r="Q33" s="28"/>
      <c r="R33" s="28"/>
      <c r="S33" s="28" t="e">
        <f>SUM('One Back'!AA6-VLOOKUP(Detection!E2,Norms!A50:E56,2,TRUE))/VLOOKUP(Detection!E2,Norms!A50:E56,3,TRUE)</f>
        <v>#DIV/0!</v>
      </c>
    </row>
    <row r="34" spans="1:19" x14ac:dyDescent="0.25">
      <c r="J34" s="2" t="s">
        <v>45</v>
      </c>
      <c r="M34">
        <f>IF('OCL2'!B9="No",0,SUM(M32*10)+100)</f>
        <v>90.683719008026216</v>
      </c>
      <c r="P34" s="29" t="s">
        <v>45</v>
      </c>
      <c r="Q34" s="28"/>
      <c r="R34" s="28"/>
      <c r="S34" s="28">
        <f>IF('OCL2'!Z9="No",0,SUM(S32*10)+100)</f>
        <v>0</v>
      </c>
    </row>
    <row r="35" spans="1:19" ht="15.75" thickBot="1" x14ac:dyDescent="0.3">
      <c r="A35" s="10" t="s">
        <v>72</v>
      </c>
      <c r="J35" s="2" t="s">
        <v>46</v>
      </c>
      <c r="M35">
        <f>IF('One Back'!B9="No",0,SUM(M33*10)+100)</f>
        <v>71.32372715542293</v>
      </c>
      <c r="P35" s="29" t="s">
        <v>46</v>
      </c>
      <c r="Q35" s="28"/>
      <c r="R35" s="28"/>
      <c r="S35" s="28">
        <f>IF('One Back'!Z9="No",0,SUM(S33*10)+100)</f>
        <v>0</v>
      </c>
    </row>
    <row r="36" spans="1:19" x14ac:dyDescent="0.25">
      <c r="A36" s="15" t="s">
        <v>29</v>
      </c>
      <c r="B36" s="108" t="s">
        <v>15</v>
      </c>
      <c r="C36" s="108" t="s">
        <v>16</v>
      </c>
      <c r="D36" s="108" t="s">
        <v>17</v>
      </c>
      <c r="E36" s="108" t="s">
        <v>18</v>
      </c>
      <c r="J36" s="2" t="s">
        <v>41</v>
      </c>
      <c r="M36">
        <f>IF(COUNTIFS(M34:M35,0),SUM(M34:M35)/1,SUM(M34:M35)/2)</f>
        <v>81.003723081724573</v>
      </c>
      <c r="P36" s="29" t="s">
        <v>41</v>
      </c>
      <c r="Q36" s="28"/>
      <c r="R36" s="28"/>
      <c r="S36" s="28">
        <f>IF(COUNTIFS(S34:S35,0),SUM(S34:S35)/1,SUM(S34:S35)/2)</f>
        <v>0</v>
      </c>
    </row>
    <row r="37" spans="1:19" ht="15.75" thickBot="1" x14ac:dyDescent="0.3">
      <c r="A37" s="16" t="s">
        <v>30</v>
      </c>
      <c r="B37" s="110"/>
      <c r="C37" s="110"/>
      <c r="D37" s="110"/>
      <c r="E37" s="110"/>
      <c r="J37" s="2" t="s">
        <v>42</v>
      </c>
      <c r="M37">
        <f>IF(M36=0,"",SUM(M36-VLOOKUP(Detection!E2,Norms!A82:D88,2,TRUE))/VLOOKUP(Detection!E2,Norms!A82:D88,3,TRUE))</f>
        <v>-2.5056952316870889</v>
      </c>
      <c r="P37" s="29" t="s">
        <v>42</v>
      </c>
      <c r="Q37" s="28"/>
      <c r="R37" s="28"/>
      <c r="S37" s="28" t="str">
        <f>IF(S36=0,"",SUM(S36-VLOOKUP(Detection!E2,Norms!A82:D88,2,TRUE))/VLOOKUP(Detection!E2,Norms!A82:D88,3,TRUE))</f>
        <v/>
      </c>
    </row>
    <row r="38" spans="1:19" ht="15.75" thickBot="1" x14ac:dyDescent="0.3">
      <c r="A38" s="7" t="s">
        <v>19</v>
      </c>
      <c r="B38" s="31">
        <v>2.78579</v>
      </c>
      <c r="C38" s="31">
        <v>9.418E-2</v>
      </c>
      <c r="D38" s="8"/>
      <c r="E38" s="52">
        <v>0.05</v>
      </c>
      <c r="J38" s="2" t="s">
        <v>43</v>
      </c>
      <c r="M38">
        <f>SUM(M37*10)+100</f>
        <v>74.943047683129109</v>
      </c>
      <c r="P38" s="29" t="s">
        <v>43</v>
      </c>
      <c r="Q38" s="28"/>
      <c r="R38" s="28"/>
      <c r="S38" s="28" t="e">
        <f>SUM(S37*10)+100</f>
        <v>#VALUE!</v>
      </c>
    </row>
    <row r="39" spans="1:19" ht="15.75" thickBot="1" x14ac:dyDescent="0.3">
      <c r="A39" s="7" t="s">
        <v>20</v>
      </c>
      <c r="B39" s="32">
        <v>2.8608199999999999</v>
      </c>
      <c r="C39" s="32">
        <v>9.3170000000000003E-2</v>
      </c>
      <c r="D39" s="8"/>
      <c r="E39" s="53">
        <v>0.05</v>
      </c>
    </row>
    <row r="40" spans="1:19" ht="15.75" thickBot="1" x14ac:dyDescent="0.3">
      <c r="A40" s="7" t="s">
        <v>21</v>
      </c>
      <c r="B40" s="32">
        <v>2.89621</v>
      </c>
      <c r="C40" s="32">
        <v>9.2230000000000006E-2</v>
      </c>
      <c r="D40" s="8"/>
      <c r="E40" s="53">
        <v>0.05</v>
      </c>
    </row>
    <row r="41" spans="1:19" ht="15.75" thickBot="1" x14ac:dyDescent="0.3">
      <c r="A41" s="7" t="s">
        <v>22</v>
      </c>
      <c r="B41" s="32">
        <v>2.9198599999999999</v>
      </c>
      <c r="C41" s="32">
        <v>9.5560000000000006E-2</v>
      </c>
      <c r="D41" s="8"/>
      <c r="E41" s="53">
        <v>0.05</v>
      </c>
    </row>
    <row r="42" spans="1:19" ht="15.75" thickBot="1" x14ac:dyDescent="0.3">
      <c r="A42" s="7" t="s">
        <v>23</v>
      </c>
      <c r="B42" s="32">
        <v>2.9434100000000001</v>
      </c>
      <c r="C42" s="32">
        <v>0.10238</v>
      </c>
      <c r="D42" s="8"/>
      <c r="E42" s="53">
        <v>0.05</v>
      </c>
    </row>
    <row r="43" spans="1:19" ht="15.75" thickBot="1" x14ac:dyDescent="0.3">
      <c r="A43" s="7" t="s">
        <v>24</v>
      </c>
      <c r="B43" s="32">
        <v>2.9616799999999999</v>
      </c>
      <c r="C43" s="32">
        <v>0.10459</v>
      </c>
      <c r="D43" s="8"/>
      <c r="E43" s="53">
        <v>0.05</v>
      </c>
      <c r="N43" t="s">
        <v>86</v>
      </c>
    </row>
    <row r="44" spans="1:19" ht="15.75" thickBot="1" x14ac:dyDescent="0.3">
      <c r="A44" s="7" t="s">
        <v>25</v>
      </c>
      <c r="B44" s="32">
        <v>2.9152499999999999</v>
      </c>
      <c r="C44" s="32">
        <v>0.1234</v>
      </c>
      <c r="D44" s="8"/>
      <c r="E44" s="53">
        <v>0.05</v>
      </c>
    </row>
    <row r="45" spans="1:19" s="28" customFormat="1" ht="12" customHeight="1" x14ac:dyDescent="0.25">
      <c r="A45" s="54"/>
      <c r="B45" s="55"/>
      <c r="C45" s="55"/>
      <c r="D45" s="56"/>
      <c r="E45" s="57"/>
    </row>
    <row r="46" spans="1:19" s="28" customFormat="1" ht="12" customHeight="1" x14ac:dyDescent="0.25">
      <c r="A46" s="54"/>
      <c r="B46" s="55"/>
      <c r="C46" s="55"/>
      <c r="D46" s="56"/>
      <c r="E46" s="57"/>
      <c r="J46" s="51" t="s">
        <v>60</v>
      </c>
      <c r="P46" s="51" t="s">
        <v>61</v>
      </c>
    </row>
    <row r="47" spans="1:19" s="28" customFormat="1" ht="12" customHeight="1" thickBot="1" x14ac:dyDescent="0.3">
      <c r="A47" s="10" t="s">
        <v>71</v>
      </c>
    </row>
    <row r="48" spans="1:19" s="28" customFormat="1" ht="15.75" customHeight="1" x14ac:dyDescent="0.25">
      <c r="A48" s="15" t="s">
        <v>29</v>
      </c>
      <c r="B48" s="108" t="s">
        <v>15</v>
      </c>
      <c r="C48" s="108" t="s">
        <v>16</v>
      </c>
      <c r="D48" s="108" t="s">
        <v>17</v>
      </c>
      <c r="E48" s="108" t="s">
        <v>18</v>
      </c>
      <c r="J48" s="29" t="s">
        <v>44</v>
      </c>
      <c r="M48" s="28">
        <f>SUM('OCL2'!C6-VLOOKUP(Detection!E2,Norms!A26:E32,2,TRUE))/VLOOKUP(Detection!E2,Norms!A26:E32,3,TRUE)</f>
        <v>-0.9316280991973781</v>
      </c>
      <c r="P48" s="29" t="s">
        <v>44</v>
      </c>
      <c r="S48" s="28" t="e">
        <f>SUM('OCL2'!AA6-VLOOKUP(Detection!E2,Norms!A26:E32,2,TRUE))/VLOOKUP(Detection!E2,Norms!A26:E32,3,TRUE)</f>
        <v>#DIV/0!</v>
      </c>
    </row>
    <row r="49" spans="1:19" s="28" customFormat="1" ht="14.25" customHeight="1" thickBot="1" x14ac:dyDescent="0.3">
      <c r="A49" s="16" t="s">
        <v>30</v>
      </c>
      <c r="B49" s="109"/>
      <c r="C49" s="109"/>
      <c r="D49" s="110"/>
      <c r="E49" s="110"/>
      <c r="J49" s="29" t="s">
        <v>87</v>
      </c>
      <c r="M49" s="28">
        <f>SUM('One Back'!A6-VLOOKUP(Detection!E2,Norms!A38:E44,2,TRUE))/VLOOKUP(Detection!E2,Norms!A38:E44,3,TRUE)</f>
        <v>-1.4897997602863209</v>
      </c>
      <c r="P49" s="29" t="s">
        <v>87</v>
      </c>
      <c r="S49" s="28" t="e">
        <f>SUM('One Back'!Y6-VLOOKUP(Detection!E2,Norms!A38:E44,2,TRUE))/VLOOKUP(Detection!E2,Norms!A38:E44,3,TRUE)</f>
        <v>#DIV/0!</v>
      </c>
    </row>
    <row r="50" spans="1:19" s="28" customFormat="1" ht="12.75" customHeight="1" thickBot="1" x14ac:dyDescent="0.3">
      <c r="A50" s="58" t="s">
        <v>19</v>
      </c>
      <c r="B50" s="59">
        <v>1.3961699999999999</v>
      </c>
      <c r="C50" s="59">
        <v>0.12998000000000001</v>
      </c>
      <c r="D50" s="8"/>
      <c r="E50" s="52"/>
      <c r="J50" s="29" t="s">
        <v>45</v>
      </c>
      <c r="M50" s="28">
        <f>IF('OCL2'!B9="No",0,SUM(M48*10)+100)</f>
        <v>90.683719008026216</v>
      </c>
      <c r="P50" s="29" t="s">
        <v>45</v>
      </c>
      <c r="S50" s="28">
        <f>IF('OCL2'!Z9="No",0,SUM(S48*10)+100)</f>
        <v>0</v>
      </c>
    </row>
    <row r="51" spans="1:19" s="28" customFormat="1" ht="15.75" thickBot="1" x14ac:dyDescent="0.3">
      <c r="A51" s="58" t="s">
        <v>20</v>
      </c>
      <c r="B51" s="59">
        <v>1.37836</v>
      </c>
      <c r="C51" s="59">
        <v>0.12851000000000001</v>
      </c>
      <c r="D51" s="8"/>
      <c r="E51" s="53"/>
      <c r="J51" s="29" t="s">
        <v>46</v>
      </c>
      <c r="M51" s="28">
        <f>IF('One Back'!B9="No",0,SUM(M49*-10)+100)</f>
        <v>114.89799760286321</v>
      </c>
      <c r="P51" s="29" t="s">
        <v>46</v>
      </c>
      <c r="S51" s="28">
        <f>IF('One Back'!Z9="No",0,SUM(S49*-10)+100)</f>
        <v>0</v>
      </c>
    </row>
    <row r="52" spans="1:19" s="28" customFormat="1" ht="15.75" thickBot="1" x14ac:dyDescent="0.3">
      <c r="A52" s="58" t="s">
        <v>21</v>
      </c>
      <c r="B52" s="59">
        <v>1.3603000000000001</v>
      </c>
      <c r="C52" s="59">
        <v>0.13034000000000001</v>
      </c>
      <c r="D52" s="8"/>
      <c r="E52" s="53"/>
      <c r="J52" s="29" t="s">
        <v>41</v>
      </c>
      <c r="M52" s="28">
        <f>IF(COUNTIFS(M50:M51,0),SUM(M50:M51)/1,SUM(M50:M51)/2)</f>
        <v>102.79085830544471</v>
      </c>
      <c r="P52" s="29" t="s">
        <v>41</v>
      </c>
      <c r="S52" s="28">
        <f>IF(COUNTIFS(S50:S51,0),SUM(S50:S51)/1,SUM(S50:S51)/2)</f>
        <v>0</v>
      </c>
    </row>
    <row r="53" spans="1:19" s="28" customFormat="1" ht="15.75" thickBot="1" x14ac:dyDescent="0.3">
      <c r="A53" s="58" t="s">
        <v>22</v>
      </c>
      <c r="B53" s="59">
        <v>1.3638600000000001</v>
      </c>
      <c r="C53" s="59">
        <v>0.13779</v>
      </c>
      <c r="D53" s="8"/>
      <c r="E53" s="53"/>
      <c r="J53" s="29" t="s">
        <v>42</v>
      </c>
      <c r="M53" s="28">
        <f>IF(M52=0,"",SUM(M52-VLOOKUP(Detection!E2,A71:D77,2,TRUE))/VLOOKUP(Detection!E2,A71:D77,3,TRUE))</f>
        <v>0.28029671234178805</v>
      </c>
      <c r="P53" s="29" t="s">
        <v>42</v>
      </c>
      <c r="S53" s="28" t="str">
        <f>IF(S52=0,"",SUM(S52-VLOOKUP(Detection!E2,Norms!A71:D77,2,TRUE))/VLOOKUP(Detection!E2,Norms!A71:D77,3,TRUE))</f>
        <v/>
      </c>
    </row>
    <row r="54" spans="1:19" s="28" customFormat="1" ht="15.75" thickBot="1" x14ac:dyDescent="0.3">
      <c r="A54" s="58" t="s">
        <v>23</v>
      </c>
      <c r="B54" s="59">
        <v>1.3493299999999999</v>
      </c>
      <c r="C54" s="59">
        <v>0.13911999999999999</v>
      </c>
      <c r="D54" s="8"/>
      <c r="E54" s="53"/>
      <c r="J54" s="29" t="s">
        <v>43</v>
      </c>
      <c r="M54" s="28">
        <f>SUM(M53*10)+100</f>
        <v>102.80296712341789</v>
      </c>
      <c r="P54" s="29" t="s">
        <v>43</v>
      </c>
      <c r="S54" s="28" t="e">
        <f>SUM(S53*10)+100</f>
        <v>#VALUE!</v>
      </c>
    </row>
    <row r="55" spans="1:19" s="28" customFormat="1" ht="15.75" thickBot="1" x14ac:dyDescent="0.3">
      <c r="A55" s="58" t="s">
        <v>24</v>
      </c>
      <c r="B55" s="59">
        <v>1.3148299999999999</v>
      </c>
      <c r="C55" s="59">
        <v>0.14208999999999999</v>
      </c>
      <c r="D55" s="8"/>
      <c r="E55" s="53"/>
    </row>
    <row r="56" spans="1:19" ht="15.75" thickBot="1" x14ac:dyDescent="0.3">
      <c r="A56" s="58" t="s">
        <v>25</v>
      </c>
      <c r="B56" s="59">
        <v>1.32317</v>
      </c>
      <c r="C56" s="59">
        <v>0.13689000000000001</v>
      </c>
      <c r="D56" s="8"/>
      <c r="E56" s="53"/>
    </row>
    <row r="58" spans="1:19" ht="15.75" thickBot="1" x14ac:dyDescent="0.3">
      <c r="A58" s="10" t="s">
        <v>31</v>
      </c>
      <c r="N58" s="28"/>
    </row>
    <row r="59" spans="1:19" ht="39" thickBot="1" x14ac:dyDescent="0.3">
      <c r="A59" s="11" t="s">
        <v>14</v>
      </c>
      <c r="B59" s="12" t="s">
        <v>32</v>
      </c>
      <c r="C59" s="12" t="s">
        <v>33</v>
      </c>
      <c r="D59" s="12" t="s">
        <v>34</v>
      </c>
    </row>
    <row r="60" spans="1:19" ht="15.75" thickBot="1" x14ac:dyDescent="0.3">
      <c r="A60" s="7" t="s">
        <v>19</v>
      </c>
      <c r="B60" s="31">
        <v>100.1447</v>
      </c>
      <c r="C60" s="31">
        <v>9.1800499999999996</v>
      </c>
      <c r="D60" s="31">
        <v>0.91800999999999999</v>
      </c>
    </row>
    <row r="61" spans="1:19" ht="15.75" thickBot="1" x14ac:dyDescent="0.3">
      <c r="A61" s="7" t="s">
        <v>20</v>
      </c>
      <c r="B61" s="32">
        <v>99.96902</v>
      </c>
      <c r="C61" s="32">
        <v>8.9349799999999995</v>
      </c>
      <c r="D61" s="32">
        <v>0.89349999999999996</v>
      </c>
    </row>
    <row r="62" spans="1:19" ht="15.75" thickBot="1" x14ac:dyDescent="0.3">
      <c r="A62" s="7" t="s">
        <v>21</v>
      </c>
      <c r="B62" s="32">
        <v>100</v>
      </c>
      <c r="C62" s="32">
        <v>9.4333600000000004</v>
      </c>
      <c r="D62" s="32">
        <v>0.94333999999999996</v>
      </c>
    </row>
    <row r="63" spans="1:19" ht="15.75" thickBot="1" x14ac:dyDescent="0.3">
      <c r="A63" s="7" t="s">
        <v>22</v>
      </c>
      <c r="B63" s="32">
        <v>99.987639999999999</v>
      </c>
      <c r="C63" s="32">
        <v>8.8765199999999993</v>
      </c>
      <c r="D63" s="32">
        <v>0.88765000000000005</v>
      </c>
    </row>
    <row r="64" spans="1:19" ht="15.75" thickBot="1" x14ac:dyDescent="0.3">
      <c r="A64" s="7" t="s">
        <v>23</v>
      </c>
      <c r="B64" s="32">
        <v>99.965429999999998</v>
      </c>
      <c r="C64" s="32">
        <v>8.8877699999999997</v>
      </c>
      <c r="D64" s="32">
        <v>0.88878000000000001</v>
      </c>
    </row>
    <row r="65" spans="1:4" ht="15.75" thickBot="1" x14ac:dyDescent="0.3">
      <c r="A65" s="7" t="s">
        <v>24</v>
      </c>
      <c r="B65" s="32">
        <v>100</v>
      </c>
      <c r="C65" s="32">
        <v>8.63992</v>
      </c>
      <c r="D65" s="32">
        <v>0.86399000000000004</v>
      </c>
    </row>
    <row r="66" spans="1:4" ht="15.75" thickBot="1" x14ac:dyDescent="0.3">
      <c r="A66" s="7" t="s">
        <v>25</v>
      </c>
      <c r="B66" s="32">
        <v>100</v>
      </c>
      <c r="C66" s="32">
        <v>7.8408499999999997</v>
      </c>
      <c r="D66" s="32">
        <v>0.78408999999999995</v>
      </c>
    </row>
    <row r="69" spans="1:4" ht="15.75" thickBot="1" x14ac:dyDescent="0.3">
      <c r="A69" s="10" t="s">
        <v>76</v>
      </c>
    </row>
    <row r="70" spans="1:4" ht="39" thickBot="1" x14ac:dyDescent="0.3">
      <c r="A70" s="11" t="s">
        <v>14</v>
      </c>
      <c r="B70" s="12" t="s">
        <v>32</v>
      </c>
      <c r="C70" s="14" t="s">
        <v>33</v>
      </c>
      <c r="D70" s="12" t="s">
        <v>34</v>
      </c>
    </row>
    <row r="71" spans="1:4" ht="15.75" thickBot="1" x14ac:dyDescent="0.3">
      <c r="A71" s="7" t="s">
        <v>19</v>
      </c>
      <c r="B71" s="31">
        <v>99.854969999999994</v>
      </c>
      <c r="C71" s="31">
        <v>9.5292899999999996</v>
      </c>
      <c r="D71" s="52">
        <v>0.95293000000000005</v>
      </c>
    </row>
    <row r="72" spans="1:4" ht="15.75" thickBot="1" x14ac:dyDescent="0.3">
      <c r="A72" s="7" t="s">
        <v>20</v>
      </c>
      <c r="B72" s="32">
        <v>100</v>
      </c>
      <c r="C72" s="32">
        <v>9.9567999999999994</v>
      </c>
      <c r="D72" s="53">
        <v>0.99568000000000001</v>
      </c>
    </row>
    <row r="73" spans="1:4" ht="15.75" thickBot="1" x14ac:dyDescent="0.3">
      <c r="A73" s="7" t="s">
        <v>21</v>
      </c>
      <c r="B73" s="32">
        <v>100</v>
      </c>
      <c r="C73" s="32">
        <v>7.98977</v>
      </c>
      <c r="D73" s="53">
        <v>0.79898000000000002</v>
      </c>
    </row>
    <row r="74" spans="1:4" ht="15.75" thickBot="1" x14ac:dyDescent="0.3">
      <c r="A74" s="7" t="s">
        <v>22</v>
      </c>
      <c r="B74" s="32">
        <v>99.923460000000006</v>
      </c>
      <c r="C74" s="32">
        <v>7.6951299999999998</v>
      </c>
      <c r="D74" s="53">
        <v>0.76951000000000003</v>
      </c>
    </row>
    <row r="75" spans="1:4" ht="15.75" thickBot="1" x14ac:dyDescent="0.3">
      <c r="A75" s="7" t="s">
        <v>23</v>
      </c>
      <c r="B75" s="32">
        <v>99.964479999999995</v>
      </c>
      <c r="C75" s="32">
        <v>7.9555699999999998</v>
      </c>
      <c r="D75" s="53">
        <v>0.79556000000000004</v>
      </c>
    </row>
    <row r="76" spans="1:4" ht="15.75" thickBot="1" x14ac:dyDescent="0.3">
      <c r="A76" s="7" t="s">
        <v>24</v>
      </c>
      <c r="B76" s="32">
        <v>99.731139999999996</v>
      </c>
      <c r="C76" s="32">
        <v>7.8639799999999997</v>
      </c>
      <c r="D76" s="53">
        <v>0.78639999999999999</v>
      </c>
    </row>
    <row r="77" spans="1:4" ht="15.75" thickBot="1" x14ac:dyDescent="0.3">
      <c r="A77" s="7" t="s">
        <v>25</v>
      </c>
      <c r="B77" s="32">
        <v>100</v>
      </c>
      <c r="C77" s="32">
        <v>9.1089400000000005</v>
      </c>
      <c r="D77" s="53">
        <v>0.91088999999999998</v>
      </c>
    </row>
    <row r="80" spans="1:4" ht="15.75" thickBot="1" x14ac:dyDescent="0.3">
      <c r="A80" s="10" t="s">
        <v>77</v>
      </c>
      <c r="B80" s="28"/>
      <c r="C80" s="28"/>
      <c r="D80" s="28"/>
    </row>
    <row r="81" spans="1:5" ht="39" thickBot="1" x14ac:dyDescent="0.3">
      <c r="A81" s="11" t="s">
        <v>14</v>
      </c>
      <c r="B81" s="60" t="s">
        <v>32</v>
      </c>
      <c r="C81" s="61" t="s">
        <v>33</v>
      </c>
      <c r="D81" s="60" t="s">
        <v>34</v>
      </c>
    </row>
    <row r="82" spans="1:5" ht="15.75" thickBot="1" x14ac:dyDescent="0.3">
      <c r="A82" s="58" t="s">
        <v>19</v>
      </c>
      <c r="B82" s="59">
        <v>100</v>
      </c>
      <c r="C82" s="59">
        <v>7.4923400000000004</v>
      </c>
      <c r="D82" s="59">
        <v>0.74922999999999995</v>
      </c>
    </row>
    <row r="83" spans="1:5" ht="15.75" thickBot="1" x14ac:dyDescent="0.3">
      <c r="A83" s="58" t="s">
        <v>20</v>
      </c>
      <c r="B83" s="59">
        <v>100</v>
      </c>
      <c r="C83" s="59">
        <v>7.5812400000000002</v>
      </c>
      <c r="D83" s="59">
        <v>0.75812000000000002</v>
      </c>
    </row>
    <row r="84" spans="1:5" ht="15.75" thickBot="1" x14ac:dyDescent="0.3">
      <c r="A84" s="58" t="s">
        <v>21</v>
      </c>
      <c r="B84" s="59">
        <v>100</v>
      </c>
      <c r="C84" s="59">
        <v>7.6529999999999996</v>
      </c>
      <c r="D84" s="59">
        <v>0.76529999999999998</v>
      </c>
    </row>
    <row r="85" spans="1:5" ht="15.75" thickBot="1" x14ac:dyDescent="0.3">
      <c r="A85" s="58" t="s">
        <v>22</v>
      </c>
      <c r="B85" s="59">
        <v>100</v>
      </c>
      <c r="C85" s="59">
        <v>7.7015599999999997</v>
      </c>
      <c r="D85" s="59">
        <v>0.77015999999999996</v>
      </c>
    </row>
    <row r="86" spans="1:5" ht="15.75" thickBot="1" x14ac:dyDescent="0.3">
      <c r="A86" s="58" t="s">
        <v>23</v>
      </c>
      <c r="B86" s="59">
        <v>100</v>
      </c>
      <c r="C86" s="59">
        <v>7.7526999999999999</v>
      </c>
      <c r="D86" s="59">
        <v>0.77527000000000001</v>
      </c>
    </row>
    <row r="87" spans="1:5" ht="15.75" thickBot="1" x14ac:dyDescent="0.3">
      <c r="A87" s="58" t="s">
        <v>24</v>
      </c>
      <c r="B87" s="59">
        <v>100</v>
      </c>
      <c r="C87" s="59">
        <v>7.8214499999999996</v>
      </c>
      <c r="D87" s="59">
        <v>0.78215000000000001</v>
      </c>
    </row>
    <row r="88" spans="1:5" ht="15.75" thickBot="1" x14ac:dyDescent="0.3">
      <c r="A88" s="58" t="s">
        <v>25</v>
      </c>
      <c r="B88" s="59">
        <v>100</v>
      </c>
      <c r="C88" s="59">
        <v>9.1225100000000001</v>
      </c>
      <c r="D88" s="59">
        <v>0.91225000000000001</v>
      </c>
    </row>
    <row r="91" spans="1:5" ht="15.75" thickBot="1" x14ac:dyDescent="0.3">
      <c r="A91" s="10" t="s">
        <v>113</v>
      </c>
      <c r="B91" s="28"/>
      <c r="C91" s="28"/>
      <c r="D91" s="28"/>
      <c r="E91" s="28"/>
    </row>
    <row r="92" spans="1:5" x14ac:dyDescent="0.25">
      <c r="A92" s="15" t="s">
        <v>29</v>
      </c>
      <c r="B92" s="108" t="s">
        <v>15</v>
      </c>
      <c r="C92" s="108" t="s">
        <v>16</v>
      </c>
      <c r="D92" s="108" t="s">
        <v>18</v>
      </c>
    </row>
    <row r="93" spans="1:5" ht="15.75" thickBot="1" x14ac:dyDescent="0.3">
      <c r="A93" s="88" t="s">
        <v>30</v>
      </c>
      <c r="B93" s="109"/>
      <c r="C93" s="109"/>
      <c r="D93" s="109"/>
    </row>
    <row r="94" spans="1:5" ht="15.75" thickBot="1" x14ac:dyDescent="0.3">
      <c r="A94" s="90" t="s">
        <v>19</v>
      </c>
      <c r="B94" s="91">
        <v>26.962789999999998</v>
      </c>
      <c r="C94" s="91">
        <v>5.3010799999999998</v>
      </c>
      <c r="D94" s="91">
        <v>3.3149999999999999</v>
      </c>
    </row>
    <row r="95" spans="1:5" ht="15.75" thickBot="1" x14ac:dyDescent="0.3">
      <c r="A95" s="90" t="s">
        <v>20</v>
      </c>
      <c r="B95" s="91">
        <v>24.571429999999999</v>
      </c>
      <c r="C95" s="91">
        <v>4.5925200000000004</v>
      </c>
      <c r="D95" s="91">
        <v>3.3149999999999999</v>
      </c>
    </row>
    <row r="96" spans="1:5" ht="15.75" thickBot="1" x14ac:dyDescent="0.3">
      <c r="A96" s="90" t="s">
        <v>21</v>
      </c>
      <c r="B96" s="91">
        <v>24.489360000000001</v>
      </c>
      <c r="C96" s="91">
        <v>5.3234000000000004</v>
      </c>
      <c r="D96" s="91">
        <v>3.3149999999999999</v>
      </c>
    </row>
    <row r="97" spans="1:5" ht="15.75" thickBot="1" x14ac:dyDescent="0.3">
      <c r="A97" s="90" t="s">
        <v>22</v>
      </c>
      <c r="B97" s="91">
        <v>23.905370000000001</v>
      </c>
      <c r="C97" s="91">
        <v>4.8920399999999997</v>
      </c>
      <c r="D97" s="91">
        <v>3.3149999999999999</v>
      </c>
    </row>
    <row r="98" spans="1:5" ht="15.75" thickBot="1" x14ac:dyDescent="0.3">
      <c r="A98" s="90" t="s">
        <v>23</v>
      </c>
      <c r="B98" s="91">
        <v>23.008579999999998</v>
      </c>
      <c r="C98" s="91">
        <v>4.7069200000000002</v>
      </c>
      <c r="D98" s="91">
        <v>3.3149999999999999</v>
      </c>
    </row>
    <row r="99" spans="1:5" ht="15.75" thickBot="1" x14ac:dyDescent="0.3">
      <c r="A99" s="90" t="s">
        <v>24</v>
      </c>
      <c r="B99" s="91">
        <v>22.036359999999998</v>
      </c>
      <c r="C99" s="91">
        <v>5.0220399999999996</v>
      </c>
      <c r="D99" s="91">
        <v>3.3149999999999999</v>
      </c>
    </row>
    <row r="100" spans="1:5" ht="15.75" thickBot="1" x14ac:dyDescent="0.3">
      <c r="A100" s="58" t="s">
        <v>25</v>
      </c>
      <c r="B100" s="89"/>
      <c r="C100" s="89"/>
      <c r="D100" s="8"/>
    </row>
    <row r="102" spans="1:5" ht="15.75" thickBot="1" x14ac:dyDescent="0.3">
      <c r="A102" s="10" t="s">
        <v>114</v>
      </c>
      <c r="B102" s="28"/>
      <c r="C102" s="28"/>
      <c r="D102" s="28"/>
      <c r="E102" s="28"/>
    </row>
    <row r="103" spans="1:5" x14ac:dyDescent="0.25">
      <c r="A103" s="15" t="s">
        <v>29</v>
      </c>
      <c r="B103" s="108" t="s">
        <v>15</v>
      </c>
      <c r="C103" s="108" t="s">
        <v>16</v>
      </c>
      <c r="D103" s="108" t="s">
        <v>18</v>
      </c>
    </row>
    <row r="104" spans="1:5" ht="15.75" thickBot="1" x14ac:dyDescent="0.3">
      <c r="A104" s="16" t="s">
        <v>30</v>
      </c>
      <c r="B104" s="109"/>
      <c r="C104" s="109"/>
      <c r="D104" s="109"/>
    </row>
    <row r="105" spans="1:5" ht="15.75" thickBot="1" x14ac:dyDescent="0.3">
      <c r="A105" s="58" t="s">
        <v>19</v>
      </c>
      <c r="B105" s="91">
        <v>10</v>
      </c>
      <c r="C105" s="91">
        <v>2.0394899999999998</v>
      </c>
      <c r="D105" s="91">
        <v>2.38</v>
      </c>
    </row>
    <row r="106" spans="1:5" ht="15.75" thickBot="1" x14ac:dyDescent="0.3">
      <c r="A106" s="58" t="s">
        <v>20</v>
      </c>
      <c r="B106" s="91">
        <v>8.8249999999999993</v>
      </c>
      <c r="C106" s="91">
        <v>2.0741100000000001</v>
      </c>
      <c r="D106" s="91">
        <v>2.38</v>
      </c>
    </row>
    <row r="107" spans="1:5" ht="15.75" thickBot="1" x14ac:dyDescent="0.3">
      <c r="A107" s="58" t="s">
        <v>21</v>
      </c>
      <c r="B107" s="91">
        <v>8.2674400000000006</v>
      </c>
      <c r="C107" s="91">
        <v>2.2145199999999998</v>
      </c>
      <c r="D107" s="91">
        <v>2.38</v>
      </c>
    </row>
    <row r="108" spans="1:5" ht="15.75" thickBot="1" x14ac:dyDescent="0.3">
      <c r="A108" s="58" t="s">
        <v>22</v>
      </c>
      <c r="B108" s="91">
        <v>7.9819000000000004</v>
      </c>
      <c r="C108" s="91">
        <v>2.3605900000000002</v>
      </c>
      <c r="D108" s="91">
        <v>2.38</v>
      </c>
    </row>
    <row r="109" spans="1:5" ht="15.75" thickBot="1" x14ac:dyDescent="0.3">
      <c r="A109" s="58" t="s">
        <v>23</v>
      </c>
      <c r="B109" s="91">
        <v>7.4743599999999999</v>
      </c>
      <c r="C109" s="91">
        <v>2.4028200000000002</v>
      </c>
      <c r="D109" s="91">
        <v>2.38</v>
      </c>
    </row>
    <row r="110" spans="1:5" ht="15.75" thickBot="1" x14ac:dyDescent="0.3">
      <c r="A110" s="58" t="s">
        <v>24</v>
      </c>
      <c r="B110" s="91">
        <v>6.8333300000000001</v>
      </c>
      <c r="C110" s="91">
        <v>2.6546500000000002</v>
      </c>
      <c r="D110" s="91">
        <v>2.38</v>
      </c>
    </row>
    <row r="111" spans="1:5" ht="15.75" thickBot="1" x14ac:dyDescent="0.3">
      <c r="A111" s="58" t="s">
        <v>25</v>
      </c>
      <c r="B111" s="89"/>
      <c r="C111" s="89"/>
      <c r="D111" s="8"/>
    </row>
    <row r="113" spans="1:4" ht="15.75" thickBot="1" x14ac:dyDescent="0.3">
      <c r="A113" s="10" t="s">
        <v>143</v>
      </c>
      <c r="B113" s="28"/>
      <c r="C113" s="28"/>
      <c r="D113" s="28"/>
    </row>
    <row r="114" spans="1:4" x14ac:dyDescent="0.25">
      <c r="A114" s="15" t="s">
        <v>29</v>
      </c>
      <c r="B114" s="108" t="s">
        <v>15</v>
      </c>
      <c r="C114" s="108" t="s">
        <v>16</v>
      </c>
      <c r="D114" s="108" t="s">
        <v>18</v>
      </c>
    </row>
    <row r="115" spans="1:4" ht="15.75" thickBot="1" x14ac:dyDescent="0.3">
      <c r="A115" s="16" t="s">
        <v>30</v>
      </c>
      <c r="B115" s="109"/>
      <c r="C115" s="109"/>
      <c r="D115" s="109"/>
    </row>
    <row r="116" spans="1:4" ht="15.75" thickBot="1" x14ac:dyDescent="0.3">
      <c r="A116" s="58" t="s">
        <v>19</v>
      </c>
      <c r="B116" s="91">
        <v>40.880000000000003</v>
      </c>
      <c r="C116" s="91">
        <v>15.34</v>
      </c>
      <c r="D116" s="91">
        <v>11.58</v>
      </c>
    </row>
    <row r="117" spans="1:4" ht="15.75" thickBot="1" x14ac:dyDescent="0.3">
      <c r="A117" s="58" t="s">
        <v>20</v>
      </c>
      <c r="B117" s="91">
        <v>55.36</v>
      </c>
      <c r="C117" s="91">
        <v>22.42</v>
      </c>
      <c r="D117" s="91">
        <v>13.43</v>
      </c>
    </row>
    <row r="118" spans="1:4" ht="15.75" thickBot="1" x14ac:dyDescent="0.3">
      <c r="A118" s="58" t="s">
        <v>21</v>
      </c>
      <c r="B118" s="91">
        <v>55.7</v>
      </c>
      <c r="C118" s="91">
        <v>28.78</v>
      </c>
      <c r="D118" s="91">
        <v>10.9</v>
      </c>
    </row>
    <row r="119" spans="1:4" ht="15.75" thickBot="1" x14ac:dyDescent="0.3">
      <c r="A119" s="58" t="s">
        <v>22</v>
      </c>
      <c r="B119" s="91">
        <v>62.29</v>
      </c>
      <c r="C119" s="91">
        <v>23.09</v>
      </c>
      <c r="D119" s="91">
        <v>16.25</v>
      </c>
    </row>
    <row r="120" spans="1:4" ht="15.75" thickBot="1" x14ac:dyDescent="0.3">
      <c r="A120" s="58" t="s">
        <v>23</v>
      </c>
      <c r="B120" s="91">
        <v>64.44</v>
      </c>
      <c r="C120" s="91">
        <v>26.22</v>
      </c>
      <c r="D120" s="91">
        <v>23.53</v>
      </c>
    </row>
    <row r="121" spans="1:4" ht="15.75" thickBot="1" x14ac:dyDescent="0.3">
      <c r="A121" s="58" t="s">
        <v>24</v>
      </c>
      <c r="B121" s="91">
        <v>75.239999999999995</v>
      </c>
      <c r="C121" s="91">
        <v>18.07</v>
      </c>
      <c r="D121" s="91">
        <v>23.67</v>
      </c>
    </row>
    <row r="122" spans="1:4" ht="15.75" thickBot="1" x14ac:dyDescent="0.3">
      <c r="A122" s="58" t="s">
        <v>25</v>
      </c>
      <c r="B122" s="89"/>
      <c r="C122" s="89"/>
      <c r="D122" s="8"/>
    </row>
    <row r="124" spans="1:4" ht="15.75" thickBot="1" x14ac:dyDescent="0.3">
      <c r="A124" s="10" t="s">
        <v>148</v>
      </c>
      <c r="B124" s="28"/>
      <c r="C124" s="28"/>
      <c r="D124" s="28"/>
    </row>
    <row r="125" spans="1:4" x14ac:dyDescent="0.25">
      <c r="A125" s="15" t="s">
        <v>29</v>
      </c>
      <c r="B125" s="108" t="s">
        <v>15</v>
      </c>
      <c r="C125" s="108" t="s">
        <v>16</v>
      </c>
      <c r="D125" s="108" t="s">
        <v>18</v>
      </c>
    </row>
    <row r="126" spans="1:4" ht="15.75" thickBot="1" x14ac:dyDescent="0.3">
      <c r="A126" s="16" t="s">
        <v>30</v>
      </c>
      <c r="B126" s="109"/>
      <c r="C126" s="109"/>
      <c r="D126" s="109"/>
    </row>
    <row r="127" spans="1:4" ht="15.75" thickBot="1" x14ac:dyDescent="0.3">
      <c r="A127" s="58" t="s">
        <v>19</v>
      </c>
      <c r="B127" s="91">
        <v>7.2626900000000001</v>
      </c>
      <c r="C127" s="91">
        <v>5.3803099999999997</v>
      </c>
      <c r="D127" s="91">
        <v>3.81</v>
      </c>
    </row>
    <row r="128" spans="1:4" ht="15.75" thickBot="1" x14ac:dyDescent="0.3">
      <c r="A128" s="58" t="s">
        <v>20</v>
      </c>
      <c r="B128" s="91">
        <v>7.25</v>
      </c>
      <c r="C128" s="91">
        <v>4.1242000000000001</v>
      </c>
      <c r="D128" s="91">
        <v>3.78</v>
      </c>
    </row>
    <row r="129" spans="1:4" ht="15.75" thickBot="1" x14ac:dyDescent="0.3">
      <c r="A129" s="58" t="s">
        <v>21</v>
      </c>
      <c r="B129" s="91">
        <v>9.3012099999999993</v>
      </c>
      <c r="C129" s="91">
        <v>4.9157200000000003</v>
      </c>
      <c r="D129" s="91">
        <v>3.23</v>
      </c>
    </row>
    <row r="130" spans="1:4" ht="15.75" thickBot="1" x14ac:dyDescent="0.3">
      <c r="A130" s="58" t="s">
        <v>22</v>
      </c>
      <c r="B130" s="91">
        <v>11.78641</v>
      </c>
      <c r="C130" s="91">
        <v>5.3561199999999998</v>
      </c>
      <c r="D130" s="91">
        <v>3.61</v>
      </c>
    </row>
    <row r="131" spans="1:4" ht="15.75" thickBot="1" x14ac:dyDescent="0.3">
      <c r="A131" s="58" t="s">
        <v>23</v>
      </c>
      <c r="B131" s="91">
        <v>13.406980000000001</v>
      </c>
      <c r="C131" s="91">
        <v>6.3076600000000003</v>
      </c>
      <c r="D131" s="91">
        <v>3.29</v>
      </c>
    </row>
    <row r="132" spans="1:4" ht="15.75" thickBot="1" x14ac:dyDescent="0.3">
      <c r="A132" s="58" t="s">
        <v>24</v>
      </c>
      <c r="B132" s="91">
        <v>14.421049999999999</v>
      </c>
      <c r="C132" s="91">
        <v>6.5826599999999997</v>
      </c>
      <c r="D132" s="91">
        <v>4.18</v>
      </c>
    </row>
    <row r="133" spans="1:4" ht="15.75" thickBot="1" x14ac:dyDescent="0.3">
      <c r="A133" s="58" t="s">
        <v>25</v>
      </c>
      <c r="B133" s="89" t="s">
        <v>147</v>
      </c>
      <c r="C133" s="89" t="s">
        <v>147</v>
      </c>
      <c r="D133" s="8" t="s">
        <v>147</v>
      </c>
    </row>
  </sheetData>
  <mergeCells count="20">
    <mergeCell ref="B103:B104"/>
    <mergeCell ref="C103:C104"/>
    <mergeCell ref="D103:D104"/>
    <mergeCell ref="B92:B93"/>
    <mergeCell ref="C92:C93"/>
    <mergeCell ref="D92:D93"/>
    <mergeCell ref="B36:B37"/>
    <mergeCell ref="C36:C37"/>
    <mergeCell ref="D36:D37"/>
    <mergeCell ref="E36:E37"/>
    <mergeCell ref="B48:B49"/>
    <mergeCell ref="C48:C49"/>
    <mergeCell ref="D48:D49"/>
    <mergeCell ref="E48:E49"/>
    <mergeCell ref="B114:B115"/>
    <mergeCell ref="C114:C115"/>
    <mergeCell ref="D114:D115"/>
    <mergeCell ref="B125:B126"/>
    <mergeCell ref="C125:C126"/>
    <mergeCell ref="D125:D126"/>
  </mergeCells>
  <conditionalFormatting sqref="M10:M16 M32:M38">
    <cfRule type="containsErrors" dxfId="3" priority="5">
      <formula>ISERROR(M10)</formula>
    </cfRule>
  </conditionalFormatting>
  <conditionalFormatting sqref="S10:S16 S32:S38">
    <cfRule type="containsErrors" dxfId="2" priority="4">
      <formula>ISERROR(S10)</formula>
    </cfRule>
  </conditionalFormatting>
  <conditionalFormatting sqref="S48:S54">
    <cfRule type="containsErrors" dxfId="1" priority="2">
      <formula>ISERROR(S48)</formula>
    </cfRule>
  </conditionalFormatting>
  <conditionalFormatting sqref="M48:M54">
    <cfRule type="containsErrors" dxfId="0" priority="6">
      <formula>ISERROR(M48)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6"/>
  <sheetViews>
    <sheetView workbookViewId="0">
      <selection activeCell="I7" sqref="I7"/>
    </sheetView>
  </sheetViews>
  <sheetFormatPr defaultRowHeight="15" x14ac:dyDescent="0.25"/>
  <sheetData>
    <row r="1" spans="1:1" ht="18.75" x14ac:dyDescent="0.3">
      <c r="A1" s="62" t="s">
        <v>78</v>
      </c>
    </row>
    <row r="3" spans="1:1" x14ac:dyDescent="0.25">
      <c r="A3" t="s">
        <v>79</v>
      </c>
    </row>
    <row r="4" spans="1:1" x14ac:dyDescent="0.25">
      <c r="A4" t="s">
        <v>80</v>
      </c>
    </row>
    <row r="5" spans="1:1" x14ac:dyDescent="0.25">
      <c r="A5" t="s">
        <v>82</v>
      </c>
    </row>
    <row r="6" spans="1:1" x14ac:dyDescent="0.25">
      <c r="A6" t="s">
        <v>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34E53F-46B1-42BB-B5A9-8B2EF10DCB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Detection</vt:lpstr>
      <vt:lpstr>Identification</vt:lpstr>
      <vt:lpstr>OCL2</vt:lpstr>
      <vt:lpstr>One Back</vt:lpstr>
      <vt:lpstr>ISLT- Immediate</vt:lpstr>
      <vt:lpstr>ISLT- Delayed</vt:lpstr>
      <vt:lpstr>ISLT- Recognition</vt:lpstr>
      <vt:lpstr>GMLT</vt:lpstr>
      <vt:lpstr>GMLT - Delayed</vt:lpstr>
      <vt:lpstr>Chase</vt:lpstr>
      <vt:lpstr>GMLT - Reverse</vt:lpstr>
      <vt:lpstr>SECT</vt:lpstr>
      <vt:lpstr>Two Back</vt:lpstr>
      <vt:lpstr>ISLT Analysis</vt:lpstr>
      <vt:lpstr>CPAL</vt:lpstr>
      <vt:lpstr>CPAL - Delayed</vt:lpstr>
      <vt:lpstr>Finger Tapping</vt:lpstr>
      <vt:lpstr>Norms</vt:lpstr>
      <vt:lpstr>Usage</vt:lpstr>
      <vt:lpstr>Norms!_Toc393896927</vt:lpstr>
      <vt:lpstr>Norms!_Toc393896928</vt:lpstr>
      <vt:lpstr>Norms!_Toc393896929</vt:lpstr>
      <vt:lpstr>Norms!_Toc393896930</vt:lpstr>
      <vt:lpstr>Norms!_Toc393896931</vt:lpstr>
      <vt:lpstr>Norms!_Toc393896932</vt:lpstr>
      <vt:lpstr>Chase!Extract</vt:lpstr>
      <vt:lpstr>GMLT!Extract</vt:lpstr>
      <vt:lpstr>'GMLT - Delayed'!Extract</vt:lpstr>
      <vt:lpstr>'GMLT - Reverse'!Extract</vt:lpstr>
      <vt:lpstr>'ISLT- Delayed'!Extract</vt:lpstr>
      <vt:lpstr>'ISLT- Immediate'!Extract</vt:lpstr>
      <vt:lpstr>'ISLT- Recognition'!Extract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dwood</dc:creator>
  <cp:lastModifiedBy>Darren Wood</cp:lastModifiedBy>
  <dcterms:created xsi:type="dcterms:W3CDTF">2014-05-09T01:31:03Z</dcterms:created>
  <dcterms:modified xsi:type="dcterms:W3CDTF">2019-04-15T06:08:45Z</dcterms:modified>
</cp:coreProperties>
</file>